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Inbound" sheetId="3" state="visible" r:id="rId5"/>
    <sheet name="Outbound" sheetId="4" state="visible" r:id="rId6"/>
    <sheet name="Scoresheet" sheetId="5" state="visible" r:id="rId7"/>
    <sheet name="Clients" sheetId="6" state="visible" r:id="rId8"/>
    <sheet name="Shoots" sheetId="7" state="visible" r:id="rId9"/>
    <sheet name="Scoresheet Guide" sheetId="8" state="visible" r:id="rId10"/>
    <sheet name="Automations" sheetId="9" state="visible" r:id="rId11"/>
    <sheet name="Settings" sheetId="10" state="visible" r:id="rId12"/>
  </sheets>
  <definedNames>
    <definedName function="false" hidden="true" localSheetId="5" name="_xlnm._FilterDatabase" vbProcedure="false">Clients!$A$1:$Z$501</definedName>
    <definedName function="false" hidden="true" localSheetId="2" name="_xlnm._FilterDatabase" vbProcedure="false">Inbound!$A$1:$AE$501</definedName>
    <definedName function="false" hidden="true" localSheetId="3" name="_xlnm._FilterDatabase" vbProcedure="false">Outbound!$A$1:$AB$501</definedName>
    <definedName function="false" hidden="true" localSheetId="4" name="_xlnm._FilterDatabase" vbProcedure="false">Scoresheet!$A$1:$U$501</definedName>
    <definedName function="false" hidden="true" localSheetId="6" name="_xlnm._FilterDatabase" vbProcedure="false">Shoots!$A$1:$N$501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Double-click for a calendar. Clear the cell to go back to today.</t>
        </r>
      </text>
    </comment>
    <comment ref="C15" authorId="0">
      <text>
        <r>
          <rPr>
            <sz val="10"/>
            <rFont val="Arial"/>
            <family val="2"/>
          </rPr>
          <t xml:space="preserve">Target: reply within 1 hour.</t>
        </r>
      </text>
    </comment>
    <comment ref="C29" authorId="0">
      <text>
        <r>
          <rPr>
            <sz val="10"/>
            <rFont val="Arial"/>
            <family val="2"/>
          </rPr>
          <t xml:space="preserve">Target: under 1 hour.</t>
        </r>
      </text>
    </comment>
    <comment ref="C42" authorId="0">
      <text>
        <r>
          <rPr>
            <sz val="10"/>
            <rFont val="Arial"/>
            <family val="2"/>
          </rPr>
          <t xml:space="preserve">Of clients whose free-video decision is settled, the share who stayed.</t>
        </r>
      </text>
    </comment>
    <comment ref="C54" authorId="0">
      <text>
        <r>
          <rPr>
            <sz val="10"/>
            <rFont val="Arial"/>
            <family val="2"/>
          </rPr>
          <t xml:space="preserve">Shows whether the score predicts who signs. Adjust points on Settings if it doesn't.</t>
        </r>
      </text>
    </comment>
    <comment ref="C55" authorId="0">
      <text>
        <r>
          <rPr>
            <sz val="10"/>
            <rFont val="Arial"/>
            <family val="2"/>
          </rPr>
          <t xml:space="preserve">Shows whether the score predicts who signs. Adjust points on Settings if it doesn't.</t>
        </r>
      </text>
    </comment>
    <comment ref="C56" authorId="0">
      <text>
        <r>
          <rPr>
            <sz val="10"/>
            <rFont val="Arial"/>
            <family val="2"/>
          </rPr>
          <t xml:space="preserve">Shows whether the score predicts who signs. Adjust points on Settings if it doesn't.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S4" authorId="0">
      <text>
        <r>
          <rPr>
            <sz val="10"/>
            <rFont val="Arial"/>
            <family val="2"/>
          </rPr>
          <t xml:space="preserve">Placeholder - the decision window has not been agreed yet.</t>
        </r>
      </text>
    </comment>
  </commentList>
</comments>
</file>

<file path=xl/sharedStrings.xml><?xml version="1.0" encoding="utf-8"?>
<sst xmlns="http://schemas.openxmlformats.org/spreadsheetml/2006/main" count="626" uniqueCount="456">
  <si>
    <t xml:space="preserve">YONTRO CRM</t>
  </si>
  <si>
    <t xml:space="preserve">One place for every lead – inbound or outbound – from first message to active client.</t>
  </si>
  <si>
    <t xml:space="preserve">HOW TO USE THIS SHEET</t>
  </si>
  <si>
    <t xml:space="preserve">White cells</t>
  </si>
  <si>
    <t xml:space="preserve">You type here. Most have dropdowns – pick from the list.</t>
  </si>
  <si>
    <t xml:space="preserve">Grey cells / grey headers</t>
  </si>
  <si>
    <t xml:space="preserve">Formulas. Don't type here – they calculate themselves.</t>
  </si>
  <si>
    <t xml:space="preserve">Row 2 on each tab</t>
  </si>
  <si>
    <t xml:space="preserve">An EXAMPLE row (grey italic). Overwrite or delete it once you start.</t>
  </si>
  <si>
    <t xml:space="preserve">Settings tab</t>
  </si>
  <si>
    <t xml:space="preserve">Edit dropdown lists, package prices and the rules (follow-up gap, decision window).</t>
  </si>
  <si>
    <t xml:space="preserve">Dates</t>
  </si>
  <si>
    <t xml:space="preserve">Columns marked 📅 open a calendar: double-click the cell and pick the day. Time columns have a dropdown arrow. If a calendar ever doesn't open, run the 'Add date pickers' script (see below).</t>
  </si>
  <si>
    <t xml:space="preserve">THE TABS</t>
  </si>
  <si>
    <t xml:space="preserve">Dashboard</t>
  </si>
  <si>
    <t xml:space="preserve">Daily, weekly and monthly numbers. Pick any day in the yellow cell (blank = today). Everything else is read only.</t>
  </si>
  <si>
    <t xml:space="preserve">Inbound</t>
  </si>
  <si>
    <t xml:space="preserve">Leads who came to us: website, WhatsApp, Instagram, referrals, walk-ins.  Owner: Usama</t>
  </si>
  <si>
    <t xml:space="preserve">Outbound</t>
  </si>
  <si>
    <t xml:space="preserve">Leads we went after: Apollo, LinkedIn, Google Maps.  Owner: Usama</t>
  </si>
  <si>
    <t xml:space="preserve">Clients</t>
  </si>
  <si>
    <t xml:space="preserve">Everyone who signed + paid: free video, decision window, refunds, active plan.  Owner: Lianna</t>
  </si>
  <si>
    <t xml:space="preserve">Shoots</t>
  </si>
  <si>
    <t xml:space="preserve">Every shoot – free videos and plan shoots.  Owner: Azeem</t>
  </si>
  <si>
    <t xml:space="preserve">Scoresheet</t>
  </si>
  <si>
    <t xml:space="preserve">One row per sales call, filled in at the END of the call before closing. Scores the lead.  Owner: Usama</t>
  </si>
  <si>
    <t xml:space="preserve">Scoresheet Guide</t>
  </si>
  <si>
    <t xml:space="preserve">What to cover during the call, how to score each answer, and what to do with Hot / Warm / Cold.</t>
  </si>
  <si>
    <t xml:space="preserve">Automations</t>
  </si>
  <si>
    <t xml:space="preserve">What connects to what (Make.com, Calendly, Apollo, Calendar). The setup checklist.</t>
  </si>
  <si>
    <t xml:space="preserve">THE PIPELINE</t>
  </si>
  <si>
    <t xml:space="preserve">Selling (Inbound / Outbound)</t>
  </si>
  <si>
    <t xml:space="preserve">New → Contacted → Replied → Meeting booked → Meeting held → Proposal sent → Contract signed + paid</t>
  </si>
  <si>
    <t xml:space="preserve">or → Closed – No response (after 4 follow-ups) / Lost</t>
  </si>
  <si>
    <t xml:space="preserve">Trial (Clients + Shoots)</t>
  </si>
  <si>
    <t xml:space="preserve">Signed + paid → Free video shot → Delivered → Decision window</t>
  </si>
  <si>
    <t xml:space="preserve">Outcome (Clients)</t>
  </si>
  <si>
    <t xml:space="preserve">Approves → Active   ·   Says nothing → Active (plan goes ahead)   ·   Backs out → Refund, keeps the video</t>
  </si>
  <si>
    <t xml:space="preserve">THE RULES WE AGREED</t>
  </si>
  <si>
    <t xml:space="preserve">Free video</t>
  </si>
  <si>
    <t xml:space="preserve">Only for clients who have signed the contract. As many as needed for onboarded clients.</t>
  </si>
  <si>
    <t xml:space="preserve">Payment</t>
  </si>
  <si>
    <t xml:space="preserve">Taken at signing.</t>
  </si>
  <si>
    <t xml:space="preserve">Backing out</t>
  </si>
  <si>
    <t xml:space="preserve">Client can back out after the free video if not satisfied → refund. They keep the free video.</t>
  </si>
  <si>
    <t xml:space="preserve">Silence after delivery</t>
  </si>
  <si>
    <t xml:space="preserve">Plan goes ahead – they have signed and paid.</t>
  </si>
  <si>
    <t xml:space="preserve">Ghosting (before contract)</t>
  </si>
  <si>
    <t xml:space="preserve">4 follow-ups, 3 days apart, each adding new value. Then stop outreach → Closed – No response.</t>
  </si>
  <si>
    <t xml:space="preserve">Repeat refunds</t>
  </si>
  <si>
    <t xml:space="preserve">A business that was refunded before is flagged ⚠ – no second free video.</t>
  </si>
  <si>
    <t xml:space="preserve">Lead score</t>
  </si>
  <si>
    <t xml:space="preserve">End-of-call scoresheet: 6 answers + industry = score out of 100. Hot 70+, Warm 40–69, Cold under 40. Fill it before closing / sending a proposal.</t>
  </si>
  <si>
    <t xml:space="preserve">Red flags</t>
  </si>
  <si>
    <t xml:space="preserve">🚩 Budget under AED 5k, 🚩 nobody on camera. Warnings only – the lead is NOT disqualified.</t>
  </si>
  <si>
    <t xml:space="preserve">Decision window</t>
  </si>
  <si>
    <t xml:space="preserve">NOT DECIDED YET – set to 3 working days as a placeholder (Settings tab, yellow cell).</t>
  </si>
  <si>
    <t xml:space="preserve">EACH PERSON'S DAY</t>
  </si>
  <si>
    <t xml:space="preserve">Usama</t>
  </si>
  <si>
    <t xml:space="preserve">Inbound + Outbound: filter Owner = Usama and Action flag. Clear OVERDUE first, then 'Follow up today'. Reply to new inbound within 1 hour. After every sales call, add a Scoresheet row before closing.</t>
  </si>
  <si>
    <t xml:space="preserve">Azeem</t>
  </si>
  <si>
    <t xml:space="preserve">Shoots: filter Videographer = Azeem. Update Status and Delivered date the day it happens.</t>
  </si>
  <si>
    <t xml:space="preserve">Lianna</t>
  </si>
  <si>
    <t xml:space="preserve">Clients: work every 'Decision pending' row; onboard new signings; log refunds with a reason.</t>
  </si>
  <si>
    <t xml:space="preserve">Owner</t>
  </si>
  <si>
    <t xml:space="preserve">Dashboard once a week.</t>
  </si>
  <si>
    <t xml:space="preserve">IF THE CALENDARS DON'T OPEN (one-time fix, 2 minutes)</t>
  </si>
  <si>
    <t xml:space="preserve">1</t>
  </si>
  <si>
    <t xml:space="preserve">In the Google Sheet: Extensions → Apps Script.</t>
  </si>
  <si>
    <t xml:space="preserve">2</t>
  </si>
  <si>
    <t xml:space="preserve">Delete what's there, paste the code from yontro-crm/date-pickers.gs, click Save.</t>
  </si>
  <si>
    <t xml:space="preserve">3</t>
  </si>
  <si>
    <t xml:space="preserve">Choose addDatePickers in the toolbar and click Run (allow access the first time).</t>
  </si>
  <si>
    <t xml:space="preserve">4</t>
  </si>
  <si>
    <t xml:space="preserve">Back in the sheet, double-click any 📅 cell – the calendar opens.</t>
  </si>
  <si>
    <t xml:space="preserve">AFTER A FOLLOW-UP</t>
  </si>
  <si>
    <t xml:space="preserve">Update two cells</t>
  </si>
  <si>
    <t xml:space="preserve">Last contact date = today, and Follow-ups sent +1. The sheet works out the next due date.</t>
  </si>
  <si>
    <t xml:space="preserve">YONTRO · CRM DASHBOARD</t>
  </si>
  <si>
    <t xml:space="preserve">Updates automatically from the Inbound, Outbound, Clients and Shoots tabs. Only the yellow cell is yours to change.</t>
  </si>
  <si>
    <t xml:space="preserve">Day to view 📅 (double-click)</t>
  </si>
  <si>
    <t xml:space="preserve">Leave blank to always show today</t>
  </si>
  <si>
    <t xml:space="preserve">Showing</t>
  </si>
  <si>
    <t xml:space="preserve">Week starts (Monday)</t>
  </si>
  <si>
    <t xml:space="preserve">Month starts</t>
  </si>
  <si>
    <t xml:space="preserve">DAILY  ·  the day picked above</t>
  </si>
  <si>
    <t xml:space="preserve">PIPELINE BY STAGE  ·  live</t>
  </si>
  <si>
    <t xml:space="preserve">Total</t>
  </si>
  <si>
    <t xml:space="preserve">New leads</t>
  </si>
  <si>
    <t xml:space="preserve">Leads contacted</t>
  </si>
  <si>
    <t xml:space="preserve">Follow-ups due</t>
  </si>
  <si>
    <t xml:space="preserve">Sales meetings</t>
  </si>
  <si>
    <t xml:space="preserve">Overdue follow-ups (live, as of today)</t>
  </si>
  <si>
    <t xml:space="preserve">Inbound leads still waiting for a first reply (live)</t>
  </si>
  <si>
    <t xml:space="preserve">Free videos delivered</t>
  </si>
  <si>
    <t xml:space="preserve">Client decisions due</t>
  </si>
  <si>
    <t xml:space="preserve">Contracts signed + paid</t>
  </si>
  <si>
    <t xml:space="preserve">Total leads</t>
  </si>
  <si>
    <t xml:space="preserve">Cash collected (AED)</t>
  </si>
  <si>
    <t xml:space="preserve">Refunds waiting to be paid (live)</t>
  </si>
  <si>
    <t xml:space="preserve">OPEN LEADS BY OWNER  ·  live</t>
  </si>
  <si>
    <t xml:space="preserve">Open leads</t>
  </si>
  <si>
    <t xml:space="preserve">Actions due</t>
  </si>
  <si>
    <t xml:space="preserve">THIS WEEK  ·  Monday to Sunday of the day picked</t>
  </si>
  <si>
    <t xml:space="preserve">Leads added</t>
  </si>
  <si>
    <t xml:space="preserve">Follow-ups due today or overdue (live)</t>
  </si>
  <si>
    <t xml:space="preserve">Leads to close (4 follow-ups sent)</t>
  </si>
  <si>
    <t xml:space="preserve">Avg inbound response time (hrs, all time)</t>
  </si>
  <si>
    <t xml:space="preserve">LEADS BY SOURCE (ALL TIME)</t>
  </si>
  <si>
    <t xml:space="preserve">Leads</t>
  </si>
  <si>
    <t xml:space="preserve">Signed</t>
  </si>
  <si>
    <t xml:space="preserve">Avg score</t>
  </si>
  <si>
    <t xml:space="preserve">THIS MONTH  ·  of the day picked</t>
  </si>
  <si>
    <t xml:space="preserve">In · Website form</t>
  </si>
  <si>
    <t xml:space="preserve">In · WhatsApp</t>
  </si>
  <si>
    <t xml:space="preserve">Cash collected at signing (AED)</t>
  </si>
  <si>
    <t xml:space="preserve">In · Instagram DM</t>
  </si>
  <si>
    <t xml:space="preserve">Refunds paid (count)</t>
  </si>
  <si>
    <t xml:space="preserve">In · Referral</t>
  </si>
  <si>
    <t xml:space="preserve">Refunds paid (AED)</t>
  </si>
  <si>
    <t xml:space="preserve">In · Walk-in</t>
  </si>
  <si>
    <t xml:space="preserve">In · Phone call</t>
  </si>
  <si>
    <t xml:space="preserve">CLIENTS  ·  live</t>
  </si>
  <si>
    <t xml:space="preserve">In · Other</t>
  </si>
  <si>
    <t xml:space="preserve">Active clients</t>
  </si>
  <si>
    <t xml:space="preserve">Out · Apollo</t>
  </si>
  <si>
    <t xml:space="preserve">Monthly recurring revenue (AED, ex VAT)</t>
  </si>
  <si>
    <t xml:space="preserve">Out · LinkedIn</t>
  </si>
  <si>
    <t xml:space="preserve">Decisions pending</t>
  </si>
  <si>
    <t xml:space="preserve">Out · Google Maps</t>
  </si>
  <si>
    <t xml:space="preserve">Free videos to schedule / in production</t>
  </si>
  <si>
    <t xml:space="preserve">Out · Instagram research</t>
  </si>
  <si>
    <t xml:space="preserve">Trial-to-active rate</t>
  </si>
  <si>
    <t xml:space="preserve">Out · Event / networking</t>
  </si>
  <si>
    <t xml:space="preserve">Signed but payment not logged</t>
  </si>
  <si>
    <t xml:space="preserve">Out · Other</t>
  </si>
  <si>
    <t xml:space="preserve">LEAD QUALITY  ·  open leads, live</t>
  </si>
  <si>
    <t xml:space="preserve">Hot (70+)</t>
  </si>
  <si>
    <t xml:space="preserve">Warm (40–69)</t>
  </si>
  <si>
    <t xml:space="preserve">Cold (under 40)</t>
  </si>
  <si>
    <t xml:space="preserve">No scoresheet yet, or partly scored</t>
  </si>
  <si>
    <t xml:space="preserve">With a 🚩 red flag</t>
  </si>
  <si>
    <t xml:space="preserve">Win rate by rating (all time)</t>
  </si>
  <si>
    <t xml:space="preserve">Hot leads that signed</t>
  </si>
  <si>
    <t xml:space="preserve">Warm leads that signed</t>
  </si>
  <si>
    <t xml:space="preserve">Cold leads that signed</t>
  </si>
  <si>
    <t xml:space="preserve">Lead ID</t>
  </si>
  <si>
    <t xml:space="preserve">Date received 📅</t>
  </si>
  <si>
    <t xml:space="preserve">Time received</t>
  </si>
  <si>
    <t xml:space="preserve">Source</t>
  </si>
  <si>
    <t xml:space="preserve">Business name</t>
  </si>
  <si>
    <t xml:space="preserve">Industry</t>
  </si>
  <si>
    <t xml:space="preserve">Contact name</t>
  </si>
  <si>
    <t xml:space="preserve">Role</t>
  </si>
  <si>
    <t xml:space="preserve">Phone / WhatsApp</t>
  </si>
  <si>
    <t xml:space="preserve">Email</t>
  </si>
  <si>
    <t xml:space="preserve">Instagram</t>
  </si>
  <si>
    <t xml:space="preserve">Area</t>
  </si>
  <si>
    <t xml:space="preserve">Wants more of</t>
  </si>
  <si>
    <t xml:space="preserve">First response date 📅</t>
  </si>
  <si>
    <t xml:space="preserve">First response time</t>
  </si>
  <si>
    <t xml:space="preserve">Response time (hrs)</t>
  </si>
  <si>
    <t xml:space="preserve">Rating</t>
  </si>
  <si>
    <t xml:space="preserve">Stage</t>
  </si>
  <si>
    <t xml:space="preserve">Last contact date 📅</t>
  </si>
  <si>
    <t xml:space="preserve">Follow-ups sent (0-4)</t>
  </si>
  <si>
    <t xml:space="preserve">Next follow-up due</t>
  </si>
  <si>
    <t xml:space="preserve">Meeting date 📅</t>
  </si>
  <si>
    <t xml:space="preserve">Meeting time</t>
  </si>
  <si>
    <t xml:space="preserve">Package discussed</t>
  </si>
  <si>
    <t xml:space="preserve">Lost / closed reason</t>
  </si>
  <si>
    <t xml:space="preserve">Notes</t>
  </si>
  <si>
    <t xml:space="preserve">Days open</t>
  </si>
  <si>
    <t xml:space="preserve">Action flag</t>
  </si>
  <si>
    <t xml:space="preserve">IN-0001</t>
  </si>
  <si>
    <t xml:space="preserve">Website form</t>
  </si>
  <si>
    <t xml:space="preserve">Pulse Fitness Club (EXAMPLE)</t>
  </si>
  <si>
    <t xml:space="preserve">Fitness / wellness</t>
  </si>
  <si>
    <t xml:space="preserve">Sara M.</t>
  </si>
  <si>
    <t xml:space="preserve">+971 50 000 0000</t>
  </si>
  <si>
    <t xml:space="preserve">sara@example.com</t>
  </si>
  <si>
    <t xml:space="preserve">@pulse.fitness.jlt</t>
  </si>
  <si>
    <t xml:space="preserve">JLT</t>
  </si>
  <si>
    <t xml:space="preserve">Enquiries and bookings</t>
  </si>
  <si>
    <t xml:space="preserve">Proposal sent</t>
  </si>
  <si>
    <t xml:space="preserve">Growth</t>
  </si>
  <si>
    <t xml:space="preserve">Example row – overwrite or delete.</t>
  </si>
  <si>
    <t xml:space="preserve">Date added 📅</t>
  </si>
  <si>
    <t xml:space="preserve">LinkedIn</t>
  </si>
  <si>
    <t xml:space="preserve">Apollo list / campaign</t>
  </si>
  <si>
    <t xml:space="preserve">OUT-0001</t>
  </si>
  <si>
    <t xml:space="preserve">Apollo</t>
  </si>
  <si>
    <t xml:space="preserve">Marina Bites Café (EXAMPLE)</t>
  </si>
  <si>
    <t xml:space="preserve">Hospitality / F&amp;B</t>
  </si>
  <si>
    <t xml:space="preserve">Omar K.</t>
  </si>
  <si>
    <t xml:space="preserve">Marketing manager</t>
  </si>
  <si>
    <t xml:space="preserve">+971 55 000 0000</t>
  </si>
  <si>
    <t xml:space="preserve">omar@example.com</t>
  </si>
  <si>
    <t xml:space="preserve">@marinabites</t>
  </si>
  <si>
    <t xml:space="preserve">linkedin.com/in/example</t>
  </si>
  <si>
    <t xml:space="preserve">Dubai Marina</t>
  </si>
  <si>
    <t xml:space="preserve">F&amp;B – Marina – Oct 26</t>
  </si>
  <si>
    <t xml:space="preserve">Replied</t>
  </si>
  <si>
    <t xml:space="preserve">Launch</t>
  </si>
  <si>
    <t xml:space="preserve">Call ID</t>
  </si>
  <si>
    <t xml:space="preserve">Call date 📅</t>
  </si>
  <si>
    <t xml:space="preserve">Rep</t>
  </si>
  <si>
    <t xml:space="preserve">Call type</t>
  </si>
  <si>
    <t xml:space="preserve">Budget AED 5k+/mo?</t>
  </si>
  <si>
    <t xml:space="preserve">Decision-maker?</t>
  </si>
  <si>
    <t xml:space="preserve">Someone on camera?</t>
  </si>
  <si>
    <t xml:space="preserve">OK with 3-month term?</t>
  </si>
  <si>
    <t xml:space="preserve">Start timeline</t>
  </si>
  <si>
    <t xml:space="preserve">Social media gap</t>
  </si>
  <si>
    <t xml:space="preserve">Questions answered</t>
  </si>
  <si>
    <t xml:space="preserve">Recommended next step</t>
  </si>
  <si>
    <t xml:space="preserve">Call outcome</t>
  </si>
  <si>
    <t xml:space="preserve">Objections / notes</t>
  </si>
  <si>
    <t xml:space="preserve">Latest call for this lead</t>
  </si>
  <si>
    <t xml:space="preserve">SC-0001</t>
  </si>
  <si>
    <t xml:space="preserve">Discovery meeting</t>
  </si>
  <si>
    <t xml:space="preserve">Yes</t>
  </si>
  <si>
    <t xml:space="preserve">This month</t>
  </si>
  <si>
    <t xml:space="preserve">Big gap</t>
  </si>
  <si>
    <t xml:space="preserve">Example row – wants to start with the 6am class reels.</t>
  </si>
  <si>
    <t xml:space="preserve">SC-0002</t>
  </si>
  <si>
    <t xml:space="preserve">Maybe</t>
  </si>
  <si>
    <t xml:space="preserve">Influencer</t>
  </si>
  <si>
    <t xml:space="preserve">No</t>
  </si>
  <si>
    <t xml:space="preserve">Unsure</t>
  </si>
  <si>
    <t xml:space="preserve">1–3 months</t>
  </si>
  <si>
    <t xml:space="preserve">Some</t>
  </si>
  <si>
    <t xml:space="preserve">Follow-up booked</t>
  </si>
  <si>
    <t xml:space="preserve">Example row – owner must approve; chef is camera-shy.</t>
  </si>
  <si>
    <t xml:space="preserve">Client ID</t>
  </si>
  <si>
    <t xml:space="preserve">Package</t>
  </si>
  <si>
    <t xml:space="preserve">Monthly fee (AED)</t>
  </si>
  <si>
    <t xml:space="preserve">Contract signed date 📅</t>
  </si>
  <si>
    <t xml:space="preserve">Amount paid (AED)</t>
  </si>
  <si>
    <t xml:space="preserve">Payment method</t>
  </si>
  <si>
    <t xml:space="preserve">Free video shoot date 📅</t>
  </si>
  <si>
    <t xml:space="preserve">Free video delivered 📅</t>
  </si>
  <si>
    <t xml:space="preserve">Decision deadline</t>
  </si>
  <si>
    <t xml:space="preserve">Client decision</t>
  </si>
  <si>
    <t xml:space="preserve">Status</t>
  </si>
  <si>
    <t xml:space="preserve">Back-out reason</t>
  </si>
  <si>
    <t xml:space="preserve">Refund status</t>
  </si>
  <si>
    <t xml:space="preserve">Refund amount (AED)</t>
  </si>
  <si>
    <t xml:space="preserve">Refund date 📅</t>
  </si>
  <si>
    <t xml:space="preserve">Plan start date 📅</t>
  </si>
  <si>
    <t xml:space="preserve">Minimum term ends</t>
  </si>
  <si>
    <t xml:space="preserve">Account manager</t>
  </si>
  <si>
    <t xml:space="preserve">Videographer</t>
  </si>
  <si>
    <t xml:space="preserve">CL-0001</t>
  </si>
  <si>
    <t xml:space="preserve">Example Salon (EXAMPLE)</t>
  </si>
  <si>
    <t xml:space="preserve">Layla K.</t>
  </si>
  <si>
    <t xml:space="preserve">+971 52 000 0000</t>
  </si>
  <si>
    <t xml:space="preserve">layla@example.com</t>
  </si>
  <si>
    <t xml:space="preserve">@examplesalon</t>
  </si>
  <si>
    <t xml:space="preserve">Bank transfer</t>
  </si>
  <si>
    <t xml:space="preserve">Pending</t>
  </si>
  <si>
    <t xml:space="preserve">Example row – overwrite or delete. Paid = AED 7,500 + 5% VAT.</t>
  </si>
  <si>
    <t xml:space="preserve">Shoot ID</t>
  </si>
  <si>
    <t xml:space="preserve">Shoot type</t>
  </si>
  <si>
    <t xml:space="preserve">Shoot date 📅</t>
  </si>
  <si>
    <t xml:space="preserve">Time</t>
  </si>
  <si>
    <t xml:space="preserve">Location</t>
  </si>
  <si>
    <t xml:space="preserve">Delivered date 📅</t>
  </si>
  <si>
    <t xml:space="preserve">Revision rounds used</t>
  </si>
  <si>
    <t xml:space="preserve">Video link</t>
  </si>
  <si>
    <t xml:space="preserve">Flag</t>
  </si>
  <si>
    <t xml:space="preserve">SH-0001</t>
  </si>
  <si>
    <t xml:space="preserve">Client salon, Jumeirah</t>
  </si>
  <si>
    <t xml:space="preserve">Delivered</t>
  </si>
  <si>
    <t xml:space="preserve">END-OF-CALL SCORESHEET – fill it in before you close</t>
  </si>
  <si>
    <t xml:space="preserve">Cover these points naturally during the sales meeting. At the end of the call, before you close, add a row on the Scoresheet tab: Lead ID + the six dropdowns. Score, rating, red flags and the recommended next step work themselves out, and the lead's row on Inbound/Outbound updates. Red flags are warnings, not a 'no'.</t>
  </si>
  <si>
    <t xml:space="preserve">Scoresheet column</t>
  </si>
  <si>
    <t xml:space="preserve">Cover it during the call</t>
  </si>
  <si>
    <t xml:space="preserve">How to score it</t>
  </si>
  <si>
    <t xml:space="preserve">“Our plans start at AED 5,000 a month for 10 videos, fully done for you. Is that in the range you had in mind?”</t>
  </si>
  <si>
    <t xml:space="preserve">Yes / Maybe (‘depends what’s included’) / No. 🚩 if No.</t>
  </si>
  <si>
    <t xml:space="preserve">“Apart from you, who else would be involved in deciding?”</t>
  </si>
  <si>
    <t xml:space="preserve">Yes = they sign. Influencer = they recommend to someone else.</t>
  </si>
  <si>
    <t xml:space="preserve">“Our videos work because a real person from the business is in them – a manager, chef, coach, broker. Who could that be for you?”</t>
  </si>
  <si>
    <t xml:space="preserve">A name = Yes. ‘Maybe, we’d need to see’ = Maybe. 🚩 if nobody.</t>
  </si>
  <si>
    <t xml:space="preserve">“We work in three-month plans: month one fixes the basics, two finds the story, three scales it. Does that work for you?”</t>
  </si>
  <si>
    <t xml:space="preserve">Yes / Unsure / No.</t>
  </si>
  <si>
    <t xml:space="preserve">“If this felt right, when would you want the first shoot?”</t>
  </si>
  <si>
    <t xml:space="preserve">This month / 1–3 months / Later.</t>
  </si>
  <si>
    <t xml:space="preserve">Review their Instagram before the call and walk them through it: faces on camera? posting in the last 2 weeks? a clear offer in the bio?</t>
  </si>
  <si>
    <t xml:space="preserve">Big gap = 2–3 missing. Some = 1 missing. Already strong = none.</t>
  </si>
  <si>
    <t xml:space="preserve">Industry fit</t>
  </si>
  <si>
    <t xml:space="preserve">Nothing to ask – it scores itself from the lead's Industry.</t>
  </si>
  <si>
    <t xml:space="preserve">Core: hospitality, retail, real estate, entertainment, fitness.</t>
  </si>
  <si>
    <t xml:space="preserve">Score bands</t>
  </si>
  <si>
    <t xml:space="preserve">Hot  70–100</t>
  </si>
  <si>
    <t xml:space="preserve">Close now – send the contract / proposal today.</t>
  </si>
  <si>
    <t xml:space="preserve">Warm  40–69</t>
  </si>
  <si>
    <t xml:space="preserve">Send the proposal with a relevant result; follow up in 3 days.</t>
  </si>
  <si>
    <t xml:space="preserve">Cold  under 40</t>
  </si>
  <si>
    <t xml:space="preserve">Rep's call – nurture or close politely.</t>
  </si>
  <si>
    <t xml:space="preserve">🚩 Red flags</t>
  </si>
  <si>
    <t xml:space="preserve">Budget under AED 5k, or nobody on camera. A warning to handle in the conversation – not a disqualification.</t>
  </si>
  <si>
    <t xml:space="preserve">Points and the Hot/Warm cut-offs live on the Settings tab (blue numbers). More than one call with a lead? Add a new row each time – the lead's row always shows the latest scoresheet.</t>
  </si>
  <si>
    <t xml:space="preserve">#</t>
  </si>
  <si>
    <t xml:space="preserve">When this happens…</t>
  </si>
  <si>
    <t xml:space="preserve">App</t>
  </si>
  <si>
    <t xml:space="preserve">…this happens automatically</t>
  </si>
  <si>
    <t xml:space="preserve">Writes to (tab → columns)</t>
  </si>
  <si>
    <t xml:space="preserve">Phase</t>
  </si>
  <si>
    <t xml:space="preserve">Website form submitted</t>
  </si>
  <si>
    <t xml:space="preserve">yontro.ae → Make.com</t>
  </si>
  <si>
    <t xml:space="preserve">Add row, Source = Website form, Stage = New; alert Usama on WhatsApp</t>
  </si>
  <si>
    <t xml:space="preserve">Inbound → Lead ID, Date received, Time received, Source, Business, Contact, Phone, Instagram, Wants more of</t>
  </si>
  <si>
    <t xml:space="preserve">Calendly meeting booked</t>
  </si>
  <si>
    <t xml:space="preserve">Calendly → Make.com</t>
  </si>
  <si>
    <t xml:space="preserve">Find lead by email/phone; set Stage = Meeting booked, Meeting date and Meeting time; reminder 24h before</t>
  </si>
  <si>
    <t xml:space="preserve">Inbound / Outbound → Stage, Meeting date, Meeting time</t>
  </si>
  <si>
    <t xml:space="preserve">Prospects saved to an Apollo list</t>
  </si>
  <si>
    <t xml:space="preserve">Apollo → Make.com</t>
  </si>
  <si>
    <t xml:space="preserve">Add rows, skip duplicates by email or phone; Stage = New</t>
  </si>
  <si>
    <t xml:space="preserve">Outbound → Lead ID, Date added, Source, Business…Apollo list</t>
  </si>
  <si>
    <t xml:space="preserve">Prospect replies to an Apollo sequence</t>
  </si>
  <si>
    <t xml:space="preserve">Set Stage = Replied; Last contact date = today</t>
  </si>
  <si>
    <t xml:space="preserve">Outbound → Stage, Last contact date</t>
  </si>
  <si>
    <t xml:space="preserve">Stage set to Contract signed + paid</t>
  </si>
  <si>
    <t xml:space="preserve">Sheets → Make.com</t>
  </si>
  <si>
    <t xml:space="preserve">Create Clients row and a Free video row in Shoots; send Lianna the onboarding checklist</t>
  </si>
  <si>
    <t xml:space="preserve">Clients → Client ID…Amount paid; Shoots → Shoot ID, Client ID, Shoot type</t>
  </si>
  <si>
    <t xml:space="preserve">Shoot date entered</t>
  </si>
  <si>
    <t xml:space="preserve">Sheets → Google Calendar</t>
  </si>
  <si>
    <t xml:space="preserve">Create event on Azeem's calendar with location; reminder to client the day before</t>
  </si>
  <si>
    <t xml:space="preserve">(calendar only)</t>
  </si>
  <si>
    <t xml:space="preserve">Free video delivered</t>
  </si>
  <si>
    <t xml:space="preserve">Decision window starts; Lianna nudged halfway; Usama alerted on deadline day</t>
  </si>
  <si>
    <t xml:space="preserve">(reads Clients → Free video delivered, Decision deadline)</t>
  </si>
  <si>
    <t xml:space="preserve">WhatsApp message from a new number</t>
  </si>
  <si>
    <t xml:space="preserve">WhatsApp Business API (e.g. Wati) → Make.com</t>
  </si>
  <si>
    <t xml:space="preserve">Add row, Source = WhatsApp; auto-reply with Calendly meeting link</t>
  </si>
  <si>
    <t xml:space="preserve">Inbound → Date received, Source, Phone, Stage</t>
  </si>
  <si>
    <t xml:space="preserve">Instagram DM or comment keyword</t>
  </si>
  <si>
    <t xml:space="preserve">ManyChat → Make.com</t>
  </si>
  <si>
    <t xml:space="preserve">Add row, Source = Instagram DM; reply with meeting link</t>
  </si>
  <si>
    <t xml:space="preserve">Inbound → Date received, Source, Instagram, Stage</t>
  </si>
  <si>
    <t xml:space="preserve">Every morning 8:00</t>
  </si>
  <si>
    <t xml:space="preserve">Apps Script / Make.com</t>
  </si>
  <si>
    <t xml:space="preserve">Message each owner their 'Follow up today' and 'OVERDUE' rows</t>
  </si>
  <si>
    <t xml:space="preserve">(reads Action flag)</t>
  </si>
  <si>
    <t xml:space="preserve">Rules that keep it clean</t>
  </si>
  <si>
    <t xml:space="preserve">• Each column has ONE writer: an app or a person, never both. Grey columns are formulas – nobody types there.</t>
  </si>
  <si>
    <t xml:space="preserve">• Every lead gets a Lead ID (IN-0001 / OUT-0001). Phone or email is the duplicate check.</t>
  </si>
  <si>
    <t xml:space="preserve">• Phase 1 = website form, Calendly, Apollo, Clients, Calendar. Add WhatsApp and Instagram once phase 1 runs smoothly.</t>
  </si>
  <si>
    <t xml:space="preserve">Lead stages</t>
  </si>
  <si>
    <t xml:space="preserve">Inbound sources</t>
  </si>
  <si>
    <t xml:space="preserve">Outbound sources</t>
  </si>
  <si>
    <t xml:space="preserve">Industries</t>
  </si>
  <si>
    <t xml:space="preserve">Team</t>
  </si>
  <si>
    <t xml:space="preserve">Monthly fee (AED, ex VAT)</t>
  </si>
  <si>
    <t xml:space="preserve">Videos / month</t>
  </si>
  <si>
    <t xml:space="preserve">Payment methods</t>
  </si>
  <si>
    <t xml:space="preserve">Back-out reasons</t>
  </si>
  <si>
    <t xml:space="preserve">Shoot types</t>
  </si>
  <si>
    <t xml:space="preserve">Shoot status</t>
  </si>
  <si>
    <t xml:space="preserve">Lost / closed reasons</t>
  </si>
  <si>
    <t xml:space="preserve">Shoot times</t>
  </si>
  <si>
    <t xml:space="preserve">Rule</t>
  </si>
  <si>
    <t xml:space="preserve">Value</t>
  </si>
  <si>
    <t xml:space="preserve">Times (all day)</t>
  </si>
  <si>
    <t xml:space="preserve">Qualification question</t>
  </si>
  <si>
    <t xml:space="preserve">Answer</t>
  </si>
  <si>
    <t xml:space="preserve">Points</t>
  </si>
  <si>
    <t xml:space="preserve">Core industries</t>
  </si>
  <si>
    <t xml:space="preserve">Call types</t>
  </si>
  <si>
    <t xml:space="preserve">Call outcomes</t>
  </si>
  <si>
    <t xml:space="preserve">New</t>
  </si>
  <si>
    <t xml:space="preserve">Video style</t>
  </si>
  <si>
    <t xml:space="preserve">Requested</t>
  </si>
  <si>
    <t xml:space="preserve">Scheduled</t>
  </si>
  <si>
    <t xml:space="preserve">No response (4 follow-ups)</t>
  </si>
  <si>
    <t xml:space="preserve">Walk-in customers</t>
  </si>
  <si>
    <t xml:space="preserve">Follow-up gap (days)</t>
  </si>
  <si>
    <t xml:space="preserve">Your rule: follow up every 3 days after a lead goes quiet.</t>
  </si>
  <si>
    <t xml:space="preserve">Signed on the call</t>
  </si>
  <si>
    <t xml:space="preserve">Contacted</t>
  </si>
  <si>
    <t xml:space="preserve">WhatsApp</t>
  </si>
  <si>
    <t xml:space="preserve">Retail</t>
  </si>
  <si>
    <t xml:space="preserve">Card</t>
  </si>
  <si>
    <t xml:space="preserve">Approved</t>
  </si>
  <si>
    <t xml:space="preserve">Price</t>
  </si>
  <si>
    <t xml:space="preserve">Plan shoot</t>
  </si>
  <si>
    <t xml:space="preserve">Shot</t>
  </si>
  <si>
    <t xml:space="preserve">Max follow-ups before closing</t>
  </si>
  <si>
    <t xml:space="preserve">Your rule: 4 follow-ups, each with new value, then stop outreach.</t>
  </si>
  <si>
    <t xml:space="preserve">Follow-up call</t>
  </si>
  <si>
    <t xml:space="preserve">Instagram DM</t>
  </si>
  <si>
    <t xml:space="preserve">Google Maps</t>
  </si>
  <si>
    <t xml:space="preserve">Real estate</t>
  </si>
  <si>
    <t xml:space="preserve">Scale</t>
  </si>
  <si>
    <t xml:space="preserve">Cheque</t>
  </si>
  <si>
    <t xml:space="preserve">Backed out</t>
  </si>
  <si>
    <t xml:space="preserve">Timing</t>
  </si>
  <si>
    <t xml:space="preserve">Paid</t>
  </si>
  <si>
    <t xml:space="preserve">Add-on</t>
  </si>
  <si>
    <t xml:space="preserve">Editing</t>
  </si>
  <si>
    <t xml:space="preserve">Not ready</t>
  </si>
  <si>
    <t xml:space="preserve">Online sales</t>
  </si>
  <si>
    <t xml:space="preserve">Decision window after free video (working days)</t>
  </si>
  <si>
    <t xml:space="preserve">NOT DECIDED YET - placeholder of 3 working days. Change this one cell and every deadline updates.</t>
  </si>
  <si>
    <t xml:space="preserve">Closing call</t>
  </si>
  <si>
    <t xml:space="preserve">Meeting booked</t>
  </si>
  <si>
    <t xml:space="preserve">Referral</t>
  </si>
  <si>
    <t xml:space="preserve">Instagram research</t>
  </si>
  <si>
    <t xml:space="preserve">Entertainment</t>
  </si>
  <si>
    <t xml:space="preserve">Cash</t>
  </si>
  <si>
    <t xml:space="preserve">Changed mind</t>
  </si>
  <si>
    <t xml:space="preserve">Event coverage</t>
  </si>
  <si>
    <t xml:space="preserve">Sent for approval</t>
  </si>
  <si>
    <t xml:space="preserve">Went with competitor</t>
  </si>
  <si>
    <t xml:space="preserve">Followers and reach</t>
  </si>
  <si>
    <t xml:space="preserve">Free video delivery promise (working days)</t>
  </si>
  <si>
    <t xml:space="preserve">From the website: delivered within five working days.</t>
  </si>
  <si>
    <t xml:space="preserve">WhatsApp / chat</t>
  </si>
  <si>
    <t xml:space="preserve">Needs to think</t>
  </si>
  <si>
    <t xml:space="preserve">Meeting held</t>
  </si>
  <si>
    <t xml:space="preserve">Walk-in</t>
  </si>
  <si>
    <t xml:space="preserve">Event / networking</t>
  </si>
  <si>
    <t xml:space="preserve">Source: yontro.ae Packages section. Prices exclude 5% VAT.</t>
  </si>
  <si>
    <t xml:space="preserve">Payment link</t>
  </si>
  <si>
    <t xml:space="preserve">Business issue</t>
  </si>
  <si>
    <t xml:space="preserve">In-house team</t>
  </si>
  <si>
    <t xml:space="preserve">A better-looking brand</t>
  </si>
  <si>
    <t xml:space="preserve">Minimum term (months)</t>
  </si>
  <si>
    <t xml:space="preserve">From the website: three-month minimum, then month to month.</t>
  </si>
  <si>
    <t xml:space="preserve">Not interested</t>
  </si>
  <si>
    <t xml:space="preserve">Phone call</t>
  </si>
  <si>
    <t xml:space="preserve">Other</t>
  </si>
  <si>
    <t xml:space="preserve">Beauty / salon</t>
  </si>
  <si>
    <t xml:space="preserve">Posted</t>
  </si>
  <si>
    <t xml:space="preserve">Not a fit</t>
  </si>
  <si>
    <t xml:space="preserve">Max revision rounds per video</t>
  </si>
  <si>
    <t xml:space="preserve">From the website FAQ: two rounds of changes included.</t>
  </si>
  <si>
    <t xml:space="preserve">Contract signed + paid</t>
  </si>
  <si>
    <t xml:space="preserve">Clinic / healthcare</t>
  </si>
  <si>
    <t xml:space="preserve">Lead score for HOT</t>
  </si>
  <si>
    <t xml:space="preserve">Lead qualification: 70+ = Hot. Book the meeting, send the proposal.</t>
  </si>
  <si>
    <t xml:space="preserve">Closed – No response</t>
  </si>
  <si>
    <t xml:space="preserve">Education</t>
  </si>
  <si>
    <t xml:space="preserve">Lead score for WARM</t>
  </si>
  <si>
    <t xml:space="preserve">Lead qualification: 40-69 = Warm. Keep following up. Under 40 = Cold.</t>
  </si>
  <si>
    <t xml:space="preserve">Lost</t>
  </si>
  <si>
    <t xml:space="preserve">Automotive</t>
  </si>
  <si>
    <t xml:space="preserve">Later</t>
  </si>
  <si>
    <t xml:space="preserve">Already strong</t>
  </si>
  <si>
    <t xml:space="preserve">Industry fit (automatic)</t>
  </si>
  <si>
    <t xml:space="preserve">Core industry</t>
  </si>
  <si>
    <t xml:space="preserve">Other industry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</si>
</sst>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d\ dd\-mmm\-yy"/>
    <numFmt numFmtId="166" formatCode="0"/>
    <numFmt numFmtId="167" formatCode="General"/>
    <numFmt numFmtId="168" formatCode="#,##0"/>
    <numFmt numFmtId="169" formatCode="0.0"/>
    <numFmt numFmtId="170" formatCode="0%"/>
    <numFmt numFmtId="171" formatCode="hh:mm"/>
    <numFmt numFmtId="172" formatCode="@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B0B0B"/>
      <name val="Arial"/>
      <family val="0"/>
      <charset val="1"/>
    </font>
    <font>
      <i val="true"/>
      <sz val="11"/>
      <color rgb="FF6B66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B0B0B"/>
      <name val="Arial"/>
      <family val="0"/>
      <charset val="1"/>
    </font>
    <font>
      <i val="true"/>
      <sz val="10"/>
      <color rgb="FF6B665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6B665F"/>
      <name val="Arial"/>
      <family val="0"/>
      <charset val="1"/>
    </font>
    <font>
      <b val="true"/>
      <sz val="9"/>
      <color rgb="FF6B665F"/>
      <name val="Arial"/>
      <family val="0"/>
      <charset val="1"/>
    </font>
    <font>
      <b val="true"/>
      <sz val="12"/>
      <color rgb="FF0B0B0B"/>
      <name val="Arial"/>
      <family val="0"/>
      <charset val="1"/>
    </font>
    <font>
      <b val="true"/>
      <sz val="12"/>
      <color rgb="FFFF5A1F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b val="true"/>
      <sz val="16"/>
      <color rgb="FF0B0B0B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5A1F"/>
        <bgColor rgb="FFEF6C00"/>
      </patternFill>
    </fill>
    <fill>
      <patternFill patternType="solid">
        <fgColor rgb="FFFFFF00"/>
        <bgColor rgb="FFFFFF00"/>
      </patternFill>
    </fill>
    <fill>
      <patternFill patternType="solid">
        <fgColor rgb="FF0B0B0B"/>
        <bgColor rgb="FF000000"/>
      </patternFill>
    </fill>
    <fill>
      <patternFill patternType="solid">
        <fgColor rgb="FF4A4744"/>
        <bgColor rgb="FF1F3A5F"/>
      </patternFill>
    </fill>
    <fill>
      <patternFill patternType="solid">
        <fgColor rgb="FFF4F2EE"/>
        <bgColor rgb="FFE6F0FA"/>
      </patternFill>
    </fill>
    <fill>
      <patternFill patternType="solid">
        <fgColor rgb="FFFFE3B3"/>
        <bgColor rgb="FFFAD4D4"/>
      </patternFill>
    </fill>
    <fill>
      <patternFill patternType="solid">
        <fgColor rgb="FFDCE7F2"/>
        <bgColor rgb="FFE6F0FA"/>
      </patternFill>
    </fill>
    <fill>
      <patternFill patternType="solid">
        <fgColor rgb="FFFAD4D4"/>
        <bgColor rgb="FFFFE3B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6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7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0B0B0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B665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A4744"/>
          <bgColor rgb="FF000000"/>
        </patternFill>
      </fill>
    </dxf>
    <dxf>
      <fill>
        <patternFill patternType="solid">
          <fgColor rgb="FFF4F2EE"/>
          <bgColor rgb="FF000000"/>
        </patternFill>
      </fill>
    </dxf>
    <dxf>
      <fill>
        <patternFill patternType="solid">
          <fgColor rgb="FFFF5A1F"/>
          <bgColor rgb="FF000000"/>
        </patternFill>
      </fill>
    </dxf>
    <dxf>
      <fill>
        <patternFill>
          <bgColor rgb="FFDFF3E3"/>
        </patternFill>
      </fill>
    </dxf>
    <dxf>
      <font>
        <name val="Arial"/>
        <charset val="1"/>
        <family val="0"/>
        <color rgb="FF9A958E"/>
      </font>
    </dxf>
    <dxf>
      <font>
        <name val="Arial"/>
        <charset val="1"/>
        <family val="0"/>
        <b val="1"/>
        <color rgb="FF9B1C1C"/>
      </font>
      <fill>
        <patternFill>
          <bgColor rgb="FFFAD4D4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F5A1F"/>
        </patternFill>
      </fill>
    </dxf>
    <dxf>
      <font>
        <name val="Arial"/>
        <charset val="1"/>
        <family val="0"/>
        <b val="1"/>
      </font>
      <fill>
        <patternFill>
          <bgColor rgb="FFFFE3B3"/>
        </patternFill>
      </fill>
    </dxf>
    <dxf>
      <font>
        <name val="Arial"/>
        <charset val="1"/>
        <family val="0"/>
        <b val="1"/>
        <color rgb="FF4B2E83"/>
      </font>
      <fill>
        <patternFill>
          <bgColor rgb="FFE4DCF2"/>
        </patternFill>
      </fill>
    </dxf>
    <dxf>
      <fill>
        <patternFill>
          <bgColor rgb="FFE6F0FA"/>
        </patternFill>
      </fill>
    </dxf>
    <dxf>
      <font>
        <name val="Arial"/>
        <charset val="1"/>
        <family val="0"/>
        <b val="1"/>
        <color rgb="FF7A4B00"/>
      </font>
      <fill>
        <patternFill>
          <bgColor rgb="FFFFE3B3"/>
        </patternFill>
      </fill>
    </dxf>
    <dxf>
      <font>
        <name val="Arial"/>
        <charset val="1"/>
        <family val="0"/>
        <b val="1"/>
        <color rgb="FF1F3A5F"/>
      </font>
      <fill>
        <patternFill>
          <bgColor rgb="FFDCE7F2"/>
        </patternFill>
      </fill>
    </dxf>
    <dxf>
      <fill>
        <patternFill patternType="solid">
          <fgColor rgb="FFFFE3B3"/>
          <bgColor rgb="FF000000"/>
        </patternFill>
      </fill>
    </dxf>
    <dxf>
      <fill>
        <patternFill patternType="solid">
          <fgColor rgb="FF7A4B00"/>
          <bgColor rgb="FF000000"/>
        </patternFill>
      </fill>
    </dxf>
    <dxf>
      <fill>
        <patternFill patternType="solid">
          <fgColor rgb="FFFAD4D4"/>
          <bgColor rgb="FF000000"/>
        </patternFill>
      </fill>
    </dxf>
    <dxf>
      <fill>
        <patternFill patternType="solid">
          <fgColor rgb="FF9B1C1C"/>
          <bgColor rgb="FF000000"/>
        </patternFill>
      </fill>
    </dxf>
    <dxf>
      <fill>
        <patternFill patternType="solid">
          <fgColor rgb="FFDFF3E3"/>
          <bgColor rgb="FF000000"/>
        </patternFill>
      </fill>
    </dxf>
    <dxf>
      <fill>
        <patternFill patternType="solid">
          <fgColor rgb="FF1E6B3A"/>
          <bgColor rgb="FF000000"/>
        </patternFill>
      </fill>
    </dxf>
    <dxf>
      <font>
        <name val="Arial"/>
        <charset val="1"/>
        <family val="0"/>
        <b val="1"/>
        <color rgb="FF1E6B3A"/>
      </font>
      <fill>
        <patternFill>
          <bgColor rgb="FFDFF3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7A4B00"/>
      <rgbColor rgb="FF6A1B9A"/>
      <rgbColor rgb="FF008080"/>
      <rgbColor rgb="FFD9D6D0"/>
      <rgbColor rgb="FF757575"/>
      <rgbColor rgb="FF9E9E9E"/>
      <rgbColor rgb="FFC62828"/>
      <rgbColor rgb="FFF4F2EE"/>
      <rgbColor rgb="FFE6F0FA"/>
      <rgbColor rgb="FF660066"/>
      <rgbColor rgb="FFFF5A1F"/>
      <rgbColor rgb="FF1565C0"/>
      <rgbColor rgb="FFE4DC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7F2"/>
      <rgbColor rgb="FFDFF3E3"/>
      <rgbColor rgb="FFFAD4D4"/>
      <rgbColor rgb="FF99CCFF"/>
      <rgbColor rgb="FFFF99CC"/>
      <rgbColor rgb="FFCC99FF"/>
      <rgbColor rgb="FFFFE3B3"/>
      <rgbColor rgb="FF3366FF"/>
      <rgbColor rgb="FF33CCCC"/>
      <rgbColor rgb="FF99CC00"/>
      <rgbColor rgb="FFFFCC00"/>
      <rgbColor rgb="FFFF9900"/>
      <rgbColor rgb="FFEF6C00"/>
      <rgbColor rgb="FF6B665F"/>
      <rgbColor rgb="FF9A958E"/>
      <rgbColor rgb="FF1F3A5F"/>
      <rgbColor rgb="FF2E7D32"/>
      <rgbColor rgb="FF0B0B0B"/>
      <rgbColor rgb="FF333300"/>
      <rgbColor rgb="FF9B1C1C"/>
      <rgbColor rgb="FF993366"/>
      <rgbColor rgb="FF4B2E83"/>
      <rgbColor rgb="FF4A47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5A1F"/>
    <pageSetUpPr fitToPage="false"/>
  </sheetPr>
  <dimension ref="B1:C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0"/>
  </cols>
  <sheetData>
    <row r="1" customFormat="false" ht="24.4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</row>
    <row r="5" customFormat="false" ht="15" hidden="false" customHeight="false" outlineLevel="0" collapsed="false">
      <c r="B5" s="5" t="s">
        <v>3</v>
      </c>
      <c r="C5" s="6" t="s">
        <v>4</v>
      </c>
    </row>
    <row r="6" customFormat="false" ht="15" hidden="false" customHeight="false" outlineLevel="0" collapsed="false">
      <c r="B6" s="5" t="s">
        <v>5</v>
      </c>
      <c r="C6" s="6" t="s">
        <v>6</v>
      </c>
    </row>
    <row r="7" customFormat="false" ht="15" hidden="false" customHeight="false" outlineLevel="0" collapsed="false">
      <c r="B7" s="5" t="s">
        <v>7</v>
      </c>
      <c r="C7" s="6" t="s">
        <v>8</v>
      </c>
    </row>
    <row r="8" customFormat="false" ht="15" hidden="false" customHeight="false" outlineLevel="0" collapsed="false">
      <c r="B8" s="5" t="s">
        <v>9</v>
      </c>
      <c r="C8" s="6" t="s">
        <v>10</v>
      </c>
    </row>
    <row r="9" customFormat="false" ht="23.85" hidden="false" customHeight="false" outlineLevel="0" collapsed="false">
      <c r="B9" s="5" t="s">
        <v>11</v>
      </c>
      <c r="C9" s="6" t="s">
        <v>12</v>
      </c>
    </row>
    <row r="11" customFormat="false" ht="15" hidden="false" customHeight="false" outlineLevel="0" collapsed="false">
      <c r="B11" s="3" t="s">
        <v>13</v>
      </c>
      <c r="C11" s="4"/>
    </row>
    <row r="12" customFormat="false" ht="15" hidden="false" customHeight="false" outlineLevel="0" collapsed="false">
      <c r="B12" s="5" t="s">
        <v>14</v>
      </c>
      <c r="C12" s="6" t="s">
        <v>15</v>
      </c>
    </row>
    <row r="13" customFormat="false" ht="15" hidden="false" customHeight="false" outlineLevel="0" collapsed="false">
      <c r="B13" s="5" t="s">
        <v>16</v>
      </c>
      <c r="C13" s="6" t="s">
        <v>17</v>
      </c>
    </row>
    <row r="14" customFormat="false" ht="15" hidden="false" customHeight="false" outlineLevel="0" collapsed="false">
      <c r="B14" s="5" t="s">
        <v>18</v>
      </c>
      <c r="C14" s="6" t="s">
        <v>19</v>
      </c>
    </row>
    <row r="15" customFormat="false" ht="15" hidden="false" customHeight="false" outlineLevel="0" collapsed="false">
      <c r="B15" s="5" t="s">
        <v>20</v>
      </c>
      <c r="C15" s="6" t="s">
        <v>21</v>
      </c>
    </row>
    <row r="16" customFormat="false" ht="15" hidden="false" customHeight="false" outlineLevel="0" collapsed="false">
      <c r="B16" s="5" t="s">
        <v>22</v>
      </c>
      <c r="C16" s="6" t="s">
        <v>23</v>
      </c>
    </row>
    <row r="17" customFormat="false" ht="15" hidden="false" customHeight="false" outlineLevel="0" collapsed="false">
      <c r="B17" s="5" t="s">
        <v>24</v>
      </c>
      <c r="C17" s="6" t="s">
        <v>25</v>
      </c>
    </row>
    <row r="18" customFormat="false" ht="15" hidden="false" customHeight="false" outlineLevel="0" collapsed="false">
      <c r="B18" s="5" t="s">
        <v>26</v>
      </c>
      <c r="C18" s="6" t="s">
        <v>27</v>
      </c>
    </row>
    <row r="19" customFormat="false" ht="15" hidden="false" customHeight="false" outlineLevel="0" collapsed="false">
      <c r="B19" s="5" t="s">
        <v>28</v>
      </c>
      <c r="C19" s="6" t="s">
        <v>29</v>
      </c>
    </row>
    <row r="21" customFormat="false" ht="15" hidden="false" customHeight="false" outlineLevel="0" collapsed="false">
      <c r="B21" s="3" t="s">
        <v>30</v>
      </c>
      <c r="C21" s="4"/>
    </row>
    <row r="22" customFormat="false" ht="15" hidden="false" customHeight="false" outlineLevel="0" collapsed="false">
      <c r="B22" s="5" t="s">
        <v>31</v>
      </c>
      <c r="C22" s="6" t="s">
        <v>32</v>
      </c>
    </row>
    <row r="23" customFormat="false" ht="15" hidden="false" customHeight="false" outlineLevel="0" collapsed="false">
      <c r="B23" s="5"/>
      <c r="C23" s="6" t="s">
        <v>33</v>
      </c>
    </row>
    <row r="24" customFormat="false" ht="15" hidden="false" customHeight="false" outlineLevel="0" collapsed="false">
      <c r="B24" s="5" t="s">
        <v>34</v>
      </c>
      <c r="C24" s="6" t="s">
        <v>35</v>
      </c>
    </row>
    <row r="25" customFormat="false" ht="15" hidden="false" customHeight="false" outlineLevel="0" collapsed="false">
      <c r="B25" s="5" t="s">
        <v>36</v>
      </c>
      <c r="C25" s="6" t="s">
        <v>37</v>
      </c>
    </row>
    <row r="27" customFormat="false" ht="15" hidden="false" customHeight="false" outlineLevel="0" collapsed="false">
      <c r="B27" s="3" t="s">
        <v>38</v>
      </c>
      <c r="C27" s="4"/>
    </row>
    <row r="28" customFormat="false" ht="15" hidden="false" customHeight="false" outlineLevel="0" collapsed="false">
      <c r="B28" s="5" t="s">
        <v>39</v>
      </c>
      <c r="C28" s="6" t="s">
        <v>40</v>
      </c>
    </row>
    <row r="29" customFormat="false" ht="15" hidden="false" customHeight="false" outlineLevel="0" collapsed="false">
      <c r="B29" s="5" t="s">
        <v>41</v>
      </c>
      <c r="C29" s="6" t="s">
        <v>42</v>
      </c>
    </row>
    <row r="30" customFormat="false" ht="15" hidden="false" customHeight="false" outlineLevel="0" collapsed="false">
      <c r="B30" s="5" t="s">
        <v>43</v>
      </c>
      <c r="C30" s="6" t="s">
        <v>44</v>
      </c>
    </row>
    <row r="31" customFormat="false" ht="15" hidden="false" customHeight="false" outlineLevel="0" collapsed="false">
      <c r="B31" s="5" t="s">
        <v>45</v>
      </c>
      <c r="C31" s="6" t="s">
        <v>46</v>
      </c>
    </row>
    <row r="32" customFormat="false" ht="15" hidden="false" customHeight="false" outlineLevel="0" collapsed="false">
      <c r="B32" s="5" t="s">
        <v>47</v>
      </c>
      <c r="C32" s="6" t="s">
        <v>48</v>
      </c>
    </row>
    <row r="33" customFormat="false" ht="15" hidden="false" customHeight="false" outlineLevel="0" collapsed="false">
      <c r="B33" s="5" t="s">
        <v>49</v>
      </c>
      <c r="C33" s="6" t="s">
        <v>50</v>
      </c>
    </row>
    <row r="34" customFormat="false" ht="23.85" hidden="false" customHeight="false" outlineLevel="0" collapsed="false">
      <c r="B34" s="5" t="s">
        <v>51</v>
      </c>
      <c r="C34" s="6" t="s">
        <v>52</v>
      </c>
    </row>
    <row r="35" customFormat="false" ht="15" hidden="false" customHeight="false" outlineLevel="0" collapsed="false">
      <c r="B35" s="5" t="s">
        <v>53</v>
      </c>
      <c r="C35" s="6" t="s">
        <v>54</v>
      </c>
    </row>
    <row r="36" customFormat="false" ht="15" hidden="false" customHeight="false" outlineLevel="0" collapsed="false">
      <c r="B36" s="5" t="s">
        <v>55</v>
      </c>
      <c r="C36" s="7" t="s">
        <v>56</v>
      </c>
    </row>
    <row r="38" customFormat="false" ht="15" hidden="false" customHeight="false" outlineLevel="0" collapsed="false">
      <c r="B38" s="3" t="s">
        <v>57</v>
      </c>
      <c r="C38" s="4"/>
    </row>
    <row r="39" customFormat="false" ht="23.85" hidden="false" customHeight="false" outlineLevel="0" collapsed="false">
      <c r="B39" s="5" t="s">
        <v>58</v>
      </c>
      <c r="C39" s="6" t="s">
        <v>59</v>
      </c>
    </row>
    <row r="40" customFormat="false" ht="15" hidden="false" customHeight="false" outlineLevel="0" collapsed="false">
      <c r="B40" s="5" t="s">
        <v>60</v>
      </c>
      <c r="C40" s="6" t="s">
        <v>61</v>
      </c>
    </row>
    <row r="41" customFormat="false" ht="15" hidden="false" customHeight="false" outlineLevel="0" collapsed="false">
      <c r="B41" s="5" t="s">
        <v>62</v>
      </c>
      <c r="C41" s="6" t="s">
        <v>63</v>
      </c>
    </row>
    <row r="42" customFormat="false" ht="15" hidden="false" customHeight="false" outlineLevel="0" collapsed="false">
      <c r="B42" s="5" t="s">
        <v>64</v>
      </c>
      <c r="C42" s="6" t="s">
        <v>65</v>
      </c>
    </row>
    <row r="44" customFormat="false" ht="15" hidden="false" customHeight="false" outlineLevel="0" collapsed="false">
      <c r="B44" s="3" t="s">
        <v>66</v>
      </c>
      <c r="C44" s="4"/>
    </row>
    <row r="45" customFormat="false" ht="15" hidden="false" customHeight="false" outlineLevel="0" collapsed="false">
      <c r="B45" s="5" t="s">
        <v>67</v>
      </c>
      <c r="C45" s="6" t="s">
        <v>68</v>
      </c>
    </row>
    <row r="46" customFormat="false" ht="15" hidden="false" customHeight="false" outlineLevel="0" collapsed="false">
      <c r="B46" s="5" t="s">
        <v>69</v>
      </c>
      <c r="C46" s="6" t="s">
        <v>70</v>
      </c>
    </row>
    <row r="47" customFormat="false" ht="15" hidden="false" customHeight="false" outlineLevel="0" collapsed="false">
      <c r="B47" s="5" t="s">
        <v>71</v>
      </c>
      <c r="C47" s="6" t="s">
        <v>72</v>
      </c>
    </row>
    <row r="48" customFormat="false" ht="15" hidden="false" customHeight="false" outlineLevel="0" collapsed="false">
      <c r="B48" s="5" t="s">
        <v>73</v>
      </c>
      <c r="C48" s="6" t="s">
        <v>74</v>
      </c>
    </row>
    <row r="50" customFormat="false" ht="15" hidden="false" customHeight="false" outlineLevel="0" collapsed="false">
      <c r="B50" s="3" t="s">
        <v>75</v>
      </c>
      <c r="C50" s="4"/>
    </row>
    <row r="51" customFormat="false" ht="15" hidden="false" customHeight="false" outlineLevel="0" collapsed="false">
      <c r="B51" s="5" t="s">
        <v>76</v>
      </c>
      <c r="C51" s="6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0B0B"/>
    <pageSetUpPr fitToPage="false"/>
  </sheetPr>
  <dimension ref="B1:J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5" min="3" style="0" width="16"/>
    <col collapsed="false" customWidth="true" hidden="false" outlineLevel="0" max="6" min="6" style="0" width="4"/>
    <col collapsed="false" customWidth="true" hidden="false" outlineLevel="0" max="7" min="7" style="0" width="30"/>
    <col collapsed="false" customWidth="true" hidden="false" outlineLevel="0" max="10" min="8" style="0" width="14"/>
  </cols>
  <sheetData>
    <row r="1" customFormat="false" ht="22.05" hidden="false" customHeight="false" outlineLevel="0" collapsed="false">
      <c r="B1" s="8" t="s">
        <v>78</v>
      </c>
    </row>
    <row r="2" customFormat="false" ht="15" hidden="false" customHeight="false" outlineLevel="0" collapsed="false">
      <c r="B2" s="9" t="s">
        <v>79</v>
      </c>
    </row>
    <row r="3" customFormat="false" ht="15" hidden="false" customHeight="false" outlineLevel="0" collapsed="false">
      <c r="B3" s="10" t="s">
        <v>80</v>
      </c>
      <c r="C3" s="11"/>
      <c r="D3" s="12" t="s">
        <v>81</v>
      </c>
    </row>
    <row r="4" customFormat="false" ht="15" hidden="false" customHeight="false" outlineLevel="0" collapsed="false">
      <c r="B4" s="10" t="s">
        <v>82</v>
      </c>
      <c r="C4" s="13" t="n">
        <f aca="true">IF(C3="",TODAY(),C3)</f>
        <v>46316</v>
      </c>
    </row>
    <row r="5" customFormat="false" ht="15" hidden="false" customHeight="false" outlineLevel="0" collapsed="false">
      <c r="B5" s="10" t="s">
        <v>83</v>
      </c>
      <c r="C5" s="13" t="n">
        <f aca="false">C4-WEEKDAY(C4,2)+1</f>
        <v>46314</v>
      </c>
    </row>
    <row r="6" customFormat="false" ht="15" hidden="false" customHeight="false" outlineLevel="0" collapsed="false">
      <c r="B6" s="10" t="s">
        <v>84</v>
      </c>
      <c r="C6" s="13" t="n">
        <f aca="false">DATE(YEAR(C4),MONTH(C4),1)</f>
        <v>46296</v>
      </c>
    </row>
    <row r="8" customFormat="false" ht="15" hidden="false" customHeight="false" outlineLevel="0" collapsed="false">
      <c r="B8" s="14" t="s">
        <v>85</v>
      </c>
      <c r="C8" s="15"/>
      <c r="D8" s="15"/>
      <c r="E8" s="15"/>
      <c r="G8" s="14" t="s">
        <v>86</v>
      </c>
      <c r="H8" s="15"/>
      <c r="I8" s="15"/>
      <c r="J8" s="15"/>
    </row>
    <row r="9" customFormat="false" ht="15" hidden="false" customHeight="false" outlineLevel="0" collapsed="false">
      <c r="C9" s="16" t="s">
        <v>16</v>
      </c>
      <c r="D9" s="16" t="s">
        <v>18</v>
      </c>
      <c r="E9" s="16" t="s">
        <v>87</v>
      </c>
      <c r="H9" s="16" t="s">
        <v>16</v>
      </c>
      <c r="I9" s="16" t="s">
        <v>18</v>
      </c>
      <c r="J9" s="16" t="s">
        <v>87</v>
      </c>
    </row>
    <row r="10" customFormat="false" ht="15" hidden="false" customHeight="false" outlineLevel="0" collapsed="false">
      <c r="B10" s="17" t="s">
        <v>88</v>
      </c>
      <c r="C10" s="18" t="n">
        <f aca="false">COUNTIFS(Inbound!$B$2:$B$501,"&gt;="&amp;$C$4,Inbound!$B$2:$B$501,"&lt;"&amp;$C$4+1,Inbound!$E$2:$E$501,"&lt;&gt;")</f>
        <v>0</v>
      </c>
      <c r="D10" s="19" t="n">
        <f aca="false">COUNTIFS(Outbound!$B$2:$B$501,"&gt;="&amp;$C$4,Outbound!$B$2:$B$501,"&lt;"&amp;$C$4+1,Outbound!$D$2:$D$501,"&lt;&gt;")</f>
        <v>0</v>
      </c>
      <c r="E10" s="19" t="n">
        <f aca="false">C10+D10</f>
        <v>0</v>
      </c>
      <c r="G10" s="17" t="str">
        <f aca="false">Settings!A2</f>
        <v>New</v>
      </c>
      <c r="H10" s="17" t="n">
        <f aca="false">COUNTIF(Inbound!$U$2:$U$501,G10)</f>
        <v>0</v>
      </c>
      <c r="I10" s="17" t="n">
        <f aca="false">COUNTIF(Outbound!$R$2:$R$501,G10)</f>
        <v>0</v>
      </c>
      <c r="J10" s="20" t="n">
        <f aca="false">H10+I10</f>
        <v>0</v>
      </c>
    </row>
    <row r="11" customFormat="false" ht="15" hidden="false" customHeight="false" outlineLevel="0" collapsed="false">
      <c r="B11" s="17" t="s">
        <v>89</v>
      </c>
      <c r="C11" s="18" t="n">
        <f aca="false">COUNTIFS(Inbound!$V$2:$V$501,$C$4,Inbound!$E$2:$E$501,"&lt;&gt;")</f>
        <v>0</v>
      </c>
      <c r="D11" s="19" t="n">
        <f aca="false">COUNTIFS(Outbound!$S$2:$S$501,$C$4,Outbound!$D$2:$D$501,"&lt;&gt;")</f>
        <v>0</v>
      </c>
      <c r="E11" s="19" t="n">
        <f aca="false">C11+D11</f>
        <v>0</v>
      </c>
      <c r="G11" s="17" t="str">
        <f aca="false">Settings!A3</f>
        <v>Contacted</v>
      </c>
      <c r="H11" s="17" t="n">
        <f aca="false">COUNTIF(Inbound!$U$2:$U$501,G11)</f>
        <v>0</v>
      </c>
      <c r="I11" s="17" t="n">
        <f aca="false">COUNTIF(Outbound!$R$2:$R$501,G11)</f>
        <v>0</v>
      </c>
      <c r="J11" s="20" t="n">
        <f aca="false">H11+I11</f>
        <v>0</v>
      </c>
    </row>
    <row r="12" customFormat="false" ht="15" hidden="false" customHeight="false" outlineLevel="0" collapsed="false">
      <c r="B12" s="17" t="s">
        <v>90</v>
      </c>
      <c r="C12" s="18" t="n">
        <f aca="false">COUNTIFS(Inbound!$X$2:$X$501,$C$4)</f>
        <v>0</v>
      </c>
      <c r="D12" s="19" t="n">
        <f aca="false">COUNTIFS(Outbound!$U$2:$U$501,$C$4)</f>
        <v>0</v>
      </c>
      <c r="E12" s="19" t="n">
        <f aca="false">C12+D12</f>
        <v>0</v>
      </c>
      <c r="G12" s="17" t="str">
        <f aca="false">Settings!A4</f>
        <v>Replied</v>
      </c>
      <c r="H12" s="17" t="n">
        <f aca="false">COUNTIF(Inbound!$U$2:$U$501,G12)</f>
        <v>0</v>
      </c>
      <c r="I12" s="17" t="n">
        <f aca="false">COUNTIF(Outbound!$R$2:$R$501,G12)</f>
        <v>1</v>
      </c>
      <c r="J12" s="20" t="n">
        <f aca="false">H12+I12</f>
        <v>1</v>
      </c>
    </row>
    <row r="13" customFormat="false" ht="15" hidden="false" customHeight="false" outlineLevel="0" collapsed="false">
      <c r="B13" s="17" t="s">
        <v>91</v>
      </c>
      <c r="C13" s="18" t="n">
        <f aca="false">COUNTIFS(Inbound!$Y$2:$Y$501,"&gt;="&amp;$C$4,Inbound!$Y$2:$Y$501,"&lt;"&amp;$C$4+1)</f>
        <v>0</v>
      </c>
      <c r="D13" s="19" t="n">
        <f aca="false">COUNTIFS(Outbound!$V$2:$V$501,"&gt;="&amp;$C$4,Outbound!$V$2:$V$501,"&lt;"&amp;$C$4+1)</f>
        <v>0</v>
      </c>
      <c r="E13" s="19" t="n">
        <f aca="false">C13+D13</f>
        <v>0</v>
      </c>
      <c r="G13" s="17" t="str">
        <f aca="false">Settings!A5</f>
        <v>Meeting booked</v>
      </c>
      <c r="H13" s="17" t="n">
        <f aca="false">COUNTIF(Inbound!$U$2:$U$501,G13)</f>
        <v>0</v>
      </c>
      <c r="I13" s="17" t="n">
        <f aca="false">COUNTIF(Outbound!$R$2:$R$501,G13)</f>
        <v>0</v>
      </c>
      <c r="J13" s="20" t="n">
        <f aca="false">H13+I13</f>
        <v>0</v>
      </c>
    </row>
    <row r="14" customFormat="false" ht="15" hidden="false" customHeight="false" outlineLevel="0" collapsed="false">
      <c r="B14" s="17" t="s">
        <v>92</v>
      </c>
      <c r="C14" s="18" t="n">
        <f aca="false">COUNTIF(Inbound!$AE$2:$AE$501,"OVERDUE follow-up")</f>
        <v>1</v>
      </c>
      <c r="D14" s="19" t="n">
        <f aca="false">COUNTIF(Outbound!$AB$2:$AB$501,"OVERDUE follow-up")</f>
        <v>1</v>
      </c>
      <c r="E14" s="21" t="n">
        <f aca="false">C14+D14</f>
        <v>2</v>
      </c>
      <c r="G14" s="17" t="str">
        <f aca="false">Settings!A6</f>
        <v>Meeting held</v>
      </c>
      <c r="H14" s="17" t="n">
        <f aca="false">COUNTIF(Inbound!$U$2:$U$501,G14)</f>
        <v>0</v>
      </c>
      <c r="I14" s="17" t="n">
        <f aca="false">COUNTIF(Outbound!$R$2:$R$501,G14)</f>
        <v>0</v>
      </c>
      <c r="J14" s="20" t="n">
        <f aca="false">H14+I14</f>
        <v>0</v>
      </c>
    </row>
    <row r="15" customFormat="false" ht="15" hidden="false" customHeight="false" outlineLevel="0" collapsed="false">
      <c r="B15" s="17" t="s">
        <v>93</v>
      </c>
      <c r="C15" s="22" t="n">
        <f aca="false">COUNTIFS(Inbound!$E$2:$E$501,"&lt;&gt;",Inbound!$N$2:$N$501,"")</f>
        <v>0</v>
      </c>
      <c r="G15" s="17" t="str">
        <f aca="false">Settings!A7</f>
        <v>Proposal sent</v>
      </c>
      <c r="H15" s="17" t="n">
        <f aca="false">COUNTIF(Inbound!$U$2:$U$501,G15)</f>
        <v>1</v>
      </c>
      <c r="I15" s="17" t="n">
        <f aca="false">COUNTIF(Outbound!$R$2:$R$501,G15)</f>
        <v>0</v>
      </c>
      <c r="J15" s="20" t="n">
        <f aca="false">H15+I15</f>
        <v>1</v>
      </c>
    </row>
    <row r="16" customFormat="false" ht="15" hidden="false" customHeight="false" outlineLevel="0" collapsed="false">
      <c r="B16" s="17" t="s">
        <v>22</v>
      </c>
      <c r="C16" s="18" t="n">
        <f aca="false">COUNTIFS(Shoots!$E$2:$E$501,$C$4,Shoots!$A$2:$A$501,"&lt;&gt;")</f>
        <v>0</v>
      </c>
      <c r="G16" s="17" t="str">
        <f aca="false">Settings!A8</f>
        <v>Contract signed + paid</v>
      </c>
      <c r="H16" s="17" t="n">
        <f aca="false">COUNTIF(Inbound!$U$2:$U$501,G16)</f>
        <v>0</v>
      </c>
      <c r="I16" s="17" t="n">
        <f aca="false">COUNTIF(Outbound!$R$2:$R$501,G16)</f>
        <v>0</v>
      </c>
      <c r="J16" s="20" t="n">
        <f aca="false">H16+I16</f>
        <v>0</v>
      </c>
    </row>
    <row r="17" customFormat="false" ht="15" hidden="false" customHeight="false" outlineLevel="0" collapsed="false">
      <c r="B17" s="17" t="s">
        <v>94</v>
      </c>
      <c r="C17" s="18" t="n">
        <f aca="false">COUNTIFS(Clients!$N$2:$N$501,$C$4)</f>
        <v>0</v>
      </c>
      <c r="G17" s="17" t="str">
        <f aca="false">Settings!A9</f>
        <v>Closed – No response</v>
      </c>
      <c r="H17" s="17" t="n">
        <f aca="false">COUNTIF(Inbound!$U$2:$U$501,G17)</f>
        <v>0</v>
      </c>
      <c r="I17" s="17" t="n">
        <f aca="false">COUNTIF(Outbound!$R$2:$R$501,G17)</f>
        <v>0</v>
      </c>
      <c r="J17" s="20" t="n">
        <f aca="false">H17+I17</f>
        <v>0</v>
      </c>
    </row>
    <row r="18" customFormat="false" ht="15" hidden="false" customHeight="false" outlineLevel="0" collapsed="false">
      <c r="B18" s="17" t="s">
        <v>95</v>
      </c>
      <c r="C18" s="18" t="n">
        <f aca="false">COUNTIFS(Clients!$O$2:$O$501,$C$4,Clients!$Q$2:$Q$501,"Decision*")</f>
        <v>0</v>
      </c>
      <c r="G18" s="17" t="str">
        <f aca="false">Settings!A10</f>
        <v>Lost</v>
      </c>
      <c r="H18" s="17" t="n">
        <f aca="false">COUNTIF(Inbound!$U$2:$U$501,G18)</f>
        <v>0</v>
      </c>
      <c r="I18" s="17" t="n">
        <f aca="false">COUNTIF(Outbound!$R$2:$R$501,G18)</f>
        <v>0</v>
      </c>
      <c r="J18" s="20" t="n">
        <f aca="false">H18+I18</f>
        <v>0</v>
      </c>
    </row>
    <row r="19" customFormat="false" ht="15" hidden="false" customHeight="false" outlineLevel="0" collapsed="false">
      <c r="B19" s="17" t="s">
        <v>96</v>
      </c>
      <c r="C19" s="18" t="n">
        <f aca="false">COUNTIFS(Clients!$J$2:$J$501,$C$4)</f>
        <v>0</v>
      </c>
      <c r="G19" s="23" t="s">
        <v>97</v>
      </c>
      <c r="H19" s="23" t="n">
        <f aca="false">SUM(H10:H18)</f>
        <v>1</v>
      </c>
      <c r="I19" s="23" t="n">
        <f aca="false">SUM(I10:I18)</f>
        <v>1</v>
      </c>
      <c r="J19" s="23" t="n">
        <f aca="false">SUM(J10:J18)</f>
        <v>2</v>
      </c>
    </row>
    <row r="20" customFormat="false" ht="15" hidden="false" customHeight="false" outlineLevel="0" collapsed="false">
      <c r="B20" s="17" t="s">
        <v>98</v>
      </c>
      <c r="C20" s="24" t="n">
        <f aca="false">SUMIFS(Clients!$K$2:$K$501,Clients!$J$2:$J$501,$C$4)</f>
        <v>0</v>
      </c>
    </row>
    <row r="21" customFormat="false" ht="15" hidden="false" customHeight="false" outlineLevel="0" collapsed="false">
      <c r="B21" s="17" t="s">
        <v>99</v>
      </c>
      <c r="C21" s="18" t="n">
        <f aca="false">COUNTIF(Clients!$S$2:$S$501,"Requested")+COUNTIF(Clients!$S$2:$S$501,"Approved")</f>
        <v>0</v>
      </c>
      <c r="G21" s="14" t="s">
        <v>100</v>
      </c>
      <c r="H21" s="15"/>
      <c r="I21" s="15"/>
      <c r="J21" s="15"/>
    </row>
    <row r="22" customFormat="false" ht="15" hidden="false" customHeight="false" outlineLevel="0" collapsed="false">
      <c r="H22" s="25" t="s">
        <v>101</v>
      </c>
      <c r="I22" s="25" t="s">
        <v>102</v>
      </c>
    </row>
    <row r="23" customFormat="false" ht="15" hidden="false" customHeight="false" outlineLevel="0" collapsed="false">
      <c r="B23" s="14" t="s">
        <v>103</v>
      </c>
      <c r="C23" s="15"/>
      <c r="D23" s="15"/>
      <c r="E23" s="15"/>
      <c r="G23" s="17" t="str">
        <f aca="false">Settings!E2</f>
        <v>Usama</v>
      </c>
      <c r="H23" s="17" t="n">
        <f aca="false">COUNTIFS(Inbound!$T$2:$T$501,G23,Inbound!$E$2:$E$501,"&lt;&gt;")-COUNTIFS(Inbound!$T$2:$T$501,G23,Inbound!$U$2:$U$501,"Contract signed + paid")-COUNTIFS(Inbound!$T$2:$T$501,G23,Inbound!$U$2:$U$501,"Closed – No response")-COUNTIFS(Inbound!$T$2:$T$501,G23,Inbound!$U$2:$U$501,"Lost")+COUNTIFS(Outbound!$Q$2:$Q$501,G23,Outbound!$D$2:$D$501,"&lt;&gt;")-COUNTIFS(Outbound!$Q$2:$Q$501,G23,Outbound!$R$2:$R$501,"Contract signed + paid")-COUNTIFS(Outbound!$Q$2:$Q$501,G23,Outbound!$R$2:$R$501,"Closed – No response")-COUNTIFS(Outbound!$Q$2:$Q$501,G23,Outbound!$R$2:$R$501,"Lost")</f>
        <v>2</v>
      </c>
      <c r="I23" s="17" t="n">
        <f aca="false">COUNTIFS(Inbound!$T$2:$T$501,G23,Inbound!$AE$2:$AE$501,"OVERDUE follow-up")+COUNTIFS(Inbound!$T$2:$T$501,G23,Inbound!$AE$2:$AE$501,"Follow up today")+COUNTIFS(Outbound!$Q$2:$Q$501,G23,Outbound!$AB$2:$AB$501,"OVERDUE follow-up")+COUNTIFS(Outbound!$Q$2:$Q$501,G23,Outbound!$AB$2:$AB$501,"Follow up today")</f>
        <v>2</v>
      </c>
    </row>
    <row r="24" customFormat="false" ht="15" hidden="false" customHeight="false" outlineLevel="0" collapsed="false">
      <c r="C24" s="16" t="s">
        <v>16</v>
      </c>
      <c r="D24" s="16" t="s">
        <v>18</v>
      </c>
      <c r="E24" s="16" t="s">
        <v>87</v>
      </c>
      <c r="G24" s="17" t="str">
        <f aca="false">Settings!E3</f>
        <v>Lianna</v>
      </c>
      <c r="H24" s="17" t="n">
        <f aca="false">COUNTIFS(Inbound!$T$2:$T$501,G24,Inbound!$E$2:$E$501,"&lt;&gt;")-COUNTIFS(Inbound!$T$2:$T$501,G24,Inbound!$U$2:$U$501,"Contract signed + paid")-COUNTIFS(Inbound!$T$2:$T$501,G24,Inbound!$U$2:$U$501,"Closed – No response")-COUNTIFS(Inbound!$T$2:$T$501,G24,Inbound!$U$2:$U$501,"Lost")+COUNTIFS(Outbound!$Q$2:$Q$501,G24,Outbound!$D$2:$D$501,"&lt;&gt;")-COUNTIFS(Outbound!$Q$2:$Q$501,G24,Outbound!$R$2:$R$501,"Contract signed + paid")-COUNTIFS(Outbound!$Q$2:$Q$501,G24,Outbound!$R$2:$R$501,"Closed – No response")-COUNTIFS(Outbound!$Q$2:$Q$501,G24,Outbound!$R$2:$R$501,"Lost")</f>
        <v>0</v>
      </c>
      <c r="I24" s="17" t="n">
        <f aca="false">COUNTIFS(Inbound!$T$2:$T$501,G24,Inbound!$AE$2:$AE$501,"OVERDUE follow-up")+COUNTIFS(Inbound!$T$2:$T$501,G24,Inbound!$AE$2:$AE$501,"Follow up today")+COUNTIFS(Outbound!$Q$2:$Q$501,G24,Outbound!$AB$2:$AB$501,"OVERDUE follow-up")+COUNTIFS(Outbound!$Q$2:$Q$501,G24,Outbound!$AB$2:$AB$501,"Follow up today")</f>
        <v>0</v>
      </c>
    </row>
    <row r="25" customFormat="false" ht="15" hidden="false" customHeight="false" outlineLevel="0" collapsed="false">
      <c r="B25" s="17" t="s">
        <v>104</v>
      </c>
      <c r="C25" s="18" t="n">
        <f aca="false">COUNTIFS(Inbound!$B$2:$B$501,"&gt;="&amp;$C$5,Inbound!$B$2:$B$501,"&lt;"&amp;$C$5+7,Inbound!$E$2:$E$501,"&lt;&gt;")</f>
        <v>0</v>
      </c>
      <c r="D25" s="19" t="n">
        <f aca="false">COUNTIFS(Outbound!$B$2:$B$501,"&gt;="&amp;$C$5,Outbound!$B$2:$B$501,"&lt;"&amp;$C$5+7,Outbound!$D$2:$D$501,"&lt;&gt;")</f>
        <v>0</v>
      </c>
      <c r="E25" s="19" t="n">
        <f aca="false">C25+D25</f>
        <v>0</v>
      </c>
      <c r="G25" s="17" t="str">
        <f aca="false">Settings!E4</f>
        <v>Azeem</v>
      </c>
      <c r="H25" s="17" t="n">
        <f aca="false">COUNTIFS(Inbound!$T$2:$T$501,G25,Inbound!$E$2:$E$501,"&lt;&gt;")-COUNTIFS(Inbound!$T$2:$T$501,G25,Inbound!$U$2:$U$501,"Contract signed + paid")-COUNTIFS(Inbound!$T$2:$T$501,G25,Inbound!$U$2:$U$501,"Closed – No response")-COUNTIFS(Inbound!$T$2:$T$501,G25,Inbound!$U$2:$U$501,"Lost")+COUNTIFS(Outbound!$Q$2:$Q$501,G25,Outbound!$D$2:$D$501,"&lt;&gt;")-COUNTIFS(Outbound!$Q$2:$Q$501,G25,Outbound!$R$2:$R$501,"Contract signed + paid")-COUNTIFS(Outbound!$Q$2:$Q$501,G25,Outbound!$R$2:$R$501,"Closed – No response")-COUNTIFS(Outbound!$Q$2:$Q$501,G25,Outbound!$R$2:$R$501,"Lost")</f>
        <v>0</v>
      </c>
      <c r="I25" s="17" t="n">
        <f aca="false">COUNTIFS(Inbound!$T$2:$T$501,G25,Inbound!$AE$2:$AE$501,"OVERDUE follow-up")+COUNTIFS(Inbound!$T$2:$T$501,G25,Inbound!$AE$2:$AE$501,"Follow up today")+COUNTIFS(Outbound!$Q$2:$Q$501,G25,Outbound!$AB$2:$AB$501,"OVERDUE follow-up")+COUNTIFS(Outbound!$Q$2:$Q$501,G25,Outbound!$AB$2:$AB$501,"Follow up today")</f>
        <v>0</v>
      </c>
    </row>
    <row r="26" customFormat="false" ht="15" hidden="false" customHeight="false" outlineLevel="0" collapsed="false">
      <c r="B26" s="17" t="s">
        <v>91</v>
      </c>
      <c r="C26" s="18" t="n">
        <f aca="false">COUNTIFS(Inbound!$Y$2:$Y$501,"&gt;="&amp;$C$5,Inbound!$Y$2:$Y$501,"&lt;"&amp;$C$5+7)</f>
        <v>0</v>
      </c>
      <c r="D26" s="19" t="n">
        <f aca="false">COUNTIFS(Outbound!$V$2:$V$501,"&gt;="&amp;$C$5,Outbound!$V$2:$V$501,"&lt;"&amp;$C$5+7)</f>
        <v>0</v>
      </c>
      <c r="E26" s="19" t="n">
        <f aca="false">C26+D26</f>
        <v>0</v>
      </c>
      <c r="G26" s="17" t="str">
        <f aca="false">Settings!E5</f>
        <v>Owner</v>
      </c>
      <c r="H26" s="17" t="n">
        <f aca="false">COUNTIFS(Inbound!$T$2:$T$501,G26,Inbound!$E$2:$E$501,"&lt;&gt;")-COUNTIFS(Inbound!$T$2:$T$501,G26,Inbound!$U$2:$U$501,"Contract signed + paid")-COUNTIFS(Inbound!$T$2:$T$501,G26,Inbound!$U$2:$U$501,"Closed – No response")-COUNTIFS(Inbound!$T$2:$T$501,G26,Inbound!$U$2:$U$501,"Lost")+COUNTIFS(Outbound!$Q$2:$Q$501,G26,Outbound!$D$2:$D$501,"&lt;&gt;")-COUNTIFS(Outbound!$Q$2:$Q$501,G26,Outbound!$R$2:$R$501,"Contract signed + paid")-COUNTIFS(Outbound!$Q$2:$Q$501,G26,Outbound!$R$2:$R$501,"Closed – No response")-COUNTIFS(Outbound!$Q$2:$Q$501,G26,Outbound!$R$2:$R$501,"Lost")</f>
        <v>0</v>
      </c>
      <c r="I26" s="17" t="n">
        <f aca="false">COUNTIFS(Inbound!$T$2:$T$501,G26,Inbound!$AE$2:$AE$501,"OVERDUE follow-up")+COUNTIFS(Inbound!$T$2:$T$501,G26,Inbound!$AE$2:$AE$501,"Follow up today")+COUNTIFS(Outbound!$Q$2:$Q$501,G26,Outbound!$AB$2:$AB$501,"OVERDUE follow-up")+COUNTIFS(Outbound!$Q$2:$Q$501,G26,Outbound!$AB$2:$AB$501,"Follow up today")</f>
        <v>0</v>
      </c>
    </row>
    <row r="27" customFormat="false" ht="15" hidden="false" customHeight="false" outlineLevel="0" collapsed="false">
      <c r="B27" s="17" t="s">
        <v>105</v>
      </c>
      <c r="C27" s="18" t="n">
        <f aca="false">COUNTIF(Inbound!$AE$2:$AE$501,"Follow up today")+COUNTIF(Inbound!$AE$2:$AE$501,"OVERDUE follow-up")</f>
        <v>1</v>
      </c>
      <c r="D27" s="19" t="n">
        <f aca="false">COUNTIF(Outbound!$AB$2:$AB$501,"Follow up today")+COUNTIF(Outbound!$AB$2:$AB$501,"OVERDUE follow-up")</f>
        <v>1</v>
      </c>
      <c r="E27" s="21" t="n">
        <f aca="false">C27+D27</f>
        <v>2</v>
      </c>
    </row>
    <row r="28" customFormat="false" ht="15" hidden="false" customHeight="false" outlineLevel="0" collapsed="false">
      <c r="B28" s="17" t="s">
        <v>106</v>
      </c>
      <c r="C28" s="18" t="n">
        <f aca="false">COUNTIF(Inbound!$AE$2:$AE$501,"Close – 4 follow-ups sent")</f>
        <v>0</v>
      </c>
      <c r="D28" s="19" t="n">
        <f aca="false">COUNTIF(Outbound!$AB$2:$AB$501,"Close – 4 follow-ups sent")</f>
        <v>0</v>
      </c>
      <c r="E28" s="19" t="n">
        <f aca="false">C28+D28</f>
        <v>0</v>
      </c>
    </row>
    <row r="29" customFormat="false" ht="15" hidden="false" customHeight="false" outlineLevel="0" collapsed="false">
      <c r="B29" s="17" t="s">
        <v>107</v>
      </c>
      <c r="C29" s="26" t="n">
        <f aca="false">IFERROR(AVERAGE(Inbound!$P$2:$P$501),"-")</f>
        <v>0.5</v>
      </c>
      <c r="G29" s="14" t="s">
        <v>108</v>
      </c>
      <c r="H29" s="15"/>
      <c r="I29" s="15"/>
      <c r="J29" s="15"/>
    </row>
    <row r="30" customFormat="false" ht="15" hidden="false" customHeight="false" outlineLevel="0" collapsed="false">
      <c r="H30" s="0" t="s">
        <v>109</v>
      </c>
      <c r="I30" s="0" t="s">
        <v>110</v>
      </c>
      <c r="J30" s="0" t="s">
        <v>111</v>
      </c>
    </row>
    <row r="31" customFormat="false" ht="15" hidden="false" customHeight="false" outlineLevel="0" collapsed="false">
      <c r="B31" s="14" t="s">
        <v>112</v>
      </c>
      <c r="C31" s="15"/>
      <c r="D31" s="15"/>
      <c r="E31" s="15"/>
      <c r="G31" s="17" t="s">
        <v>113</v>
      </c>
      <c r="H31" s="17" t="n">
        <f aca="false">COUNTIF(Inbound!$D$2:$D$501,"Website form")</f>
        <v>1</v>
      </c>
      <c r="I31" s="17" t="n">
        <f aca="false">COUNTIFS(Inbound!$D$2:$D$501,"Website form",Inbound!$U$2:$U$501,"Contract signed + paid")</f>
        <v>0</v>
      </c>
      <c r="J31" s="27" t="n">
        <f aca="false">IFERROR(AVERAGEIFS(Inbound!$Q$2:$Q$501,Inbound!$D$2:$D$501,"Website form"),"-")</f>
        <v>100</v>
      </c>
    </row>
    <row r="32" customFormat="false" ht="15" hidden="false" customHeight="false" outlineLevel="0" collapsed="false">
      <c r="B32" s="17" t="s">
        <v>96</v>
      </c>
      <c r="C32" s="18" t="n">
        <f aca="false">COUNTIFS(Clients!$J$2:$J$501,"&gt;="&amp;$C$6,Clients!$J$2:$J$501,"&lt;"&amp;EDATE($C$6,1))</f>
        <v>1</v>
      </c>
      <c r="G32" s="17" t="s">
        <v>114</v>
      </c>
      <c r="H32" s="17" t="n">
        <f aca="false">COUNTIF(Inbound!$D$2:$D$501,"WhatsApp")</f>
        <v>0</v>
      </c>
      <c r="I32" s="17" t="n">
        <f aca="false">COUNTIFS(Inbound!$D$2:$D$501,"WhatsApp",Inbound!$U$2:$U$501,"Contract signed + paid")</f>
        <v>0</v>
      </c>
      <c r="J32" s="27" t="str">
        <f aca="false">IFERROR(AVERAGEIFS(Inbound!$Q$2:$Q$501,Inbound!$D$2:$D$501,"WhatsApp"),"-")</f>
        <v>-</v>
      </c>
    </row>
    <row r="33" customFormat="false" ht="15" hidden="false" customHeight="false" outlineLevel="0" collapsed="false">
      <c r="B33" s="17" t="s">
        <v>115</v>
      </c>
      <c r="C33" s="24" t="n">
        <f aca="false">SUMIFS(Clients!$K$2:$K$501,Clients!$J$2:$J$501,"&gt;="&amp;$C$6,Clients!$J$2:$J$501,"&lt;"&amp;EDATE($C$6,1))</f>
        <v>7875</v>
      </c>
      <c r="G33" s="17" t="s">
        <v>116</v>
      </c>
      <c r="H33" s="17" t="n">
        <f aca="false">COUNTIF(Inbound!$D$2:$D$501,"Instagram DM")</f>
        <v>0</v>
      </c>
      <c r="I33" s="17" t="n">
        <f aca="false">COUNTIFS(Inbound!$D$2:$D$501,"Instagram DM",Inbound!$U$2:$U$501,"Contract signed + paid")</f>
        <v>0</v>
      </c>
      <c r="J33" s="27" t="str">
        <f aca="false">IFERROR(AVERAGEIFS(Inbound!$Q$2:$Q$501,Inbound!$D$2:$D$501,"Instagram DM"),"-")</f>
        <v>-</v>
      </c>
    </row>
    <row r="34" customFormat="false" ht="15" hidden="false" customHeight="false" outlineLevel="0" collapsed="false">
      <c r="B34" s="17" t="s">
        <v>117</v>
      </c>
      <c r="C34" s="18" t="n">
        <f aca="false">COUNTIFS(Clients!$S$2:$S$501,"Paid",Clients!$U$2:$U$501,"&gt;="&amp;$C$6,Clients!$U$2:$U$501,"&lt;"&amp;EDATE($C$6,1))</f>
        <v>0</v>
      </c>
      <c r="G34" s="17" t="s">
        <v>118</v>
      </c>
      <c r="H34" s="17" t="n">
        <f aca="false">COUNTIF(Inbound!$D$2:$D$501,"Referral")</f>
        <v>0</v>
      </c>
      <c r="I34" s="17" t="n">
        <f aca="false">COUNTIFS(Inbound!$D$2:$D$501,"Referral",Inbound!$U$2:$U$501,"Contract signed + paid")</f>
        <v>0</v>
      </c>
      <c r="J34" s="27" t="str">
        <f aca="false">IFERROR(AVERAGEIFS(Inbound!$Q$2:$Q$501,Inbound!$D$2:$D$501,"Referral"),"-")</f>
        <v>-</v>
      </c>
    </row>
    <row r="35" customFormat="false" ht="15" hidden="false" customHeight="false" outlineLevel="0" collapsed="false">
      <c r="B35" s="17" t="s">
        <v>119</v>
      </c>
      <c r="C35" s="24" t="n">
        <f aca="false">SUMIFS(Clients!$T$2:$T$501,Clients!$S$2:$S$501,"Paid",Clients!$U$2:$U$501,"&gt;="&amp;$C$6,Clients!$U$2:$U$501,"&lt;"&amp;EDATE($C$6,1))</f>
        <v>0</v>
      </c>
      <c r="G35" s="17" t="s">
        <v>120</v>
      </c>
      <c r="H35" s="17" t="n">
        <f aca="false">COUNTIF(Inbound!$D$2:$D$501,"Walk-in")</f>
        <v>0</v>
      </c>
      <c r="I35" s="17" t="n">
        <f aca="false">COUNTIFS(Inbound!$D$2:$D$501,"Walk-in",Inbound!$U$2:$U$501,"Contract signed + paid")</f>
        <v>0</v>
      </c>
      <c r="J35" s="27" t="str">
        <f aca="false">IFERROR(AVERAGEIFS(Inbound!$Q$2:$Q$501,Inbound!$D$2:$D$501,"Walk-in"),"-")</f>
        <v>-</v>
      </c>
    </row>
    <row r="36" customFormat="false" ht="15" hidden="false" customHeight="false" outlineLevel="0" collapsed="false">
      <c r="G36" s="17" t="s">
        <v>121</v>
      </c>
      <c r="H36" s="17" t="n">
        <f aca="false">COUNTIF(Inbound!$D$2:$D$501,"Phone call")</f>
        <v>0</v>
      </c>
      <c r="I36" s="17" t="n">
        <f aca="false">COUNTIFS(Inbound!$D$2:$D$501,"Phone call",Inbound!$U$2:$U$501,"Contract signed + paid")</f>
        <v>0</v>
      </c>
      <c r="J36" s="27" t="str">
        <f aca="false">IFERROR(AVERAGEIFS(Inbound!$Q$2:$Q$501,Inbound!$D$2:$D$501,"Phone call"),"-")</f>
        <v>-</v>
      </c>
    </row>
    <row r="37" customFormat="false" ht="15" hidden="false" customHeight="false" outlineLevel="0" collapsed="false">
      <c r="B37" s="14" t="s">
        <v>122</v>
      </c>
      <c r="C37" s="15"/>
      <c r="D37" s="15"/>
      <c r="E37" s="15"/>
      <c r="G37" s="17" t="s">
        <v>123</v>
      </c>
      <c r="H37" s="17" t="n">
        <f aca="false">COUNTIF(Inbound!$D$2:$D$501,"Other")</f>
        <v>0</v>
      </c>
      <c r="I37" s="17" t="n">
        <f aca="false">COUNTIFS(Inbound!$D$2:$D$501,"Other",Inbound!$U$2:$U$501,"Contract signed + paid")</f>
        <v>0</v>
      </c>
      <c r="J37" s="27" t="str">
        <f aca="false">IFERROR(AVERAGEIFS(Inbound!$Q$2:$Q$501,Inbound!$D$2:$D$501,"Other"),"-")</f>
        <v>-</v>
      </c>
    </row>
    <row r="38" customFormat="false" ht="15" hidden="false" customHeight="false" outlineLevel="0" collapsed="false">
      <c r="B38" s="17" t="s">
        <v>124</v>
      </c>
      <c r="C38" s="18" t="n">
        <f aca="false">COUNTIF(Clients!$Q$2:$Q$501,"Active*")</f>
        <v>0</v>
      </c>
      <c r="G38" s="17" t="s">
        <v>125</v>
      </c>
      <c r="H38" s="17" t="n">
        <f aca="false">COUNTIF(Outbound!$C$2:$C$501,"Apollo")</f>
        <v>1</v>
      </c>
      <c r="I38" s="17" t="n">
        <f aca="false">COUNTIFS(Outbound!$C$2:$C$501,"Apollo",Outbound!$R$2:$R$501,"Contract signed + paid")</f>
        <v>0</v>
      </c>
      <c r="J38" s="27" t="n">
        <f aca="false">IFERROR(AVERAGEIFS(Outbound!$N$2:$N$501,Outbound!$C$2:$C$501,"Apollo"),"-")</f>
        <v>46</v>
      </c>
    </row>
    <row r="39" customFormat="false" ht="15" hidden="false" customHeight="false" outlineLevel="0" collapsed="false">
      <c r="B39" s="17" t="s">
        <v>126</v>
      </c>
      <c r="C39" s="24" t="n">
        <f aca="false">SUMIFS(Clients!$I$2:$I$501,Clients!$Q$2:$Q$501,"Active*")</f>
        <v>0</v>
      </c>
      <c r="G39" s="17" t="s">
        <v>127</v>
      </c>
      <c r="H39" s="17" t="n">
        <f aca="false">COUNTIF(Outbound!$C$2:$C$501,"LinkedIn")</f>
        <v>0</v>
      </c>
      <c r="I39" s="17" t="n">
        <f aca="false">COUNTIFS(Outbound!$C$2:$C$501,"LinkedIn",Outbound!$R$2:$R$501,"Contract signed + paid")</f>
        <v>0</v>
      </c>
      <c r="J39" s="27" t="str">
        <f aca="false">IFERROR(AVERAGEIFS(Outbound!$N$2:$N$501,Outbound!$C$2:$C$501,"LinkedIn"),"-")</f>
        <v>-</v>
      </c>
    </row>
    <row r="40" customFormat="false" ht="15" hidden="false" customHeight="false" outlineLevel="0" collapsed="false">
      <c r="B40" s="17" t="s">
        <v>128</v>
      </c>
      <c r="C40" s="18" t="n">
        <f aca="false">COUNTIF(Clients!$Q$2:$Q$501,"Decision*")</f>
        <v>1</v>
      </c>
      <c r="G40" s="17" t="s">
        <v>129</v>
      </c>
      <c r="H40" s="17" t="n">
        <f aca="false">COUNTIF(Outbound!$C$2:$C$501,"Google Maps")</f>
        <v>0</v>
      </c>
      <c r="I40" s="17" t="n">
        <f aca="false">COUNTIFS(Outbound!$C$2:$C$501,"Google Maps",Outbound!$R$2:$R$501,"Contract signed + paid")</f>
        <v>0</v>
      </c>
      <c r="J40" s="27" t="str">
        <f aca="false">IFERROR(AVERAGEIFS(Outbound!$N$2:$N$501,Outbound!$C$2:$C$501,"Google Maps"),"-")</f>
        <v>-</v>
      </c>
    </row>
    <row r="41" customFormat="false" ht="15" hidden="false" customHeight="false" outlineLevel="0" collapsed="false">
      <c r="B41" s="17" t="s">
        <v>130</v>
      </c>
      <c r="C41" s="18" t="n">
        <f aca="false">COUNTIF(Clients!$Q$2:$Q$501,"Schedule free video")+COUNTIF(Clients!$Q$2:$Q$501,"Free video in production")</f>
        <v>0</v>
      </c>
      <c r="G41" s="17" t="s">
        <v>131</v>
      </c>
      <c r="H41" s="17" t="n">
        <f aca="false">COUNTIF(Outbound!$C$2:$C$501,"Instagram research")</f>
        <v>0</v>
      </c>
      <c r="I41" s="17" t="n">
        <f aca="false">COUNTIFS(Outbound!$C$2:$C$501,"Instagram research",Outbound!$R$2:$R$501,"Contract signed + paid")</f>
        <v>0</v>
      </c>
      <c r="J41" s="27" t="str">
        <f aca="false">IFERROR(AVERAGEIFS(Outbound!$N$2:$N$501,Outbound!$C$2:$C$501,"Instagram research"),"-")</f>
        <v>-</v>
      </c>
    </row>
    <row r="42" customFormat="false" ht="15" hidden="false" customHeight="false" outlineLevel="0" collapsed="false">
      <c r="B42" s="17" t="s">
        <v>132</v>
      </c>
      <c r="C42" s="28" t="str">
        <f aca="false">IFERROR(COUNTIF(Clients!$Q$2:$Q$501,"Active*")/(COUNTIF(Clients!$Q$2:$Q$501,"Active*")+COUNTIF(Clients!$P$2:$P$501,"Backed out")),"-")</f>
        <v>-</v>
      </c>
      <c r="G42" s="17" t="s">
        <v>133</v>
      </c>
      <c r="H42" s="17" t="n">
        <f aca="false">COUNTIF(Outbound!$C$2:$C$501,"Event / networking")</f>
        <v>0</v>
      </c>
      <c r="I42" s="17" t="n">
        <f aca="false">COUNTIFS(Outbound!$C$2:$C$501,"Event / networking",Outbound!$R$2:$R$501,"Contract signed + paid")</f>
        <v>0</v>
      </c>
      <c r="J42" s="27" t="str">
        <f aca="false">IFERROR(AVERAGEIFS(Outbound!$N$2:$N$501,Outbound!$C$2:$C$501,"Event / networking"),"-")</f>
        <v>-</v>
      </c>
    </row>
    <row r="43" customFormat="false" ht="15" hidden="false" customHeight="false" outlineLevel="0" collapsed="false">
      <c r="B43" s="17" t="s">
        <v>134</v>
      </c>
      <c r="C43" s="18" t="n">
        <f aca="false">COUNTIF(Clients!$Q$2:$Q$501,"Awaiting payment")</f>
        <v>0</v>
      </c>
      <c r="G43" s="17" t="s">
        <v>135</v>
      </c>
      <c r="H43" s="17" t="n">
        <f aca="false">COUNTIF(Outbound!$C$2:$C$501,"Other")</f>
        <v>0</v>
      </c>
      <c r="I43" s="17" t="n">
        <f aca="false">COUNTIFS(Outbound!$C$2:$C$501,"Other",Outbound!$R$2:$R$501,"Contract signed + paid")</f>
        <v>0</v>
      </c>
      <c r="J43" s="27" t="str">
        <f aca="false">IFERROR(AVERAGEIFS(Outbound!$N$2:$N$501,Outbound!$C$2:$C$501,"Other"),"-")</f>
        <v>-</v>
      </c>
    </row>
    <row r="45" customFormat="false" ht="15" hidden="false" customHeight="false" outlineLevel="0" collapsed="false">
      <c r="B45" s="14" t="s">
        <v>136</v>
      </c>
      <c r="C45" s="15"/>
      <c r="D45" s="15"/>
      <c r="E45" s="15"/>
    </row>
    <row r="46" customFormat="false" ht="15" hidden="false" customHeight="false" outlineLevel="0" collapsed="false">
      <c r="C46" s="16" t="s">
        <v>16</v>
      </c>
      <c r="D46" s="16" t="s">
        <v>18</v>
      </c>
      <c r="E46" s="16" t="s">
        <v>87</v>
      </c>
    </row>
    <row r="47" customFormat="false" ht="15" hidden="false" customHeight="false" outlineLevel="0" collapsed="false">
      <c r="B47" s="17" t="s">
        <v>137</v>
      </c>
      <c r="C47" s="18" t="n">
        <f aca="false">COUNTIFS(Inbound!$R$2:$R$501,"Hot")-COUNTIFS(Inbound!$R$2:$R$501,"Hot",Inbound!$U$2:$U$501,"Contract signed + paid")-COUNTIFS(Inbound!$R$2:$R$501,"Hot",Inbound!$U$2:$U$501,"Closed – No response")-COUNTIFS(Inbound!$R$2:$R$501,"Hot",Inbound!$U$2:$U$501,"Lost")</f>
        <v>1</v>
      </c>
      <c r="D47" s="19" t="n">
        <f aca="false">COUNTIFS(Outbound!$O$2:$O$501,"Hot")-COUNTIFS(Outbound!$O$2:$O$501,"Hot",Outbound!$R$2:$R$501,"Contract signed + paid")-COUNTIFS(Outbound!$O$2:$O$501,"Hot",Outbound!$R$2:$R$501,"Closed – No response")-COUNTIFS(Outbound!$O$2:$O$501,"Hot",Outbound!$R$2:$R$501,"Lost")</f>
        <v>0</v>
      </c>
      <c r="E47" s="21" t="n">
        <f aca="false">C47+D47</f>
        <v>1</v>
      </c>
    </row>
    <row r="48" customFormat="false" ht="15" hidden="false" customHeight="false" outlineLevel="0" collapsed="false">
      <c r="B48" s="17" t="s">
        <v>138</v>
      </c>
      <c r="C48" s="18" t="n">
        <f aca="false">COUNTIFS(Inbound!$R$2:$R$501,"Warm")-COUNTIFS(Inbound!$R$2:$R$501,"Warm",Inbound!$U$2:$U$501,"Contract signed + paid")-COUNTIFS(Inbound!$R$2:$R$501,"Warm",Inbound!$U$2:$U$501,"Closed – No response")-COUNTIFS(Inbound!$R$2:$R$501,"Warm",Inbound!$U$2:$U$501,"Lost")</f>
        <v>0</v>
      </c>
      <c r="D48" s="19" t="n">
        <f aca="false">COUNTIFS(Outbound!$O$2:$O$501,"Warm")-COUNTIFS(Outbound!$O$2:$O$501,"Warm",Outbound!$R$2:$R$501,"Contract signed + paid")-COUNTIFS(Outbound!$O$2:$O$501,"Warm",Outbound!$R$2:$R$501,"Closed – No response")-COUNTIFS(Outbound!$O$2:$O$501,"Warm",Outbound!$R$2:$R$501,"Lost")</f>
        <v>1</v>
      </c>
      <c r="E48" s="19" t="n">
        <f aca="false">C48+D48</f>
        <v>1</v>
      </c>
    </row>
    <row r="49" customFormat="false" ht="15" hidden="false" customHeight="false" outlineLevel="0" collapsed="false">
      <c r="B49" s="17" t="s">
        <v>139</v>
      </c>
      <c r="C49" s="18" t="n">
        <f aca="false">COUNTIFS(Inbound!$R$2:$R$501,"Cold")-COUNTIFS(Inbound!$R$2:$R$501,"Cold",Inbound!$U$2:$U$501,"Contract signed + paid")-COUNTIFS(Inbound!$R$2:$R$501,"Cold",Inbound!$U$2:$U$501,"Closed – No response")-COUNTIFS(Inbound!$R$2:$R$501,"Cold",Inbound!$U$2:$U$501,"Lost")</f>
        <v>0</v>
      </c>
      <c r="D49" s="19" t="n">
        <f aca="false">COUNTIFS(Outbound!$O$2:$O$501,"Cold")-COUNTIFS(Outbound!$O$2:$O$501,"Cold",Outbound!$R$2:$R$501,"Contract signed + paid")-COUNTIFS(Outbound!$O$2:$O$501,"Cold",Outbound!$R$2:$R$501,"Closed – No response")-COUNTIFS(Outbound!$O$2:$O$501,"Cold",Outbound!$R$2:$R$501,"Lost")</f>
        <v>0</v>
      </c>
      <c r="E49" s="19" t="n">
        <f aca="false">C49+D49</f>
        <v>0</v>
      </c>
    </row>
    <row r="50" customFormat="false" ht="15" hidden="false" customHeight="false" outlineLevel="0" collapsed="false">
      <c r="B50" s="17" t="s">
        <v>140</v>
      </c>
      <c r="C50" s="18" t="n">
        <f aca="false">COUNTIFS(Inbound!$R$2:$R$501,"No scoresheet yet")-COUNTIFS(Inbound!$R$2:$R$501,"No scoresheet yet",Inbound!$U$2:$U$501,"Contract signed + paid")-COUNTIFS(Inbound!$R$2:$R$501,"No scoresheet yet",Inbound!$U$2:$U$501,"Closed – No response")-COUNTIFS(Inbound!$R$2:$R$501,"No scoresheet yet",Inbound!$U$2:$U$501,"Lost")+COUNTIFS(Inbound!$R$2:$R$501,"Partly*")-COUNTIFS(Inbound!$R$2:$R$501,"Partly*",Inbound!$U$2:$U$501,"Contract signed + paid")-COUNTIFS(Inbound!$R$2:$R$501,"Partly*",Inbound!$U$2:$U$501,"Closed – No response")-COUNTIFS(Inbound!$R$2:$R$501,"Partly*",Inbound!$U$2:$U$501,"Lost")</f>
        <v>0</v>
      </c>
      <c r="D50" s="19" t="n">
        <f aca="false">COUNTIFS(Outbound!$O$2:$O$501,"No scoresheet yet")-COUNTIFS(Outbound!$O$2:$O$501,"No scoresheet yet",Outbound!$R$2:$R$501,"Contract signed + paid")-COUNTIFS(Outbound!$O$2:$O$501,"No scoresheet yet",Outbound!$R$2:$R$501,"Closed – No response")-COUNTIFS(Outbound!$O$2:$O$501,"No scoresheet yet",Outbound!$R$2:$R$501,"Lost")+COUNTIFS(Outbound!$O$2:$O$501,"Partly*")-COUNTIFS(Outbound!$O$2:$O$501,"Partly*",Outbound!$R$2:$R$501,"Contract signed + paid")-COUNTIFS(Outbound!$O$2:$O$501,"Partly*",Outbound!$R$2:$R$501,"Closed – No response")-COUNTIFS(Outbound!$O$2:$O$501,"Partly*",Outbound!$R$2:$R$501,"Lost")</f>
        <v>0</v>
      </c>
      <c r="E50" s="19" t="n">
        <f aca="false">C50+D50</f>
        <v>0</v>
      </c>
    </row>
    <row r="51" customFormat="false" ht="15" hidden="false" customHeight="false" outlineLevel="0" collapsed="false">
      <c r="B51" s="17" t="s">
        <v>141</v>
      </c>
      <c r="C51" s="18" t="n">
        <f aca="false">COUNTIFS(Inbound!$S$2:$S$501,"🚩*")-COUNTIFS(Inbound!$S$2:$S$501,"🚩*",Inbound!$U$2:$U$501,"Contract signed + paid")-COUNTIFS(Inbound!$S$2:$S$501,"🚩*",Inbound!$U$2:$U$501,"Closed – No response")-COUNTIFS(Inbound!$S$2:$S$501,"🚩*",Inbound!$U$2:$U$501,"Lost")</f>
        <v>0</v>
      </c>
      <c r="D51" s="19" t="n">
        <f aca="false">COUNTIFS(Outbound!$P$2:$P$501,"🚩*")-COUNTIFS(Outbound!$P$2:$P$501,"🚩*",Outbound!$R$2:$R$501,"Contract signed + paid")-COUNTIFS(Outbound!$P$2:$P$501,"🚩*",Outbound!$R$2:$R$501,"Closed – No response")-COUNTIFS(Outbound!$P$2:$P$501,"🚩*",Outbound!$R$2:$R$501,"Lost")</f>
        <v>1</v>
      </c>
      <c r="E51" s="19" t="n">
        <f aca="false">C51+D51</f>
        <v>1</v>
      </c>
    </row>
    <row r="53" customFormat="false" ht="15" hidden="false" customHeight="false" outlineLevel="0" collapsed="false">
      <c r="B53" s="25" t="s">
        <v>142</v>
      </c>
    </row>
    <row r="54" customFormat="false" ht="15" hidden="false" customHeight="false" outlineLevel="0" collapsed="false">
      <c r="B54" s="17" t="s">
        <v>143</v>
      </c>
      <c r="C54" s="28" t="n">
        <f aca="false">IFERROR((COUNTIFS(Inbound!$R$2:$R$501,"Hot",Inbound!$U$2:$U$501,"Contract signed + paid")+COUNTIFS(Outbound!$O$2:$O$501,"Hot",Outbound!$R$2:$R$501,"Contract signed + paid"))/(COUNTIF(Inbound!$R$2:$R$501,"Hot")+COUNTIF(Outbound!$O$2:$O$501,"Hot")),"-")</f>
        <v>0</v>
      </c>
    </row>
    <row r="55" customFormat="false" ht="15" hidden="false" customHeight="false" outlineLevel="0" collapsed="false">
      <c r="B55" s="17" t="s">
        <v>144</v>
      </c>
      <c r="C55" s="28" t="n">
        <f aca="false">IFERROR((COUNTIFS(Inbound!$R$2:$R$501,"Warm",Inbound!$U$2:$U$501,"Contract signed + paid")+COUNTIFS(Outbound!$O$2:$O$501,"Warm",Outbound!$R$2:$R$501,"Contract signed + paid"))/(COUNTIF(Inbound!$R$2:$R$501,"Warm")+COUNTIF(Outbound!$O$2:$O$501,"Warm")),"-")</f>
        <v>0</v>
      </c>
    </row>
    <row r="56" customFormat="false" ht="15" hidden="false" customHeight="false" outlineLevel="0" collapsed="false">
      <c r="B56" s="17" t="s">
        <v>145</v>
      </c>
      <c r="C56" s="28" t="str">
        <f aca="false">IFERROR((COUNTIFS(Inbound!$R$2:$R$501,"Cold",Inbound!$U$2:$U$501,"Contract signed + paid")+COUNTIFS(Outbound!$O$2:$O$501,"Cold",Outbound!$R$2:$R$501,"Contract signed + paid"))/(COUNTIF(Inbound!$R$2:$R$501,"Cold")+COUNTIF(Outbound!$O$2:$O$501,"Cold")),"-")</f>
        <v>-</v>
      </c>
    </row>
  </sheetData>
  <dataValidations count="1">
    <dataValidation allowBlank="true" error="Enter a date - double-click the cell for a calendar." errorStyle="stop" errorTitle="Not a date" operator="between" showDropDown="false" showErrorMessage="false" showInputMessage="false" sqref="C3" type="date">
      <formula1>DATE(2020,1,1)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AE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6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9" min="7" style="0" width="16"/>
    <col collapsed="false" customWidth="true" hidden="false" outlineLevel="0" max="10" min="10" style="0" width="24"/>
    <col collapsed="false" customWidth="true" hidden="false" outlineLevel="0" max="12" min="11" style="0" width="16"/>
    <col collapsed="false" customWidth="true" hidden="false" outlineLevel="0" max="13" min="13" style="0" width="20"/>
    <col collapsed="false" customWidth="true" hidden="false" outlineLevel="0" max="16" min="14" style="0" width="16"/>
    <col collapsed="false" customWidth="true" hidden="false" outlineLevel="0" max="17" min="17" style="0" width="9"/>
    <col collapsed="false" customWidth="true" hidden="false" outlineLevel="0" max="18" min="18" style="0" width="18"/>
    <col collapsed="false" customWidth="true" hidden="false" outlineLevel="0" max="19" min="19" style="0" width="30"/>
    <col collapsed="false" customWidth="true" hidden="false" outlineLevel="0" max="20" min="20" style="0" width="16"/>
    <col collapsed="false" customWidth="true" hidden="false" outlineLevel="0" max="21" min="21" style="0" width="22"/>
    <col collapsed="false" customWidth="true" hidden="false" outlineLevel="0" max="27" min="22" style="0" width="16"/>
    <col collapsed="false" customWidth="true" hidden="false" outlineLevel="0" max="28" min="28" style="0" width="22"/>
    <col collapsed="false" customWidth="true" hidden="false" outlineLevel="0" max="29" min="29" style="0" width="34"/>
    <col collapsed="false" customWidth="true" hidden="false" outlineLevel="0" max="30" min="30" style="0" width="16"/>
    <col collapsed="false" customWidth="true" hidden="false" outlineLevel="0" max="31" min="31" style="0" width="30"/>
  </cols>
  <sheetData>
    <row r="1" customFormat="false" ht="31.5" hidden="false" customHeight="true" outlineLevel="0" collapsed="false">
      <c r="A1" s="29" t="s">
        <v>146</v>
      </c>
      <c r="B1" s="29" t="s">
        <v>147</v>
      </c>
      <c r="C1" s="29" t="s">
        <v>148</v>
      </c>
      <c r="D1" s="29" t="s">
        <v>149</v>
      </c>
      <c r="E1" s="29" t="s">
        <v>150</v>
      </c>
      <c r="F1" s="29" t="s">
        <v>151</v>
      </c>
      <c r="G1" s="29" t="s">
        <v>152</v>
      </c>
      <c r="H1" s="29" t="s">
        <v>153</v>
      </c>
      <c r="I1" s="29" t="s">
        <v>154</v>
      </c>
      <c r="J1" s="29" t="s">
        <v>155</v>
      </c>
      <c r="K1" s="29" t="s">
        <v>156</v>
      </c>
      <c r="L1" s="29" t="s">
        <v>157</v>
      </c>
      <c r="M1" s="29" t="s">
        <v>158</v>
      </c>
      <c r="N1" s="29" t="s">
        <v>159</v>
      </c>
      <c r="O1" s="29" t="s">
        <v>160</v>
      </c>
      <c r="P1" s="30" t="s">
        <v>161</v>
      </c>
      <c r="Q1" s="30" t="s">
        <v>51</v>
      </c>
      <c r="R1" s="30" t="s">
        <v>162</v>
      </c>
      <c r="S1" s="30" t="s">
        <v>53</v>
      </c>
      <c r="T1" s="29" t="s">
        <v>64</v>
      </c>
      <c r="U1" s="29" t="s">
        <v>163</v>
      </c>
      <c r="V1" s="29" t="s">
        <v>164</v>
      </c>
      <c r="W1" s="29" t="s">
        <v>165</v>
      </c>
      <c r="X1" s="30" t="s">
        <v>166</v>
      </c>
      <c r="Y1" s="29" t="s">
        <v>167</v>
      </c>
      <c r="Z1" s="29" t="s">
        <v>168</v>
      </c>
      <c r="AA1" s="29" t="s">
        <v>169</v>
      </c>
      <c r="AB1" s="29" t="s">
        <v>170</v>
      </c>
      <c r="AC1" s="29" t="s">
        <v>171</v>
      </c>
      <c r="AD1" s="30" t="s">
        <v>172</v>
      </c>
      <c r="AE1" s="30" t="s">
        <v>173</v>
      </c>
    </row>
    <row r="2" customFormat="false" ht="15" hidden="false" customHeight="false" outlineLevel="0" collapsed="false">
      <c r="A2" s="31" t="s">
        <v>174</v>
      </c>
      <c r="B2" s="32" t="n">
        <v>46310</v>
      </c>
      <c r="C2" s="33" t="n">
        <v>0.416666666666667</v>
      </c>
      <c r="D2" s="31" t="s">
        <v>175</v>
      </c>
      <c r="E2" s="31" t="s">
        <v>176</v>
      </c>
      <c r="F2" s="31" t="s">
        <v>177</v>
      </c>
      <c r="G2" s="31" t="s">
        <v>178</v>
      </c>
      <c r="H2" s="31" t="s">
        <v>64</v>
      </c>
      <c r="I2" s="34" t="s">
        <v>179</v>
      </c>
      <c r="J2" s="31" t="s">
        <v>180</v>
      </c>
      <c r="K2" s="31" t="s">
        <v>181</v>
      </c>
      <c r="L2" s="31" t="s">
        <v>182</v>
      </c>
      <c r="M2" s="31" t="s">
        <v>183</v>
      </c>
      <c r="N2" s="32" t="n">
        <v>46310</v>
      </c>
      <c r="O2" s="33" t="n">
        <v>0.4375</v>
      </c>
      <c r="P2" s="35" t="n">
        <f aca="false">IF(OR(B2="",N2=""),"",ROUND(((N2+N(O2))-(B2+N(C2)))*24,1))</f>
        <v>0.5</v>
      </c>
      <c r="Q2" s="36" t="n">
        <f aca="false">IF(OR(E2="",A2="",COUNTIFS(Scoresheet!$C$2:$C$501,A2,Scoresheet!$U$2:$U$501,1)=0),"",SUMIFS(Scoresheet!$O$2:$O$501,Scoresheet!$C$2:$C$501,A2,Scoresheet!$U$2:$U$501,1))</f>
        <v>100</v>
      </c>
      <c r="R2" s="37" t="str">
        <f aca="false">IF(E2="","",IF(OR(A2="",COUNTIFS(Scoresheet!$C$2:$C$501,A2,Scoresheet!$U$2:$U$501,1)=0),"No scoresheet yet",IF(SUMIFS(Scoresheet!$N$2:$N$501,Scoresheet!$C$2:$C$501,A2,Scoresheet!$U$2:$U$501,1)&lt;6,"Partly scored ("&amp;SUMIFS(Scoresheet!$N$2:$N$501,Scoresheet!$C$2:$C$501,A2,Scoresheet!$U$2:$U$501,1)&amp;"/6)",IF(Q2&gt;=Settings!$S$8,"Hot",IF(Q2&gt;=Settings!$S$9,"Warm","Cold")))))</f>
        <v>Hot</v>
      </c>
      <c r="S2" s="37" t="str">
        <f aca="false">IF(OR(E2="",A2=""),"",IF(AND(COUNTIFS(Scoresheet!$C$2:$C$501,A2,Scoresheet!$U$2:$U$501,1,Scoresheet!$H$2:$H$501,"No")&gt;0,COUNTIFS(Scoresheet!$C$2:$C$501,A2,Scoresheet!$U$2:$U$501,1,Scoresheet!$J$2:$J$501,"No")&gt;0),"🚩 Budget  ·  🚩 No one on camera",IF(COUNTIFS(Scoresheet!$C$2:$C$501,A2,Scoresheet!$U$2:$U$501,1,Scoresheet!$H$2:$H$501,"No")&gt;0,"🚩 Budget under AED 5k",IF(COUNTIFS(Scoresheet!$C$2:$C$501,A2,Scoresheet!$U$2:$U$501,1,Scoresheet!$J$2:$J$501,"No")&gt;0,"🚩 No one on camera",""))))</f>
        <v/>
      </c>
      <c r="T2" s="31" t="s">
        <v>58</v>
      </c>
      <c r="U2" s="31" t="s">
        <v>184</v>
      </c>
      <c r="V2" s="32" t="n">
        <v>46312</v>
      </c>
      <c r="W2" s="31" t="n">
        <v>1</v>
      </c>
      <c r="X2" s="38" t="n">
        <f aca="false">IF(OR(E2="",V2="",OR(U2="Contract signed + paid",U2="Closed – No response",U2="Lost"),N(W2)&gt;=Settings!$S$3),"",V2+Settings!$S$2)</f>
        <v>46315</v>
      </c>
      <c r="Y2" s="32" t="n">
        <v>46311</v>
      </c>
      <c r="Z2" s="33" t="n">
        <v>0.625</v>
      </c>
      <c r="AA2" s="31" t="s">
        <v>185</v>
      </c>
      <c r="AB2" s="31"/>
      <c r="AC2" s="31" t="s">
        <v>186</v>
      </c>
      <c r="AD2" s="39" t="n">
        <f aca="true">IF(OR(E2="",B2=""),"",INT(TODAY()-B2))</f>
        <v>6</v>
      </c>
      <c r="AE2" s="37" t="str">
        <f aca="true">IF(E2="","",IF(OR(COUNTIFS(Clients!$C$2:$C$501,E2,Clients!$S$2:$S$501,"Paid")&gt;0,AND(I2&lt;&gt;"",COUNTIFS(Clients!$E$2:$E$501,I2,Clients!$S$2:$S$501,"Paid")&gt;0)),"⚠ Refunded before – no free video",IF(OR(U2="Contract signed + paid",U2="Closed – No response",U2="Lost"),"",IF(U2="","Set a stage",IF(AND(U2="Proposal sent",SUMIFS(Scoresheet!$N$2:$N$501,Scoresheet!$C$2:$C$501,A2,Scoresheet!$U$2:$U$501,1)&lt;6),"Score this lead – fill the call scoresheet",IF(N(W2)&gt;=Settings!$S$3,"Close – 4 follow-ups sent",IF(X2="",IF(V2="","Make first contact",""),IF(TODAY()&gt;X2,"OVERDUE follow-up",IF(TODAY()=X2,"Follow up today","")))))))))</f>
        <v>OVERDUE follow-up</v>
      </c>
    </row>
    <row r="3" customFormat="false" ht="15" hidden="false" customHeight="false" outlineLevel="0" collapsed="false">
      <c r="A3" s="17"/>
      <c r="B3" s="40"/>
      <c r="C3" s="41"/>
      <c r="D3" s="17"/>
      <c r="E3" s="17"/>
      <c r="F3" s="17"/>
      <c r="G3" s="17"/>
      <c r="H3" s="17"/>
      <c r="I3" s="42"/>
      <c r="J3" s="17"/>
      <c r="K3" s="17"/>
      <c r="L3" s="17"/>
      <c r="M3" s="17"/>
      <c r="N3" s="40"/>
      <c r="O3" s="41"/>
      <c r="P3" s="43" t="str">
        <f aca="false">IF(OR(B3="",N3=""),"",ROUND(((N3+N(O3))-(B3+N(C3)))*24,1))</f>
        <v/>
      </c>
      <c r="Q3" s="44" t="str">
        <f aca="false">IF(OR(E3="",A3="",COUNTIFS(Scoresheet!$C$2:$C$501,A3,Scoresheet!$U$2:$U$501,1)=0),"",SUMIFS(Scoresheet!$O$2:$O$501,Scoresheet!$C$2:$C$501,A3,Scoresheet!$U$2:$U$501,1))</f>
        <v/>
      </c>
      <c r="R3" s="44" t="str">
        <f aca="false">IF(E3="","",IF(OR(A3="",COUNTIFS(Scoresheet!$C$2:$C$501,A3,Scoresheet!$U$2:$U$501,1)=0),"No scoresheet yet",IF(SUMIFS(Scoresheet!$N$2:$N$501,Scoresheet!$C$2:$C$501,A3,Scoresheet!$U$2:$U$501,1)&lt;6,"Partly scored ("&amp;SUMIFS(Scoresheet!$N$2:$N$501,Scoresheet!$C$2:$C$501,A3,Scoresheet!$U$2:$U$501,1)&amp;"/6)",IF(Q3&gt;=Settings!$S$8,"Hot",IF(Q3&gt;=Settings!$S$9,"Warm","Cold")))))</f>
        <v/>
      </c>
      <c r="S3" s="44" t="str">
        <f aca="false">IF(OR(E3="",A3=""),"",IF(AND(COUNTIFS(Scoresheet!$C$2:$C$501,A3,Scoresheet!$U$2:$U$501,1,Scoresheet!$H$2:$H$501,"No")&gt;0,COUNTIFS(Scoresheet!$C$2:$C$501,A3,Scoresheet!$U$2:$U$501,1,Scoresheet!$J$2:$J$501,"No")&gt;0),"🚩 Budget  ·  🚩 No one on camera",IF(COUNTIFS(Scoresheet!$C$2:$C$501,A3,Scoresheet!$U$2:$U$501,1,Scoresheet!$H$2:$H$501,"No")&gt;0,"🚩 Budget under AED 5k",IF(COUNTIFS(Scoresheet!$C$2:$C$501,A3,Scoresheet!$U$2:$U$501,1,Scoresheet!$J$2:$J$501,"No")&gt;0,"🚩 No one on camera",""))))</f>
        <v/>
      </c>
      <c r="T3" s="17"/>
      <c r="U3" s="17"/>
      <c r="V3" s="40"/>
      <c r="W3" s="17"/>
      <c r="X3" s="45" t="str">
        <f aca="false">IF(OR(E3="",V3="",OR(U3="Contract signed + paid",U3="Closed – No response",U3="Lost"),N(W3)&gt;=Settings!$S$3),"",V3+Settings!$S$2)</f>
        <v/>
      </c>
      <c r="Y3" s="40"/>
      <c r="Z3" s="41"/>
      <c r="AA3" s="17"/>
      <c r="AB3" s="17"/>
      <c r="AC3" s="17"/>
      <c r="AD3" s="46" t="str">
        <f aca="true">IF(OR(E3="",B3=""),"",INT(TODAY()-B3))</f>
        <v/>
      </c>
      <c r="AE3" s="44" t="str">
        <f aca="true">IF(E3="","",IF(OR(COUNTIFS(Clients!$C$2:$C$501,E3,Clients!$S$2:$S$501,"Paid")&gt;0,AND(I3&lt;&gt;"",COUNTIFS(Clients!$E$2:$E$501,I3,Clients!$S$2:$S$501,"Paid")&gt;0)),"⚠ Refunded before – no free video",IF(OR(U3="Contract signed + paid",U3="Closed – No response",U3="Lost"),"",IF(U3="","Set a stage",IF(AND(U3="Proposal sent",SUMIFS(Scoresheet!$N$2:$N$501,Scoresheet!$C$2:$C$501,A3,Scoresheet!$U$2:$U$501,1)&lt;6),"Score this lead – fill the call scoresheet",IF(N(W3)&gt;=Settings!$S$3,"Close – 4 follow-ups sent",IF(X3="",IF(V3="","Make first contact",""),IF(TODAY()&gt;X3,"OVERDUE follow-up",IF(TODAY()=X3,"Follow up today","")))))))))</f>
        <v/>
      </c>
    </row>
    <row r="4" customFormat="false" ht="15" hidden="false" customHeight="false" outlineLevel="0" collapsed="false">
      <c r="A4" s="17"/>
      <c r="B4" s="40"/>
      <c r="C4" s="41"/>
      <c r="D4" s="17"/>
      <c r="E4" s="17"/>
      <c r="F4" s="17"/>
      <c r="G4" s="17"/>
      <c r="H4" s="17"/>
      <c r="I4" s="42"/>
      <c r="J4" s="17"/>
      <c r="K4" s="17"/>
      <c r="L4" s="17"/>
      <c r="M4" s="17"/>
      <c r="N4" s="40"/>
      <c r="O4" s="41"/>
      <c r="P4" s="43" t="str">
        <f aca="false">IF(OR(B4="",N4=""),"",ROUND(((N4+N(O4))-(B4+N(C4)))*24,1))</f>
        <v/>
      </c>
      <c r="Q4" s="44" t="str">
        <f aca="false">IF(OR(E4="",A4="",COUNTIFS(Scoresheet!$C$2:$C$501,A4,Scoresheet!$U$2:$U$501,1)=0),"",SUMIFS(Scoresheet!$O$2:$O$501,Scoresheet!$C$2:$C$501,A4,Scoresheet!$U$2:$U$501,1))</f>
        <v/>
      </c>
      <c r="R4" s="44" t="str">
        <f aca="false">IF(E4="","",IF(OR(A4="",COUNTIFS(Scoresheet!$C$2:$C$501,A4,Scoresheet!$U$2:$U$501,1)=0),"No scoresheet yet",IF(SUMIFS(Scoresheet!$N$2:$N$501,Scoresheet!$C$2:$C$501,A4,Scoresheet!$U$2:$U$501,1)&lt;6,"Partly scored ("&amp;SUMIFS(Scoresheet!$N$2:$N$501,Scoresheet!$C$2:$C$501,A4,Scoresheet!$U$2:$U$501,1)&amp;"/6)",IF(Q4&gt;=Settings!$S$8,"Hot",IF(Q4&gt;=Settings!$S$9,"Warm","Cold")))))</f>
        <v/>
      </c>
      <c r="S4" s="44" t="str">
        <f aca="false">IF(OR(E4="",A4=""),"",IF(AND(COUNTIFS(Scoresheet!$C$2:$C$501,A4,Scoresheet!$U$2:$U$501,1,Scoresheet!$H$2:$H$501,"No")&gt;0,COUNTIFS(Scoresheet!$C$2:$C$501,A4,Scoresheet!$U$2:$U$501,1,Scoresheet!$J$2:$J$501,"No")&gt;0),"🚩 Budget  ·  🚩 No one on camera",IF(COUNTIFS(Scoresheet!$C$2:$C$501,A4,Scoresheet!$U$2:$U$501,1,Scoresheet!$H$2:$H$501,"No")&gt;0,"🚩 Budget under AED 5k",IF(COUNTIFS(Scoresheet!$C$2:$C$501,A4,Scoresheet!$U$2:$U$501,1,Scoresheet!$J$2:$J$501,"No")&gt;0,"🚩 No one on camera",""))))</f>
        <v/>
      </c>
      <c r="T4" s="17"/>
      <c r="U4" s="17"/>
      <c r="V4" s="40"/>
      <c r="W4" s="17"/>
      <c r="X4" s="45" t="str">
        <f aca="false">IF(OR(E4="",V4="",OR(U4="Contract signed + paid",U4="Closed – No response",U4="Lost"),N(W4)&gt;=Settings!$S$3),"",V4+Settings!$S$2)</f>
        <v/>
      </c>
      <c r="Y4" s="40"/>
      <c r="Z4" s="41"/>
      <c r="AA4" s="17"/>
      <c r="AB4" s="17"/>
      <c r="AC4" s="17"/>
      <c r="AD4" s="46" t="str">
        <f aca="true">IF(OR(E4="",B4=""),"",INT(TODAY()-B4))</f>
        <v/>
      </c>
      <c r="AE4" s="44" t="str">
        <f aca="true">IF(E4="","",IF(OR(COUNTIFS(Clients!$C$2:$C$501,E4,Clients!$S$2:$S$501,"Paid")&gt;0,AND(I4&lt;&gt;"",COUNTIFS(Clients!$E$2:$E$501,I4,Clients!$S$2:$S$501,"Paid")&gt;0)),"⚠ Refunded before – no free video",IF(OR(U4="Contract signed + paid",U4="Closed – No response",U4="Lost"),"",IF(U4="","Set a stage",IF(AND(U4="Proposal sent",SUMIFS(Scoresheet!$N$2:$N$501,Scoresheet!$C$2:$C$501,A4,Scoresheet!$U$2:$U$501,1)&lt;6),"Score this lead – fill the call scoresheet",IF(N(W4)&gt;=Settings!$S$3,"Close – 4 follow-ups sent",IF(X4="",IF(V4="","Make first contact",""),IF(TODAY()&gt;X4,"OVERDUE follow-up",IF(TODAY()=X4,"Follow up today","")))))))))</f>
        <v/>
      </c>
    </row>
    <row r="5" customFormat="false" ht="15" hidden="false" customHeight="false" outlineLevel="0" collapsed="false">
      <c r="A5" s="17"/>
      <c r="B5" s="40"/>
      <c r="C5" s="41"/>
      <c r="D5" s="17"/>
      <c r="E5" s="17"/>
      <c r="F5" s="17"/>
      <c r="G5" s="17"/>
      <c r="H5" s="17"/>
      <c r="I5" s="42"/>
      <c r="J5" s="17"/>
      <c r="K5" s="17"/>
      <c r="L5" s="17"/>
      <c r="M5" s="17"/>
      <c r="N5" s="40"/>
      <c r="O5" s="41"/>
      <c r="P5" s="43" t="str">
        <f aca="false">IF(OR(B5="",N5=""),"",ROUND(((N5+N(O5))-(B5+N(C5)))*24,1))</f>
        <v/>
      </c>
      <c r="Q5" s="44" t="str">
        <f aca="false">IF(OR(E5="",A5="",COUNTIFS(Scoresheet!$C$2:$C$501,A5,Scoresheet!$U$2:$U$501,1)=0),"",SUMIFS(Scoresheet!$O$2:$O$501,Scoresheet!$C$2:$C$501,A5,Scoresheet!$U$2:$U$501,1))</f>
        <v/>
      </c>
      <c r="R5" s="44" t="str">
        <f aca="false">IF(E5="","",IF(OR(A5="",COUNTIFS(Scoresheet!$C$2:$C$501,A5,Scoresheet!$U$2:$U$501,1)=0),"No scoresheet yet",IF(SUMIFS(Scoresheet!$N$2:$N$501,Scoresheet!$C$2:$C$501,A5,Scoresheet!$U$2:$U$501,1)&lt;6,"Partly scored ("&amp;SUMIFS(Scoresheet!$N$2:$N$501,Scoresheet!$C$2:$C$501,A5,Scoresheet!$U$2:$U$501,1)&amp;"/6)",IF(Q5&gt;=Settings!$S$8,"Hot",IF(Q5&gt;=Settings!$S$9,"Warm","Cold")))))</f>
        <v/>
      </c>
      <c r="S5" s="44" t="str">
        <f aca="false">IF(OR(E5="",A5=""),"",IF(AND(COUNTIFS(Scoresheet!$C$2:$C$501,A5,Scoresheet!$U$2:$U$501,1,Scoresheet!$H$2:$H$501,"No")&gt;0,COUNTIFS(Scoresheet!$C$2:$C$501,A5,Scoresheet!$U$2:$U$501,1,Scoresheet!$J$2:$J$501,"No")&gt;0),"🚩 Budget  ·  🚩 No one on camera",IF(COUNTIFS(Scoresheet!$C$2:$C$501,A5,Scoresheet!$U$2:$U$501,1,Scoresheet!$H$2:$H$501,"No")&gt;0,"🚩 Budget under AED 5k",IF(COUNTIFS(Scoresheet!$C$2:$C$501,A5,Scoresheet!$U$2:$U$501,1,Scoresheet!$J$2:$J$501,"No")&gt;0,"🚩 No one on camera",""))))</f>
        <v/>
      </c>
      <c r="T5" s="17"/>
      <c r="U5" s="17"/>
      <c r="V5" s="40"/>
      <c r="W5" s="17"/>
      <c r="X5" s="45" t="str">
        <f aca="false">IF(OR(E5="",V5="",OR(U5="Contract signed + paid",U5="Closed – No response",U5="Lost"),N(W5)&gt;=Settings!$S$3),"",V5+Settings!$S$2)</f>
        <v/>
      </c>
      <c r="Y5" s="40"/>
      <c r="Z5" s="41"/>
      <c r="AA5" s="17"/>
      <c r="AB5" s="17"/>
      <c r="AC5" s="17"/>
      <c r="AD5" s="46" t="str">
        <f aca="true">IF(OR(E5="",B5=""),"",INT(TODAY()-B5))</f>
        <v/>
      </c>
      <c r="AE5" s="44" t="str">
        <f aca="true">IF(E5="","",IF(OR(COUNTIFS(Clients!$C$2:$C$501,E5,Clients!$S$2:$S$501,"Paid")&gt;0,AND(I5&lt;&gt;"",COUNTIFS(Clients!$E$2:$E$501,I5,Clients!$S$2:$S$501,"Paid")&gt;0)),"⚠ Refunded before – no free video",IF(OR(U5="Contract signed + paid",U5="Closed – No response",U5="Lost"),"",IF(U5="","Set a stage",IF(AND(U5="Proposal sent",SUMIFS(Scoresheet!$N$2:$N$501,Scoresheet!$C$2:$C$501,A5,Scoresheet!$U$2:$U$501,1)&lt;6),"Score this lead – fill the call scoresheet",IF(N(W5)&gt;=Settings!$S$3,"Close – 4 follow-ups sent",IF(X5="",IF(V5="","Make first contact",""),IF(TODAY()&gt;X5,"OVERDUE follow-up",IF(TODAY()=X5,"Follow up today","")))))))))</f>
        <v/>
      </c>
    </row>
    <row r="6" customFormat="false" ht="15" hidden="false" customHeight="false" outlineLevel="0" collapsed="false">
      <c r="A6" s="17"/>
      <c r="B6" s="40"/>
      <c r="C6" s="41"/>
      <c r="D6" s="17"/>
      <c r="E6" s="17"/>
      <c r="F6" s="17"/>
      <c r="G6" s="17"/>
      <c r="H6" s="17"/>
      <c r="I6" s="42"/>
      <c r="J6" s="17"/>
      <c r="K6" s="17"/>
      <c r="L6" s="17"/>
      <c r="M6" s="17"/>
      <c r="N6" s="40"/>
      <c r="O6" s="41"/>
      <c r="P6" s="43" t="str">
        <f aca="false">IF(OR(B6="",N6=""),"",ROUND(((N6+N(O6))-(B6+N(C6)))*24,1))</f>
        <v/>
      </c>
      <c r="Q6" s="44" t="str">
        <f aca="false">IF(OR(E6="",A6="",COUNTIFS(Scoresheet!$C$2:$C$501,A6,Scoresheet!$U$2:$U$501,1)=0),"",SUMIFS(Scoresheet!$O$2:$O$501,Scoresheet!$C$2:$C$501,A6,Scoresheet!$U$2:$U$501,1))</f>
        <v/>
      </c>
      <c r="R6" s="44" t="str">
        <f aca="false">IF(E6="","",IF(OR(A6="",COUNTIFS(Scoresheet!$C$2:$C$501,A6,Scoresheet!$U$2:$U$501,1)=0),"No scoresheet yet",IF(SUMIFS(Scoresheet!$N$2:$N$501,Scoresheet!$C$2:$C$501,A6,Scoresheet!$U$2:$U$501,1)&lt;6,"Partly scored ("&amp;SUMIFS(Scoresheet!$N$2:$N$501,Scoresheet!$C$2:$C$501,A6,Scoresheet!$U$2:$U$501,1)&amp;"/6)",IF(Q6&gt;=Settings!$S$8,"Hot",IF(Q6&gt;=Settings!$S$9,"Warm","Cold")))))</f>
        <v/>
      </c>
      <c r="S6" s="44" t="str">
        <f aca="false">IF(OR(E6="",A6=""),"",IF(AND(COUNTIFS(Scoresheet!$C$2:$C$501,A6,Scoresheet!$U$2:$U$501,1,Scoresheet!$H$2:$H$501,"No")&gt;0,COUNTIFS(Scoresheet!$C$2:$C$501,A6,Scoresheet!$U$2:$U$501,1,Scoresheet!$J$2:$J$501,"No")&gt;0),"🚩 Budget  ·  🚩 No one on camera",IF(COUNTIFS(Scoresheet!$C$2:$C$501,A6,Scoresheet!$U$2:$U$501,1,Scoresheet!$H$2:$H$501,"No")&gt;0,"🚩 Budget under AED 5k",IF(COUNTIFS(Scoresheet!$C$2:$C$501,A6,Scoresheet!$U$2:$U$501,1,Scoresheet!$J$2:$J$501,"No")&gt;0,"🚩 No one on camera",""))))</f>
        <v/>
      </c>
      <c r="T6" s="17"/>
      <c r="U6" s="17"/>
      <c r="V6" s="40"/>
      <c r="W6" s="17"/>
      <c r="X6" s="45" t="str">
        <f aca="false">IF(OR(E6="",V6="",OR(U6="Contract signed + paid",U6="Closed – No response",U6="Lost"),N(W6)&gt;=Settings!$S$3),"",V6+Settings!$S$2)</f>
        <v/>
      </c>
      <c r="Y6" s="40"/>
      <c r="Z6" s="41"/>
      <c r="AA6" s="17"/>
      <c r="AB6" s="17"/>
      <c r="AC6" s="17"/>
      <c r="AD6" s="46" t="str">
        <f aca="true">IF(OR(E6="",B6=""),"",INT(TODAY()-B6))</f>
        <v/>
      </c>
      <c r="AE6" s="44" t="str">
        <f aca="true">IF(E6="","",IF(OR(COUNTIFS(Clients!$C$2:$C$501,E6,Clients!$S$2:$S$501,"Paid")&gt;0,AND(I6&lt;&gt;"",COUNTIFS(Clients!$E$2:$E$501,I6,Clients!$S$2:$S$501,"Paid")&gt;0)),"⚠ Refunded before – no free video",IF(OR(U6="Contract signed + paid",U6="Closed – No response",U6="Lost"),"",IF(U6="","Set a stage",IF(AND(U6="Proposal sent",SUMIFS(Scoresheet!$N$2:$N$501,Scoresheet!$C$2:$C$501,A6,Scoresheet!$U$2:$U$501,1)&lt;6),"Score this lead – fill the call scoresheet",IF(N(W6)&gt;=Settings!$S$3,"Close – 4 follow-ups sent",IF(X6="",IF(V6="","Make first contact",""),IF(TODAY()&gt;X6,"OVERDUE follow-up",IF(TODAY()=X6,"Follow up today","")))))))))</f>
        <v/>
      </c>
    </row>
    <row r="7" customFormat="false" ht="15" hidden="false" customHeight="false" outlineLevel="0" collapsed="false">
      <c r="A7" s="17"/>
      <c r="B7" s="40"/>
      <c r="C7" s="41"/>
      <c r="D7" s="17"/>
      <c r="E7" s="17"/>
      <c r="F7" s="17"/>
      <c r="G7" s="17"/>
      <c r="H7" s="17"/>
      <c r="I7" s="42"/>
      <c r="J7" s="17"/>
      <c r="K7" s="17"/>
      <c r="L7" s="17"/>
      <c r="M7" s="17"/>
      <c r="N7" s="40"/>
      <c r="O7" s="41"/>
      <c r="P7" s="43" t="str">
        <f aca="false">IF(OR(B7="",N7=""),"",ROUND(((N7+N(O7))-(B7+N(C7)))*24,1))</f>
        <v/>
      </c>
      <c r="Q7" s="44" t="str">
        <f aca="false">IF(OR(E7="",A7="",COUNTIFS(Scoresheet!$C$2:$C$501,A7,Scoresheet!$U$2:$U$501,1)=0),"",SUMIFS(Scoresheet!$O$2:$O$501,Scoresheet!$C$2:$C$501,A7,Scoresheet!$U$2:$U$501,1))</f>
        <v/>
      </c>
      <c r="R7" s="44" t="str">
        <f aca="false">IF(E7="","",IF(OR(A7="",COUNTIFS(Scoresheet!$C$2:$C$501,A7,Scoresheet!$U$2:$U$501,1)=0),"No scoresheet yet",IF(SUMIFS(Scoresheet!$N$2:$N$501,Scoresheet!$C$2:$C$501,A7,Scoresheet!$U$2:$U$501,1)&lt;6,"Partly scored ("&amp;SUMIFS(Scoresheet!$N$2:$N$501,Scoresheet!$C$2:$C$501,A7,Scoresheet!$U$2:$U$501,1)&amp;"/6)",IF(Q7&gt;=Settings!$S$8,"Hot",IF(Q7&gt;=Settings!$S$9,"Warm","Cold")))))</f>
        <v/>
      </c>
      <c r="S7" s="44" t="str">
        <f aca="false">IF(OR(E7="",A7=""),"",IF(AND(COUNTIFS(Scoresheet!$C$2:$C$501,A7,Scoresheet!$U$2:$U$501,1,Scoresheet!$H$2:$H$501,"No")&gt;0,COUNTIFS(Scoresheet!$C$2:$C$501,A7,Scoresheet!$U$2:$U$501,1,Scoresheet!$J$2:$J$501,"No")&gt;0),"🚩 Budget  ·  🚩 No one on camera",IF(COUNTIFS(Scoresheet!$C$2:$C$501,A7,Scoresheet!$U$2:$U$501,1,Scoresheet!$H$2:$H$501,"No")&gt;0,"🚩 Budget under AED 5k",IF(COUNTIFS(Scoresheet!$C$2:$C$501,A7,Scoresheet!$U$2:$U$501,1,Scoresheet!$J$2:$J$501,"No")&gt;0,"🚩 No one on camera",""))))</f>
        <v/>
      </c>
      <c r="T7" s="17"/>
      <c r="U7" s="17"/>
      <c r="V7" s="40"/>
      <c r="W7" s="17"/>
      <c r="X7" s="45" t="str">
        <f aca="false">IF(OR(E7="",V7="",OR(U7="Contract signed + paid",U7="Closed – No response",U7="Lost"),N(W7)&gt;=Settings!$S$3),"",V7+Settings!$S$2)</f>
        <v/>
      </c>
      <c r="Y7" s="40"/>
      <c r="Z7" s="41"/>
      <c r="AA7" s="17"/>
      <c r="AB7" s="17"/>
      <c r="AC7" s="17"/>
      <c r="AD7" s="46" t="str">
        <f aca="true">IF(OR(E7="",B7=""),"",INT(TODAY()-B7))</f>
        <v/>
      </c>
      <c r="AE7" s="44" t="str">
        <f aca="true">IF(E7="","",IF(OR(COUNTIFS(Clients!$C$2:$C$501,E7,Clients!$S$2:$S$501,"Paid")&gt;0,AND(I7&lt;&gt;"",COUNTIFS(Clients!$E$2:$E$501,I7,Clients!$S$2:$S$501,"Paid")&gt;0)),"⚠ Refunded before – no free video",IF(OR(U7="Contract signed + paid",U7="Closed – No response",U7="Lost"),"",IF(U7="","Set a stage",IF(AND(U7="Proposal sent",SUMIFS(Scoresheet!$N$2:$N$501,Scoresheet!$C$2:$C$501,A7,Scoresheet!$U$2:$U$501,1)&lt;6),"Score this lead – fill the call scoresheet",IF(N(W7)&gt;=Settings!$S$3,"Close – 4 follow-ups sent",IF(X7="",IF(V7="","Make first contact",""),IF(TODAY()&gt;X7,"OVERDUE follow-up",IF(TODAY()=X7,"Follow up today","")))))))))</f>
        <v/>
      </c>
    </row>
    <row r="8" customFormat="false" ht="15" hidden="false" customHeight="false" outlineLevel="0" collapsed="false">
      <c r="A8" s="17"/>
      <c r="B8" s="40"/>
      <c r="C8" s="41"/>
      <c r="D8" s="17"/>
      <c r="E8" s="17"/>
      <c r="F8" s="17"/>
      <c r="G8" s="17"/>
      <c r="H8" s="17"/>
      <c r="I8" s="42"/>
      <c r="J8" s="17"/>
      <c r="K8" s="17"/>
      <c r="L8" s="17"/>
      <c r="M8" s="17"/>
      <c r="N8" s="40"/>
      <c r="O8" s="41"/>
      <c r="P8" s="43" t="str">
        <f aca="false">IF(OR(B8="",N8=""),"",ROUND(((N8+N(O8))-(B8+N(C8)))*24,1))</f>
        <v/>
      </c>
      <c r="Q8" s="44" t="str">
        <f aca="false">IF(OR(E8="",A8="",COUNTIFS(Scoresheet!$C$2:$C$501,A8,Scoresheet!$U$2:$U$501,1)=0),"",SUMIFS(Scoresheet!$O$2:$O$501,Scoresheet!$C$2:$C$501,A8,Scoresheet!$U$2:$U$501,1))</f>
        <v/>
      </c>
      <c r="R8" s="44" t="str">
        <f aca="false">IF(E8="","",IF(OR(A8="",COUNTIFS(Scoresheet!$C$2:$C$501,A8,Scoresheet!$U$2:$U$501,1)=0),"No scoresheet yet",IF(SUMIFS(Scoresheet!$N$2:$N$501,Scoresheet!$C$2:$C$501,A8,Scoresheet!$U$2:$U$501,1)&lt;6,"Partly scored ("&amp;SUMIFS(Scoresheet!$N$2:$N$501,Scoresheet!$C$2:$C$501,A8,Scoresheet!$U$2:$U$501,1)&amp;"/6)",IF(Q8&gt;=Settings!$S$8,"Hot",IF(Q8&gt;=Settings!$S$9,"Warm","Cold")))))</f>
        <v/>
      </c>
      <c r="S8" s="44" t="str">
        <f aca="false">IF(OR(E8="",A8=""),"",IF(AND(COUNTIFS(Scoresheet!$C$2:$C$501,A8,Scoresheet!$U$2:$U$501,1,Scoresheet!$H$2:$H$501,"No")&gt;0,COUNTIFS(Scoresheet!$C$2:$C$501,A8,Scoresheet!$U$2:$U$501,1,Scoresheet!$J$2:$J$501,"No")&gt;0),"🚩 Budget  ·  🚩 No one on camera",IF(COUNTIFS(Scoresheet!$C$2:$C$501,A8,Scoresheet!$U$2:$U$501,1,Scoresheet!$H$2:$H$501,"No")&gt;0,"🚩 Budget under AED 5k",IF(COUNTIFS(Scoresheet!$C$2:$C$501,A8,Scoresheet!$U$2:$U$501,1,Scoresheet!$J$2:$J$501,"No")&gt;0,"🚩 No one on camera",""))))</f>
        <v/>
      </c>
      <c r="T8" s="17"/>
      <c r="U8" s="17"/>
      <c r="V8" s="40"/>
      <c r="W8" s="17"/>
      <c r="X8" s="45" t="str">
        <f aca="false">IF(OR(E8="",V8="",OR(U8="Contract signed + paid",U8="Closed – No response",U8="Lost"),N(W8)&gt;=Settings!$S$3),"",V8+Settings!$S$2)</f>
        <v/>
      </c>
      <c r="Y8" s="40"/>
      <c r="Z8" s="41"/>
      <c r="AA8" s="17"/>
      <c r="AB8" s="17"/>
      <c r="AC8" s="17"/>
      <c r="AD8" s="46" t="str">
        <f aca="true">IF(OR(E8="",B8=""),"",INT(TODAY()-B8))</f>
        <v/>
      </c>
      <c r="AE8" s="44" t="str">
        <f aca="true">IF(E8="","",IF(OR(COUNTIFS(Clients!$C$2:$C$501,E8,Clients!$S$2:$S$501,"Paid")&gt;0,AND(I8&lt;&gt;"",COUNTIFS(Clients!$E$2:$E$501,I8,Clients!$S$2:$S$501,"Paid")&gt;0)),"⚠ Refunded before – no free video",IF(OR(U8="Contract signed + paid",U8="Closed – No response",U8="Lost"),"",IF(U8="","Set a stage",IF(AND(U8="Proposal sent",SUMIFS(Scoresheet!$N$2:$N$501,Scoresheet!$C$2:$C$501,A8,Scoresheet!$U$2:$U$501,1)&lt;6),"Score this lead – fill the call scoresheet",IF(N(W8)&gt;=Settings!$S$3,"Close – 4 follow-ups sent",IF(X8="",IF(V8="","Make first contact",""),IF(TODAY()&gt;X8,"OVERDUE follow-up",IF(TODAY()=X8,"Follow up today","")))))))))</f>
        <v/>
      </c>
    </row>
    <row r="9" customFormat="false" ht="15" hidden="false" customHeight="false" outlineLevel="0" collapsed="false">
      <c r="A9" s="17"/>
      <c r="B9" s="40"/>
      <c r="C9" s="41"/>
      <c r="D9" s="17"/>
      <c r="E9" s="17"/>
      <c r="F9" s="17"/>
      <c r="G9" s="17"/>
      <c r="H9" s="17"/>
      <c r="I9" s="42"/>
      <c r="J9" s="17"/>
      <c r="K9" s="17"/>
      <c r="L9" s="17"/>
      <c r="M9" s="17"/>
      <c r="N9" s="40"/>
      <c r="O9" s="41"/>
      <c r="P9" s="43" t="str">
        <f aca="false">IF(OR(B9="",N9=""),"",ROUND(((N9+N(O9))-(B9+N(C9)))*24,1))</f>
        <v/>
      </c>
      <c r="Q9" s="44" t="str">
        <f aca="false">IF(OR(E9="",A9="",COUNTIFS(Scoresheet!$C$2:$C$501,A9,Scoresheet!$U$2:$U$501,1)=0),"",SUMIFS(Scoresheet!$O$2:$O$501,Scoresheet!$C$2:$C$501,A9,Scoresheet!$U$2:$U$501,1))</f>
        <v/>
      </c>
      <c r="R9" s="44" t="str">
        <f aca="false">IF(E9="","",IF(OR(A9="",COUNTIFS(Scoresheet!$C$2:$C$501,A9,Scoresheet!$U$2:$U$501,1)=0),"No scoresheet yet",IF(SUMIFS(Scoresheet!$N$2:$N$501,Scoresheet!$C$2:$C$501,A9,Scoresheet!$U$2:$U$501,1)&lt;6,"Partly scored ("&amp;SUMIFS(Scoresheet!$N$2:$N$501,Scoresheet!$C$2:$C$501,A9,Scoresheet!$U$2:$U$501,1)&amp;"/6)",IF(Q9&gt;=Settings!$S$8,"Hot",IF(Q9&gt;=Settings!$S$9,"Warm","Cold")))))</f>
        <v/>
      </c>
      <c r="S9" s="44" t="str">
        <f aca="false">IF(OR(E9="",A9=""),"",IF(AND(COUNTIFS(Scoresheet!$C$2:$C$501,A9,Scoresheet!$U$2:$U$501,1,Scoresheet!$H$2:$H$501,"No")&gt;0,COUNTIFS(Scoresheet!$C$2:$C$501,A9,Scoresheet!$U$2:$U$501,1,Scoresheet!$J$2:$J$501,"No")&gt;0),"🚩 Budget  ·  🚩 No one on camera",IF(COUNTIFS(Scoresheet!$C$2:$C$501,A9,Scoresheet!$U$2:$U$501,1,Scoresheet!$H$2:$H$501,"No")&gt;0,"🚩 Budget under AED 5k",IF(COUNTIFS(Scoresheet!$C$2:$C$501,A9,Scoresheet!$U$2:$U$501,1,Scoresheet!$J$2:$J$501,"No")&gt;0,"🚩 No one on camera",""))))</f>
        <v/>
      </c>
      <c r="T9" s="17"/>
      <c r="U9" s="17"/>
      <c r="V9" s="40"/>
      <c r="W9" s="17"/>
      <c r="X9" s="45" t="str">
        <f aca="false">IF(OR(E9="",V9="",OR(U9="Contract signed + paid",U9="Closed – No response",U9="Lost"),N(W9)&gt;=Settings!$S$3),"",V9+Settings!$S$2)</f>
        <v/>
      </c>
      <c r="Y9" s="40"/>
      <c r="Z9" s="41"/>
      <c r="AA9" s="17"/>
      <c r="AB9" s="17"/>
      <c r="AC9" s="17"/>
      <c r="AD9" s="46" t="str">
        <f aca="true">IF(OR(E9="",B9=""),"",INT(TODAY()-B9))</f>
        <v/>
      </c>
      <c r="AE9" s="44" t="str">
        <f aca="true">IF(E9="","",IF(OR(COUNTIFS(Clients!$C$2:$C$501,E9,Clients!$S$2:$S$501,"Paid")&gt;0,AND(I9&lt;&gt;"",COUNTIFS(Clients!$E$2:$E$501,I9,Clients!$S$2:$S$501,"Paid")&gt;0)),"⚠ Refunded before – no free video",IF(OR(U9="Contract signed + paid",U9="Closed – No response",U9="Lost"),"",IF(U9="","Set a stage",IF(AND(U9="Proposal sent",SUMIFS(Scoresheet!$N$2:$N$501,Scoresheet!$C$2:$C$501,A9,Scoresheet!$U$2:$U$501,1)&lt;6),"Score this lead – fill the call scoresheet",IF(N(W9)&gt;=Settings!$S$3,"Close – 4 follow-ups sent",IF(X9="",IF(V9="","Make first contact",""),IF(TODAY()&gt;X9,"OVERDUE follow-up",IF(TODAY()=X9,"Follow up today","")))))))))</f>
        <v/>
      </c>
    </row>
    <row r="10" customFormat="false" ht="15" hidden="false" customHeight="false" outlineLevel="0" collapsed="false">
      <c r="A10" s="17"/>
      <c r="B10" s="40"/>
      <c r="C10" s="41"/>
      <c r="D10" s="17"/>
      <c r="E10" s="17"/>
      <c r="F10" s="17"/>
      <c r="G10" s="17"/>
      <c r="H10" s="17"/>
      <c r="I10" s="42"/>
      <c r="J10" s="17"/>
      <c r="K10" s="17"/>
      <c r="L10" s="17"/>
      <c r="M10" s="17"/>
      <c r="N10" s="40"/>
      <c r="O10" s="41"/>
      <c r="P10" s="43" t="str">
        <f aca="false">IF(OR(B10="",N10=""),"",ROUND(((N10+N(O10))-(B10+N(C10)))*24,1))</f>
        <v/>
      </c>
      <c r="Q10" s="44" t="str">
        <f aca="false">IF(OR(E10="",A10="",COUNTIFS(Scoresheet!$C$2:$C$501,A10,Scoresheet!$U$2:$U$501,1)=0),"",SUMIFS(Scoresheet!$O$2:$O$501,Scoresheet!$C$2:$C$501,A10,Scoresheet!$U$2:$U$501,1))</f>
        <v/>
      </c>
      <c r="R10" s="44" t="str">
        <f aca="false">IF(E10="","",IF(OR(A10="",COUNTIFS(Scoresheet!$C$2:$C$501,A10,Scoresheet!$U$2:$U$501,1)=0),"No scoresheet yet",IF(SUMIFS(Scoresheet!$N$2:$N$501,Scoresheet!$C$2:$C$501,A10,Scoresheet!$U$2:$U$501,1)&lt;6,"Partly scored ("&amp;SUMIFS(Scoresheet!$N$2:$N$501,Scoresheet!$C$2:$C$501,A10,Scoresheet!$U$2:$U$501,1)&amp;"/6)",IF(Q10&gt;=Settings!$S$8,"Hot",IF(Q10&gt;=Settings!$S$9,"Warm","Cold")))))</f>
        <v/>
      </c>
      <c r="S10" s="44" t="str">
        <f aca="false">IF(OR(E10="",A10=""),"",IF(AND(COUNTIFS(Scoresheet!$C$2:$C$501,A10,Scoresheet!$U$2:$U$501,1,Scoresheet!$H$2:$H$501,"No")&gt;0,COUNTIFS(Scoresheet!$C$2:$C$501,A10,Scoresheet!$U$2:$U$501,1,Scoresheet!$J$2:$J$501,"No")&gt;0),"🚩 Budget  ·  🚩 No one on camera",IF(COUNTIFS(Scoresheet!$C$2:$C$501,A10,Scoresheet!$U$2:$U$501,1,Scoresheet!$H$2:$H$501,"No")&gt;0,"🚩 Budget under AED 5k",IF(COUNTIFS(Scoresheet!$C$2:$C$501,A10,Scoresheet!$U$2:$U$501,1,Scoresheet!$J$2:$J$501,"No")&gt;0,"🚩 No one on camera",""))))</f>
        <v/>
      </c>
      <c r="T10" s="17"/>
      <c r="U10" s="17"/>
      <c r="V10" s="40"/>
      <c r="W10" s="17"/>
      <c r="X10" s="45" t="str">
        <f aca="false">IF(OR(E10="",V10="",OR(U10="Contract signed + paid",U10="Closed – No response",U10="Lost"),N(W10)&gt;=Settings!$S$3),"",V10+Settings!$S$2)</f>
        <v/>
      </c>
      <c r="Y10" s="40"/>
      <c r="Z10" s="41"/>
      <c r="AA10" s="17"/>
      <c r="AB10" s="17"/>
      <c r="AC10" s="17"/>
      <c r="AD10" s="46" t="str">
        <f aca="true">IF(OR(E10="",B10=""),"",INT(TODAY()-B10))</f>
        <v/>
      </c>
      <c r="AE10" s="44" t="str">
        <f aca="true">IF(E10="","",IF(OR(COUNTIFS(Clients!$C$2:$C$501,E10,Clients!$S$2:$S$501,"Paid")&gt;0,AND(I10&lt;&gt;"",COUNTIFS(Clients!$E$2:$E$501,I10,Clients!$S$2:$S$501,"Paid")&gt;0)),"⚠ Refunded before – no free video",IF(OR(U10="Contract signed + paid",U10="Closed – No response",U10="Lost"),"",IF(U10="","Set a stage",IF(AND(U10="Proposal sent",SUMIFS(Scoresheet!$N$2:$N$501,Scoresheet!$C$2:$C$501,A10,Scoresheet!$U$2:$U$501,1)&lt;6),"Score this lead – fill the call scoresheet",IF(N(W10)&gt;=Settings!$S$3,"Close – 4 follow-ups sent",IF(X10="",IF(V10="","Make first contact",""),IF(TODAY()&gt;X10,"OVERDUE follow-up",IF(TODAY()=X10,"Follow up today","")))))))))</f>
        <v/>
      </c>
    </row>
    <row r="11" customFormat="false" ht="15" hidden="false" customHeight="false" outlineLevel="0" collapsed="false">
      <c r="A11" s="17"/>
      <c r="B11" s="40"/>
      <c r="C11" s="41"/>
      <c r="D11" s="17"/>
      <c r="E11" s="17"/>
      <c r="F11" s="17"/>
      <c r="G11" s="17"/>
      <c r="H11" s="17"/>
      <c r="I11" s="42"/>
      <c r="J11" s="17"/>
      <c r="K11" s="17"/>
      <c r="L11" s="17"/>
      <c r="M11" s="17"/>
      <c r="N11" s="40"/>
      <c r="O11" s="41"/>
      <c r="P11" s="43" t="str">
        <f aca="false">IF(OR(B11="",N11=""),"",ROUND(((N11+N(O11))-(B11+N(C11)))*24,1))</f>
        <v/>
      </c>
      <c r="Q11" s="44" t="str">
        <f aca="false">IF(OR(E11="",A11="",COUNTIFS(Scoresheet!$C$2:$C$501,A11,Scoresheet!$U$2:$U$501,1)=0),"",SUMIFS(Scoresheet!$O$2:$O$501,Scoresheet!$C$2:$C$501,A11,Scoresheet!$U$2:$U$501,1))</f>
        <v/>
      </c>
      <c r="R11" s="44" t="str">
        <f aca="false">IF(E11="","",IF(OR(A11="",COUNTIFS(Scoresheet!$C$2:$C$501,A11,Scoresheet!$U$2:$U$501,1)=0),"No scoresheet yet",IF(SUMIFS(Scoresheet!$N$2:$N$501,Scoresheet!$C$2:$C$501,A11,Scoresheet!$U$2:$U$501,1)&lt;6,"Partly scored ("&amp;SUMIFS(Scoresheet!$N$2:$N$501,Scoresheet!$C$2:$C$501,A11,Scoresheet!$U$2:$U$501,1)&amp;"/6)",IF(Q11&gt;=Settings!$S$8,"Hot",IF(Q11&gt;=Settings!$S$9,"Warm","Cold")))))</f>
        <v/>
      </c>
      <c r="S11" s="44" t="str">
        <f aca="false">IF(OR(E11="",A11=""),"",IF(AND(COUNTIFS(Scoresheet!$C$2:$C$501,A11,Scoresheet!$U$2:$U$501,1,Scoresheet!$H$2:$H$501,"No")&gt;0,COUNTIFS(Scoresheet!$C$2:$C$501,A11,Scoresheet!$U$2:$U$501,1,Scoresheet!$J$2:$J$501,"No")&gt;0),"🚩 Budget  ·  🚩 No one on camera",IF(COUNTIFS(Scoresheet!$C$2:$C$501,A11,Scoresheet!$U$2:$U$501,1,Scoresheet!$H$2:$H$501,"No")&gt;0,"🚩 Budget under AED 5k",IF(COUNTIFS(Scoresheet!$C$2:$C$501,A11,Scoresheet!$U$2:$U$501,1,Scoresheet!$J$2:$J$501,"No")&gt;0,"🚩 No one on camera",""))))</f>
        <v/>
      </c>
      <c r="T11" s="17"/>
      <c r="U11" s="17"/>
      <c r="V11" s="40"/>
      <c r="W11" s="17"/>
      <c r="X11" s="45" t="str">
        <f aca="false">IF(OR(E11="",V11="",OR(U11="Contract signed + paid",U11="Closed – No response",U11="Lost"),N(W11)&gt;=Settings!$S$3),"",V11+Settings!$S$2)</f>
        <v/>
      </c>
      <c r="Y11" s="40"/>
      <c r="Z11" s="41"/>
      <c r="AA11" s="17"/>
      <c r="AB11" s="17"/>
      <c r="AC11" s="17"/>
      <c r="AD11" s="46" t="str">
        <f aca="true">IF(OR(E11="",B11=""),"",INT(TODAY()-B11))</f>
        <v/>
      </c>
      <c r="AE11" s="44" t="str">
        <f aca="true">IF(E11="","",IF(OR(COUNTIFS(Clients!$C$2:$C$501,E11,Clients!$S$2:$S$501,"Paid")&gt;0,AND(I11&lt;&gt;"",COUNTIFS(Clients!$E$2:$E$501,I11,Clients!$S$2:$S$501,"Paid")&gt;0)),"⚠ Refunded before – no free video",IF(OR(U11="Contract signed + paid",U11="Closed – No response",U11="Lost"),"",IF(U11="","Set a stage",IF(AND(U11="Proposal sent",SUMIFS(Scoresheet!$N$2:$N$501,Scoresheet!$C$2:$C$501,A11,Scoresheet!$U$2:$U$501,1)&lt;6),"Score this lead – fill the call scoresheet",IF(N(W11)&gt;=Settings!$S$3,"Close – 4 follow-ups sent",IF(X11="",IF(V11="","Make first contact",""),IF(TODAY()&gt;X11,"OVERDUE follow-up",IF(TODAY()=X11,"Follow up today","")))))))))</f>
        <v/>
      </c>
    </row>
    <row r="12" customFormat="false" ht="15" hidden="false" customHeight="false" outlineLevel="0" collapsed="false">
      <c r="A12" s="17"/>
      <c r="B12" s="40"/>
      <c r="C12" s="41"/>
      <c r="D12" s="17"/>
      <c r="E12" s="17"/>
      <c r="F12" s="17"/>
      <c r="G12" s="17"/>
      <c r="H12" s="17"/>
      <c r="I12" s="42"/>
      <c r="J12" s="17"/>
      <c r="K12" s="17"/>
      <c r="L12" s="17"/>
      <c r="M12" s="17"/>
      <c r="N12" s="40"/>
      <c r="O12" s="41"/>
      <c r="P12" s="43" t="str">
        <f aca="false">IF(OR(B12="",N12=""),"",ROUND(((N12+N(O12))-(B12+N(C12)))*24,1))</f>
        <v/>
      </c>
      <c r="Q12" s="44" t="str">
        <f aca="false">IF(OR(E12="",A12="",COUNTIFS(Scoresheet!$C$2:$C$501,A12,Scoresheet!$U$2:$U$501,1)=0),"",SUMIFS(Scoresheet!$O$2:$O$501,Scoresheet!$C$2:$C$501,A12,Scoresheet!$U$2:$U$501,1))</f>
        <v/>
      </c>
      <c r="R12" s="44" t="str">
        <f aca="false">IF(E12="","",IF(OR(A12="",COUNTIFS(Scoresheet!$C$2:$C$501,A12,Scoresheet!$U$2:$U$501,1)=0),"No scoresheet yet",IF(SUMIFS(Scoresheet!$N$2:$N$501,Scoresheet!$C$2:$C$501,A12,Scoresheet!$U$2:$U$501,1)&lt;6,"Partly scored ("&amp;SUMIFS(Scoresheet!$N$2:$N$501,Scoresheet!$C$2:$C$501,A12,Scoresheet!$U$2:$U$501,1)&amp;"/6)",IF(Q12&gt;=Settings!$S$8,"Hot",IF(Q12&gt;=Settings!$S$9,"Warm","Cold")))))</f>
        <v/>
      </c>
      <c r="S12" s="44" t="str">
        <f aca="false">IF(OR(E12="",A12=""),"",IF(AND(COUNTIFS(Scoresheet!$C$2:$C$501,A12,Scoresheet!$U$2:$U$501,1,Scoresheet!$H$2:$H$501,"No")&gt;0,COUNTIFS(Scoresheet!$C$2:$C$501,A12,Scoresheet!$U$2:$U$501,1,Scoresheet!$J$2:$J$501,"No")&gt;0),"🚩 Budget  ·  🚩 No one on camera",IF(COUNTIFS(Scoresheet!$C$2:$C$501,A12,Scoresheet!$U$2:$U$501,1,Scoresheet!$H$2:$H$501,"No")&gt;0,"🚩 Budget under AED 5k",IF(COUNTIFS(Scoresheet!$C$2:$C$501,A12,Scoresheet!$U$2:$U$501,1,Scoresheet!$J$2:$J$501,"No")&gt;0,"🚩 No one on camera",""))))</f>
        <v/>
      </c>
      <c r="T12" s="17"/>
      <c r="U12" s="17"/>
      <c r="V12" s="40"/>
      <c r="W12" s="17"/>
      <c r="X12" s="45" t="str">
        <f aca="false">IF(OR(E12="",V12="",OR(U12="Contract signed + paid",U12="Closed – No response",U12="Lost"),N(W12)&gt;=Settings!$S$3),"",V12+Settings!$S$2)</f>
        <v/>
      </c>
      <c r="Y12" s="40"/>
      <c r="Z12" s="41"/>
      <c r="AA12" s="17"/>
      <c r="AB12" s="17"/>
      <c r="AC12" s="17"/>
      <c r="AD12" s="46" t="str">
        <f aca="true">IF(OR(E12="",B12=""),"",INT(TODAY()-B12))</f>
        <v/>
      </c>
      <c r="AE12" s="44" t="str">
        <f aca="true">IF(E12="","",IF(OR(COUNTIFS(Clients!$C$2:$C$501,E12,Clients!$S$2:$S$501,"Paid")&gt;0,AND(I12&lt;&gt;"",COUNTIFS(Clients!$E$2:$E$501,I12,Clients!$S$2:$S$501,"Paid")&gt;0)),"⚠ Refunded before – no free video",IF(OR(U12="Contract signed + paid",U12="Closed – No response",U12="Lost"),"",IF(U12="","Set a stage",IF(AND(U12="Proposal sent",SUMIFS(Scoresheet!$N$2:$N$501,Scoresheet!$C$2:$C$501,A12,Scoresheet!$U$2:$U$501,1)&lt;6),"Score this lead – fill the call scoresheet",IF(N(W12)&gt;=Settings!$S$3,"Close – 4 follow-ups sent",IF(X12="",IF(V12="","Make first contact",""),IF(TODAY()&gt;X12,"OVERDUE follow-up",IF(TODAY()=X12,"Follow up today","")))))))))</f>
        <v/>
      </c>
    </row>
    <row r="13" customFormat="false" ht="15" hidden="false" customHeight="false" outlineLevel="0" collapsed="false">
      <c r="A13" s="17"/>
      <c r="B13" s="40"/>
      <c r="C13" s="41"/>
      <c r="D13" s="17"/>
      <c r="E13" s="17"/>
      <c r="F13" s="17"/>
      <c r="G13" s="17"/>
      <c r="H13" s="17"/>
      <c r="I13" s="42"/>
      <c r="J13" s="17"/>
      <c r="K13" s="17"/>
      <c r="L13" s="17"/>
      <c r="M13" s="17"/>
      <c r="N13" s="40"/>
      <c r="O13" s="41"/>
      <c r="P13" s="43" t="str">
        <f aca="false">IF(OR(B13="",N13=""),"",ROUND(((N13+N(O13))-(B13+N(C13)))*24,1))</f>
        <v/>
      </c>
      <c r="Q13" s="44" t="str">
        <f aca="false">IF(OR(E13="",A13="",COUNTIFS(Scoresheet!$C$2:$C$501,A13,Scoresheet!$U$2:$U$501,1)=0),"",SUMIFS(Scoresheet!$O$2:$O$501,Scoresheet!$C$2:$C$501,A13,Scoresheet!$U$2:$U$501,1))</f>
        <v/>
      </c>
      <c r="R13" s="44" t="str">
        <f aca="false">IF(E13="","",IF(OR(A13="",COUNTIFS(Scoresheet!$C$2:$C$501,A13,Scoresheet!$U$2:$U$501,1)=0),"No scoresheet yet",IF(SUMIFS(Scoresheet!$N$2:$N$501,Scoresheet!$C$2:$C$501,A13,Scoresheet!$U$2:$U$501,1)&lt;6,"Partly scored ("&amp;SUMIFS(Scoresheet!$N$2:$N$501,Scoresheet!$C$2:$C$501,A13,Scoresheet!$U$2:$U$501,1)&amp;"/6)",IF(Q13&gt;=Settings!$S$8,"Hot",IF(Q13&gt;=Settings!$S$9,"Warm","Cold")))))</f>
        <v/>
      </c>
      <c r="S13" s="44" t="str">
        <f aca="false">IF(OR(E13="",A13=""),"",IF(AND(COUNTIFS(Scoresheet!$C$2:$C$501,A13,Scoresheet!$U$2:$U$501,1,Scoresheet!$H$2:$H$501,"No")&gt;0,COUNTIFS(Scoresheet!$C$2:$C$501,A13,Scoresheet!$U$2:$U$501,1,Scoresheet!$J$2:$J$501,"No")&gt;0),"🚩 Budget  ·  🚩 No one on camera",IF(COUNTIFS(Scoresheet!$C$2:$C$501,A13,Scoresheet!$U$2:$U$501,1,Scoresheet!$H$2:$H$501,"No")&gt;0,"🚩 Budget under AED 5k",IF(COUNTIFS(Scoresheet!$C$2:$C$501,A13,Scoresheet!$U$2:$U$501,1,Scoresheet!$J$2:$J$501,"No")&gt;0,"🚩 No one on camera",""))))</f>
        <v/>
      </c>
      <c r="T13" s="17"/>
      <c r="U13" s="17"/>
      <c r="V13" s="40"/>
      <c r="W13" s="17"/>
      <c r="X13" s="45" t="str">
        <f aca="false">IF(OR(E13="",V13="",OR(U13="Contract signed + paid",U13="Closed – No response",U13="Lost"),N(W13)&gt;=Settings!$S$3),"",V13+Settings!$S$2)</f>
        <v/>
      </c>
      <c r="Y13" s="40"/>
      <c r="Z13" s="41"/>
      <c r="AA13" s="17"/>
      <c r="AB13" s="17"/>
      <c r="AC13" s="17"/>
      <c r="AD13" s="46" t="str">
        <f aca="true">IF(OR(E13="",B13=""),"",INT(TODAY()-B13))</f>
        <v/>
      </c>
      <c r="AE13" s="44" t="str">
        <f aca="true">IF(E13="","",IF(OR(COUNTIFS(Clients!$C$2:$C$501,E13,Clients!$S$2:$S$501,"Paid")&gt;0,AND(I13&lt;&gt;"",COUNTIFS(Clients!$E$2:$E$501,I13,Clients!$S$2:$S$501,"Paid")&gt;0)),"⚠ Refunded before – no free video",IF(OR(U13="Contract signed + paid",U13="Closed – No response",U13="Lost"),"",IF(U13="","Set a stage",IF(AND(U13="Proposal sent",SUMIFS(Scoresheet!$N$2:$N$501,Scoresheet!$C$2:$C$501,A13,Scoresheet!$U$2:$U$501,1)&lt;6),"Score this lead – fill the call scoresheet",IF(N(W13)&gt;=Settings!$S$3,"Close – 4 follow-ups sent",IF(X13="",IF(V13="","Make first contact",""),IF(TODAY()&gt;X13,"OVERDUE follow-up",IF(TODAY()=X13,"Follow up today","")))))))))</f>
        <v/>
      </c>
    </row>
    <row r="14" customFormat="false" ht="15" hidden="false" customHeight="false" outlineLevel="0" collapsed="false">
      <c r="A14" s="17"/>
      <c r="B14" s="40"/>
      <c r="C14" s="41"/>
      <c r="D14" s="17"/>
      <c r="E14" s="17"/>
      <c r="F14" s="17"/>
      <c r="G14" s="17"/>
      <c r="H14" s="17"/>
      <c r="I14" s="42"/>
      <c r="J14" s="17"/>
      <c r="K14" s="17"/>
      <c r="L14" s="17"/>
      <c r="M14" s="17"/>
      <c r="N14" s="40"/>
      <c r="O14" s="41"/>
      <c r="P14" s="43" t="str">
        <f aca="false">IF(OR(B14="",N14=""),"",ROUND(((N14+N(O14))-(B14+N(C14)))*24,1))</f>
        <v/>
      </c>
      <c r="Q14" s="44" t="str">
        <f aca="false">IF(OR(E14="",A14="",COUNTIFS(Scoresheet!$C$2:$C$501,A14,Scoresheet!$U$2:$U$501,1)=0),"",SUMIFS(Scoresheet!$O$2:$O$501,Scoresheet!$C$2:$C$501,A14,Scoresheet!$U$2:$U$501,1))</f>
        <v/>
      </c>
      <c r="R14" s="44" t="str">
        <f aca="false">IF(E14="","",IF(OR(A14="",COUNTIFS(Scoresheet!$C$2:$C$501,A14,Scoresheet!$U$2:$U$501,1)=0),"No scoresheet yet",IF(SUMIFS(Scoresheet!$N$2:$N$501,Scoresheet!$C$2:$C$501,A14,Scoresheet!$U$2:$U$501,1)&lt;6,"Partly scored ("&amp;SUMIFS(Scoresheet!$N$2:$N$501,Scoresheet!$C$2:$C$501,A14,Scoresheet!$U$2:$U$501,1)&amp;"/6)",IF(Q14&gt;=Settings!$S$8,"Hot",IF(Q14&gt;=Settings!$S$9,"Warm","Cold")))))</f>
        <v/>
      </c>
      <c r="S14" s="44" t="str">
        <f aca="false">IF(OR(E14="",A14=""),"",IF(AND(COUNTIFS(Scoresheet!$C$2:$C$501,A14,Scoresheet!$U$2:$U$501,1,Scoresheet!$H$2:$H$501,"No")&gt;0,COUNTIFS(Scoresheet!$C$2:$C$501,A14,Scoresheet!$U$2:$U$501,1,Scoresheet!$J$2:$J$501,"No")&gt;0),"🚩 Budget  ·  🚩 No one on camera",IF(COUNTIFS(Scoresheet!$C$2:$C$501,A14,Scoresheet!$U$2:$U$501,1,Scoresheet!$H$2:$H$501,"No")&gt;0,"🚩 Budget under AED 5k",IF(COUNTIFS(Scoresheet!$C$2:$C$501,A14,Scoresheet!$U$2:$U$501,1,Scoresheet!$J$2:$J$501,"No")&gt;0,"🚩 No one on camera",""))))</f>
        <v/>
      </c>
      <c r="T14" s="17"/>
      <c r="U14" s="17"/>
      <c r="V14" s="40"/>
      <c r="W14" s="17"/>
      <c r="X14" s="45" t="str">
        <f aca="false">IF(OR(E14="",V14="",OR(U14="Contract signed + paid",U14="Closed – No response",U14="Lost"),N(W14)&gt;=Settings!$S$3),"",V14+Settings!$S$2)</f>
        <v/>
      </c>
      <c r="Y14" s="40"/>
      <c r="Z14" s="41"/>
      <c r="AA14" s="17"/>
      <c r="AB14" s="17"/>
      <c r="AC14" s="17"/>
      <c r="AD14" s="46" t="str">
        <f aca="true">IF(OR(E14="",B14=""),"",INT(TODAY()-B14))</f>
        <v/>
      </c>
      <c r="AE14" s="44" t="str">
        <f aca="true">IF(E14="","",IF(OR(COUNTIFS(Clients!$C$2:$C$501,E14,Clients!$S$2:$S$501,"Paid")&gt;0,AND(I14&lt;&gt;"",COUNTIFS(Clients!$E$2:$E$501,I14,Clients!$S$2:$S$501,"Paid")&gt;0)),"⚠ Refunded before – no free video",IF(OR(U14="Contract signed + paid",U14="Closed – No response",U14="Lost"),"",IF(U14="","Set a stage",IF(AND(U14="Proposal sent",SUMIFS(Scoresheet!$N$2:$N$501,Scoresheet!$C$2:$C$501,A14,Scoresheet!$U$2:$U$501,1)&lt;6),"Score this lead – fill the call scoresheet",IF(N(W14)&gt;=Settings!$S$3,"Close – 4 follow-ups sent",IF(X14="",IF(V14="","Make first contact",""),IF(TODAY()&gt;X14,"OVERDUE follow-up",IF(TODAY()=X14,"Follow up today","")))))))))</f>
        <v/>
      </c>
    </row>
    <row r="15" customFormat="false" ht="15" hidden="false" customHeight="false" outlineLevel="0" collapsed="false">
      <c r="A15" s="17"/>
      <c r="B15" s="40"/>
      <c r="C15" s="41"/>
      <c r="D15" s="17"/>
      <c r="E15" s="17"/>
      <c r="F15" s="17"/>
      <c r="G15" s="17"/>
      <c r="H15" s="17"/>
      <c r="I15" s="42"/>
      <c r="J15" s="17"/>
      <c r="K15" s="17"/>
      <c r="L15" s="17"/>
      <c r="M15" s="17"/>
      <c r="N15" s="40"/>
      <c r="O15" s="41"/>
      <c r="P15" s="43" t="str">
        <f aca="false">IF(OR(B15="",N15=""),"",ROUND(((N15+N(O15))-(B15+N(C15)))*24,1))</f>
        <v/>
      </c>
      <c r="Q15" s="44" t="str">
        <f aca="false">IF(OR(E15="",A15="",COUNTIFS(Scoresheet!$C$2:$C$501,A15,Scoresheet!$U$2:$U$501,1)=0),"",SUMIFS(Scoresheet!$O$2:$O$501,Scoresheet!$C$2:$C$501,A15,Scoresheet!$U$2:$U$501,1))</f>
        <v/>
      </c>
      <c r="R15" s="44" t="str">
        <f aca="false">IF(E15="","",IF(OR(A15="",COUNTIFS(Scoresheet!$C$2:$C$501,A15,Scoresheet!$U$2:$U$501,1)=0),"No scoresheet yet",IF(SUMIFS(Scoresheet!$N$2:$N$501,Scoresheet!$C$2:$C$501,A15,Scoresheet!$U$2:$U$501,1)&lt;6,"Partly scored ("&amp;SUMIFS(Scoresheet!$N$2:$N$501,Scoresheet!$C$2:$C$501,A15,Scoresheet!$U$2:$U$501,1)&amp;"/6)",IF(Q15&gt;=Settings!$S$8,"Hot",IF(Q15&gt;=Settings!$S$9,"Warm","Cold")))))</f>
        <v/>
      </c>
      <c r="S15" s="44" t="str">
        <f aca="false">IF(OR(E15="",A15=""),"",IF(AND(COUNTIFS(Scoresheet!$C$2:$C$501,A15,Scoresheet!$U$2:$U$501,1,Scoresheet!$H$2:$H$501,"No")&gt;0,COUNTIFS(Scoresheet!$C$2:$C$501,A15,Scoresheet!$U$2:$U$501,1,Scoresheet!$J$2:$J$501,"No")&gt;0),"🚩 Budget  ·  🚩 No one on camera",IF(COUNTIFS(Scoresheet!$C$2:$C$501,A15,Scoresheet!$U$2:$U$501,1,Scoresheet!$H$2:$H$501,"No")&gt;0,"🚩 Budget under AED 5k",IF(COUNTIFS(Scoresheet!$C$2:$C$501,A15,Scoresheet!$U$2:$U$501,1,Scoresheet!$J$2:$J$501,"No")&gt;0,"🚩 No one on camera",""))))</f>
        <v/>
      </c>
      <c r="T15" s="17"/>
      <c r="U15" s="17"/>
      <c r="V15" s="40"/>
      <c r="W15" s="17"/>
      <c r="X15" s="45" t="str">
        <f aca="false">IF(OR(E15="",V15="",OR(U15="Contract signed + paid",U15="Closed – No response",U15="Lost"),N(W15)&gt;=Settings!$S$3),"",V15+Settings!$S$2)</f>
        <v/>
      </c>
      <c r="Y15" s="40"/>
      <c r="Z15" s="41"/>
      <c r="AA15" s="17"/>
      <c r="AB15" s="17"/>
      <c r="AC15" s="17"/>
      <c r="AD15" s="46" t="str">
        <f aca="true">IF(OR(E15="",B15=""),"",INT(TODAY()-B15))</f>
        <v/>
      </c>
      <c r="AE15" s="44" t="str">
        <f aca="true">IF(E15="","",IF(OR(COUNTIFS(Clients!$C$2:$C$501,E15,Clients!$S$2:$S$501,"Paid")&gt;0,AND(I15&lt;&gt;"",COUNTIFS(Clients!$E$2:$E$501,I15,Clients!$S$2:$S$501,"Paid")&gt;0)),"⚠ Refunded before – no free video",IF(OR(U15="Contract signed + paid",U15="Closed – No response",U15="Lost"),"",IF(U15="","Set a stage",IF(AND(U15="Proposal sent",SUMIFS(Scoresheet!$N$2:$N$501,Scoresheet!$C$2:$C$501,A15,Scoresheet!$U$2:$U$501,1)&lt;6),"Score this lead – fill the call scoresheet",IF(N(W15)&gt;=Settings!$S$3,"Close – 4 follow-ups sent",IF(X15="",IF(V15="","Make first contact",""),IF(TODAY()&gt;X15,"OVERDUE follow-up",IF(TODAY()=X15,"Follow up today","")))))))))</f>
        <v/>
      </c>
    </row>
    <row r="16" customFormat="false" ht="15" hidden="false" customHeight="false" outlineLevel="0" collapsed="false">
      <c r="A16" s="17"/>
      <c r="B16" s="40"/>
      <c r="C16" s="41"/>
      <c r="D16" s="17"/>
      <c r="E16" s="17"/>
      <c r="F16" s="17"/>
      <c r="G16" s="17"/>
      <c r="H16" s="17"/>
      <c r="I16" s="42"/>
      <c r="J16" s="17"/>
      <c r="K16" s="17"/>
      <c r="L16" s="17"/>
      <c r="M16" s="17"/>
      <c r="N16" s="40"/>
      <c r="O16" s="41"/>
      <c r="P16" s="43" t="str">
        <f aca="false">IF(OR(B16="",N16=""),"",ROUND(((N16+N(O16))-(B16+N(C16)))*24,1))</f>
        <v/>
      </c>
      <c r="Q16" s="44" t="str">
        <f aca="false">IF(OR(E16="",A16="",COUNTIFS(Scoresheet!$C$2:$C$501,A16,Scoresheet!$U$2:$U$501,1)=0),"",SUMIFS(Scoresheet!$O$2:$O$501,Scoresheet!$C$2:$C$501,A16,Scoresheet!$U$2:$U$501,1))</f>
        <v/>
      </c>
      <c r="R16" s="44" t="str">
        <f aca="false">IF(E16="","",IF(OR(A16="",COUNTIFS(Scoresheet!$C$2:$C$501,A16,Scoresheet!$U$2:$U$501,1)=0),"No scoresheet yet",IF(SUMIFS(Scoresheet!$N$2:$N$501,Scoresheet!$C$2:$C$501,A16,Scoresheet!$U$2:$U$501,1)&lt;6,"Partly scored ("&amp;SUMIFS(Scoresheet!$N$2:$N$501,Scoresheet!$C$2:$C$501,A16,Scoresheet!$U$2:$U$501,1)&amp;"/6)",IF(Q16&gt;=Settings!$S$8,"Hot",IF(Q16&gt;=Settings!$S$9,"Warm","Cold")))))</f>
        <v/>
      </c>
      <c r="S16" s="44" t="str">
        <f aca="false">IF(OR(E16="",A16=""),"",IF(AND(COUNTIFS(Scoresheet!$C$2:$C$501,A16,Scoresheet!$U$2:$U$501,1,Scoresheet!$H$2:$H$501,"No")&gt;0,COUNTIFS(Scoresheet!$C$2:$C$501,A16,Scoresheet!$U$2:$U$501,1,Scoresheet!$J$2:$J$501,"No")&gt;0),"🚩 Budget  ·  🚩 No one on camera",IF(COUNTIFS(Scoresheet!$C$2:$C$501,A16,Scoresheet!$U$2:$U$501,1,Scoresheet!$H$2:$H$501,"No")&gt;0,"🚩 Budget under AED 5k",IF(COUNTIFS(Scoresheet!$C$2:$C$501,A16,Scoresheet!$U$2:$U$501,1,Scoresheet!$J$2:$J$501,"No")&gt;0,"🚩 No one on camera",""))))</f>
        <v/>
      </c>
      <c r="T16" s="17"/>
      <c r="U16" s="17"/>
      <c r="V16" s="40"/>
      <c r="W16" s="17"/>
      <c r="X16" s="45" t="str">
        <f aca="false">IF(OR(E16="",V16="",OR(U16="Contract signed + paid",U16="Closed – No response",U16="Lost"),N(W16)&gt;=Settings!$S$3),"",V16+Settings!$S$2)</f>
        <v/>
      </c>
      <c r="Y16" s="40"/>
      <c r="Z16" s="41"/>
      <c r="AA16" s="17"/>
      <c r="AB16" s="17"/>
      <c r="AC16" s="17"/>
      <c r="AD16" s="46" t="str">
        <f aca="true">IF(OR(E16="",B16=""),"",INT(TODAY()-B16))</f>
        <v/>
      </c>
      <c r="AE16" s="44" t="str">
        <f aca="true">IF(E16="","",IF(OR(COUNTIFS(Clients!$C$2:$C$501,E16,Clients!$S$2:$S$501,"Paid")&gt;0,AND(I16&lt;&gt;"",COUNTIFS(Clients!$E$2:$E$501,I16,Clients!$S$2:$S$501,"Paid")&gt;0)),"⚠ Refunded before – no free video",IF(OR(U16="Contract signed + paid",U16="Closed – No response",U16="Lost"),"",IF(U16="","Set a stage",IF(AND(U16="Proposal sent",SUMIFS(Scoresheet!$N$2:$N$501,Scoresheet!$C$2:$C$501,A16,Scoresheet!$U$2:$U$501,1)&lt;6),"Score this lead – fill the call scoresheet",IF(N(W16)&gt;=Settings!$S$3,"Close – 4 follow-ups sent",IF(X16="",IF(V16="","Make first contact",""),IF(TODAY()&gt;X16,"OVERDUE follow-up",IF(TODAY()=X16,"Follow up today","")))))))))</f>
        <v/>
      </c>
    </row>
    <row r="17" customFormat="false" ht="15" hidden="false" customHeight="false" outlineLevel="0" collapsed="false">
      <c r="A17" s="17"/>
      <c r="B17" s="40"/>
      <c r="C17" s="41"/>
      <c r="D17" s="17"/>
      <c r="E17" s="17"/>
      <c r="F17" s="17"/>
      <c r="G17" s="17"/>
      <c r="H17" s="17"/>
      <c r="I17" s="42"/>
      <c r="J17" s="17"/>
      <c r="K17" s="17"/>
      <c r="L17" s="17"/>
      <c r="M17" s="17"/>
      <c r="N17" s="40"/>
      <c r="O17" s="41"/>
      <c r="P17" s="43" t="str">
        <f aca="false">IF(OR(B17="",N17=""),"",ROUND(((N17+N(O17))-(B17+N(C17)))*24,1))</f>
        <v/>
      </c>
      <c r="Q17" s="44" t="str">
        <f aca="false">IF(OR(E17="",A17="",COUNTIFS(Scoresheet!$C$2:$C$501,A17,Scoresheet!$U$2:$U$501,1)=0),"",SUMIFS(Scoresheet!$O$2:$O$501,Scoresheet!$C$2:$C$501,A17,Scoresheet!$U$2:$U$501,1))</f>
        <v/>
      </c>
      <c r="R17" s="44" t="str">
        <f aca="false">IF(E17="","",IF(OR(A17="",COUNTIFS(Scoresheet!$C$2:$C$501,A17,Scoresheet!$U$2:$U$501,1)=0),"No scoresheet yet",IF(SUMIFS(Scoresheet!$N$2:$N$501,Scoresheet!$C$2:$C$501,A17,Scoresheet!$U$2:$U$501,1)&lt;6,"Partly scored ("&amp;SUMIFS(Scoresheet!$N$2:$N$501,Scoresheet!$C$2:$C$501,A17,Scoresheet!$U$2:$U$501,1)&amp;"/6)",IF(Q17&gt;=Settings!$S$8,"Hot",IF(Q17&gt;=Settings!$S$9,"Warm","Cold")))))</f>
        <v/>
      </c>
      <c r="S17" s="44" t="str">
        <f aca="false">IF(OR(E17="",A17=""),"",IF(AND(COUNTIFS(Scoresheet!$C$2:$C$501,A17,Scoresheet!$U$2:$U$501,1,Scoresheet!$H$2:$H$501,"No")&gt;0,COUNTIFS(Scoresheet!$C$2:$C$501,A17,Scoresheet!$U$2:$U$501,1,Scoresheet!$J$2:$J$501,"No")&gt;0),"🚩 Budget  ·  🚩 No one on camera",IF(COUNTIFS(Scoresheet!$C$2:$C$501,A17,Scoresheet!$U$2:$U$501,1,Scoresheet!$H$2:$H$501,"No")&gt;0,"🚩 Budget under AED 5k",IF(COUNTIFS(Scoresheet!$C$2:$C$501,A17,Scoresheet!$U$2:$U$501,1,Scoresheet!$J$2:$J$501,"No")&gt;0,"🚩 No one on camera",""))))</f>
        <v/>
      </c>
      <c r="T17" s="17"/>
      <c r="U17" s="17"/>
      <c r="V17" s="40"/>
      <c r="W17" s="17"/>
      <c r="X17" s="45" t="str">
        <f aca="false">IF(OR(E17="",V17="",OR(U17="Contract signed + paid",U17="Closed – No response",U17="Lost"),N(W17)&gt;=Settings!$S$3),"",V17+Settings!$S$2)</f>
        <v/>
      </c>
      <c r="Y17" s="40"/>
      <c r="Z17" s="41"/>
      <c r="AA17" s="17"/>
      <c r="AB17" s="17"/>
      <c r="AC17" s="17"/>
      <c r="AD17" s="46" t="str">
        <f aca="true">IF(OR(E17="",B17=""),"",INT(TODAY()-B17))</f>
        <v/>
      </c>
      <c r="AE17" s="44" t="str">
        <f aca="true">IF(E17="","",IF(OR(COUNTIFS(Clients!$C$2:$C$501,E17,Clients!$S$2:$S$501,"Paid")&gt;0,AND(I17&lt;&gt;"",COUNTIFS(Clients!$E$2:$E$501,I17,Clients!$S$2:$S$501,"Paid")&gt;0)),"⚠ Refunded before – no free video",IF(OR(U17="Contract signed + paid",U17="Closed – No response",U17="Lost"),"",IF(U17="","Set a stage",IF(AND(U17="Proposal sent",SUMIFS(Scoresheet!$N$2:$N$501,Scoresheet!$C$2:$C$501,A17,Scoresheet!$U$2:$U$501,1)&lt;6),"Score this lead – fill the call scoresheet",IF(N(W17)&gt;=Settings!$S$3,"Close – 4 follow-ups sent",IF(X17="",IF(V17="","Make first contact",""),IF(TODAY()&gt;X17,"OVERDUE follow-up",IF(TODAY()=X17,"Follow up today","")))))))))</f>
        <v/>
      </c>
    </row>
    <row r="18" customFormat="false" ht="15" hidden="false" customHeight="false" outlineLevel="0" collapsed="false">
      <c r="A18" s="17"/>
      <c r="B18" s="40"/>
      <c r="C18" s="41"/>
      <c r="D18" s="17"/>
      <c r="E18" s="17"/>
      <c r="F18" s="17"/>
      <c r="G18" s="17"/>
      <c r="H18" s="17"/>
      <c r="I18" s="42"/>
      <c r="J18" s="17"/>
      <c r="K18" s="17"/>
      <c r="L18" s="17"/>
      <c r="M18" s="17"/>
      <c r="N18" s="40"/>
      <c r="O18" s="41"/>
      <c r="P18" s="43" t="str">
        <f aca="false">IF(OR(B18="",N18=""),"",ROUND(((N18+N(O18))-(B18+N(C18)))*24,1))</f>
        <v/>
      </c>
      <c r="Q18" s="44" t="str">
        <f aca="false">IF(OR(E18="",A18="",COUNTIFS(Scoresheet!$C$2:$C$501,A18,Scoresheet!$U$2:$U$501,1)=0),"",SUMIFS(Scoresheet!$O$2:$O$501,Scoresheet!$C$2:$C$501,A18,Scoresheet!$U$2:$U$501,1))</f>
        <v/>
      </c>
      <c r="R18" s="44" t="str">
        <f aca="false">IF(E18="","",IF(OR(A18="",COUNTIFS(Scoresheet!$C$2:$C$501,A18,Scoresheet!$U$2:$U$501,1)=0),"No scoresheet yet",IF(SUMIFS(Scoresheet!$N$2:$N$501,Scoresheet!$C$2:$C$501,A18,Scoresheet!$U$2:$U$501,1)&lt;6,"Partly scored ("&amp;SUMIFS(Scoresheet!$N$2:$N$501,Scoresheet!$C$2:$C$501,A18,Scoresheet!$U$2:$U$501,1)&amp;"/6)",IF(Q18&gt;=Settings!$S$8,"Hot",IF(Q18&gt;=Settings!$S$9,"Warm","Cold")))))</f>
        <v/>
      </c>
      <c r="S18" s="44" t="str">
        <f aca="false">IF(OR(E18="",A18=""),"",IF(AND(COUNTIFS(Scoresheet!$C$2:$C$501,A18,Scoresheet!$U$2:$U$501,1,Scoresheet!$H$2:$H$501,"No")&gt;0,COUNTIFS(Scoresheet!$C$2:$C$501,A18,Scoresheet!$U$2:$U$501,1,Scoresheet!$J$2:$J$501,"No")&gt;0),"🚩 Budget  ·  🚩 No one on camera",IF(COUNTIFS(Scoresheet!$C$2:$C$501,A18,Scoresheet!$U$2:$U$501,1,Scoresheet!$H$2:$H$501,"No")&gt;0,"🚩 Budget under AED 5k",IF(COUNTIFS(Scoresheet!$C$2:$C$501,A18,Scoresheet!$U$2:$U$501,1,Scoresheet!$J$2:$J$501,"No")&gt;0,"🚩 No one on camera",""))))</f>
        <v/>
      </c>
      <c r="T18" s="17"/>
      <c r="U18" s="17"/>
      <c r="V18" s="40"/>
      <c r="W18" s="17"/>
      <c r="X18" s="45" t="str">
        <f aca="false">IF(OR(E18="",V18="",OR(U18="Contract signed + paid",U18="Closed – No response",U18="Lost"),N(W18)&gt;=Settings!$S$3),"",V18+Settings!$S$2)</f>
        <v/>
      </c>
      <c r="Y18" s="40"/>
      <c r="Z18" s="41"/>
      <c r="AA18" s="17"/>
      <c r="AB18" s="17"/>
      <c r="AC18" s="17"/>
      <c r="AD18" s="46" t="str">
        <f aca="true">IF(OR(E18="",B18=""),"",INT(TODAY()-B18))</f>
        <v/>
      </c>
      <c r="AE18" s="44" t="str">
        <f aca="true">IF(E18="","",IF(OR(COUNTIFS(Clients!$C$2:$C$501,E18,Clients!$S$2:$S$501,"Paid")&gt;0,AND(I18&lt;&gt;"",COUNTIFS(Clients!$E$2:$E$501,I18,Clients!$S$2:$S$501,"Paid")&gt;0)),"⚠ Refunded before – no free video",IF(OR(U18="Contract signed + paid",U18="Closed – No response",U18="Lost"),"",IF(U18="","Set a stage",IF(AND(U18="Proposal sent",SUMIFS(Scoresheet!$N$2:$N$501,Scoresheet!$C$2:$C$501,A18,Scoresheet!$U$2:$U$501,1)&lt;6),"Score this lead – fill the call scoresheet",IF(N(W18)&gt;=Settings!$S$3,"Close – 4 follow-ups sent",IF(X18="",IF(V18="","Make first contact",""),IF(TODAY()&gt;X18,"OVERDUE follow-up",IF(TODAY()=X18,"Follow up today","")))))))))</f>
        <v/>
      </c>
    </row>
    <row r="19" customFormat="false" ht="15" hidden="false" customHeight="false" outlineLevel="0" collapsed="false">
      <c r="A19" s="17"/>
      <c r="B19" s="40"/>
      <c r="C19" s="41"/>
      <c r="D19" s="17"/>
      <c r="E19" s="17"/>
      <c r="F19" s="17"/>
      <c r="G19" s="17"/>
      <c r="H19" s="17"/>
      <c r="I19" s="42"/>
      <c r="J19" s="17"/>
      <c r="K19" s="17"/>
      <c r="L19" s="17"/>
      <c r="M19" s="17"/>
      <c r="N19" s="40"/>
      <c r="O19" s="41"/>
      <c r="P19" s="43" t="str">
        <f aca="false">IF(OR(B19="",N19=""),"",ROUND(((N19+N(O19))-(B19+N(C19)))*24,1))</f>
        <v/>
      </c>
      <c r="Q19" s="44" t="str">
        <f aca="false">IF(OR(E19="",A19="",COUNTIFS(Scoresheet!$C$2:$C$501,A19,Scoresheet!$U$2:$U$501,1)=0),"",SUMIFS(Scoresheet!$O$2:$O$501,Scoresheet!$C$2:$C$501,A19,Scoresheet!$U$2:$U$501,1))</f>
        <v/>
      </c>
      <c r="R19" s="44" t="str">
        <f aca="false">IF(E19="","",IF(OR(A19="",COUNTIFS(Scoresheet!$C$2:$C$501,A19,Scoresheet!$U$2:$U$501,1)=0),"No scoresheet yet",IF(SUMIFS(Scoresheet!$N$2:$N$501,Scoresheet!$C$2:$C$501,A19,Scoresheet!$U$2:$U$501,1)&lt;6,"Partly scored ("&amp;SUMIFS(Scoresheet!$N$2:$N$501,Scoresheet!$C$2:$C$501,A19,Scoresheet!$U$2:$U$501,1)&amp;"/6)",IF(Q19&gt;=Settings!$S$8,"Hot",IF(Q19&gt;=Settings!$S$9,"Warm","Cold")))))</f>
        <v/>
      </c>
      <c r="S19" s="44" t="str">
        <f aca="false">IF(OR(E19="",A19=""),"",IF(AND(COUNTIFS(Scoresheet!$C$2:$C$501,A19,Scoresheet!$U$2:$U$501,1,Scoresheet!$H$2:$H$501,"No")&gt;0,COUNTIFS(Scoresheet!$C$2:$C$501,A19,Scoresheet!$U$2:$U$501,1,Scoresheet!$J$2:$J$501,"No")&gt;0),"🚩 Budget  ·  🚩 No one on camera",IF(COUNTIFS(Scoresheet!$C$2:$C$501,A19,Scoresheet!$U$2:$U$501,1,Scoresheet!$H$2:$H$501,"No")&gt;0,"🚩 Budget under AED 5k",IF(COUNTIFS(Scoresheet!$C$2:$C$501,A19,Scoresheet!$U$2:$U$501,1,Scoresheet!$J$2:$J$501,"No")&gt;0,"🚩 No one on camera",""))))</f>
        <v/>
      </c>
      <c r="T19" s="17"/>
      <c r="U19" s="17"/>
      <c r="V19" s="40"/>
      <c r="W19" s="17"/>
      <c r="X19" s="45" t="str">
        <f aca="false">IF(OR(E19="",V19="",OR(U19="Contract signed + paid",U19="Closed – No response",U19="Lost"),N(W19)&gt;=Settings!$S$3),"",V19+Settings!$S$2)</f>
        <v/>
      </c>
      <c r="Y19" s="40"/>
      <c r="Z19" s="41"/>
      <c r="AA19" s="17"/>
      <c r="AB19" s="17"/>
      <c r="AC19" s="17"/>
      <c r="AD19" s="46" t="str">
        <f aca="true">IF(OR(E19="",B19=""),"",INT(TODAY()-B19))</f>
        <v/>
      </c>
      <c r="AE19" s="44" t="str">
        <f aca="true">IF(E19="","",IF(OR(COUNTIFS(Clients!$C$2:$C$501,E19,Clients!$S$2:$S$501,"Paid")&gt;0,AND(I19&lt;&gt;"",COUNTIFS(Clients!$E$2:$E$501,I19,Clients!$S$2:$S$501,"Paid")&gt;0)),"⚠ Refunded before – no free video",IF(OR(U19="Contract signed + paid",U19="Closed – No response",U19="Lost"),"",IF(U19="","Set a stage",IF(AND(U19="Proposal sent",SUMIFS(Scoresheet!$N$2:$N$501,Scoresheet!$C$2:$C$501,A19,Scoresheet!$U$2:$U$501,1)&lt;6),"Score this lead – fill the call scoresheet",IF(N(W19)&gt;=Settings!$S$3,"Close – 4 follow-ups sent",IF(X19="",IF(V19="","Make first contact",""),IF(TODAY()&gt;X19,"OVERDUE follow-up",IF(TODAY()=X19,"Follow up today","")))))))))</f>
        <v/>
      </c>
    </row>
    <row r="20" customFormat="false" ht="15" hidden="false" customHeight="false" outlineLevel="0" collapsed="false">
      <c r="A20" s="17"/>
      <c r="B20" s="40"/>
      <c r="C20" s="41"/>
      <c r="D20" s="17"/>
      <c r="E20" s="17"/>
      <c r="F20" s="17"/>
      <c r="G20" s="17"/>
      <c r="H20" s="17"/>
      <c r="I20" s="42"/>
      <c r="J20" s="17"/>
      <c r="K20" s="17"/>
      <c r="L20" s="17"/>
      <c r="M20" s="17"/>
      <c r="N20" s="40"/>
      <c r="O20" s="41"/>
      <c r="P20" s="43" t="str">
        <f aca="false">IF(OR(B20="",N20=""),"",ROUND(((N20+N(O20))-(B20+N(C20)))*24,1))</f>
        <v/>
      </c>
      <c r="Q20" s="44" t="str">
        <f aca="false">IF(OR(E20="",A20="",COUNTIFS(Scoresheet!$C$2:$C$501,A20,Scoresheet!$U$2:$U$501,1)=0),"",SUMIFS(Scoresheet!$O$2:$O$501,Scoresheet!$C$2:$C$501,A20,Scoresheet!$U$2:$U$501,1))</f>
        <v/>
      </c>
      <c r="R20" s="44" t="str">
        <f aca="false">IF(E20="","",IF(OR(A20="",COUNTIFS(Scoresheet!$C$2:$C$501,A20,Scoresheet!$U$2:$U$501,1)=0),"No scoresheet yet",IF(SUMIFS(Scoresheet!$N$2:$N$501,Scoresheet!$C$2:$C$501,A20,Scoresheet!$U$2:$U$501,1)&lt;6,"Partly scored ("&amp;SUMIFS(Scoresheet!$N$2:$N$501,Scoresheet!$C$2:$C$501,A20,Scoresheet!$U$2:$U$501,1)&amp;"/6)",IF(Q20&gt;=Settings!$S$8,"Hot",IF(Q20&gt;=Settings!$S$9,"Warm","Cold")))))</f>
        <v/>
      </c>
      <c r="S20" s="44" t="str">
        <f aca="false">IF(OR(E20="",A20=""),"",IF(AND(COUNTIFS(Scoresheet!$C$2:$C$501,A20,Scoresheet!$U$2:$U$501,1,Scoresheet!$H$2:$H$501,"No")&gt;0,COUNTIFS(Scoresheet!$C$2:$C$501,A20,Scoresheet!$U$2:$U$501,1,Scoresheet!$J$2:$J$501,"No")&gt;0),"🚩 Budget  ·  🚩 No one on camera",IF(COUNTIFS(Scoresheet!$C$2:$C$501,A20,Scoresheet!$U$2:$U$501,1,Scoresheet!$H$2:$H$501,"No")&gt;0,"🚩 Budget under AED 5k",IF(COUNTIFS(Scoresheet!$C$2:$C$501,A20,Scoresheet!$U$2:$U$501,1,Scoresheet!$J$2:$J$501,"No")&gt;0,"🚩 No one on camera",""))))</f>
        <v/>
      </c>
      <c r="T20" s="17"/>
      <c r="U20" s="17"/>
      <c r="V20" s="40"/>
      <c r="W20" s="17"/>
      <c r="X20" s="45" t="str">
        <f aca="false">IF(OR(E20="",V20="",OR(U20="Contract signed + paid",U20="Closed – No response",U20="Lost"),N(W20)&gt;=Settings!$S$3),"",V20+Settings!$S$2)</f>
        <v/>
      </c>
      <c r="Y20" s="40"/>
      <c r="Z20" s="41"/>
      <c r="AA20" s="17"/>
      <c r="AB20" s="17"/>
      <c r="AC20" s="17"/>
      <c r="AD20" s="46" t="str">
        <f aca="true">IF(OR(E20="",B20=""),"",INT(TODAY()-B20))</f>
        <v/>
      </c>
      <c r="AE20" s="44" t="str">
        <f aca="true">IF(E20="","",IF(OR(COUNTIFS(Clients!$C$2:$C$501,E20,Clients!$S$2:$S$501,"Paid")&gt;0,AND(I20&lt;&gt;"",COUNTIFS(Clients!$E$2:$E$501,I20,Clients!$S$2:$S$501,"Paid")&gt;0)),"⚠ Refunded before – no free video",IF(OR(U20="Contract signed + paid",U20="Closed – No response",U20="Lost"),"",IF(U20="","Set a stage",IF(AND(U20="Proposal sent",SUMIFS(Scoresheet!$N$2:$N$501,Scoresheet!$C$2:$C$501,A20,Scoresheet!$U$2:$U$501,1)&lt;6),"Score this lead – fill the call scoresheet",IF(N(W20)&gt;=Settings!$S$3,"Close – 4 follow-ups sent",IF(X20="",IF(V20="","Make first contact",""),IF(TODAY()&gt;X20,"OVERDUE follow-up",IF(TODAY()=X20,"Follow up today","")))))))))</f>
        <v/>
      </c>
    </row>
    <row r="21" customFormat="false" ht="15" hidden="false" customHeight="false" outlineLevel="0" collapsed="false">
      <c r="A21" s="17"/>
      <c r="B21" s="40"/>
      <c r="C21" s="41"/>
      <c r="D21" s="17"/>
      <c r="E21" s="17"/>
      <c r="F21" s="17"/>
      <c r="G21" s="17"/>
      <c r="H21" s="17"/>
      <c r="I21" s="42"/>
      <c r="J21" s="17"/>
      <c r="K21" s="17"/>
      <c r="L21" s="17"/>
      <c r="M21" s="17"/>
      <c r="N21" s="40"/>
      <c r="O21" s="41"/>
      <c r="P21" s="43" t="str">
        <f aca="false">IF(OR(B21="",N21=""),"",ROUND(((N21+N(O21))-(B21+N(C21)))*24,1))</f>
        <v/>
      </c>
      <c r="Q21" s="44" t="str">
        <f aca="false">IF(OR(E21="",A21="",COUNTIFS(Scoresheet!$C$2:$C$501,A21,Scoresheet!$U$2:$U$501,1)=0),"",SUMIFS(Scoresheet!$O$2:$O$501,Scoresheet!$C$2:$C$501,A21,Scoresheet!$U$2:$U$501,1))</f>
        <v/>
      </c>
      <c r="R21" s="44" t="str">
        <f aca="false">IF(E21="","",IF(OR(A21="",COUNTIFS(Scoresheet!$C$2:$C$501,A21,Scoresheet!$U$2:$U$501,1)=0),"No scoresheet yet",IF(SUMIFS(Scoresheet!$N$2:$N$501,Scoresheet!$C$2:$C$501,A21,Scoresheet!$U$2:$U$501,1)&lt;6,"Partly scored ("&amp;SUMIFS(Scoresheet!$N$2:$N$501,Scoresheet!$C$2:$C$501,A21,Scoresheet!$U$2:$U$501,1)&amp;"/6)",IF(Q21&gt;=Settings!$S$8,"Hot",IF(Q21&gt;=Settings!$S$9,"Warm","Cold")))))</f>
        <v/>
      </c>
      <c r="S21" s="44" t="str">
        <f aca="false">IF(OR(E21="",A21=""),"",IF(AND(COUNTIFS(Scoresheet!$C$2:$C$501,A21,Scoresheet!$U$2:$U$501,1,Scoresheet!$H$2:$H$501,"No")&gt;0,COUNTIFS(Scoresheet!$C$2:$C$501,A21,Scoresheet!$U$2:$U$501,1,Scoresheet!$J$2:$J$501,"No")&gt;0),"🚩 Budget  ·  🚩 No one on camera",IF(COUNTIFS(Scoresheet!$C$2:$C$501,A21,Scoresheet!$U$2:$U$501,1,Scoresheet!$H$2:$H$501,"No")&gt;0,"🚩 Budget under AED 5k",IF(COUNTIFS(Scoresheet!$C$2:$C$501,A21,Scoresheet!$U$2:$U$501,1,Scoresheet!$J$2:$J$501,"No")&gt;0,"🚩 No one on camera",""))))</f>
        <v/>
      </c>
      <c r="T21" s="17"/>
      <c r="U21" s="17"/>
      <c r="V21" s="40"/>
      <c r="W21" s="17"/>
      <c r="X21" s="45" t="str">
        <f aca="false">IF(OR(E21="",V21="",OR(U21="Contract signed + paid",U21="Closed – No response",U21="Lost"),N(W21)&gt;=Settings!$S$3),"",V21+Settings!$S$2)</f>
        <v/>
      </c>
      <c r="Y21" s="40"/>
      <c r="Z21" s="41"/>
      <c r="AA21" s="17"/>
      <c r="AB21" s="17"/>
      <c r="AC21" s="17"/>
      <c r="AD21" s="46" t="str">
        <f aca="true">IF(OR(E21="",B21=""),"",INT(TODAY()-B21))</f>
        <v/>
      </c>
      <c r="AE21" s="44" t="str">
        <f aca="true">IF(E21="","",IF(OR(COUNTIFS(Clients!$C$2:$C$501,E21,Clients!$S$2:$S$501,"Paid")&gt;0,AND(I21&lt;&gt;"",COUNTIFS(Clients!$E$2:$E$501,I21,Clients!$S$2:$S$501,"Paid")&gt;0)),"⚠ Refunded before – no free video",IF(OR(U21="Contract signed + paid",U21="Closed – No response",U21="Lost"),"",IF(U21="","Set a stage",IF(AND(U21="Proposal sent",SUMIFS(Scoresheet!$N$2:$N$501,Scoresheet!$C$2:$C$501,A21,Scoresheet!$U$2:$U$501,1)&lt;6),"Score this lead – fill the call scoresheet",IF(N(W21)&gt;=Settings!$S$3,"Close – 4 follow-ups sent",IF(X21="",IF(V21="","Make first contact",""),IF(TODAY()&gt;X21,"OVERDUE follow-up",IF(TODAY()=X21,"Follow up today","")))))))))</f>
        <v/>
      </c>
    </row>
    <row r="22" customFormat="false" ht="15" hidden="false" customHeight="false" outlineLevel="0" collapsed="false">
      <c r="A22" s="17"/>
      <c r="B22" s="40"/>
      <c r="C22" s="41"/>
      <c r="D22" s="17"/>
      <c r="E22" s="17"/>
      <c r="F22" s="17"/>
      <c r="G22" s="17"/>
      <c r="H22" s="17"/>
      <c r="I22" s="42"/>
      <c r="J22" s="17"/>
      <c r="K22" s="17"/>
      <c r="L22" s="17"/>
      <c r="M22" s="17"/>
      <c r="N22" s="40"/>
      <c r="O22" s="41"/>
      <c r="P22" s="43" t="str">
        <f aca="false">IF(OR(B22="",N22=""),"",ROUND(((N22+N(O22))-(B22+N(C22)))*24,1))</f>
        <v/>
      </c>
      <c r="Q22" s="44" t="str">
        <f aca="false">IF(OR(E22="",A22="",COUNTIFS(Scoresheet!$C$2:$C$501,A22,Scoresheet!$U$2:$U$501,1)=0),"",SUMIFS(Scoresheet!$O$2:$O$501,Scoresheet!$C$2:$C$501,A22,Scoresheet!$U$2:$U$501,1))</f>
        <v/>
      </c>
      <c r="R22" s="44" t="str">
        <f aca="false">IF(E22="","",IF(OR(A22="",COUNTIFS(Scoresheet!$C$2:$C$501,A22,Scoresheet!$U$2:$U$501,1)=0),"No scoresheet yet",IF(SUMIFS(Scoresheet!$N$2:$N$501,Scoresheet!$C$2:$C$501,A22,Scoresheet!$U$2:$U$501,1)&lt;6,"Partly scored ("&amp;SUMIFS(Scoresheet!$N$2:$N$501,Scoresheet!$C$2:$C$501,A22,Scoresheet!$U$2:$U$501,1)&amp;"/6)",IF(Q22&gt;=Settings!$S$8,"Hot",IF(Q22&gt;=Settings!$S$9,"Warm","Cold")))))</f>
        <v/>
      </c>
      <c r="S22" s="44" t="str">
        <f aca="false">IF(OR(E22="",A22=""),"",IF(AND(COUNTIFS(Scoresheet!$C$2:$C$501,A22,Scoresheet!$U$2:$U$501,1,Scoresheet!$H$2:$H$501,"No")&gt;0,COUNTIFS(Scoresheet!$C$2:$C$501,A22,Scoresheet!$U$2:$U$501,1,Scoresheet!$J$2:$J$501,"No")&gt;0),"🚩 Budget  ·  🚩 No one on camera",IF(COUNTIFS(Scoresheet!$C$2:$C$501,A22,Scoresheet!$U$2:$U$501,1,Scoresheet!$H$2:$H$501,"No")&gt;0,"🚩 Budget under AED 5k",IF(COUNTIFS(Scoresheet!$C$2:$C$501,A22,Scoresheet!$U$2:$U$501,1,Scoresheet!$J$2:$J$501,"No")&gt;0,"🚩 No one on camera",""))))</f>
        <v/>
      </c>
      <c r="T22" s="17"/>
      <c r="U22" s="17"/>
      <c r="V22" s="40"/>
      <c r="W22" s="17"/>
      <c r="X22" s="45" t="str">
        <f aca="false">IF(OR(E22="",V22="",OR(U22="Contract signed + paid",U22="Closed – No response",U22="Lost"),N(W22)&gt;=Settings!$S$3),"",V22+Settings!$S$2)</f>
        <v/>
      </c>
      <c r="Y22" s="40"/>
      <c r="Z22" s="41"/>
      <c r="AA22" s="17"/>
      <c r="AB22" s="17"/>
      <c r="AC22" s="17"/>
      <c r="AD22" s="46" t="str">
        <f aca="true">IF(OR(E22="",B22=""),"",INT(TODAY()-B22))</f>
        <v/>
      </c>
      <c r="AE22" s="44" t="str">
        <f aca="true">IF(E22="","",IF(OR(COUNTIFS(Clients!$C$2:$C$501,E22,Clients!$S$2:$S$501,"Paid")&gt;0,AND(I22&lt;&gt;"",COUNTIFS(Clients!$E$2:$E$501,I22,Clients!$S$2:$S$501,"Paid")&gt;0)),"⚠ Refunded before – no free video",IF(OR(U22="Contract signed + paid",U22="Closed – No response",U22="Lost"),"",IF(U22="","Set a stage",IF(AND(U22="Proposal sent",SUMIFS(Scoresheet!$N$2:$N$501,Scoresheet!$C$2:$C$501,A22,Scoresheet!$U$2:$U$501,1)&lt;6),"Score this lead – fill the call scoresheet",IF(N(W22)&gt;=Settings!$S$3,"Close – 4 follow-ups sent",IF(X22="",IF(V22="","Make first contact",""),IF(TODAY()&gt;X22,"OVERDUE follow-up",IF(TODAY()=X22,"Follow up today","")))))))))</f>
        <v/>
      </c>
    </row>
    <row r="23" customFormat="false" ht="15" hidden="false" customHeight="false" outlineLevel="0" collapsed="false">
      <c r="A23" s="17"/>
      <c r="B23" s="40"/>
      <c r="C23" s="41"/>
      <c r="D23" s="17"/>
      <c r="E23" s="17"/>
      <c r="F23" s="17"/>
      <c r="G23" s="17"/>
      <c r="H23" s="17"/>
      <c r="I23" s="42"/>
      <c r="J23" s="17"/>
      <c r="K23" s="17"/>
      <c r="L23" s="17"/>
      <c r="M23" s="17"/>
      <c r="N23" s="40"/>
      <c r="O23" s="41"/>
      <c r="P23" s="43" t="str">
        <f aca="false">IF(OR(B23="",N23=""),"",ROUND(((N23+N(O23))-(B23+N(C23)))*24,1))</f>
        <v/>
      </c>
      <c r="Q23" s="44" t="str">
        <f aca="false">IF(OR(E23="",A23="",COUNTIFS(Scoresheet!$C$2:$C$501,A23,Scoresheet!$U$2:$U$501,1)=0),"",SUMIFS(Scoresheet!$O$2:$O$501,Scoresheet!$C$2:$C$501,A23,Scoresheet!$U$2:$U$501,1))</f>
        <v/>
      </c>
      <c r="R23" s="44" t="str">
        <f aca="false">IF(E23="","",IF(OR(A23="",COUNTIFS(Scoresheet!$C$2:$C$501,A23,Scoresheet!$U$2:$U$501,1)=0),"No scoresheet yet",IF(SUMIFS(Scoresheet!$N$2:$N$501,Scoresheet!$C$2:$C$501,A23,Scoresheet!$U$2:$U$501,1)&lt;6,"Partly scored ("&amp;SUMIFS(Scoresheet!$N$2:$N$501,Scoresheet!$C$2:$C$501,A23,Scoresheet!$U$2:$U$501,1)&amp;"/6)",IF(Q23&gt;=Settings!$S$8,"Hot",IF(Q23&gt;=Settings!$S$9,"Warm","Cold")))))</f>
        <v/>
      </c>
      <c r="S23" s="44" t="str">
        <f aca="false">IF(OR(E23="",A23=""),"",IF(AND(COUNTIFS(Scoresheet!$C$2:$C$501,A23,Scoresheet!$U$2:$U$501,1,Scoresheet!$H$2:$H$501,"No")&gt;0,COUNTIFS(Scoresheet!$C$2:$C$501,A23,Scoresheet!$U$2:$U$501,1,Scoresheet!$J$2:$J$501,"No")&gt;0),"🚩 Budget  ·  🚩 No one on camera",IF(COUNTIFS(Scoresheet!$C$2:$C$501,A23,Scoresheet!$U$2:$U$501,1,Scoresheet!$H$2:$H$501,"No")&gt;0,"🚩 Budget under AED 5k",IF(COUNTIFS(Scoresheet!$C$2:$C$501,A23,Scoresheet!$U$2:$U$501,1,Scoresheet!$J$2:$J$501,"No")&gt;0,"🚩 No one on camera",""))))</f>
        <v/>
      </c>
      <c r="T23" s="17"/>
      <c r="U23" s="17"/>
      <c r="V23" s="40"/>
      <c r="W23" s="17"/>
      <c r="X23" s="45" t="str">
        <f aca="false">IF(OR(E23="",V23="",OR(U23="Contract signed + paid",U23="Closed – No response",U23="Lost"),N(W23)&gt;=Settings!$S$3),"",V23+Settings!$S$2)</f>
        <v/>
      </c>
      <c r="Y23" s="40"/>
      <c r="Z23" s="41"/>
      <c r="AA23" s="17"/>
      <c r="AB23" s="17"/>
      <c r="AC23" s="17"/>
      <c r="AD23" s="46" t="str">
        <f aca="true">IF(OR(E23="",B23=""),"",INT(TODAY()-B23))</f>
        <v/>
      </c>
      <c r="AE23" s="44" t="str">
        <f aca="true">IF(E23="","",IF(OR(COUNTIFS(Clients!$C$2:$C$501,E23,Clients!$S$2:$S$501,"Paid")&gt;0,AND(I23&lt;&gt;"",COUNTIFS(Clients!$E$2:$E$501,I23,Clients!$S$2:$S$501,"Paid")&gt;0)),"⚠ Refunded before – no free video",IF(OR(U23="Contract signed + paid",U23="Closed – No response",U23="Lost"),"",IF(U23="","Set a stage",IF(AND(U23="Proposal sent",SUMIFS(Scoresheet!$N$2:$N$501,Scoresheet!$C$2:$C$501,A23,Scoresheet!$U$2:$U$501,1)&lt;6),"Score this lead – fill the call scoresheet",IF(N(W23)&gt;=Settings!$S$3,"Close – 4 follow-ups sent",IF(X23="",IF(V23="","Make first contact",""),IF(TODAY()&gt;X23,"OVERDUE follow-up",IF(TODAY()=X23,"Follow up today","")))))))))</f>
        <v/>
      </c>
    </row>
    <row r="24" customFormat="false" ht="15" hidden="false" customHeight="false" outlineLevel="0" collapsed="false">
      <c r="A24" s="17"/>
      <c r="B24" s="40"/>
      <c r="C24" s="41"/>
      <c r="D24" s="17"/>
      <c r="E24" s="17"/>
      <c r="F24" s="17"/>
      <c r="G24" s="17"/>
      <c r="H24" s="17"/>
      <c r="I24" s="42"/>
      <c r="J24" s="17"/>
      <c r="K24" s="17"/>
      <c r="L24" s="17"/>
      <c r="M24" s="17"/>
      <c r="N24" s="40"/>
      <c r="O24" s="41"/>
      <c r="P24" s="43" t="str">
        <f aca="false">IF(OR(B24="",N24=""),"",ROUND(((N24+N(O24))-(B24+N(C24)))*24,1))</f>
        <v/>
      </c>
      <c r="Q24" s="44" t="str">
        <f aca="false">IF(OR(E24="",A24="",COUNTIFS(Scoresheet!$C$2:$C$501,A24,Scoresheet!$U$2:$U$501,1)=0),"",SUMIFS(Scoresheet!$O$2:$O$501,Scoresheet!$C$2:$C$501,A24,Scoresheet!$U$2:$U$501,1))</f>
        <v/>
      </c>
      <c r="R24" s="44" t="str">
        <f aca="false">IF(E24="","",IF(OR(A24="",COUNTIFS(Scoresheet!$C$2:$C$501,A24,Scoresheet!$U$2:$U$501,1)=0),"No scoresheet yet",IF(SUMIFS(Scoresheet!$N$2:$N$501,Scoresheet!$C$2:$C$501,A24,Scoresheet!$U$2:$U$501,1)&lt;6,"Partly scored ("&amp;SUMIFS(Scoresheet!$N$2:$N$501,Scoresheet!$C$2:$C$501,A24,Scoresheet!$U$2:$U$501,1)&amp;"/6)",IF(Q24&gt;=Settings!$S$8,"Hot",IF(Q24&gt;=Settings!$S$9,"Warm","Cold")))))</f>
        <v/>
      </c>
      <c r="S24" s="44" t="str">
        <f aca="false">IF(OR(E24="",A24=""),"",IF(AND(COUNTIFS(Scoresheet!$C$2:$C$501,A24,Scoresheet!$U$2:$U$501,1,Scoresheet!$H$2:$H$501,"No")&gt;0,COUNTIFS(Scoresheet!$C$2:$C$501,A24,Scoresheet!$U$2:$U$501,1,Scoresheet!$J$2:$J$501,"No")&gt;0),"🚩 Budget  ·  🚩 No one on camera",IF(COUNTIFS(Scoresheet!$C$2:$C$501,A24,Scoresheet!$U$2:$U$501,1,Scoresheet!$H$2:$H$501,"No")&gt;0,"🚩 Budget under AED 5k",IF(COUNTIFS(Scoresheet!$C$2:$C$501,A24,Scoresheet!$U$2:$U$501,1,Scoresheet!$J$2:$J$501,"No")&gt;0,"🚩 No one on camera",""))))</f>
        <v/>
      </c>
      <c r="T24" s="17"/>
      <c r="U24" s="17"/>
      <c r="V24" s="40"/>
      <c r="W24" s="17"/>
      <c r="X24" s="45" t="str">
        <f aca="false">IF(OR(E24="",V24="",OR(U24="Contract signed + paid",U24="Closed – No response",U24="Lost"),N(W24)&gt;=Settings!$S$3),"",V24+Settings!$S$2)</f>
        <v/>
      </c>
      <c r="Y24" s="40"/>
      <c r="Z24" s="41"/>
      <c r="AA24" s="17"/>
      <c r="AB24" s="17"/>
      <c r="AC24" s="17"/>
      <c r="AD24" s="46" t="str">
        <f aca="true">IF(OR(E24="",B24=""),"",INT(TODAY()-B24))</f>
        <v/>
      </c>
      <c r="AE24" s="44" t="str">
        <f aca="true">IF(E24="","",IF(OR(COUNTIFS(Clients!$C$2:$C$501,E24,Clients!$S$2:$S$501,"Paid")&gt;0,AND(I24&lt;&gt;"",COUNTIFS(Clients!$E$2:$E$501,I24,Clients!$S$2:$S$501,"Paid")&gt;0)),"⚠ Refunded before – no free video",IF(OR(U24="Contract signed + paid",U24="Closed – No response",U24="Lost"),"",IF(U24="","Set a stage",IF(AND(U24="Proposal sent",SUMIFS(Scoresheet!$N$2:$N$501,Scoresheet!$C$2:$C$501,A24,Scoresheet!$U$2:$U$501,1)&lt;6),"Score this lead – fill the call scoresheet",IF(N(W24)&gt;=Settings!$S$3,"Close – 4 follow-ups sent",IF(X24="",IF(V24="","Make first contact",""),IF(TODAY()&gt;X24,"OVERDUE follow-up",IF(TODAY()=X24,"Follow up today","")))))))))</f>
        <v/>
      </c>
    </row>
    <row r="25" customFormat="false" ht="15" hidden="false" customHeight="false" outlineLevel="0" collapsed="false">
      <c r="A25" s="17"/>
      <c r="B25" s="40"/>
      <c r="C25" s="41"/>
      <c r="D25" s="17"/>
      <c r="E25" s="17"/>
      <c r="F25" s="17"/>
      <c r="G25" s="17"/>
      <c r="H25" s="17"/>
      <c r="I25" s="42"/>
      <c r="J25" s="17"/>
      <c r="K25" s="17"/>
      <c r="L25" s="17"/>
      <c r="M25" s="17"/>
      <c r="N25" s="40"/>
      <c r="O25" s="41"/>
      <c r="P25" s="43" t="str">
        <f aca="false">IF(OR(B25="",N25=""),"",ROUND(((N25+N(O25))-(B25+N(C25)))*24,1))</f>
        <v/>
      </c>
      <c r="Q25" s="44" t="str">
        <f aca="false">IF(OR(E25="",A25="",COUNTIFS(Scoresheet!$C$2:$C$501,A25,Scoresheet!$U$2:$U$501,1)=0),"",SUMIFS(Scoresheet!$O$2:$O$501,Scoresheet!$C$2:$C$501,A25,Scoresheet!$U$2:$U$501,1))</f>
        <v/>
      </c>
      <c r="R25" s="44" t="str">
        <f aca="false">IF(E25="","",IF(OR(A25="",COUNTIFS(Scoresheet!$C$2:$C$501,A25,Scoresheet!$U$2:$U$501,1)=0),"No scoresheet yet",IF(SUMIFS(Scoresheet!$N$2:$N$501,Scoresheet!$C$2:$C$501,A25,Scoresheet!$U$2:$U$501,1)&lt;6,"Partly scored ("&amp;SUMIFS(Scoresheet!$N$2:$N$501,Scoresheet!$C$2:$C$501,A25,Scoresheet!$U$2:$U$501,1)&amp;"/6)",IF(Q25&gt;=Settings!$S$8,"Hot",IF(Q25&gt;=Settings!$S$9,"Warm","Cold")))))</f>
        <v/>
      </c>
      <c r="S25" s="44" t="str">
        <f aca="false">IF(OR(E25="",A25=""),"",IF(AND(COUNTIFS(Scoresheet!$C$2:$C$501,A25,Scoresheet!$U$2:$U$501,1,Scoresheet!$H$2:$H$501,"No")&gt;0,COUNTIFS(Scoresheet!$C$2:$C$501,A25,Scoresheet!$U$2:$U$501,1,Scoresheet!$J$2:$J$501,"No")&gt;0),"🚩 Budget  ·  🚩 No one on camera",IF(COUNTIFS(Scoresheet!$C$2:$C$501,A25,Scoresheet!$U$2:$U$501,1,Scoresheet!$H$2:$H$501,"No")&gt;0,"🚩 Budget under AED 5k",IF(COUNTIFS(Scoresheet!$C$2:$C$501,A25,Scoresheet!$U$2:$U$501,1,Scoresheet!$J$2:$J$501,"No")&gt;0,"🚩 No one on camera",""))))</f>
        <v/>
      </c>
      <c r="T25" s="17"/>
      <c r="U25" s="17"/>
      <c r="V25" s="40"/>
      <c r="W25" s="17"/>
      <c r="X25" s="45" t="str">
        <f aca="false">IF(OR(E25="",V25="",OR(U25="Contract signed + paid",U25="Closed – No response",U25="Lost"),N(W25)&gt;=Settings!$S$3),"",V25+Settings!$S$2)</f>
        <v/>
      </c>
      <c r="Y25" s="40"/>
      <c r="Z25" s="41"/>
      <c r="AA25" s="17"/>
      <c r="AB25" s="17"/>
      <c r="AC25" s="17"/>
      <c r="AD25" s="46" t="str">
        <f aca="true">IF(OR(E25="",B25=""),"",INT(TODAY()-B25))</f>
        <v/>
      </c>
      <c r="AE25" s="44" t="str">
        <f aca="true">IF(E25="","",IF(OR(COUNTIFS(Clients!$C$2:$C$501,E25,Clients!$S$2:$S$501,"Paid")&gt;0,AND(I25&lt;&gt;"",COUNTIFS(Clients!$E$2:$E$501,I25,Clients!$S$2:$S$501,"Paid")&gt;0)),"⚠ Refunded before – no free video",IF(OR(U25="Contract signed + paid",U25="Closed – No response",U25="Lost"),"",IF(U25="","Set a stage",IF(AND(U25="Proposal sent",SUMIFS(Scoresheet!$N$2:$N$501,Scoresheet!$C$2:$C$501,A25,Scoresheet!$U$2:$U$501,1)&lt;6),"Score this lead – fill the call scoresheet",IF(N(W25)&gt;=Settings!$S$3,"Close – 4 follow-ups sent",IF(X25="",IF(V25="","Make first contact",""),IF(TODAY()&gt;X25,"OVERDUE follow-up",IF(TODAY()=X25,"Follow up today","")))))))))</f>
        <v/>
      </c>
    </row>
    <row r="26" customFormat="false" ht="15" hidden="false" customHeight="false" outlineLevel="0" collapsed="false">
      <c r="A26" s="17"/>
      <c r="B26" s="40"/>
      <c r="C26" s="41"/>
      <c r="D26" s="17"/>
      <c r="E26" s="17"/>
      <c r="F26" s="17"/>
      <c r="G26" s="17"/>
      <c r="H26" s="17"/>
      <c r="I26" s="42"/>
      <c r="J26" s="17"/>
      <c r="K26" s="17"/>
      <c r="L26" s="17"/>
      <c r="M26" s="17"/>
      <c r="N26" s="40"/>
      <c r="O26" s="41"/>
      <c r="P26" s="43" t="str">
        <f aca="false">IF(OR(B26="",N26=""),"",ROUND(((N26+N(O26))-(B26+N(C26)))*24,1))</f>
        <v/>
      </c>
      <c r="Q26" s="44" t="str">
        <f aca="false">IF(OR(E26="",A26="",COUNTIFS(Scoresheet!$C$2:$C$501,A26,Scoresheet!$U$2:$U$501,1)=0),"",SUMIFS(Scoresheet!$O$2:$O$501,Scoresheet!$C$2:$C$501,A26,Scoresheet!$U$2:$U$501,1))</f>
        <v/>
      </c>
      <c r="R26" s="44" t="str">
        <f aca="false">IF(E26="","",IF(OR(A26="",COUNTIFS(Scoresheet!$C$2:$C$501,A26,Scoresheet!$U$2:$U$501,1)=0),"No scoresheet yet",IF(SUMIFS(Scoresheet!$N$2:$N$501,Scoresheet!$C$2:$C$501,A26,Scoresheet!$U$2:$U$501,1)&lt;6,"Partly scored ("&amp;SUMIFS(Scoresheet!$N$2:$N$501,Scoresheet!$C$2:$C$501,A26,Scoresheet!$U$2:$U$501,1)&amp;"/6)",IF(Q26&gt;=Settings!$S$8,"Hot",IF(Q26&gt;=Settings!$S$9,"Warm","Cold")))))</f>
        <v/>
      </c>
      <c r="S26" s="44" t="str">
        <f aca="false">IF(OR(E26="",A26=""),"",IF(AND(COUNTIFS(Scoresheet!$C$2:$C$501,A26,Scoresheet!$U$2:$U$501,1,Scoresheet!$H$2:$H$501,"No")&gt;0,COUNTIFS(Scoresheet!$C$2:$C$501,A26,Scoresheet!$U$2:$U$501,1,Scoresheet!$J$2:$J$501,"No")&gt;0),"🚩 Budget  ·  🚩 No one on camera",IF(COUNTIFS(Scoresheet!$C$2:$C$501,A26,Scoresheet!$U$2:$U$501,1,Scoresheet!$H$2:$H$501,"No")&gt;0,"🚩 Budget under AED 5k",IF(COUNTIFS(Scoresheet!$C$2:$C$501,A26,Scoresheet!$U$2:$U$501,1,Scoresheet!$J$2:$J$501,"No")&gt;0,"🚩 No one on camera",""))))</f>
        <v/>
      </c>
      <c r="T26" s="17"/>
      <c r="U26" s="17"/>
      <c r="V26" s="40"/>
      <c r="W26" s="17"/>
      <c r="X26" s="45" t="str">
        <f aca="false">IF(OR(E26="",V26="",OR(U26="Contract signed + paid",U26="Closed – No response",U26="Lost"),N(W26)&gt;=Settings!$S$3),"",V26+Settings!$S$2)</f>
        <v/>
      </c>
      <c r="Y26" s="40"/>
      <c r="Z26" s="41"/>
      <c r="AA26" s="17"/>
      <c r="AB26" s="17"/>
      <c r="AC26" s="17"/>
      <c r="AD26" s="46" t="str">
        <f aca="true">IF(OR(E26="",B26=""),"",INT(TODAY()-B26))</f>
        <v/>
      </c>
      <c r="AE26" s="44" t="str">
        <f aca="true">IF(E26="","",IF(OR(COUNTIFS(Clients!$C$2:$C$501,E26,Clients!$S$2:$S$501,"Paid")&gt;0,AND(I26&lt;&gt;"",COUNTIFS(Clients!$E$2:$E$501,I26,Clients!$S$2:$S$501,"Paid")&gt;0)),"⚠ Refunded before – no free video",IF(OR(U26="Contract signed + paid",U26="Closed – No response",U26="Lost"),"",IF(U26="","Set a stage",IF(AND(U26="Proposal sent",SUMIFS(Scoresheet!$N$2:$N$501,Scoresheet!$C$2:$C$501,A26,Scoresheet!$U$2:$U$501,1)&lt;6),"Score this lead – fill the call scoresheet",IF(N(W26)&gt;=Settings!$S$3,"Close – 4 follow-ups sent",IF(X26="",IF(V26="","Make first contact",""),IF(TODAY()&gt;X26,"OVERDUE follow-up",IF(TODAY()=X26,"Follow up today","")))))))))</f>
        <v/>
      </c>
    </row>
    <row r="27" customFormat="false" ht="15" hidden="false" customHeight="false" outlineLevel="0" collapsed="false">
      <c r="A27" s="17"/>
      <c r="B27" s="40"/>
      <c r="C27" s="41"/>
      <c r="D27" s="17"/>
      <c r="E27" s="17"/>
      <c r="F27" s="17"/>
      <c r="G27" s="17"/>
      <c r="H27" s="17"/>
      <c r="I27" s="42"/>
      <c r="J27" s="17"/>
      <c r="K27" s="17"/>
      <c r="L27" s="17"/>
      <c r="M27" s="17"/>
      <c r="N27" s="40"/>
      <c r="O27" s="41"/>
      <c r="P27" s="43" t="str">
        <f aca="false">IF(OR(B27="",N27=""),"",ROUND(((N27+N(O27))-(B27+N(C27)))*24,1))</f>
        <v/>
      </c>
      <c r="Q27" s="44" t="str">
        <f aca="false">IF(OR(E27="",A27="",COUNTIFS(Scoresheet!$C$2:$C$501,A27,Scoresheet!$U$2:$U$501,1)=0),"",SUMIFS(Scoresheet!$O$2:$O$501,Scoresheet!$C$2:$C$501,A27,Scoresheet!$U$2:$U$501,1))</f>
        <v/>
      </c>
      <c r="R27" s="44" t="str">
        <f aca="false">IF(E27="","",IF(OR(A27="",COUNTIFS(Scoresheet!$C$2:$C$501,A27,Scoresheet!$U$2:$U$501,1)=0),"No scoresheet yet",IF(SUMIFS(Scoresheet!$N$2:$N$501,Scoresheet!$C$2:$C$501,A27,Scoresheet!$U$2:$U$501,1)&lt;6,"Partly scored ("&amp;SUMIFS(Scoresheet!$N$2:$N$501,Scoresheet!$C$2:$C$501,A27,Scoresheet!$U$2:$U$501,1)&amp;"/6)",IF(Q27&gt;=Settings!$S$8,"Hot",IF(Q27&gt;=Settings!$S$9,"Warm","Cold")))))</f>
        <v/>
      </c>
      <c r="S27" s="44" t="str">
        <f aca="false">IF(OR(E27="",A27=""),"",IF(AND(COUNTIFS(Scoresheet!$C$2:$C$501,A27,Scoresheet!$U$2:$U$501,1,Scoresheet!$H$2:$H$501,"No")&gt;0,COUNTIFS(Scoresheet!$C$2:$C$501,A27,Scoresheet!$U$2:$U$501,1,Scoresheet!$J$2:$J$501,"No")&gt;0),"🚩 Budget  ·  🚩 No one on camera",IF(COUNTIFS(Scoresheet!$C$2:$C$501,A27,Scoresheet!$U$2:$U$501,1,Scoresheet!$H$2:$H$501,"No")&gt;0,"🚩 Budget under AED 5k",IF(COUNTIFS(Scoresheet!$C$2:$C$501,A27,Scoresheet!$U$2:$U$501,1,Scoresheet!$J$2:$J$501,"No")&gt;0,"🚩 No one on camera",""))))</f>
        <v/>
      </c>
      <c r="T27" s="17"/>
      <c r="U27" s="17"/>
      <c r="V27" s="40"/>
      <c r="W27" s="17"/>
      <c r="X27" s="45" t="str">
        <f aca="false">IF(OR(E27="",V27="",OR(U27="Contract signed + paid",U27="Closed – No response",U27="Lost"),N(W27)&gt;=Settings!$S$3),"",V27+Settings!$S$2)</f>
        <v/>
      </c>
      <c r="Y27" s="40"/>
      <c r="Z27" s="41"/>
      <c r="AA27" s="17"/>
      <c r="AB27" s="17"/>
      <c r="AC27" s="17"/>
      <c r="AD27" s="46" t="str">
        <f aca="true">IF(OR(E27="",B27=""),"",INT(TODAY()-B27))</f>
        <v/>
      </c>
      <c r="AE27" s="44" t="str">
        <f aca="true">IF(E27="","",IF(OR(COUNTIFS(Clients!$C$2:$C$501,E27,Clients!$S$2:$S$501,"Paid")&gt;0,AND(I27&lt;&gt;"",COUNTIFS(Clients!$E$2:$E$501,I27,Clients!$S$2:$S$501,"Paid")&gt;0)),"⚠ Refunded before – no free video",IF(OR(U27="Contract signed + paid",U27="Closed – No response",U27="Lost"),"",IF(U27="","Set a stage",IF(AND(U27="Proposal sent",SUMIFS(Scoresheet!$N$2:$N$501,Scoresheet!$C$2:$C$501,A27,Scoresheet!$U$2:$U$501,1)&lt;6),"Score this lead – fill the call scoresheet",IF(N(W27)&gt;=Settings!$S$3,"Close – 4 follow-ups sent",IF(X27="",IF(V27="","Make first contact",""),IF(TODAY()&gt;X27,"OVERDUE follow-up",IF(TODAY()=X27,"Follow up today","")))))))))</f>
        <v/>
      </c>
    </row>
    <row r="28" customFormat="false" ht="15" hidden="false" customHeight="false" outlineLevel="0" collapsed="false">
      <c r="A28" s="17"/>
      <c r="B28" s="40"/>
      <c r="C28" s="41"/>
      <c r="D28" s="17"/>
      <c r="E28" s="17"/>
      <c r="F28" s="17"/>
      <c r="G28" s="17"/>
      <c r="H28" s="17"/>
      <c r="I28" s="42"/>
      <c r="J28" s="17"/>
      <c r="K28" s="17"/>
      <c r="L28" s="17"/>
      <c r="M28" s="17"/>
      <c r="N28" s="40"/>
      <c r="O28" s="41"/>
      <c r="P28" s="43" t="str">
        <f aca="false">IF(OR(B28="",N28=""),"",ROUND(((N28+N(O28))-(B28+N(C28)))*24,1))</f>
        <v/>
      </c>
      <c r="Q28" s="44" t="str">
        <f aca="false">IF(OR(E28="",A28="",COUNTIFS(Scoresheet!$C$2:$C$501,A28,Scoresheet!$U$2:$U$501,1)=0),"",SUMIFS(Scoresheet!$O$2:$O$501,Scoresheet!$C$2:$C$501,A28,Scoresheet!$U$2:$U$501,1))</f>
        <v/>
      </c>
      <c r="R28" s="44" t="str">
        <f aca="false">IF(E28="","",IF(OR(A28="",COUNTIFS(Scoresheet!$C$2:$C$501,A28,Scoresheet!$U$2:$U$501,1)=0),"No scoresheet yet",IF(SUMIFS(Scoresheet!$N$2:$N$501,Scoresheet!$C$2:$C$501,A28,Scoresheet!$U$2:$U$501,1)&lt;6,"Partly scored ("&amp;SUMIFS(Scoresheet!$N$2:$N$501,Scoresheet!$C$2:$C$501,A28,Scoresheet!$U$2:$U$501,1)&amp;"/6)",IF(Q28&gt;=Settings!$S$8,"Hot",IF(Q28&gt;=Settings!$S$9,"Warm","Cold")))))</f>
        <v/>
      </c>
      <c r="S28" s="44" t="str">
        <f aca="false">IF(OR(E28="",A28=""),"",IF(AND(COUNTIFS(Scoresheet!$C$2:$C$501,A28,Scoresheet!$U$2:$U$501,1,Scoresheet!$H$2:$H$501,"No")&gt;0,COUNTIFS(Scoresheet!$C$2:$C$501,A28,Scoresheet!$U$2:$U$501,1,Scoresheet!$J$2:$J$501,"No")&gt;0),"🚩 Budget  ·  🚩 No one on camera",IF(COUNTIFS(Scoresheet!$C$2:$C$501,A28,Scoresheet!$U$2:$U$501,1,Scoresheet!$H$2:$H$501,"No")&gt;0,"🚩 Budget under AED 5k",IF(COUNTIFS(Scoresheet!$C$2:$C$501,A28,Scoresheet!$U$2:$U$501,1,Scoresheet!$J$2:$J$501,"No")&gt;0,"🚩 No one on camera",""))))</f>
        <v/>
      </c>
      <c r="T28" s="17"/>
      <c r="U28" s="17"/>
      <c r="V28" s="40"/>
      <c r="W28" s="17"/>
      <c r="X28" s="45" t="str">
        <f aca="false">IF(OR(E28="",V28="",OR(U28="Contract signed + paid",U28="Closed – No response",U28="Lost"),N(W28)&gt;=Settings!$S$3),"",V28+Settings!$S$2)</f>
        <v/>
      </c>
      <c r="Y28" s="40"/>
      <c r="Z28" s="41"/>
      <c r="AA28" s="17"/>
      <c r="AB28" s="17"/>
      <c r="AC28" s="17"/>
      <c r="AD28" s="46" t="str">
        <f aca="true">IF(OR(E28="",B28=""),"",INT(TODAY()-B28))</f>
        <v/>
      </c>
      <c r="AE28" s="44" t="str">
        <f aca="true">IF(E28="","",IF(OR(COUNTIFS(Clients!$C$2:$C$501,E28,Clients!$S$2:$S$501,"Paid")&gt;0,AND(I28&lt;&gt;"",COUNTIFS(Clients!$E$2:$E$501,I28,Clients!$S$2:$S$501,"Paid")&gt;0)),"⚠ Refunded before – no free video",IF(OR(U28="Contract signed + paid",U28="Closed – No response",U28="Lost"),"",IF(U28="","Set a stage",IF(AND(U28="Proposal sent",SUMIFS(Scoresheet!$N$2:$N$501,Scoresheet!$C$2:$C$501,A28,Scoresheet!$U$2:$U$501,1)&lt;6),"Score this lead – fill the call scoresheet",IF(N(W28)&gt;=Settings!$S$3,"Close – 4 follow-ups sent",IF(X28="",IF(V28="","Make first contact",""),IF(TODAY()&gt;X28,"OVERDUE follow-up",IF(TODAY()=X28,"Follow up today","")))))))))</f>
        <v/>
      </c>
    </row>
    <row r="29" customFormat="false" ht="15" hidden="false" customHeight="false" outlineLevel="0" collapsed="false">
      <c r="A29" s="17"/>
      <c r="B29" s="40"/>
      <c r="C29" s="41"/>
      <c r="D29" s="17"/>
      <c r="E29" s="17"/>
      <c r="F29" s="17"/>
      <c r="G29" s="17"/>
      <c r="H29" s="17"/>
      <c r="I29" s="42"/>
      <c r="J29" s="17"/>
      <c r="K29" s="17"/>
      <c r="L29" s="17"/>
      <c r="M29" s="17"/>
      <c r="N29" s="40"/>
      <c r="O29" s="41"/>
      <c r="P29" s="43" t="str">
        <f aca="false">IF(OR(B29="",N29=""),"",ROUND(((N29+N(O29))-(B29+N(C29)))*24,1))</f>
        <v/>
      </c>
      <c r="Q29" s="44" t="str">
        <f aca="false">IF(OR(E29="",A29="",COUNTIFS(Scoresheet!$C$2:$C$501,A29,Scoresheet!$U$2:$U$501,1)=0),"",SUMIFS(Scoresheet!$O$2:$O$501,Scoresheet!$C$2:$C$501,A29,Scoresheet!$U$2:$U$501,1))</f>
        <v/>
      </c>
      <c r="R29" s="44" t="str">
        <f aca="false">IF(E29="","",IF(OR(A29="",COUNTIFS(Scoresheet!$C$2:$C$501,A29,Scoresheet!$U$2:$U$501,1)=0),"No scoresheet yet",IF(SUMIFS(Scoresheet!$N$2:$N$501,Scoresheet!$C$2:$C$501,A29,Scoresheet!$U$2:$U$501,1)&lt;6,"Partly scored ("&amp;SUMIFS(Scoresheet!$N$2:$N$501,Scoresheet!$C$2:$C$501,A29,Scoresheet!$U$2:$U$501,1)&amp;"/6)",IF(Q29&gt;=Settings!$S$8,"Hot",IF(Q29&gt;=Settings!$S$9,"Warm","Cold")))))</f>
        <v/>
      </c>
      <c r="S29" s="44" t="str">
        <f aca="false">IF(OR(E29="",A29=""),"",IF(AND(COUNTIFS(Scoresheet!$C$2:$C$501,A29,Scoresheet!$U$2:$U$501,1,Scoresheet!$H$2:$H$501,"No")&gt;0,COUNTIFS(Scoresheet!$C$2:$C$501,A29,Scoresheet!$U$2:$U$501,1,Scoresheet!$J$2:$J$501,"No")&gt;0),"🚩 Budget  ·  🚩 No one on camera",IF(COUNTIFS(Scoresheet!$C$2:$C$501,A29,Scoresheet!$U$2:$U$501,1,Scoresheet!$H$2:$H$501,"No")&gt;0,"🚩 Budget under AED 5k",IF(COUNTIFS(Scoresheet!$C$2:$C$501,A29,Scoresheet!$U$2:$U$501,1,Scoresheet!$J$2:$J$501,"No")&gt;0,"🚩 No one on camera",""))))</f>
        <v/>
      </c>
      <c r="T29" s="17"/>
      <c r="U29" s="17"/>
      <c r="V29" s="40"/>
      <c r="W29" s="17"/>
      <c r="X29" s="45" t="str">
        <f aca="false">IF(OR(E29="",V29="",OR(U29="Contract signed + paid",U29="Closed – No response",U29="Lost"),N(W29)&gt;=Settings!$S$3),"",V29+Settings!$S$2)</f>
        <v/>
      </c>
      <c r="Y29" s="40"/>
      <c r="Z29" s="41"/>
      <c r="AA29" s="17"/>
      <c r="AB29" s="17"/>
      <c r="AC29" s="17"/>
      <c r="AD29" s="46" t="str">
        <f aca="true">IF(OR(E29="",B29=""),"",INT(TODAY()-B29))</f>
        <v/>
      </c>
      <c r="AE29" s="44" t="str">
        <f aca="true">IF(E29="","",IF(OR(COUNTIFS(Clients!$C$2:$C$501,E29,Clients!$S$2:$S$501,"Paid")&gt;0,AND(I29&lt;&gt;"",COUNTIFS(Clients!$E$2:$E$501,I29,Clients!$S$2:$S$501,"Paid")&gt;0)),"⚠ Refunded before – no free video",IF(OR(U29="Contract signed + paid",U29="Closed – No response",U29="Lost"),"",IF(U29="","Set a stage",IF(AND(U29="Proposal sent",SUMIFS(Scoresheet!$N$2:$N$501,Scoresheet!$C$2:$C$501,A29,Scoresheet!$U$2:$U$501,1)&lt;6),"Score this lead – fill the call scoresheet",IF(N(W29)&gt;=Settings!$S$3,"Close – 4 follow-ups sent",IF(X29="",IF(V29="","Make first contact",""),IF(TODAY()&gt;X29,"OVERDUE follow-up",IF(TODAY()=X29,"Follow up today","")))))))))</f>
        <v/>
      </c>
    </row>
    <row r="30" customFormat="false" ht="15" hidden="false" customHeight="false" outlineLevel="0" collapsed="false">
      <c r="A30" s="17"/>
      <c r="B30" s="40"/>
      <c r="C30" s="41"/>
      <c r="D30" s="17"/>
      <c r="E30" s="17"/>
      <c r="F30" s="17"/>
      <c r="G30" s="17"/>
      <c r="H30" s="17"/>
      <c r="I30" s="42"/>
      <c r="J30" s="17"/>
      <c r="K30" s="17"/>
      <c r="L30" s="17"/>
      <c r="M30" s="17"/>
      <c r="N30" s="40"/>
      <c r="O30" s="41"/>
      <c r="P30" s="43" t="str">
        <f aca="false">IF(OR(B30="",N30=""),"",ROUND(((N30+N(O30))-(B30+N(C30)))*24,1))</f>
        <v/>
      </c>
      <c r="Q30" s="44" t="str">
        <f aca="false">IF(OR(E30="",A30="",COUNTIFS(Scoresheet!$C$2:$C$501,A30,Scoresheet!$U$2:$U$501,1)=0),"",SUMIFS(Scoresheet!$O$2:$O$501,Scoresheet!$C$2:$C$501,A30,Scoresheet!$U$2:$U$501,1))</f>
        <v/>
      </c>
      <c r="R30" s="44" t="str">
        <f aca="false">IF(E30="","",IF(OR(A30="",COUNTIFS(Scoresheet!$C$2:$C$501,A30,Scoresheet!$U$2:$U$501,1)=0),"No scoresheet yet",IF(SUMIFS(Scoresheet!$N$2:$N$501,Scoresheet!$C$2:$C$501,A30,Scoresheet!$U$2:$U$501,1)&lt;6,"Partly scored ("&amp;SUMIFS(Scoresheet!$N$2:$N$501,Scoresheet!$C$2:$C$501,A30,Scoresheet!$U$2:$U$501,1)&amp;"/6)",IF(Q30&gt;=Settings!$S$8,"Hot",IF(Q30&gt;=Settings!$S$9,"Warm","Cold")))))</f>
        <v/>
      </c>
      <c r="S30" s="44" t="str">
        <f aca="false">IF(OR(E30="",A30=""),"",IF(AND(COUNTIFS(Scoresheet!$C$2:$C$501,A30,Scoresheet!$U$2:$U$501,1,Scoresheet!$H$2:$H$501,"No")&gt;0,COUNTIFS(Scoresheet!$C$2:$C$501,A30,Scoresheet!$U$2:$U$501,1,Scoresheet!$J$2:$J$501,"No")&gt;0),"🚩 Budget  ·  🚩 No one on camera",IF(COUNTIFS(Scoresheet!$C$2:$C$501,A30,Scoresheet!$U$2:$U$501,1,Scoresheet!$H$2:$H$501,"No")&gt;0,"🚩 Budget under AED 5k",IF(COUNTIFS(Scoresheet!$C$2:$C$501,A30,Scoresheet!$U$2:$U$501,1,Scoresheet!$J$2:$J$501,"No")&gt;0,"🚩 No one on camera",""))))</f>
        <v/>
      </c>
      <c r="T30" s="17"/>
      <c r="U30" s="17"/>
      <c r="V30" s="40"/>
      <c r="W30" s="17"/>
      <c r="X30" s="45" t="str">
        <f aca="false">IF(OR(E30="",V30="",OR(U30="Contract signed + paid",U30="Closed – No response",U30="Lost"),N(W30)&gt;=Settings!$S$3),"",V30+Settings!$S$2)</f>
        <v/>
      </c>
      <c r="Y30" s="40"/>
      <c r="Z30" s="41"/>
      <c r="AA30" s="17"/>
      <c r="AB30" s="17"/>
      <c r="AC30" s="17"/>
      <c r="AD30" s="46" t="str">
        <f aca="true">IF(OR(E30="",B30=""),"",INT(TODAY()-B30))</f>
        <v/>
      </c>
      <c r="AE30" s="44" t="str">
        <f aca="true">IF(E30="","",IF(OR(COUNTIFS(Clients!$C$2:$C$501,E30,Clients!$S$2:$S$501,"Paid")&gt;0,AND(I30&lt;&gt;"",COUNTIFS(Clients!$E$2:$E$501,I30,Clients!$S$2:$S$501,"Paid")&gt;0)),"⚠ Refunded before – no free video",IF(OR(U30="Contract signed + paid",U30="Closed – No response",U30="Lost"),"",IF(U30="","Set a stage",IF(AND(U30="Proposal sent",SUMIFS(Scoresheet!$N$2:$N$501,Scoresheet!$C$2:$C$501,A30,Scoresheet!$U$2:$U$501,1)&lt;6),"Score this lead – fill the call scoresheet",IF(N(W30)&gt;=Settings!$S$3,"Close – 4 follow-ups sent",IF(X30="",IF(V30="","Make first contact",""),IF(TODAY()&gt;X30,"OVERDUE follow-up",IF(TODAY()=X30,"Follow up today","")))))))))</f>
        <v/>
      </c>
    </row>
    <row r="31" customFormat="false" ht="15" hidden="false" customHeight="false" outlineLevel="0" collapsed="false">
      <c r="A31" s="17"/>
      <c r="B31" s="40"/>
      <c r="C31" s="41"/>
      <c r="D31" s="17"/>
      <c r="E31" s="17"/>
      <c r="F31" s="17"/>
      <c r="G31" s="17"/>
      <c r="H31" s="17"/>
      <c r="I31" s="42"/>
      <c r="J31" s="17"/>
      <c r="K31" s="17"/>
      <c r="L31" s="17"/>
      <c r="M31" s="17"/>
      <c r="N31" s="40"/>
      <c r="O31" s="41"/>
      <c r="P31" s="43" t="str">
        <f aca="false">IF(OR(B31="",N31=""),"",ROUND(((N31+N(O31))-(B31+N(C31)))*24,1))</f>
        <v/>
      </c>
      <c r="Q31" s="44" t="str">
        <f aca="false">IF(OR(E31="",A31="",COUNTIFS(Scoresheet!$C$2:$C$501,A31,Scoresheet!$U$2:$U$501,1)=0),"",SUMIFS(Scoresheet!$O$2:$O$501,Scoresheet!$C$2:$C$501,A31,Scoresheet!$U$2:$U$501,1))</f>
        <v/>
      </c>
      <c r="R31" s="44" t="str">
        <f aca="false">IF(E31="","",IF(OR(A31="",COUNTIFS(Scoresheet!$C$2:$C$501,A31,Scoresheet!$U$2:$U$501,1)=0),"No scoresheet yet",IF(SUMIFS(Scoresheet!$N$2:$N$501,Scoresheet!$C$2:$C$501,A31,Scoresheet!$U$2:$U$501,1)&lt;6,"Partly scored ("&amp;SUMIFS(Scoresheet!$N$2:$N$501,Scoresheet!$C$2:$C$501,A31,Scoresheet!$U$2:$U$501,1)&amp;"/6)",IF(Q31&gt;=Settings!$S$8,"Hot",IF(Q31&gt;=Settings!$S$9,"Warm","Cold")))))</f>
        <v/>
      </c>
      <c r="S31" s="44" t="str">
        <f aca="false">IF(OR(E31="",A31=""),"",IF(AND(COUNTIFS(Scoresheet!$C$2:$C$501,A31,Scoresheet!$U$2:$U$501,1,Scoresheet!$H$2:$H$501,"No")&gt;0,COUNTIFS(Scoresheet!$C$2:$C$501,A31,Scoresheet!$U$2:$U$501,1,Scoresheet!$J$2:$J$501,"No")&gt;0),"🚩 Budget  ·  🚩 No one on camera",IF(COUNTIFS(Scoresheet!$C$2:$C$501,A31,Scoresheet!$U$2:$U$501,1,Scoresheet!$H$2:$H$501,"No")&gt;0,"🚩 Budget under AED 5k",IF(COUNTIFS(Scoresheet!$C$2:$C$501,A31,Scoresheet!$U$2:$U$501,1,Scoresheet!$J$2:$J$501,"No")&gt;0,"🚩 No one on camera",""))))</f>
        <v/>
      </c>
      <c r="T31" s="17"/>
      <c r="U31" s="17"/>
      <c r="V31" s="40"/>
      <c r="W31" s="17"/>
      <c r="X31" s="45" t="str">
        <f aca="false">IF(OR(E31="",V31="",OR(U31="Contract signed + paid",U31="Closed – No response",U31="Lost"),N(W31)&gt;=Settings!$S$3),"",V31+Settings!$S$2)</f>
        <v/>
      </c>
      <c r="Y31" s="40"/>
      <c r="Z31" s="41"/>
      <c r="AA31" s="17"/>
      <c r="AB31" s="17"/>
      <c r="AC31" s="17"/>
      <c r="AD31" s="46" t="str">
        <f aca="true">IF(OR(E31="",B31=""),"",INT(TODAY()-B31))</f>
        <v/>
      </c>
      <c r="AE31" s="44" t="str">
        <f aca="true">IF(E31="","",IF(OR(COUNTIFS(Clients!$C$2:$C$501,E31,Clients!$S$2:$S$501,"Paid")&gt;0,AND(I31&lt;&gt;"",COUNTIFS(Clients!$E$2:$E$501,I31,Clients!$S$2:$S$501,"Paid")&gt;0)),"⚠ Refunded before – no free video",IF(OR(U31="Contract signed + paid",U31="Closed – No response",U31="Lost"),"",IF(U31="","Set a stage",IF(AND(U31="Proposal sent",SUMIFS(Scoresheet!$N$2:$N$501,Scoresheet!$C$2:$C$501,A31,Scoresheet!$U$2:$U$501,1)&lt;6),"Score this lead – fill the call scoresheet",IF(N(W31)&gt;=Settings!$S$3,"Close – 4 follow-ups sent",IF(X31="",IF(V31="","Make first contact",""),IF(TODAY()&gt;X31,"OVERDUE follow-up",IF(TODAY()=X31,"Follow up today","")))))))))</f>
        <v/>
      </c>
    </row>
    <row r="32" customFormat="false" ht="15" hidden="false" customHeight="false" outlineLevel="0" collapsed="false">
      <c r="A32" s="17"/>
      <c r="B32" s="40"/>
      <c r="C32" s="41"/>
      <c r="D32" s="17"/>
      <c r="E32" s="17"/>
      <c r="F32" s="17"/>
      <c r="G32" s="17"/>
      <c r="H32" s="17"/>
      <c r="I32" s="42"/>
      <c r="J32" s="17"/>
      <c r="K32" s="17"/>
      <c r="L32" s="17"/>
      <c r="M32" s="17"/>
      <c r="N32" s="40"/>
      <c r="O32" s="41"/>
      <c r="P32" s="43" t="str">
        <f aca="false">IF(OR(B32="",N32=""),"",ROUND(((N32+N(O32))-(B32+N(C32)))*24,1))</f>
        <v/>
      </c>
      <c r="Q32" s="44" t="str">
        <f aca="false">IF(OR(E32="",A32="",COUNTIFS(Scoresheet!$C$2:$C$501,A32,Scoresheet!$U$2:$U$501,1)=0),"",SUMIFS(Scoresheet!$O$2:$O$501,Scoresheet!$C$2:$C$501,A32,Scoresheet!$U$2:$U$501,1))</f>
        <v/>
      </c>
      <c r="R32" s="44" t="str">
        <f aca="false">IF(E32="","",IF(OR(A32="",COUNTIFS(Scoresheet!$C$2:$C$501,A32,Scoresheet!$U$2:$U$501,1)=0),"No scoresheet yet",IF(SUMIFS(Scoresheet!$N$2:$N$501,Scoresheet!$C$2:$C$501,A32,Scoresheet!$U$2:$U$501,1)&lt;6,"Partly scored ("&amp;SUMIFS(Scoresheet!$N$2:$N$501,Scoresheet!$C$2:$C$501,A32,Scoresheet!$U$2:$U$501,1)&amp;"/6)",IF(Q32&gt;=Settings!$S$8,"Hot",IF(Q32&gt;=Settings!$S$9,"Warm","Cold")))))</f>
        <v/>
      </c>
      <c r="S32" s="44" t="str">
        <f aca="false">IF(OR(E32="",A32=""),"",IF(AND(COUNTIFS(Scoresheet!$C$2:$C$501,A32,Scoresheet!$U$2:$U$501,1,Scoresheet!$H$2:$H$501,"No")&gt;0,COUNTIFS(Scoresheet!$C$2:$C$501,A32,Scoresheet!$U$2:$U$501,1,Scoresheet!$J$2:$J$501,"No")&gt;0),"🚩 Budget  ·  🚩 No one on camera",IF(COUNTIFS(Scoresheet!$C$2:$C$501,A32,Scoresheet!$U$2:$U$501,1,Scoresheet!$H$2:$H$501,"No")&gt;0,"🚩 Budget under AED 5k",IF(COUNTIFS(Scoresheet!$C$2:$C$501,A32,Scoresheet!$U$2:$U$501,1,Scoresheet!$J$2:$J$501,"No")&gt;0,"🚩 No one on camera",""))))</f>
        <v/>
      </c>
      <c r="T32" s="17"/>
      <c r="U32" s="17"/>
      <c r="V32" s="40"/>
      <c r="W32" s="17"/>
      <c r="X32" s="45" t="str">
        <f aca="false">IF(OR(E32="",V32="",OR(U32="Contract signed + paid",U32="Closed – No response",U32="Lost"),N(W32)&gt;=Settings!$S$3),"",V32+Settings!$S$2)</f>
        <v/>
      </c>
      <c r="Y32" s="40"/>
      <c r="Z32" s="41"/>
      <c r="AA32" s="17"/>
      <c r="AB32" s="17"/>
      <c r="AC32" s="17"/>
      <c r="AD32" s="46" t="str">
        <f aca="true">IF(OR(E32="",B32=""),"",INT(TODAY()-B32))</f>
        <v/>
      </c>
      <c r="AE32" s="44" t="str">
        <f aca="true">IF(E32="","",IF(OR(COUNTIFS(Clients!$C$2:$C$501,E32,Clients!$S$2:$S$501,"Paid")&gt;0,AND(I32&lt;&gt;"",COUNTIFS(Clients!$E$2:$E$501,I32,Clients!$S$2:$S$501,"Paid")&gt;0)),"⚠ Refunded before – no free video",IF(OR(U32="Contract signed + paid",U32="Closed – No response",U32="Lost"),"",IF(U32="","Set a stage",IF(AND(U32="Proposal sent",SUMIFS(Scoresheet!$N$2:$N$501,Scoresheet!$C$2:$C$501,A32,Scoresheet!$U$2:$U$501,1)&lt;6),"Score this lead – fill the call scoresheet",IF(N(W32)&gt;=Settings!$S$3,"Close – 4 follow-ups sent",IF(X32="",IF(V32="","Make first contact",""),IF(TODAY()&gt;X32,"OVERDUE follow-up",IF(TODAY()=X32,"Follow up today","")))))))))</f>
        <v/>
      </c>
    </row>
    <row r="33" customFormat="false" ht="15" hidden="false" customHeight="false" outlineLevel="0" collapsed="false">
      <c r="A33" s="17"/>
      <c r="B33" s="40"/>
      <c r="C33" s="41"/>
      <c r="D33" s="17"/>
      <c r="E33" s="17"/>
      <c r="F33" s="17"/>
      <c r="G33" s="17"/>
      <c r="H33" s="17"/>
      <c r="I33" s="42"/>
      <c r="J33" s="17"/>
      <c r="K33" s="17"/>
      <c r="L33" s="17"/>
      <c r="M33" s="17"/>
      <c r="N33" s="40"/>
      <c r="O33" s="41"/>
      <c r="P33" s="43" t="str">
        <f aca="false">IF(OR(B33="",N33=""),"",ROUND(((N33+N(O33))-(B33+N(C33)))*24,1))</f>
        <v/>
      </c>
      <c r="Q33" s="44" t="str">
        <f aca="false">IF(OR(E33="",A33="",COUNTIFS(Scoresheet!$C$2:$C$501,A33,Scoresheet!$U$2:$U$501,1)=0),"",SUMIFS(Scoresheet!$O$2:$O$501,Scoresheet!$C$2:$C$501,A33,Scoresheet!$U$2:$U$501,1))</f>
        <v/>
      </c>
      <c r="R33" s="44" t="str">
        <f aca="false">IF(E33="","",IF(OR(A33="",COUNTIFS(Scoresheet!$C$2:$C$501,A33,Scoresheet!$U$2:$U$501,1)=0),"No scoresheet yet",IF(SUMIFS(Scoresheet!$N$2:$N$501,Scoresheet!$C$2:$C$501,A33,Scoresheet!$U$2:$U$501,1)&lt;6,"Partly scored ("&amp;SUMIFS(Scoresheet!$N$2:$N$501,Scoresheet!$C$2:$C$501,A33,Scoresheet!$U$2:$U$501,1)&amp;"/6)",IF(Q33&gt;=Settings!$S$8,"Hot",IF(Q33&gt;=Settings!$S$9,"Warm","Cold")))))</f>
        <v/>
      </c>
      <c r="S33" s="44" t="str">
        <f aca="false">IF(OR(E33="",A33=""),"",IF(AND(COUNTIFS(Scoresheet!$C$2:$C$501,A33,Scoresheet!$U$2:$U$501,1,Scoresheet!$H$2:$H$501,"No")&gt;0,COUNTIFS(Scoresheet!$C$2:$C$501,A33,Scoresheet!$U$2:$U$501,1,Scoresheet!$J$2:$J$501,"No")&gt;0),"🚩 Budget  ·  🚩 No one on camera",IF(COUNTIFS(Scoresheet!$C$2:$C$501,A33,Scoresheet!$U$2:$U$501,1,Scoresheet!$H$2:$H$501,"No")&gt;0,"🚩 Budget under AED 5k",IF(COUNTIFS(Scoresheet!$C$2:$C$501,A33,Scoresheet!$U$2:$U$501,1,Scoresheet!$J$2:$J$501,"No")&gt;0,"🚩 No one on camera",""))))</f>
        <v/>
      </c>
      <c r="T33" s="17"/>
      <c r="U33" s="17"/>
      <c r="V33" s="40"/>
      <c r="W33" s="17"/>
      <c r="X33" s="45" t="str">
        <f aca="false">IF(OR(E33="",V33="",OR(U33="Contract signed + paid",U33="Closed – No response",U33="Lost"),N(W33)&gt;=Settings!$S$3),"",V33+Settings!$S$2)</f>
        <v/>
      </c>
      <c r="Y33" s="40"/>
      <c r="Z33" s="41"/>
      <c r="AA33" s="17"/>
      <c r="AB33" s="17"/>
      <c r="AC33" s="17"/>
      <c r="AD33" s="46" t="str">
        <f aca="true">IF(OR(E33="",B33=""),"",INT(TODAY()-B33))</f>
        <v/>
      </c>
      <c r="AE33" s="44" t="str">
        <f aca="true">IF(E33="","",IF(OR(COUNTIFS(Clients!$C$2:$C$501,E33,Clients!$S$2:$S$501,"Paid")&gt;0,AND(I33&lt;&gt;"",COUNTIFS(Clients!$E$2:$E$501,I33,Clients!$S$2:$S$501,"Paid")&gt;0)),"⚠ Refunded before – no free video",IF(OR(U33="Contract signed + paid",U33="Closed – No response",U33="Lost"),"",IF(U33="","Set a stage",IF(AND(U33="Proposal sent",SUMIFS(Scoresheet!$N$2:$N$501,Scoresheet!$C$2:$C$501,A33,Scoresheet!$U$2:$U$501,1)&lt;6),"Score this lead – fill the call scoresheet",IF(N(W33)&gt;=Settings!$S$3,"Close – 4 follow-ups sent",IF(X33="",IF(V33="","Make first contact",""),IF(TODAY()&gt;X33,"OVERDUE follow-up",IF(TODAY()=X33,"Follow up today","")))))))))</f>
        <v/>
      </c>
    </row>
    <row r="34" customFormat="false" ht="15" hidden="false" customHeight="false" outlineLevel="0" collapsed="false">
      <c r="A34" s="17"/>
      <c r="B34" s="40"/>
      <c r="C34" s="41"/>
      <c r="D34" s="17"/>
      <c r="E34" s="17"/>
      <c r="F34" s="17"/>
      <c r="G34" s="17"/>
      <c r="H34" s="17"/>
      <c r="I34" s="42"/>
      <c r="J34" s="17"/>
      <c r="K34" s="17"/>
      <c r="L34" s="17"/>
      <c r="M34" s="17"/>
      <c r="N34" s="40"/>
      <c r="O34" s="41"/>
      <c r="P34" s="43" t="str">
        <f aca="false">IF(OR(B34="",N34=""),"",ROUND(((N34+N(O34))-(B34+N(C34)))*24,1))</f>
        <v/>
      </c>
      <c r="Q34" s="44" t="str">
        <f aca="false">IF(OR(E34="",A34="",COUNTIFS(Scoresheet!$C$2:$C$501,A34,Scoresheet!$U$2:$U$501,1)=0),"",SUMIFS(Scoresheet!$O$2:$O$501,Scoresheet!$C$2:$C$501,A34,Scoresheet!$U$2:$U$501,1))</f>
        <v/>
      </c>
      <c r="R34" s="44" t="str">
        <f aca="false">IF(E34="","",IF(OR(A34="",COUNTIFS(Scoresheet!$C$2:$C$501,A34,Scoresheet!$U$2:$U$501,1)=0),"No scoresheet yet",IF(SUMIFS(Scoresheet!$N$2:$N$501,Scoresheet!$C$2:$C$501,A34,Scoresheet!$U$2:$U$501,1)&lt;6,"Partly scored ("&amp;SUMIFS(Scoresheet!$N$2:$N$501,Scoresheet!$C$2:$C$501,A34,Scoresheet!$U$2:$U$501,1)&amp;"/6)",IF(Q34&gt;=Settings!$S$8,"Hot",IF(Q34&gt;=Settings!$S$9,"Warm","Cold")))))</f>
        <v/>
      </c>
      <c r="S34" s="44" t="str">
        <f aca="false">IF(OR(E34="",A34=""),"",IF(AND(COUNTIFS(Scoresheet!$C$2:$C$501,A34,Scoresheet!$U$2:$U$501,1,Scoresheet!$H$2:$H$501,"No")&gt;0,COUNTIFS(Scoresheet!$C$2:$C$501,A34,Scoresheet!$U$2:$U$501,1,Scoresheet!$J$2:$J$501,"No")&gt;0),"🚩 Budget  ·  🚩 No one on camera",IF(COUNTIFS(Scoresheet!$C$2:$C$501,A34,Scoresheet!$U$2:$U$501,1,Scoresheet!$H$2:$H$501,"No")&gt;0,"🚩 Budget under AED 5k",IF(COUNTIFS(Scoresheet!$C$2:$C$501,A34,Scoresheet!$U$2:$U$501,1,Scoresheet!$J$2:$J$501,"No")&gt;0,"🚩 No one on camera",""))))</f>
        <v/>
      </c>
      <c r="T34" s="17"/>
      <c r="U34" s="17"/>
      <c r="V34" s="40"/>
      <c r="W34" s="17"/>
      <c r="X34" s="45" t="str">
        <f aca="false">IF(OR(E34="",V34="",OR(U34="Contract signed + paid",U34="Closed – No response",U34="Lost"),N(W34)&gt;=Settings!$S$3),"",V34+Settings!$S$2)</f>
        <v/>
      </c>
      <c r="Y34" s="40"/>
      <c r="Z34" s="41"/>
      <c r="AA34" s="17"/>
      <c r="AB34" s="17"/>
      <c r="AC34" s="17"/>
      <c r="AD34" s="46" t="str">
        <f aca="true">IF(OR(E34="",B34=""),"",INT(TODAY()-B34))</f>
        <v/>
      </c>
      <c r="AE34" s="44" t="str">
        <f aca="true">IF(E34="","",IF(OR(COUNTIFS(Clients!$C$2:$C$501,E34,Clients!$S$2:$S$501,"Paid")&gt;0,AND(I34&lt;&gt;"",COUNTIFS(Clients!$E$2:$E$501,I34,Clients!$S$2:$S$501,"Paid")&gt;0)),"⚠ Refunded before – no free video",IF(OR(U34="Contract signed + paid",U34="Closed – No response",U34="Lost"),"",IF(U34="","Set a stage",IF(AND(U34="Proposal sent",SUMIFS(Scoresheet!$N$2:$N$501,Scoresheet!$C$2:$C$501,A34,Scoresheet!$U$2:$U$501,1)&lt;6),"Score this lead – fill the call scoresheet",IF(N(W34)&gt;=Settings!$S$3,"Close – 4 follow-ups sent",IF(X34="",IF(V34="","Make first contact",""),IF(TODAY()&gt;X34,"OVERDUE follow-up",IF(TODAY()=X34,"Follow up today","")))))))))</f>
        <v/>
      </c>
    </row>
    <row r="35" customFormat="false" ht="15" hidden="false" customHeight="false" outlineLevel="0" collapsed="false">
      <c r="A35" s="17"/>
      <c r="B35" s="40"/>
      <c r="C35" s="41"/>
      <c r="D35" s="17"/>
      <c r="E35" s="17"/>
      <c r="F35" s="17"/>
      <c r="G35" s="17"/>
      <c r="H35" s="17"/>
      <c r="I35" s="42"/>
      <c r="J35" s="17"/>
      <c r="K35" s="17"/>
      <c r="L35" s="17"/>
      <c r="M35" s="17"/>
      <c r="N35" s="40"/>
      <c r="O35" s="41"/>
      <c r="P35" s="43" t="str">
        <f aca="false">IF(OR(B35="",N35=""),"",ROUND(((N35+N(O35))-(B35+N(C35)))*24,1))</f>
        <v/>
      </c>
      <c r="Q35" s="44" t="str">
        <f aca="false">IF(OR(E35="",A35="",COUNTIFS(Scoresheet!$C$2:$C$501,A35,Scoresheet!$U$2:$U$501,1)=0),"",SUMIFS(Scoresheet!$O$2:$O$501,Scoresheet!$C$2:$C$501,A35,Scoresheet!$U$2:$U$501,1))</f>
        <v/>
      </c>
      <c r="R35" s="44" t="str">
        <f aca="false">IF(E35="","",IF(OR(A35="",COUNTIFS(Scoresheet!$C$2:$C$501,A35,Scoresheet!$U$2:$U$501,1)=0),"No scoresheet yet",IF(SUMIFS(Scoresheet!$N$2:$N$501,Scoresheet!$C$2:$C$501,A35,Scoresheet!$U$2:$U$501,1)&lt;6,"Partly scored ("&amp;SUMIFS(Scoresheet!$N$2:$N$501,Scoresheet!$C$2:$C$501,A35,Scoresheet!$U$2:$U$501,1)&amp;"/6)",IF(Q35&gt;=Settings!$S$8,"Hot",IF(Q35&gt;=Settings!$S$9,"Warm","Cold")))))</f>
        <v/>
      </c>
      <c r="S35" s="44" t="str">
        <f aca="false">IF(OR(E35="",A35=""),"",IF(AND(COUNTIFS(Scoresheet!$C$2:$C$501,A35,Scoresheet!$U$2:$U$501,1,Scoresheet!$H$2:$H$501,"No")&gt;0,COUNTIFS(Scoresheet!$C$2:$C$501,A35,Scoresheet!$U$2:$U$501,1,Scoresheet!$J$2:$J$501,"No")&gt;0),"🚩 Budget  ·  🚩 No one on camera",IF(COUNTIFS(Scoresheet!$C$2:$C$501,A35,Scoresheet!$U$2:$U$501,1,Scoresheet!$H$2:$H$501,"No")&gt;0,"🚩 Budget under AED 5k",IF(COUNTIFS(Scoresheet!$C$2:$C$501,A35,Scoresheet!$U$2:$U$501,1,Scoresheet!$J$2:$J$501,"No")&gt;0,"🚩 No one on camera",""))))</f>
        <v/>
      </c>
      <c r="T35" s="17"/>
      <c r="U35" s="17"/>
      <c r="V35" s="40"/>
      <c r="W35" s="17"/>
      <c r="X35" s="45" t="str">
        <f aca="false">IF(OR(E35="",V35="",OR(U35="Contract signed + paid",U35="Closed – No response",U35="Lost"),N(W35)&gt;=Settings!$S$3),"",V35+Settings!$S$2)</f>
        <v/>
      </c>
      <c r="Y35" s="40"/>
      <c r="Z35" s="41"/>
      <c r="AA35" s="17"/>
      <c r="AB35" s="17"/>
      <c r="AC35" s="17"/>
      <c r="AD35" s="46" t="str">
        <f aca="true">IF(OR(E35="",B35=""),"",INT(TODAY()-B35))</f>
        <v/>
      </c>
      <c r="AE35" s="44" t="str">
        <f aca="true">IF(E35="","",IF(OR(COUNTIFS(Clients!$C$2:$C$501,E35,Clients!$S$2:$S$501,"Paid")&gt;0,AND(I35&lt;&gt;"",COUNTIFS(Clients!$E$2:$E$501,I35,Clients!$S$2:$S$501,"Paid")&gt;0)),"⚠ Refunded before – no free video",IF(OR(U35="Contract signed + paid",U35="Closed – No response",U35="Lost"),"",IF(U35="","Set a stage",IF(AND(U35="Proposal sent",SUMIFS(Scoresheet!$N$2:$N$501,Scoresheet!$C$2:$C$501,A35,Scoresheet!$U$2:$U$501,1)&lt;6),"Score this lead – fill the call scoresheet",IF(N(W35)&gt;=Settings!$S$3,"Close – 4 follow-ups sent",IF(X35="",IF(V35="","Make first contact",""),IF(TODAY()&gt;X35,"OVERDUE follow-up",IF(TODAY()=X35,"Follow up today","")))))))))</f>
        <v/>
      </c>
    </row>
    <row r="36" customFormat="false" ht="15" hidden="false" customHeight="false" outlineLevel="0" collapsed="false">
      <c r="A36" s="17"/>
      <c r="B36" s="40"/>
      <c r="C36" s="41"/>
      <c r="D36" s="17"/>
      <c r="E36" s="17"/>
      <c r="F36" s="17"/>
      <c r="G36" s="17"/>
      <c r="H36" s="17"/>
      <c r="I36" s="42"/>
      <c r="J36" s="17"/>
      <c r="K36" s="17"/>
      <c r="L36" s="17"/>
      <c r="M36" s="17"/>
      <c r="N36" s="40"/>
      <c r="O36" s="41"/>
      <c r="P36" s="43" t="str">
        <f aca="false">IF(OR(B36="",N36=""),"",ROUND(((N36+N(O36))-(B36+N(C36)))*24,1))</f>
        <v/>
      </c>
      <c r="Q36" s="44" t="str">
        <f aca="false">IF(OR(E36="",A36="",COUNTIFS(Scoresheet!$C$2:$C$501,A36,Scoresheet!$U$2:$U$501,1)=0),"",SUMIFS(Scoresheet!$O$2:$O$501,Scoresheet!$C$2:$C$501,A36,Scoresheet!$U$2:$U$501,1))</f>
        <v/>
      </c>
      <c r="R36" s="44" t="str">
        <f aca="false">IF(E36="","",IF(OR(A36="",COUNTIFS(Scoresheet!$C$2:$C$501,A36,Scoresheet!$U$2:$U$501,1)=0),"No scoresheet yet",IF(SUMIFS(Scoresheet!$N$2:$N$501,Scoresheet!$C$2:$C$501,A36,Scoresheet!$U$2:$U$501,1)&lt;6,"Partly scored ("&amp;SUMIFS(Scoresheet!$N$2:$N$501,Scoresheet!$C$2:$C$501,A36,Scoresheet!$U$2:$U$501,1)&amp;"/6)",IF(Q36&gt;=Settings!$S$8,"Hot",IF(Q36&gt;=Settings!$S$9,"Warm","Cold")))))</f>
        <v/>
      </c>
      <c r="S36" s="44" t="str">
        <f aca="false">IF(OR(E36="",A36=""),"",IF(AND(COUNTIFS(Scoresheet!$C$2:$C$501,A36,Scoresheet!$U$2:$U$501,1,Scoresheet!$H$2:$H$501,"No")&gt;0,COUNTIFS(Scoresheet!$C$2:$C$501,A36,Scoresheet!$U$2:$U$501,1,Scoresheet!$J$2:$J$501,"No")&gt;0),"🚩 Budget  ·  🚩 No one on camera",IF(COUNTIFS(Scoresheet!$C$2:$C$501,A36,Scoresheet!$U$2:$U$501,1,Scoresheet!$H$2:$H$501,"No")&gt;0,"🚩 Budget under AED 5k",IF(COUNTIFS(Scoresheet!$C$2:$C$501,A36,Scoresheet!$U$2:$U$501,1,Scoresheet!$J$2:$J$501,"No")&gt;0,"🚩 No one on camera",""))))</f>
        <v/>
      </c>
      <c r="T36" s="17"/>
      <c r="U36" s="17"/>
      <c r="V36" s="40"/>
      <c r="W36" s="17"/>
      <c r="X36" s="45" t="str">
        <f aca="false">IF(OR(E36="",V36="",OR(U36="Contract signed + paid",U36="Closed – No response",U36="Lost"),N(W36)&gt;=Settings!$S$3),"",V36+Settings!$S$2)</f>
        <v/>
      </c>
      <c r="Y36" s="40"/>
      <c r="Z36" s="41"/>
      <c r="AA36" s="17"/>
      <c r="AB36" s="17"/>
      <c r="AC36" s="17"/>
      <c r="AD36" s="46" t="str">
        <f aca="true">IF(OR(E36="",B36=""),"",INT(TODAY()-B36))</f>
        <v/>
      </c>
      <c r="AE36" s="44" t="str">
        <f aca="true">IF(E36="","",IF(OR(COUNTIFS(Clients!$C$2:$C$501,E36,Clients!$S$2:$S$501,"Paid")&gt;0,AND(I36&lt;&gt;"",COUNTIFS(Clients!$E$2:$E$501,I36,Clients!$S$2:$S$501,"Paid")&gt;0)),"⚠ Refunded before – no free video",IF(OR(U36="Contract signed + paid",U36="Closed – No response",U36="Lost"),"",IF(U36="","Set a stage",IF(AND(U36="Proposal sent",SUMIFS(Scoresheet!$N$2:$N$501,Scoresheet!$C$2:$C$501,A36,Scoresheet!$U$2:$U$501,1)&lt;6),"Score this lead – fill the call scoresheet",IF(N(W36)&gt;=Settings!$S$3,"Close – 4 follow-ups sent",IF(X36="",IF(V36="","Make first contact",""),IF(TODAY()&gt;X36,"OVERDUE follow-up",IF(TODAY()=X36,"Follow up today","")))))))))</f>
        <v/>
      </c>
    </row>
    <row r="37" customFormat="false" ht="15" hidden="false" customHeight="false" outlineLevel="0" collapsed="false">
      <c r="A37" s="17"/>
      <c r="B37" s="40"/>
      <c r="C37" s="41"/>
      <c r="D37" s="17"/>
      <c r="E37" s="17"/>
      <c r="F37" s="17"/>
      <c r="G37" s="17"/>
      <c r="H37" s="17"/>
      <c r="I37" s="42"/>
      <c r="J37" s="17"/>
      <c r="K37" s="17"/>
      <c r="L37" s="17"/>
      <c r="M37" s="17"/>
      <c r="N37" s="40"/>
      <c r="O37" s="41"/>
      <c r="P37" s="43" t="str">
        <f aca="false">IF(OR(B37="",N37=""),"",ROUND(((N37+N(O37))-(B37+N(C37)))*24,1))</f>
        <v/>
      </c>
      <c r="Q37" s="44" t="str">
        <f aca="false">IF(OR(E37="",A37="",COUNTIFS(Scoresheet!$C$2:$C$501,A37,Scoresheet!$U$2:$U$501,1)=0),"",SUMIFS(Scoresheet!$O$2:$O$501,Scoresheet!$C$2:$C$501,A37,Scoresheet!$U$2:$U$501,1))</f>
        <v/>
      </c>
      <c r="R37" s="44" t="str">
        <f aca="false">IF(E37="","",IF(OR(A37="",COUNTIFS(Scoresheet!$C$2:$C$501,A37,Scoresheet!$U$2:$U$501,1)=0),"No scoresheet yet",IF(SUMIFS(Scoresheet!$N$2:$N$501,Scoresheet!$C$2:$C$501,A37,Scoresheet!$U$2:$U$501,1)&lt;6,"Partly scored ("&amp;SUMIFS(Scoresheet!$N$2:$N$501,Scoresheet!$C$2:$C$501,A37,Scoresheet!$U$2:$U$501,1)&amp;"/6)",IF(Q37&gt;=Settings!$S$8,"Hot",IF(Q37&gt;=Settings!$S$9,"Warm","Cold")))))</f>
        <v/>
      </c>
      <c r="S37" s="44" t="str">
        <f aca="false">IF(OR(E37="",A37=""),"",IF(AND(COUNTIFS(Scoresheet!$C$2:$C$501,A37,Scoresheet!$U$2:$U$501,1,Scoresheet!$H$2:$H$501,"No")&gt;0,COUNTIFS(Scoresheet!$C$2:$C$501,A37,Scoresheet!$U$2:$U$501,1,Scoresheet!$J$2:$J$501,"No")&gt;0),"🚩 Budget  ·  🚩 No one on camera",IF(COUNTIFS(Scoresheet!$C$2:$C$501,A37,Scoresheet!$U$2:$U$501,1,Scoresheet!$H$2:$H$501,"No")&gt;0,"🚩 Budget under AED 5k",IF(COUNTIFS(Scoresheet!$C$2:$C$501,A37,Scoresheet!$U$2:$U$501,1,Scoresheet!$J$2:$J$501,"No")&gt;0,"🚩 No one on camera",""))))</f>
        <v/>
      </c>
      <c r="T37" s="17"/>
      <c r="U37" s="17"/>
      <c r="V37" s="40"/>
      <c r="W37" s="17"/>
      <c r="X37" s="45" t="str">
        <f aca="false">IF(OR(E37="",V37="",OR(U37="Contract signed + paid",U37="Closed – No response",U37="Lost"),N(W37)&gt;=Settings!$S$3),"",V37+Settings!$S$2)</f>
        <v/>
      </c>
      <c r="Y37" s="40"/>
      <c r="Z37" s="41"/>
      <c r="AA37" s="17"/>
      <c r="AB37" s="17"/>
      <c r="AC37" s="17"/>
      <c r="AD37" s="46" t="str">
        <f aca="true">IF(OR(E37="",B37=""),"",INT(TODAY()-B37))</f>
        <v/>
      </c>
      <c r="AE37" s="44" t="str">
        <f aca="true">IF(E37="","",IF(OR(COUNTIFS(Clients!$C$2:$C$501,E37,Clients!$S$2:$S$501,"Paid")&gt;0,AND(I37&lt;&gt;"",COUNTIFS(Clients!$E$2:$E$501,I37,Clients!$S$2:$S$501,"Paid")&gt;0)),"⚠ Refunded before – no free video",IF(OR(U37="Contract signed + paid",U37="Closed – No response",U37="Lost"),"",IF(U37="","Set a stage",IF(AND(U37="Proposal sent",SUMIFS(Scoresheet!$N$2:$N$501,Scoresheet!$C$2:$C$501,A37,Scoresheet!$U$2:$U$501,1)&lt;6),"Score this lead – fill the call scoresheet",IF(N(W37)&gt;=Settings!$S$3,"Close – 4 follow-ups sent",IF(X37="",IF(V37="","Make first contact",""),IF(TODAY()&gt;X37,"OVERDUE follow-up",IF(TODAY()=X37,"Follow up today","")))))))))</f>
        <v/>
      </c>
    </row>
    <row r="38" customFormat="false" ht="15" hidden="false" customHeight="false" outlineLevel="0" collapsed="false">
      <c r="A38" s="17"/>
      <c r="B38" s="40"/>
      <c r="C38" s="41"/>
      <c r="D38" s="17"/>
      <c r="E38" s="17"/>
      <c r="F38" s="17"/>
      <c r="G38" s="17"/>
      <c r="H38" s="17"/>
      <c r="I38" s="42"/>
      <c r="J38" s="17"/>
      <c r="K38" s="17"/>
      <c r="L38" s="17"/>
      <c r="M38" s="17"/>
      <c r="N38" s="40"/>
      <c r="O38" s="41"/>
      <c r="P38" s="43" t="str">
        <f aca="false">IF(OR(B38="",N38=""),"",ROUND(((N38+N(O38))-(B38+N(C38)))*24,1))</f>
        <v/>
      </c>
      <c r="Q38" s="44" t="str">
        <f aca="false">IF(OR(E38="",A38="",COUNTIFS(Scoresheet!$C$2:$C$501,A38,Scoresheet!$U$2:$U$501,1)=0),"",SUMIFS(Scoresheet!$O$2:$O$501,Scoresheet!$C$2:$C$501,A38,Scoresheet!$U$2:$U$501,1))</f>
        <v/>
      </c>
      <c r="R38" s="44" t="str">
        <f aca="false">IF(E38="","",IF(OR(A38="",COUNTIFS(Scoresheet!$C$2:$C$501,A38,Scoresheet!$U$2:$U$501,1)=0),"No scoresheet yet",IF(SUMIFS(Scoresheet!$N$2:$N$501,Scoresheet!$C$2:$C$501,A38,Scoresheet!$U$2:$U$501,1)&lt;6,"Partly scored ("&amp;SUMIFS(Scoresheet!$N$2:$N$501,Scoresheet!$C$2:$C$501,A38,Scoresheet!$U$2:$U$501,1)&amp;"/6)",IF(Q38&gt;=Settings!$S$8,"Hot",IF(Q38&gt;=Settings!$S$9,"Warm","Cold")))))</f>
        <v/>
      </c>
      <c r="S38" s="44" t="str">
        <f aca="false">IF(OR(E38="",A38=""),"",IF(AND(COUNTIFS(Scoresheet!$C$2:$C$501,A38,Scoresheet!$U$2:$U$501,1,Scoresheet!$H$2:$H$501,"No")&gt;0,COUNTIFS(Scoresheet!$C$2:$C$501,A38,Scoresheet!$U$2:$U$501,1,Scoresheet!$J$2:$J$501,"No")&gt;0),"🚩 Budget  ·  🚩 No one on camera",IF(COUNTIFS(Scoresheet!$C$2:$C$501,A38,Scoresheet!$U$2:$U$501,1,Scoresheet!$H$2:$H$501,"No")&gt;0,"🚩 Budget under AED 5k",IF(COUNTIFS(Scoresheet!$C$2:$C$501,A38,Scoresheet!$U$2:$U$501,1,Scoresheet!$J$2:$J$501,"No")&gt;0,"🚩 No one on camera",""))))</f>
        <v/>
      </c>
      <c r="T38" s="17"/>
      <c r="U38" s="17"/>
      <c r="V38" s="40"/>
      <c r="W38" s="17"/>
      <c r="X38" s="45" t="str">
        <f aca="false">IF(OR(E38="",V38="",OR(U38="Contract signed + paid",U38="Closed – No response",U38="Lost"),N(W38)&gt;=Settings!$S$3),"",V38+Settings!$S$2)</f>
        <v/>
      </c>
      <c r="Y38" s="40"/>
      <c r="Z38" s="41"/>
      <c r="AA38" s="17"/>
      <c r="AB38" s="17"/>
      <c r="AC38" s="17"/>
      <c r="AD38" s="46" t="str">
        <f aca="true">IF(OR(E38="",B38=""),"",INT(TODAY()-B38))</f>
        <v/>
      </c>
      <c r="AE38" s="44" t="str">
        <f aca="true">IF(E38="","",IF(OR(COUNTIFS(Clients!$C$2:$C$501,E38,Clients!$S$2:$S$501,"Paid")&gt;0,AND(I38&lt;&gt;"",COUNTIFS(Clients!$E$2:$E$501,I38,Clients!$S$2:$S$501,"Paid")&gt;0)),"⚠ Refunded before – no free video",IF(OR(U38="Contract signed + paid",U38="Closed – No response",U38="Lost"),"",IF(U38="","Set a stage",IF(AND(U38="Proposal sent",SUMIFS(Scoresheet!$N$2:$N$501,Scoresheet!$C$2:$C$501,A38,Scoresheet!$U$2:$U$501,1)&lt;6),"Score this lead – fill the call scoresheet",IF(N(W38)&gt;=Settings!$S$3,"Close – 4 follow-ups sent",IF(X38="",IF(V38="","Make first contact",""),IF(TODAY()&gt;X38,"OVERDUE follow-up",IF(TODAY()=X38,"Follow up today","")))))))))</f>
        <v/>
      </c>
    </row>
    <row r="39" customFormat="false" ht="15" hidden="false" customHeight="false" outlineLevel="0" collapsed="false">
      <c r="A39" s="17"/>
      <c r="B39" s="40"/>
      <c r="C39" s="41"/>
      <c r="D39" s="17"/>
      <c r="E39" s="17"/>
      <c r="F39" s="17"/>
      <c r="G39" s="17"/>
      <c r="H39" s="17"/>
      <c r="I39" s="42"/>
      <c r="J39" s="17"/>
      <c r="K39" s="17"/>
      <c r="L39" s="17"/>
      <c r="M39" s="17"/>
      <c r="N39" s="40"/>
      <c r="O39" s="41"/>
      <c r="P39" s="43" t="str">
        <f aca="false">IF(OR(B39="",N39=""),"",ROUND(((N39+N(O39))-(B39+N(C39)))*24,1))</f>
        <v/>
      </c>
      <c r="Q39" s="44" t="str">
        <f aca="false">IF(OR(E39="",A39="",COUNTIFS(Scoresheet!$C$2:$C$501,A39,Scoresheet!$U$2:$U$501,1)=0),"",SUMIFS(Scoresheet!$O$2:$O$501,Scoresheet!$C$2:$C$501,A39,Scoresheet!$U$2:$U$501,1))</f>
        <v/>
      </c>
      <c r="R39" s="44" t="str">
        <f aca="false">IF(E39="","",IF(OR(A39="",COUNTIFS(Scoresheet!$C$2:$C$501,A39,Scoresheet!$U$2:$U$501,1)=0),"No scoresheet yet",IF(SUMIFS(Scoresheet!$N$2:$N$501,Scoresheet!$C$2:$C$501,A39,Scoresheet!$U$2:$U$501,1)&lt;6,"Partly scored ("&amp;SUMIFS(Scoresheet!$N$2:$N$501,Scoresheet!$C$2:$C$501,A39,Scoresheet!$U$2:$U$501,1)&amp;"/6)",IF(Q39&gt;=Settings!$S$8,"Hot",IF(Q39&gt;=Settings!$S$9,"Warm","Cold")))))</f>
        <v/>
      </c>
      <c r="S39" s="44" t="str">
        <f aca="false">IF(OR(E39="",A39=""),"",IF(AND(COUNTIFS(Scoresheet!$C$2:$C$501,A39,Scoresheet!$U$2:$U$501,1,Scoresheet!$H$2:$H$501,"No")&gt;0,COUNTIFS(Scoresheet!$C$2:$C$501,A39,Scoresheet!$U$2:$U$501,1,Scoresheet!$J$2:$J$501,"No")&gt;0),"🚩 Budget  ·  🚩 No one on camera",IF(COUNTIFS(Scoresheet!$C$2:$C$501,A39,Scoresheet!$U$2:$U$501,1,Scoresheet!$H$2:$H$501,"No")&gt;0,"🚩 Budget under AED 5k",IF(COUNTIFS(Scoresheet!$C$2:$C$501,A39,Scoresheet!$U$2:$U$501,1,Scoresheet!$J$2:$J$501,"No")&gt;0,"🚩 No one on camera",""))))</f>
        <v/>
      </c>
      <c r="T39" s="17"/>
      <c r="U39" s="17"/>
      <c r="V39" s="40"/>
      <c r="W39" s="17"/>
      <c r="X39" s="45" t="str">
        <f aca="false">IF(OR(E39="",V39="",OR(U39="Contract signed + paid",U39="Closed – No response",U39="Lost"),N(W39)&gt;=Settings!$S$3),"",V39+Settings!$S$2)</f>
        <v/>
      </c>
      <c r="Y39" s="40"/>
      <c r="Z39" s="41"/>
      <c r="AA39" s="17"/>
      <c r="AB39" s="17"/>
      <c r="AC39" s="17"/>
      <c r="AD39" s="46" t="str">
        <f aca="true">IF(OR(E39="",B39=""),"",INT(TODAY()-B39))</f>
        <v/>
      </c>
      <c r="AE39" s="44" t="str">
        <f aca="true">IF(E39="","",IF(OR(COUNTIFS(Clients!$C$2:$C$501,E39,Clients!$S$2:$S$501,"Paid")&gt;0,AND(I39&lt;&gt;"",COUNTIFS(Clients!$E$2:$E$501,I39,Clients!$S$2:$S$501,"Paid")&gt;0)),"⚠ Refunded before – no free video",IF(OR(U39="Contract signed + paid",U39="Closed – No response",U39="Lost"),"",IF(U39="","Set a stage",IF(AND(U39="Proposal sent",SUMIFS(Scoresheet!$N$2:$N$501,Scoresheet!$C$2:$C$501,A39,Scoresheet!$U$2:$U$501,1)&lt;6),"Score this lead – fill the call scoresheet",IF(N(W39)&gt;=Settings!$S$3,"Close – 4 follow-ups sent",IF(X39="",IF(V39="","Make first contact",""),IF(TODAY()&gt;X39,"OVERDUE follow-up",IF(TODAY()=X39,"Follow up today","")))))))))</f>
        <v/>
      </c>
    </row>
    <row r="40" customFormat="false" ht="15" hidden="false" customHeight="false" outlineLevel="0" collapsed="false">
      <c r="A40" s="17"/>
      <c r="B40" s="40"/>
      <c r="C40" s="41"/>
      <c r="D40" s="17"/>
      <c r="E40" s="17"/>
      <c r="F40" s="17"/>
      <c r="G40" s="17"/>
      <c r="H40" s="17"/>
      <c r="I40" s="42"/>
      <c r="J40" s="17"/>
      <c r="K40" s="17"/>
      <c r="L40" s="17"/>
      <c r="M40" s="17"/>
      <c r="N40" s="40"/>
      <c r="O40" s="41"/>
      <c r="P40" s="43" t="str">
        <f aca="false">IF(OR(B40="",N40=""),"",ROUND(((N40+N(O40))-(B40+N(C40)))*24,1))</f>
        <v/>
      </c>
      <c r="Q40" s="44" t="str">
        <f aca="false">IF(OR(E40="",A40="",COUNTIFS(Scoresheet!$C$2:$C$501,A40,Scoresheet!$U$2:$U$501,1)=0),"",SUMIFS(Scoresheet!$O$2:$O$501,Scoresheet!$C$2:$C$501,A40,Scoresheet!$U$2:$U$501,1))</f>
        <v/>
      </c>
      <c r="R40" s="44" t="str">
        <f aca="false">IF(E40="","",IF(OR(A40="",COUNTIFS(Scoresheet!$C$2:$C$501,A40,Scoresheet!$U$2:$U$501,1)=0),"No scoresheet yet",IF(SUMIFS(Scoresheet!$N$2:$N$501,Scoresheet!$C$2:$C$501,A40,Scoresheet!$U$2:$U$501,1)&lt;6,"Partly scored ("&amp;SUMIFS(Scoresheet!$N$2:$N$501,Scoresheet!$C$2:$C$501,A40,Scoresheet!$U$2:$U$501,1)&amp;"/6)",IF(Q40&gt;=Settings!$S$8,"Hot",IF(Q40&gt;=Settings!$S$9,"Warm","Cold")))))</f>
        <v/>
      </c>
      <c r="S40" s="44" t="str">
        <f aca="false">IF(OR(E40="",A40=""),"",IF(AND(COUNTIFS(Scoresheet!$C$2:$C$501,A40,Scoresheet!$U$2:$U$501,1,Scoresheet!$H$2:$H$501,"No")&gt;0,COUNTIFS(Scoresheet!$C$2:$C$501,A40,Scoresheet!$U$2:$U$501,1,Scoresheet!$J$2:$J$501,"No")&gt;0),"🚩 Budget  ·  🚩 No one on camera",IF(COUNTIFS(Scoresheet!$C$2:$C$501,A40,Scoresheet!$U$2:$U$501,1,Scoresheet!$H$2:$H$501,"No")&gt;0,"🚩 Budget under AED 5k",IF(COUNTIFS(Scoresheet!$C$2:$C$501,A40,Scoresheet!$U$2:$U$501,1,Scoresheet!$J$2:$J$501,"No")&gt;0,"🚩 No one on camera",""))))</f>
        <v/>
      </c>
      <c r="T40" s="17"/>
      <c r="U40" s="17"/>
      <c r="V40" s="40"/>
      <c r="W40" s="17"/>
      <c r="X40" s="45" t="str">
        <f aca="false">IF(OR(E40="",V40="",OR(U40="Contract signed + paid",U40="Closed – No response",U40="Lost"),N(W40)&gt;=Settings!$S$3),"",V40+Settings!$S$2)</f>
        <v/>
      </c>
      <c r="Y40" s="40"/>
      <c r="Z40" s="41"/>
      <c r="AA40" s="17"/>
      <c r="AB40" s="17"/>
      <c r="AC40" s="17"/>
      <c r="AD40" s="46" t="str">
        <f aca="true">IF(OR(E40="",B40=""),"",INT(TODAY()-B40))</f>
        <v/>
      </c>
      <c r="AE40" s="44" t="str">
        <f aca="true">IF(E40="","",IF(OR(COUNTIFS(Clients!$C$2:$C$501,E40,Clients!$S$2:$S$501,"Paid")&gt;0,AND(I40&lt;&gt;"",COUNTIFS(Clients!$E$2:$E$501,I40,Clients!$S$2:$S$501,"Paid")&gt;0)),"⚠ Refunded before – no free video",IF(OR(U40="Contract signed + paid",U40="Closed – No response",U40="Lost"),"",IF(U40="","Set a stage",IF(AND(U40="Proposal sent",SUMIFS(Scoresheet!$N$2:$N$501,Scoresheet!$C$2:$C$501,A40,Scoresheet!$U$2:$U$501,1)&lt;6),"Score this lead – fill the call scoresheet",IF(N(W40)&gt;=Settings!$S$3,"Close – 4 follow-ups sent",IF(X40="",IF(V40="","Make first contact",""),IF(TODAY()&gt;X40,"OVERDUE follow-up",IF(TODAY()=X40,"Follow up today","")))))))))</f>
        <v/>
      </c>
    </row>
    <row r="41" customFormat="false" ht="15" hidden="false" customHeight="false" outlineLevel="0" collapsed="false">
      <c r="A41" s="17"/>
      <c r="B41" s="40"/>
      <c r="C41" s="41"/>
      <c r="D41" s="17"/>
      <c r="E41" s="17"/>
      <c r="F41" s="17"/>
      <c r="G41" s="17"/>
      <c r="H41" s="17"/>
      <c r="I41" s="42"/>
      <c r="J41" s="17"/>
      <c r="K41" s="17"/>
      <c r="L41" s="17"/>
      <c r="M41" s="17"/>
      <c r="N41" s="40"/>
      <c r="O41" s="41"/>
      <c r="P41" s="43" t="str">
        <f aca="false">IF(OR(B41="",N41=""),"",ROUND(((N41+N(O41))-(B41+N(C41)))*24,1))</f>
        <v/>
      </c>
      <c r="Q41" s="44" t="str">
        <f aca="false">IF(OR(E41="",A41="",COUNTIFS(Scoresheet!$C$2:$C$501,A41,Scoresheet!$U$2:$U$501,1)=0),"",SUMIFS(Scoresheet!$O$2:$O$501,Scoresheet!$C$2:$C$501,A41,Scoresheet!$U$2:$U$501,1))</f>
        <v/>
      </c>
      <c r="R41" s="44" t="str">
        <f aca="false">IF(E41="","",IF(OR(A41="",COUNTIFS(Scoresheet!$C$2:$C$501,A41,Scoresheet!$U$2:$U$501,1)=0),"No scoresheet yet",IF(SUMIFS(Scoresheet!$N$2:$N$501,Scoresheet!$C$2:$C$501,A41,Scoresheet!$U$2:$U$501,1)&lt;6,"Partly scored ("&amp;SUMIFS(Scoresheet!$N$2:$N$501,Scoresheet!$C$2:$C$501,A41,Scoresheet!$U$2:$U$501,1)&amp;"/6)",IF(Q41&gt;=Settings!$S$8,"Hot",IF(Q41&gt;=Settings!$S$9,"Warm","Cold")))))</f>
        <v/>
      </c>
      <c r="S41" s="44" t="str">
        <f aca="false">IF(OR(E41="",A41=""),"",IF(AND(COUNTIFS(Scoresheet!$C$2:$C$501,A41,Scoresheet!$U$2:$U$501,1,Scoresheet!$H$2:$H$501,"No")&gt;0,COUNTIFS(Scoresheet!$C$2:$C$501,A41,Scoresheet!$U$2:$U$501,1,Scoresheet!$J$2:$J$501,"No")&gt;0),"🚩 Budget  ·  🚩 No one on camera",IF(COUNTIFS(Scoresheet!$C$2:$C$501,A41,Scoresheet!$U$2:$U$501,1,Scoresheet!$H$2:$H$501,"No")&gt;0,"🚩 Budget under AED 5k",IF(COUNTIFS(Scoresheet!$C$2:$C$501,A41,Scoresheet!$U$2:$U$501,1,Scoresheet!$J$2:$J$501,"No")&gt;0,"🚩 No one on camera",""))))</f>
        <v/>
      </c>
      <c r="T41" s="17"/>
      <c r="U41" s="17"/>
      <c r="V41" s="40"/>
      <c r="W41" s="17"/>
      <c r="X41" s="45" t="str">
        <f aca="false">IF(OR(E41="",V41="",OR(U41="Contract signed + paid",U41="Closed – No response",U41="Lost"),N(W41)&gt;=Settings!$S$3),"",V41+Settings!$S$2)</f>
        <v/>
      </c>
      <c r="Y41" s="40"/>
      <c r="Z41" s="41"/>
      <c r="AA41" s="17"/>
      <c r="AB41" s="17"/>
      <c r="AC41" s="17"/>
      <c r="AD41" s="46" t="str">
        <f aca="true">IF(OR(E41="",B41=""),"",INT(TODAY()-B41))</f>
        <v/>
      </c>
      <c r="AE41" s="44" t="str">
        <f aca="true">IF(E41="","",IF(OR(COUNTIFS(Clients!$C$2:$C$501,E41,Clients!$S$2:$S$501,"Paid")&gt;0,AND(I41&lt;&gt;"",COUNTIFS(Clients!$E$2:$E$501,I41,Clients!$S$2:$S$501,"Paid")&gt;0)),"⚠ Refunded before – no free video",IF(OR(U41="Contract signed + paid",U41="Closed – No response",U41="Lost"),"",IF(U41="","Set a stage",IF(AND(U41="Proposal sent",SUMIFS(Scoresheet!$N$2:$N$501,Scoresheet!$C$2:$C$501,A41,Scoresheet!$U$2:$U$501,1)&lt;6),"Score this lead – fill the call scoresheet",IF(N(W41)&gt;=Settings!$S$3,"Close – 4 follow-ups sent",IF(X41="",IF(V41="","Make first contact",""),IF(TODAY()&gt;X41,"OVERDUE follow-up",IF(TODAY()=X41,"Follow up today","")))))))))</f>
        <v/>
      </c>
    </row>
    <row r="42" customFormat="false" ht="15" hidden="false" customHeight="false" outlineLevel="0" collapsed="false">
      <c r="A42" s="17"/>
      <c r="B42" s="40"/>
      <c r="C42" s="41"/>
      <c r="D42" s="17"/>
      <c r="E42" s="17"/>
      <c r="F42" s="17"/>
      <c r="G42" s="17"/>
      <c r="H42" s="17"/>
      <c r="I42" s="42"/>
      <c r="J42" s="17"/>
      <c r="K42" s="17"/>
      <c r="L42" s="17"/>
      <c r="M42" s="17"/>
      <c r="N42" s="40"/>
      <c r="O42" s="41"/>
      <c r="P42" s="43" t="str">
        <f aca="false">IF(OR(B42="",N42=""),"",ROUND(((N42+N(O42))-(B42+N(C42)))*24,1))</f>
        <v/>
      </c>
      <c r="Q42" s="44" t="str">
        <f aca="false">IF(OR(E42="",A42="",COUNTIFS(Scoresheet!$C$2:$C$501,A42,Scoresheet!$U$2:$U$501,1)=0),"",SUMIFS(Scoresheet!$O$2:$O$501,Scoresheet!$C$2:$C$501,A42,Scoresheet!$U$2:$U$501,1))</f>
        <v/>
      </c>
      <c r="R42" s="44" t="str">
        <f aca="false">IF(E42="","",IF(OR(A42="",COUNTIFS(Scoresheet!$C$2:$C$501,A42,Scoresheet!$U$2:$U$501,1)=0),"No scoresheet yet",IF(SUMIFS(Scoresheet!$N$2:$N$501,Scoresheet!$C$2:$C$501,A42,Scoresheet!$U$2:$U$501,1)&lt;6,"Partly scored ("&amp;SUMIFS(Scoresheet!$N$2:$N$501,Scoresheet!$C$2:$C$501,A42,Scoresheet!$U$2:$U$501,1)&amp;"/6)",IF(Q42&gt;=Settings!$S$8,"Hot",IF(Q42&gt;=Settings!$S$9,"Warm","Cold")))))</f>
        <v/>
      </c>
      <c r="S42" s="44" t="str">
        <f aca="false">IF(OR(E42="",A42=""),"",IF(AND(COUNTIFS(Scoresheet!$C$2:$C$501,A42,Scoresheet!$U$2:$U$501,1,Scoresheet!$H$2:$H$501,"No")&gt;0,COUNTIFS(Scoresheet!$C$2:$C$501,A42,Scoresheet!$U$2:$U$501,1,Scoresheet!$J$2:$J$501,"No")&gt;0),"🚩 Budget  ·  🚩 No one on camera",IF(COUNTIFS(Scoresheet!$C$2:$C$501,A42,Scoresheet!$U$2:$U$501,1,Scoresheet!$H$2:$H$501,"No")&gt;0,"🚩 Budget under AED 5k",IF(COUNTIFS(Scoresheet!$C$2:$C$501,A42,Scoresheet!$U$2:$U$501,1,Scoresheet!$J$2:$J$501,"No")&gt;0,"🚩 No one on camera",""))))</f>
        <v/>
      </c>
      <c r="T42" s="17"/>
      <c r="U42" s="17"/>
      <c r="V42" s="40"/>
      <c r="W42" s="17"/>
      <c r="X42" s="45" t="str">
        <f aca="false">IF(OR(E42="",V42="",OR(U42="Contract signed + paid",U42="Closed – No response",U42="Lost"),N(W42)&gt;=Settings!$S$3),"",V42+Settings!$S$2)</f>
        <v/>
      </c>
      <c r="Y42" s="40"/>
      <c r="Z42" s="41"/>
      <c r="AA42" s="17"/>
      <c r="AB42" s="17"/>
      <c r="AC42" s="17"/>
      <c r="AD42" s="46" t="str">
        <f aca="true">IF(OR(E42="",B42=""),"",INT(TODAY()-B42))</f>
        <v/>
      </c>
      <c r="AE42" s="44" t="str">
        <f aca="true">IF(E42="","",IF(OR(COUNTIFS(Clients!$C$2:$C$501,E42,Clients!$S$2:$S$501,"Paid")&gt;0,AND(I42&lt;&gt;"",COUNTIFS(Clients!$E$2:$E$501,I42,Clients!$S$2:$S$501,"Paid")&gt;0)),"⚠ Refunded before – no free video",IF(OR(U42="Contract signed + paid",U42="Closed – No response",U42="Lost"),"",IF(U42="","Set a stage",IF(AND(U42="Proposal sent",SUMIFS(Scoresheet!$N$2:$N$501,Scoresheet!$C$2:$C$501,A42,Scoresheet!$U$2:$U$501,1)&lt;6),"Score this lead – fill the call scoresheet",IF(N(W42)&gt;=Settings!$S$3,"Close – 4 follow-ups sent",IF(X42="",IF(V42="","Make first contact",""),IF(TODAY()&gt;X42,"OVERDUE follow-up",IF(TODAY()=X42,"Follow up today","")))))))))</f>
        <v/>
      </c>
    </row>
    <row r="43" customFormat="false" ht="15" hidden="false" customHeight="false" outlineLevel="0" collapsed="false">
      <c r="A43" s="17"/>
      <c r="B43" s="40"/>
      <c r="C43" s="41"/>
      <c r="D43" s="17"/>
      <c r="E43" s="17"/>
      <c r="F43" s="17"/>
      <c r="G43" s="17"/>
      <c r="H43" s="17"/>
      <c r="I43" s="42"/>
      <c r="J43" s="17"/>
      <c r="K43" s="17"/>
      <c r="L43" s="17"/>
      <c r="M43" s="17"/>
      <c r="N43" s="40"/>
      <c r="O43" s="41"/>
      <c r="P43" s="43" t="str">
        <f aca="false">IF(OR(B43="",N43=""),"",ROUND(((N43+N(O43))-(B43+N(C43)))*24,1))</f>
        <v/>
      </c>
      <c r="Q43" s="44" t="str">
        <f aca="false">IF(OR(E43="",A43="",COUNTIFS(Scoresheet!$C$2:$C$501,A43,Scoresheet!$U$2:$U$501,1)=0),"",SUMIFS(Scoresheet!$O$2:$O$501,Scoresheet!$C$2:$C$501,A43,Scoresheet!$U$2:$U$501,1))</f>
        <v/>
      </c>
      <c r="R43" s="44" t="str">
        <f aca="false">IF(E43="","",IF(OR(A43="",COUNTIFS(Scoresheet!$C$2:$C$501,A43,Scoresheet!$U$2:$U$501,1)=0),"No scoresheet yet",IF(SUMIFS(Scoresheet!$N$2:$N$501,Scoresheet!$C$2:$C$501,A43,Scoresheet!$U$2:$U$501,1)&lt;6,"Partly scored ("&amp;SUMIFS(Scoresheet!$N$2:$N$501,Scoresheet!$C$2:$C$501,A43,Scoresheet!$U$2:$U$501,1)&amp;"/6)",IF(Q43&gt;=Settings!$S$8,"Hot",IF(Q43&gt;=Settings!$S$9,"Warm","Cold")))))</f>
        <v/>
      </c>
      <c r="S43" s="44" t="str">
        <f aca="false">IF(OR(E43="",A43=""),"",IF(AND(COUNTIFS(Scoresheet!$C$2:$C$501,A43,Scoresheet!$U$2:$U$501,1,Scoresheet!$H$2:$H$501,"No")&gt;0,COUNTIFS(Scoresheet!$C$2:$C$501,A43,Scoresheet!$U$2:$U$501,1,Scoresheet!$J$2:$J$501,"No")&gt;0),"🚩 Budget  ·  🚩 No one on camera",IF(COUNTIFS(Scoresheet!$C$2:$C$501,A43,Scoresheet!$U$2:$U$501,1,Scoresheet!$H$2:$H$501,"No")&gt;0,"🚩 Budget under AED 5k",IF(COUNTIFS(Scoresheet!$C$2:$C$501,A43,Scoresheet!$U$2:$U$501,1,Scoresheet!$J$2:$J$501,"No")&gt;0,"🚩 No one on camera",""))))</f>
        <v/>
      </c>
      <c r="T43" s="17"/>
      <c r="U43" s="17"/>
      <c r="V43" s="40"/>
      <c r="W43" s="17"/>
      <c r="X43" s="45" t="str">
        <f aca="false">IF(OR(E43="",V43="",OR(U43="Contract signed + paid",U43="Closed – No response",U43="Lost"),N(W43)&gt;=Settings!$S$3),"",V43+Settings!$S$2)</f>
        <v/>
      </c>
      <c r="Y43" s="40"/>
      <c r="Z43" s="41"/>
      <c r="AA43" s="17"/>
      <c r="AB43" s="17"/>
      <c r="AC43" s="17"/>
      <c r="AD43" s="46" t="str">
        <f aca="true">IF(OR(E43="",B43=""),"",INT(TODAY()-B43))</f>
        <v/>
      </c>
      <c r="AE43" s="44" t="str">
        <f aca="true">IF(E43="","",IF(OR(COUNTIFS(Clients!$C$2:$C$501,E43,Clients!$S$2:$S$501,"Paid")&gt;0,AND(I43&lt;&gt;"",COUNTIFS(Clients!$E$2:$E$501,I43,Clients!$S$2:$S$501,"Paid")&gt;0)),"⚠ Refunded before – no free video",IF(OR(U43="Contract signed + paid",U43="Closed – No response",U43="Lost"),"",IF(U43="","Set a stage",IF(AND(U43="Proposal sent",SUMIFS(Scoresheet!$N$2:$N$501,Scoresheet!$C$2:$C$501,A43,Scoresheet!$U$2:$U$501,1)&lt;6),"Score this lead – fill the call scoresheet",IF(N(W43)&gt;=Settings!$S$3,"Close – 4 follow-ups sent",IF(X43="",IF(V43="","Make first contact",""),IF(TODAY()&gt;X43,"OVERDUE follow-up",IF(TODAY()=X43,"Follow up today","")))))))))</f>
        <v/>
      </c>
    </row>
    <row r="44" customFormat="false" ht="15" hidden="false" customHeight="false" outlineLevel="0" collapsed="false">
      <c r="A44" s="17"/>
      <c r="B44" s="40"/>
      <c r="C44" s="41"/>
      <c r="D44" s="17"/>
      <c r="E44" s="17"/>
      <c r="F44" s="17"/>
      <c r="G44" s="17"/>
      <c r="H44" s="17"/>
      <c r="I44" s="42"/>
      <c r="J44" s="17"/>
      <c r="K44" s="17"/>
      <c r="L44" s="17"/>
      <c r="M44" s="17"/>
      <c r="N44" s="40"/>
      <c r="O44" s="41"/>
      <c r="P44" s="43" t="str">
        <f aca="false">IF(OR(B44="",N44=""),"",ROUND(((N44+N(O44))-(B44+N(C44)))*24,1))</f>
        <v/>
      </c>
      <c r="Q44" s="44" t="str">
        <f aca="false">IF(OR(E44="",A44="",COUNTIFS(Scoresheet!$C$2:$C$501,A44,Scoresheet!$U$2:$U$501,1)=0),"",SUMIFS(Scoresheet!$O$2:$O$501,Scoresheet!$C$2:$C$501,A44,Scoresheet!$U$2:$U$501,1))</f>
        <v/>
      </c>
      <c r="R44" s="44" t="str">
        <f aca="false">IF(E44="","",IF(OR(A44="",COUNTIFS(Scoresheet!$C$2:$C$501,A44,Scoresheet!$U$2:$U$501,1)=0),"No scoresheet yet",IF(SUMIFS(Scoresheet!$N$2:$N$501,Scoresheet!$C$2:$C$501,A44,Scoresheet!$U$2:$U$501,1)&lt;6,"Partly scored ("&amp;SUMIFS(Scoresheet!$N$2:$N$501,Scoresheet!$C$2:$C$501,A44,Scoresheet!$U$2:$U$501,1)&amp;"/6)",IF(Q44&gt;=Settings!$S$8,"Hot",IF(Q44&gt;=Settings!$S$9,"Warm","Cold")))))</f>
        <v/>
      </c>
      <c r="S44" s="44" t="str">
        <f aca="false">IF(OR(E44="",A44=""),"",IF(AND(COUNTIFS(Scoresheet!$C$2:$C$501,A44,Scoresheet!$U$2:$U$501,1,Scoresheet!$H$2:$H$501,"No")&gt;0,COUNTIFS(Scoresheet!$C$2:$C$501,A44,Scoresheet!$U$2:$U$501,1,Scoresheet!$J$2:$J$501,"No")&gt;0),"🚩 Budget  ·  🚩 No one on camera",IF(COUNTIFS(Scoresheet!$C$2:$C$501,A44,Scoresheet!$U$2:$U$501,1,Scoresheet!$H$2:$H$501,"No")&gt;0,"🚩 Budget under AED 5k",IF(COUNTIFS(Scoresheet!$C$2:$C$501,A44,Scoresheet!$U$2:$U$501,1,Scoresheet!$J$2:$J$501,"No")&gt;0,"🚩 No one on camera",""))))</f>
        <v/>
      </c>
      <c r="T44" s="17"/>
      <c r="U44" s="17"/>
      <c r="V44" s="40"/>
      <c r="W44" s="17"/>
      <c r="X44" s="45" t="str">
        <f aca="false">IF(OR(E44="",V44="",OR(U44="Contract signed + paid",U44="Closed – No response",U44="Lost"),N(W44)&gt;=Settings!$S$3),"",V44+Settings!$S$2)</f>
        <v/>
      </c>
      <c r="Y44" s="40"/>
      <c r="Z44" s="41"/>
      <c r="AA44" s="17"/>
      <c r="AB44" s="17"/>
      <c r="AC44" s="17"/>
      <c r="AD44" s="46" t="str">
        <f aca="true">IF(OR(E44="",B44=""),"",INT(TODAY()-B44))</f>
        <v/>
      </c>
      <c r="AE44" s="44" t="str">
        <f aca="true">IF(E44="","",IF(OR(COUNTIFS(Clients!$C$2:$C$501,E44,Clients!$S$2:$S$501,"Paid")&gt;0,AND(I44&lt;&gt;"",COUNTIFS(Clients!$E$2:$E$501,I44,Clients!$S$2:$S$501,"Paid")&gt;0)),"⚠ Refunded before – no free video",IF(OR(U44="Contract signed + paid",U44="Closed – No response",U44="Lost"),"",IF(U44="","Set a stage",IF(AND(U44="Proposal sent",SUMIFS(Scoresheet!$N$2:$N$501,Scoresheet!$C$2:$C$501,A44,Scoresheet!$U$2:$U$501,1)&lt;6),"Score this lead – fill the call scoresheet",IF(N(W44)&gt;=Settings!$S$3,"Close – 4 follow-ups sent",IF(X44="",IF(V44="","Make first contact",""),IF(TODAY()&gt;X44,"OVERDUE follow-up",IF(TODAY()=X44,"Follow up today","")))))))))</f>
        <v/>
      </c>
    </row>
    <row r="45" customFormat="false" ht="15" hidden="false" customHeight="false" outlineLevel="0" collapsed="false">
      <c r="A45" s="17"/>
      <c r="B45" s="40"/>
      <c r="C45" s="41"/>
      <c r="D45" s="17"/>
      <c r="E45" s="17"/>
      <c r="F45" s="17"/>
      <c r="G45" s="17"/>
      <c r="H45" s="17"/>
      <c r="I45" s="42"/>
      <c r="J45" s="17"/>
      <c r="K45" s="17"/>
      <c r="L45" s="17"/>
      <c r="M45" s="17"/>
      <c r="N45" s="40"/>
      <c r="O45" s="41"/>
      <c r="P45" s="43" t="str">
        <f aca="false">IF(OR(B45="",N45=""),"",ROUND(((N45+N(O45))-(B45+N(C45)))*24,1))</f>
        <v/>
      </c>
      <c r="Q45" s="44" t="str">
        <f aca="false">IF(OR(E45="",A45="",COUNTIFS(Scoresheet!$C$2:$C$501,A45,Scoresheet!$U$2:$U$501,1)=0),"",SUMIFS(Scoresheet!$O$2:$O$501,Scoresheet!$C$2:$C$501,A45,Scoresheet!$U$2:$U$501,1))</f>
        <v/>
      </c>
      <c r="R45" s="44" t="str">
        <f aca="false">IF(E45="","",IF(OR(A45="",COUNTIFS(Scoresheet!$C$2:$C$501,A45,Scoresheet!$U$2:$U$501,1)=0),"No scoresheet yet",IF(SUMIFS(Scoresheet!$N$2:$N$501,Scoresheet!$C$2:$C$501,A45,Scoresheet!$U$2:$U$501,1)&lt;6,"Partly scored ("&amp;SUMIFS(Scoresheet!$N$2:$N$501,Scoresheet!$C$2:$C$501,A45,Scoresheet!$U$2:$U$501,1)&amp;"/6)",IF(Q45&gt;=Settings!$S$8,"Hot",IF(Q45&gt;=Settings!$S$9,"Warm","Cold")))))</f>
        <v/>
      </c>
      <c r="S45" s="44" t="str">
        <f aca="false">IF(OR(E45="",A45=""),"",IF(AND(COUNTIFS(Scoresheet!$C$2:$C$501,A45,Scoresheet!$U$2:$U$501,1,Scoresheet!$H$2:$H$501,"No")&gt;0,COUNTIFS(Scoresheet!$C$2:$C$501,A45,Scoresheet!$U$2:$U$501,1,Scoresheet!$J$2:$J$501,"No")&gt;0),"🚩 Budget  ·  🚩 No one on camera",IF(COUNTIFS(Scoresheet!$C$2:$C$501,A45,Scoresheet!$U$2:$U$501,1,Scoresheet!$H$2:$H$501,"No")&gt;0,"🚩 Budget under AED 5k",IF(COUNTIFS(Scoresheet!$C$2:$C$501,A45,Scoresheet!$U$2:$U$501,1,Scoresheet!$J$2:$J$501,"No")&gt;0,"🚩 No one on camera",""))))</f>
        <v/>
      </c>
      <c r="T45" s="17"/>
      <c r="U45" s="17"/>
      <c r="V45" s="40"/>
      <c r="W45" s="17"/>
      <c r="X45" s="45" t="str">
        <f aca="false">IF(OR(E45="",V45="",OR(U45="Contract signed + paid",U45="Closed – No response",U45="Lost"),N(W45)&gt;=Settings!$S$3),"",V45+Settings!$S$2)</f>
        <v/>
      </c>
      <c r="Y45" s="40"/>
      <c r="Z45" s="41"/>
      <c r="AA45" s="17"/>
      <c r="AB45" s="17"/>
      <c r="AC45" s="17"/>
      <c r="AD45" s="46" t="str">
        <f aca="true">IF(OR(E45="",B45=""),"",INT(TODAY()-B45))</f>
        <v/>
      </c>
      <c r="AE45" s="44" t="str">
        <f aca="true">IF(E45="","",IF(OR(COUNTIFS(Clients!$C$2:$C$501,E45,Clients!$S$2:$S$501,"Paid")&gt;0,AND(I45&lt;&gt;"",COUNTIFS(Clients!$E$2:$E$501,I45,Clients!$S$2:$S$501,"Paid")&gt;0)),"⚠ Refunded before – no free video",IF(OR(U45="Contract signed + paid",U45="Closed – No response",U45="Lost"),"",IF(U45="","Set a stage",IF(AND(U45="Proposal sent",SUMIFS(Scoresheet!$N$2:$N$501,Scoresheet!$C$2:$C$501,A45,Scoresheet!$U$2:$U$501,1)&lt;6),"Score this lead – fill the call scoresheet",IF(N(W45)&gt;=Settings!$S$3,"Close – 4 follow-ups sent",IF(X45="",IF(V45="","Make first contact",""),IF(TODAY()&gt;X45,"OVERDUE follow-up",IF(TODAY()=X45,"Follow up today","")))))))))</f>
        <v/>
      </c>
    </row>
    <row r="46" customFormat="false" ht="15" hidden="false" customHeight="false" outlineLevel="0" collapsed="false">
      <c r="A46" s="17"/>
      <c r="B46" s="40"/>
      <c r="C46" s="41"/>
      <c r="D46" s="17"/>
      <c r="E46" s="17"/>
      <c r="F46" s="17"/>
      <c r="G46" s="17"/>
      <c r="H46" s="17"/>
      <c r="I46" s="42"/>
      <c r="J46" s="17"/>
      <c r="K46" s="17"/>
      <c r="L46" s="17"/>
      <c r="M46" s="17"/>
      <c r="N46" s="40"/>
      <c r="O46" s="41"/>
      <c r="P46" s="43" t="str">
        <f aca="false">IF(OR(B46="",N46=""),"",ROUND(((N46+N(O46))-(B46+N(C46)))*24,1))</f>
        <v/>
      </c>
      <c r="Q46" s="44" t="str">
        <f aca="false">IF(OR(E46="",A46="",COUNTIFS(Scoresheet!$C$2:$C$501,A46,Scoresheet!$U$2:$U$501,1)=0),"",SUMIFS(Scoresheet!$O$2:$O$501,Scoresheet!$C$2:$C$501,A46,Scoresheet!$U$2:$U$501,1))</f>
        <v/>
      </c>
      <c r="R46" s="44" t="str">
        <f aca="false">IF(E46="","",IF(OR(A46="",COUNTIFS(Scoresheet!$C$2:$C$501,A46,Scoresheet!$U$2:$U$501,1)=0),"No scoresheet yet",IF(SUMIFS(Scoresheet!$N$2:$N$501,Scoresheet!$C$2:$C$501,A46,Scoresheet!$U$2:$U$501,1)&lt;6,"Partly scored ("&amp;SUMIFS(Scoresheet!$N$2:$N$501,Scoresheet!$C$2:$C$501,A46,Scoresheet!$U$2:$U$501,1)&amp;"/6)",IF(Q46&gt;=Settings!$S$8,"Hot",IF(Q46&gt;=Settings!$S$9,"Warm","Cold")))))</f>
        <v/>
      </c>
      <c r="S46" s="44" t="str">
        <f aca="false">IF(OR(E46="",A46=""),"",IF(AND(COUNTIFS(Scoresheet!$C$2:$C$501,A46,Scoresheet!$U$2:$U$501,1,Scoresheet!$H$2:$H$501,"No")&gt;0,COUNTIFS(Scoresheet!$C$2:$C$501,A46,Scoresheet!$U$2:$U$501,1,Scoresheet!$J$2:$J$501,"No")&gt;0),"🚩 Budget  ·  🚩 No one on camera",IF(COUNTIFS(Scoresheet!$C$2:$C$501,A46,Scoresheet!$U$2:$U$501,1,Scoresheet!$H$2:$H$501,"No")&gt;0,"🚩 Budget under AED 5k",IF(COUNTIFS(Scoresheet!$C$2:$C$501,A46,Scoresheet!$U$2:$U$501,1,Scoresheet!$J$2:$J$501,"No")&gt;0,"🚩 No one on camera",""))))</f>
        <v/>
      </c>
      <c r="T46" s="17"/>
      <c r="U46" s="17"/>
      <c r="V46" s="40"/>
      <c r="W46" s="17"/>
      <c r="X46" s="45" t="str">
        <f aca="false">IF(OR(E46="",V46="",OR(U46="Contract signed + paid",U46="Closed – No response",U46="Lost"),N(W46)&gt;=Settings!$S$3),"",V46+Settings!$S$2)</f>
        <v/>
      </c>
      <c r="Y46" s="40"/>
      <c r="Z46" s="41"/>
      <c r="AA46" s="17"/>
      <c r="AB46" s="17"/>
      <c r="AC46" s="17"/>
      <c r="AD46" s="46" t="str">
        <f aca="true">IF(OR(E46="",B46=""),"",INT(TODAY()-B46))</f>
        <v/>
      </c>
      <c r="AE46" s="44" t="str">
        <f aca="true">IF(E46="","",IF(OR(COUNTIFS(Clients!$C$2:$C$501,E46,Clients!$S$2:$S$501,"Paid")&gt;0,AND(I46&lt;&gt;"",COUNTIFS(Clients!$E$2:$E$501,I46,Clients!$S$2:$S$501,"Paid")&gt;0)),"⚠ Refunded before – no free video",IF(OR(U46="Contract signed + paid",U46="Closed – No response",U46="Lost"),"",IF(U46="","Set a stage",IF(AND(U46="Proposal sent",SUMIFS(Scoresheet!$N$2:$N$501,Scoresheet!$C$2:$C$501,A46,Scoresheet!$U$2:$U$501,1)&lt;6),"Score this lead – fill the call scoresheet",IF(N(W46)&gt;=Settings!$S$3,"Close – 4 follow-ups sent",IF(X46="",IF(V46="","Make first contact",""),IF(TODAY()&gt;X46,"OVERDUE follow-up",IF(TODAY()=X46,"Follow up today","")))))))))</f>
        <v/>
      </c>
    </row>
    <row r="47" customFormat="false" ht="15" hidden="false" customHeight="false" outlineLevel="0" collapsed="false">
      <c r="A47" s="17"/>
      <c r="B47" s="40"/>
      <c r="C47" s="41"/>
      <c r="D47" s="17"/>
      <c r="E47" s="17"/>
      <c r="F47" s="17"/>
      <c r="G47" s="17"/>
      <c r="H47" s="17"/>
      <c r="I47" s="42"/>
      <c r="J47" s="17"/>
      <c r="K47" s="17"/>
      <c r="L47" s="17"/>
      <c r="M47" s="17"/>
      <c r="N47" s="40"/>
      <c r="O47" s="41"/>
      <c r="P47" s="43" t="str">
        <f aca="false">IF(OR(B47="",N47=""),"",ROUND(((N47+N(O47))-(B47+N(C47)))*24,1))</f>
        <v/>
      </c>
      <c r="Q47" s="44" t="str">
        <f aca="false">IF(OR(E47="",A47="",COUNTIFS(Scoresheet!$C$2:$C$501,A47,Scoresheet!$U$2:$U$501,1)=0),"",SUMIFS(Scoresheet!$O$2:$O$501,Scoresheet!$C$2:$C$501,A47,Scoresheet!$U$2:$U$501,1))</f>
        <v/>
      </c>
      <c r="R47" s="44" t="str">
        <f aca="false">IF(E47="","",IF(OR(A47="",COUNTIFS(Scoresheet!$C$2:$C$501,A47,Scoresheet!$U$2:$U$501,1)=0),"No scoresheet yet",IF(SUMIFS(Scoresheet!$N$2:$N$501,Scoresheet!$C$2:$C$501,A47,Scoresheet!$U$2:$U$501,1)&lt;6,"Partly scored ("&amp;SUMIFS(Scoresheet!$N$2:$N$501,Scoresheet!$C$2:$C$501,A47,Scoresheet!$U$2:$U$501,1)&amp;"/6)",IF(Q47&gt;=Settings!$S$8,"Hot",IF(Q47&gt;=Settings!$S$9,"Warm","Cold")))))</f>
        <v/>
      </c>
      <c r="S47" s="44" t="str">
        <f aca="false">IF(OR(E47="",A47=""),"",IF(AND(COUNTIFS(Scoresheet!$C$2:$C$501,A47,Scoresheet!$U$2:$U$501,1,Scoresheet!$H$2:$H$501,"No")&gt;0,COUNTIFS(Scoresheet!$C$2:$C$501,A47,Scoresheet!$U$2:$U$501,1,Scoresheet!$J$2:$J$501,"No")&gt;0),"🚩 Budget  ·  🚩 No one on camera",IF(COUNTIFS(Scoresheet!$C$2:$C$501,A47,Scoresheet!$U$2:$U$501,1,Scoresheet!$H$2:$H$501,"No")&gt;0,"🚩 Budget under AED 5k",IF(COUNTIFS(Scoresheet!$C$2:$C$501,A47,Scoresheet!$U$2:$U$501,1,Scoresheet!$J$2:$J$501,"No")&gt;0,"🚩 No one on camera",""))))</f>
        <v/>
      </c>
      <c r="T47" s="17"/>
      <c r="U47" s="17"/>
      <c r="V47" s="40"/>
      <c r="W47" s="17"/>
      <c r="X47" s="45" t="str">
        <f aca="false">IF(OR(E47="",V47="",OR(U47="Contract signed + paid",U47="Closed – No response",U47="Lost"),N(W47)&gt;=Settings!$S$3),"",V47+Settings!$S$2)</f>
        <v/>
      </c>
      <c r="Y47" s="40"/>
      <c r="Z47" s="41"/>
      <c r="AA47" s="17"/>
      <c r="AB47" s="17"/>
      <c r="AC47" s="17"/>
      <c r="AD47" s="46" t="str">
        <f aca="true">IF(OR(E47="",B47=""),"",INT(TODAY()-B47))</f>
        <v/>
      </c>
      <c r="AE47" s="44" t="str">
        <f aca="true">IF(E47="","",IF(OR(COUNTIFS(Clients!$C$2:$C$501,E47,Clients!$S$2:$S$501,"Paid")&gt;0,AND(I47&lt;&gt;"",COUNTIFS(Clients!$E$2:$E$501,I47,Clients!$S$2:$S$501,"Paid")&gt;0)),"⚠ Refunded before – no free video",IF(OR(U47="Contract signed + paid",U47="Closed – No response",U47="Lost"),"",IF(U47="","Set a stage",IF(AND(U47="Proposal sent",SUMIFS(Scoresheet!$N$2:$N$501,Scoresheet!$C$2:$C$501,A47,Scoresheet!$U$2:$U$501,1)&lt;6),"Score this lead – fill the call scoresheet",IF(N(W47)&gt;=Settings!$S$3,"Close – 4 follow-ups sent",IF(X47="",IF(V47="","Make first contact",""),IF(TODAY()&gt;X47,"OVERDUE follow-up",IF(TODAY()=X47,"Follow up today","")))))))))</f>
        <v/>
      </c>
    </row>
    <row r="48" customFormat="false" ht="15" hidden="false" customHeight="false" outlineLevel="0" collapsed="false">
      <c r="A48" s="17"/>
      <c r="B48" s="40"/>
      <c r="C48" s="41"/>
      <c r="D48" s="17"/>
      <c r="E48" s="17"/>
      <c r="F48" s="17"/>
      <c r="G48" s="17"/>
      <c r="H48" s="17"/>
      <c r="I48" s="42"/>
      <c r="J48" s="17"/>
      <c r="K48" s="17"/>
      <c r="L48" s="17"/>
      <c r="M48" s="17"/>
      <c r="N48" s="40"/>
      <c r="O48" s="41"/>
      <c r="P48" s="43" t="str">
        <f aca="false">IF(OR(B48="",N48=""),"",ROUND(((N48+N(O48))-(B48+N(C48)))*24,1))</f>
        <v/>
      </c>
      <c r="Q48" s="44" t="str">
        <f aca="false">IF(OR(E48="",A48="",COUNTIFS(Scoresheet!$C$2:$C$501,A48,Scoresheet!$U$2:$U$501,1)=0),"",SUMIFS(Scoresheet!$O$2:$O$501,Scoresheet!$C$2:$C$501,A48,Scoresheet!$U$2:$U$501,1))</f>
        <v/>
      </c>
      <c r="R48" s="44" t="str">
        <f aca="false">IF(E48="","",IF(OR(A48="",COUNTIFS(Scoresheet!$C$2:$C$501,A48,Scoresheet!$U$2:$U$501,1)=0),"No scoresheet yet",IF(SUMIFS(Scoresheet!$N$2:$N$501,Scoresheet!$C$2:$C$501,A48,Scoresheet!$U$2:$U$501,1)&lt;6,"Partly scored ("&amp;SUMIFS(Scoresheet!$N$2:$N$501,Scoresheet!$C$2:$C$501,A48,Scoresheet!$U$2:$U$501,1)&amp;"/6)",IF(Q48&gt;=Settings!$S$8,"Hot",IF(Q48&gt;=Settings!$S$9,"Warm","Cold")))))</f>
        <v/>
      </c>
      <c r="S48" s="44" t="str">
        <f aca="false">IF(OR(E48="",A48=""),"",IF(AND(COUNTIFS(Scoresheet!$C$2:$C$501,A48,Scoresheet!$U$2:$U$501,1,Scoresheet!$H$2:$H$501,"No")&gt;0,COUNTIFS(Scoresheet!$C$2:$C$501,A48,Scoresheet!$U$2:$U$501,1,Scoresheet!$J$2:$J$501,"No")&gt;0),"🚩 Budget  ·  🚩 No one on camera",IF(COUNTIFS(Scoresheet!$C$2:$C$501,A48,Scoresheet!$U$2:$U$501,1,Scoresheet!$H$2:$H$501,"No")&gt;0,"🚩 Budget under AED 5k",IF(COUNTIFS(Scoresheet!$C$2:$C$501,A48,Scoresheet!$U$2:$U$501,1,Scoresheet!$J$2:$J$501,"No")&gt;0,"🚩 No one on camera",""))))</f>
        <v/>
      </c>
      <c r="T48" s="17"/>
      <c r="U48" s="17"/>
      <c r="V48" s="40"/>
      <c r="W48" s="17"/>
      <c r="X48" s="45" t="str">
        <f aca="false">IF(OR(E48="",V48="",OR(U48="Contract signed + paid",U48="Closed – No response",U48="Lost"),N(W48)&gt;=Settings!$S$3),"",V48+Settings!$S$2)</f>
        <v/>
      </c>
      <c r="Y48" s="40"/>
      <c r="Z48" s="41"/>
      <c r="AA48" s="17"/>
      <c r="AB48" s="17"/>
      <c r="AC48" s="17"/>
      <c r="AD48" s="46" t="str">
        <f aca="true">IF(OR(E48="",B48=""),"",INT(TODAY()-B48))</f>
        <v/>
      </c>
      <c r="AE48" s="44" t="str">
        <f aca="true">IF(E48="","",IF(OR(COUNTIFS(Clients!$C$2:$C$501,E48,Clients!$S$2:$S$501,"Paid")&gt;0,AND(I48&lt;&gt;"",COUNTIFS(Clients!$E$2:$E$501,I48,Clients!$S$2:$S$501,"Paid")&gt;0)),"⚠ Refunded before – no free video",IF(OR(U48="Contract signed + paid",U48="Closed – No response",U48="Lost"),"",IF(U48="","Set a stage",IF(AND(U48="Proposal sent",SUMIFS(Scoresheet!$N$2:$N$501,Scoresheet!$C$2:$C$501,A48,Scoresheet!$U$2:$U$501,1)&lt;6),"Score this lead – fill the call scoresheet",IF(N(W48)&gt;=Settings!$S$3,"Close – 4 follow-ups sent",IF(X48="",IF(V48="","Make first contact",""),IF(TODAY()&gt;X48,"OVERDUE follow-up",IF(TODAY()=X48,"Follow up today","")))))))))</f>
        <v/>
      </c>
    </row>
    <row r="49" customFormat="false" ht="15" hidden="false" customHeight="false" outlineLevel="0" collapsed="false">
      <c r="A49" s="17"/>
      <c r="B49" s="40"/>
      <c r="C49" s="41"/>
      <c r="D49" s="17"/>
      <c r="E49" s="17"/>
      <c r="F49" s="17"/>
      <c r="G49" s="17"/>
      <c r="H49" s="17"/>
      <c r="I49" s="42"/>
      <c r="J49" s="17"/>
      <c r="K49" s="17"/>
      <c r="L49" s="17"/>
      <c r="M49" s="17"/>
      <c r="N49" s="40"/>
      <c r="O49" s="41"/>
      <c r="P49" s="43" t="str">
        <f aca="false">IF(OR(B49="",N49=""),"",ROUND(((N49+N(O49))-(B49+N(C49)))*24,1))</f>
        <v/>
      </c>
      <c r="Q49" s="44" t="str">
        <f aca="false">IF(OR(E49="",A49="",COUNTIFS(Scoresheet!$C$2:$C$501,A49,Scoresheet!$U$2:$U$501,1)=0),"",SUMIFS(Scoresheet!$O$2:$O$501,Scoresheet!$C$2:$C$501,A49,Scoresheet!$U$2:$U$501,1))</f>
        <v/>
      </c>
      <c r="R49" s="44" t="str">
        <f aca="false">IF(E49="","",IF(OR(A49="",COUNTIFS(Scoresheet!$C$2:$C$501,A49,Scoresheet!$U$2:$U$501,1)=0),"No scoresheet yet",IF(SUMIFS(Scoresheet!$N$2:$N$501,Scoresheet!$C$2:$C$501,A49,Scoresheet!$U$2:$U$501,1)&lt;6,"Partly scored ("&amp;SUMIFS(Scoresheet!$N$2:$N$501,Scoresheet!$C$2:$C$501,A49,Scoresheet!$U$2:$U$501,1)&amp;"/6)",IF(Q49&gt;=Settings!$S$8,"Hot",IF(Q49&gt;=Settings!$S$9,"Warm","Cold")))))</f>
        <v/>
      </c>
      <c r="S49" s="44" t="str">
        <f aca="false">IF(OR(E49="",A49=""),"",IF(AND(COUNTIFS(Scoresheet!$C$2:$C$501,A49,Scoresheet!$U$2:$U$501,1,Scoresheet!$H$2:$H$501,"No")&gt;0,COUNTIFS(Scoresheet!$C$2:$C$501,A49,Scoresheet!$U$2:$U$501,1,Scoresheet!$J$2:$J$501,"No")&gt;0),"🚩 Budget  ·  🚩 No one on camera",IF(COUNTIFS(Scoresheet!$C$2:$C$501,A49,Scoresheet!$U$2:$U$501,1,Scoresheet!$H$2:$H$501,"No")&gt;0,"🚩 Budget under AED 5k",IF(COUNTIFS(Scoresheet!$C$2:$C$501,A49,Scoresheet!$U$2:$U$501,1,Scoresheet!$J$2:$J$501,"No")&gt;0,"🚩 No one on camera",""))))</f>
        <v/>
      </c>
      <c r="T49" s="17"/>
      <c r="U49" s="17"/>
      <c r="V49" s="40"/>
      <c r="W49" s="17"/>
      <c r="X49" s="45" t="str">
        <f aca="false">IF(OR(E49="",V49="",OR(U49="Contract signed + paid",U49="Closed – No response",U49="Lost"),N(W49)&gt;=Settings!$S$3),"",V49+Settings!$S$2)</f>
        <v/>
      </c>
      <c r="Y49" s="40"/>
      <c r="Z49" s="41"/>
      <c r="AA49" s="17"/>
      <c r="AB49" s="17"/>
      <c r="AC49" s="17"/>
      <c r="AD49" s="46" t="str">
        <f aca="true">IF(OR(E49="",B49=""),"",INT(TODAY()-B49))</f>
        <v/>
      </c>
      <c r="AE49" s="44" t="str">
        <f aca="true">IF(E49="","",IF(OR(COUNTIFS(Clients!$C$2:$C$501,E49,Clients!$S$2:$S$501,"Paid")&gt;0,AND(I49&lt;&gt;"",COUNTIFS(Clients!$E$2:$E$501,I49,Clients!$S$2:$S$501,"Paid")&gt;0)),"⚠ Refunded before – no free video",IF(OR(U49="Contract signed + paid",U49="Closed – No response",U49="Lost"),"",IF(U49="","Set a stage",IF(AND(U49="Proposal sent",SUMIFS(Scoresheet!$N$2:$N$501,Scoresheet!$C$2:$C$501,A49,Scoresheet!$U$2:$U$501,1)&lt;6),"Score this lead – fill the call scoresheet",IF(N(W49)&gt;=Settings!$S$3,"Close – 4 follow-ups sent",IF(X49="",IF(V49="","Make first contact",""),IF(TODAY()&gt;X49,"OVERDUE follow-up",IF(TODAY()=X49,"Follow up today","")))))))))</f>
        <v/>
      </c>
    </row>
    <row r="50" customFormat="false" ht="15" hidden="false" customHeight="false" outlineLevel="0" collapsed="false">
      <c r="A50" s="17"/>
      <c r="B50" s="40"/>
      <c r="C50" s="41"/>
      <c r="D50" s="17"/>
      <c r="E50" s="17"/>
      <c r="F50" s="17"/>
      <c r="G50" s="17"/>
      <c r="H50" s="17"/>
      <c r="I50" s="42"/>
      <c r="J50" s="17"/>
      <c r="K50" s="17"/>
      <c r="L50" s="17"/>
      <c r="M50" s="17"/>
      <c r="N50" s="40"/>
      <c r="O50" s="41"/>
      <c r="P50" s="43" t="str">
        <f aca="false">IF(OR(B50="",N50=""),"",ROUND(((N50+N(O50))-(B50+N(C50)))*24,1))</f>
        <v/>
      </c>
      <c r="Q50" s="44" t="str">
        <f aca="false">IF(OR(E50="",A50="",COUNTIFS(Scoresheet!$C$2:$C$501,A50,Scoresheet!$U$2:$U$501,1)=0),"",SUMIFS(Scoresheet!$O$2:$O$501,Scoresheet!$C$2:$C$501,A50,Scoresheet!$U$2:$U$501,1))</f>
        <v/>
      </c>
      <c r="R50" s="44" t="str">
        <f aca="false">IF(E50="","",IF(OR(A50="",COUNTIFS(Scoresheet!$C$2:$C$501,A50,Scoresheet!$U$2:$U$501,1)=0),"No scoresheet yet",IF(SUMIFS(Scoresheet!$N$2:$N$501,Scoresheet!$C$2:$C$501,A50,Scoresheet!$U$2:$U$501,1)&lt;6,"Partly scored ("&amp;SUMIFS(Scoresheet!$N$2:$N$501,Scoresheet!$C$2:$C$501,A50,Scoresheet!$U$2:$U$501,1)&amp;"/6)",IF(Q50&gt;=Settings!$S$8,"Hot",IF(Q50&gt;=Settings!$S$9,"Warm","Cold")))))</f>
        <v/>
      </c>
      <c r="S50" s="44" t="str">
        <f aca="false">IF(OR(E50="",A50=""),"",IF(AND(COUNTIFS(Scoresheet!$C$2:$C$501,A50,Scoresheet!$U$2:$U$501,1,Scoresheet!$H$2:$H$501,"No")&gt;0,COUNTIFS(Scoresheet!$C$2:$C$501,A50,Scoresheet!$U$2:$U$501,1,Scoresheet!$J$2:$J$501,"No")&gt;0),"🚩 Budget  ·  🚩 No one on camera",IF(COUNTIFS(Scoresheet!$C$2:$C$501,A50,Scoresheet!$U$2:$U$501,1,Scoresheet!$H$2:$H$501,"No")&gt;0,"🚩 Budget under AED 5k",IF(COUNTIFS(Scoresheet!$C$2:$C$501,A50,Scoresheet!$U$2:$U$501,1,Scoresheet!$J$2:$J$501,"No")&gt;0,"🚩 No one on camera",""))))</f>
        <v/>
      </c>
      <c r="T50" s="17"/>
      <c r="U50" s="17"/>
      <c r="V50" s="40"/>
      <c r="W50" s="17"/>
      <c r="X50" s="45" t="str">
        <f aca="false">IF(OR(E50="",V50="",OR(U50="Contract signed + paid",U50="Closed – No response",U50="Lost"),N(W50)&gt;=Settings!$S$3),"",V50+Settings!$S$2)</f>
        <v/>
      </c>
      <c r="Y50" s="40"/>
      <c r="Z50" s="41"/>
      <c r="AA50" s="17"/>
      <c r="AB50" s="17"/>
      <c r="AC50" s="17"/>
      <c r="AD50" s="46" t="str">
        <f aca="true">IF(OR(E50="",B50=""),"",INT(TODAY()-B50))</f>
        <v/>
      </c>
      <c r="AE50" s="44" t="str">
        <f aca="true">IF(E50="","",IF(OR(COUNTIFS(Clients!$C$2:$C$501,E50,Clients!$S$2:$S$501,"Paid")&gt;0,AND(I50&lt;&gt;"",COUNTIFS(Clients!$E$2:$E$501,I50,Clients!$S$2:$S$501,"Paid")&gt;0)),"⚠ Refunded before – no free video",IF(OR(U50="Contract signed + paid",U50="Closed – No response",U50="Lost"),"",IF(U50="","Set a stage",IF(AND(U50="Proposal sent",SUMIFS(Scoresheet!$N$2:$N$501,Scoresheet!$C$2:$C$501,A50,Scoresheet!$U$2:$U$501,1)&lt;6),"Score this lead – fill the call scoresheet",IF(N(W50)&gt;=Settings!$S$3,"Close – 4 follow-ups sent",IF(X50="",IF(V50="","Make first contact",""),IF(TODAY()&gt;X50,"OVERDUE follow-up",IF(TODAY()=X50,"Follow up today","")))))))))</f>
        <v/>
      </c>
    </row>
    <row r="51" customFormat="false" ht="15" hidden="false" customHeight="false" outlineLevel="0" collapsed="false">
      <c r="A51" s="17"/>
      <c r="B51" s="40"/>
      <c r="C51" s="41"/>
      <c r="D51" s="17"/>
      <c r="E51" s="17"/>
      <c r="F51" s="17"/>
      <c r="G51" s="17"/>
      <c r="H51" s="17"/>
      <c r="I51" s="42"/>
      <c r="J51" s="17"/>
      <c r="K51" s="17"/>
      <c r="L51" s="17"/>
      <c r="M51" s="17"/>
      <c r="N51" s="40"/>
      <c r="O51" s="41"/>
      <c r="P51" s="43" t="str">
        <f aca="false">IF(OR(B51="",N51=""),"",ROUND(((N51+N(O51))-(B51+N(C51)))*24,1))</f>
        <v/>
      </c>
      <c r="Q51" s="44" t="str">
        <f aca="false">IF(OR(E51="",A51="",COUNTIFS(Scoresheet!$C$2:$C$501,A51,Scoresheet!$U$2:$U$501,1)=0),"",SUMIFS(Scoresheet!$O$2:$O$501,Scoresheet!$C$2:$C$501,A51,Scoresheet!$U$2:$U$501,1))</f>
        <v/>
      </c>
      <c r="R51" s="44" t="str">
        <f aca="false">IF(E51="","",IF(OR(A51="",COUNTIFS(Scoresheet!$C$2:$C$501,A51,Scoresheet!$U$2:$U$501,1)=0),"No scoresheet yet",IF(SUMIFS(Scoresheet!$N$2:$N$501,Scoresheet!$C$2:$C$501,A51,Scoresheet!$U$2:$U$501,1)&lt;6,"Partly scored ("&amp;SUMIFS(Scoresheet!$N$2:$N$501,Scoresheet!$C$2:$C$501,A51,Scoresheet!$U$2:$U$501,1)&amp;"/6)",IF(Q51&gt;=Settings!$S$8,"Hot",IF(Q51&gt;=Settings!$S$9,"Warm","Cold")))))</f>
        <v/>
      </c>
      <c r="S51" s="44" t="str">
        <f aca="false">IF(OR(E51="",A51=""),"",IF(AND(COUNTIFS(Scoresheet!$C$2:$C$501,A51,Scoresheet!$U$2:$U$501,1,Scoresheet!$H$2:$H$501,"No")&gt;0,COUNTIFS(Scoresheet!$C$2:$C$501,A51,Scoresheet!$U$2:$U$501,1,Scoresheet!$J$2:$J$501,"No")&gt;0),"🚩 Budget  ·  🚩 No one on camera",IF(COUNTIFS(Scoresheet!$C$2:$C$501,A51,Scoresheet!$U$2:$U$501,1,Scoresheet!$H$2:$H$501,"No")&gt;0,"🚩 Budget under AED 5k",IF(COUNTIFS(Scoresheet!$C$2:$C$501,A51,Scoresheet!$U$2:$U$501,1,Scoresheet!$J$2:$J$501,"No")&gt;0,"🚩 No one on camera",""))))</f>
        <v/>
      </c>
      <c r="T51" s="17"/>
      <c r="U51" s="17"/>
      <c r="V51" s="40"/>
      <c r="W51" s="17"/>
      <c r="X51" s="45" t="str">
        <f aca="false">IF(OR(E51="",V51="",OR(U51="Contract signed + paid",U51="Closed – No response",U51="Lost"),N(W51)&gt;=Settings!$S$3),"",V51+Settings!$S$2)</f>
        <v/>
      </c>
      <c r="Y51" s="40"/>
      <c r="Z51" s="41"/>
      <c r="AA51" s="17"/>
      <c r="AB51" s="17"/>
      <c r="AC51" s="17"/>
      <c r="AD51" s="46" t="str">
        <f aca="true">IF(OR(E51="",B51=""),"",INT(TODAY()-B51))</f>
        <v/>
      </c>
      <c r="AE51" s="44" t="str">
        <f aca="true">IF(E51="","",IF(OR(COUNTIFS(Clients!$C$2:$C$501,E51,Clients!$S$2:$S$501,"Paid")&gt;0,AND(I51&lt;&gt;"",COUNTIFS(Clients!$E$2:$E$501,I51,Clients!$S$2:$S$501,"Paid")&gt;0)),"⚠ Refunded before – no free video",IF(OR(U51="Contract signed + paid",U51="Closed – No response",U51="Lost"),"",IF(U51="","Set a stage",IF(AND(U51="Proposal sent",SUMIFS(Scoresheet!$N$2:$N$501,Scoresheet!$C$2:$C$501,A51,Scoresheet!$U$2:$U$501,1)&lt;6),"Score this lead – fill the call scoresheet",IF(N(W51)&gt;=Settings!$S$3,"Close – 4 follow-ups sent",IF(X51="",IF(V51="","Make first contact",""),IF(TODAY()&gt;X51,"OVERDUE follow-up",IF(TODAY()=X51,"Follow up today","")))))))))</f>
        <v/>
      </c>
    </row>
    <row r="52" customFormat="false" ht="15" hidden="false" customHeight="false" outlineLevel="0" collapsed="false">
      <c r="A52" s="17"/>
      <c r="B52" s="40"/>
      <c r="C52" s="41"/>
      <c r="D52" s="17"/>
      <c r="E52" s="17"/>
      <c r="F52" s="17"/>
      <c r="G52" s="17"/>
      <c r="H52" s="17"/>
      <c r="I52" s="42"/>
      <c r="J52" s="17"/>
      <c r="K52" s="17"/>
      <c r="L52" s="17"/>
      <c r="M52" s="17"/>
      <c r="N52" s="40"/>
      <c r="O52" s="41"/>
      <c r="P52" s="43" t="str">
        <f aca="false">IF(OR(B52="",N52=""),"",ROUND(((N52+N(O52))-(B52+N(C52)))*24,1))</f>
        <v/>
      </c>
      <c r="Q52" s="44" t="str">
        <f aca="false">IF(OR(E52="",A52="",COUNTIFS(Scoresheet!$C$2:$C$501,A52,Scoresheet!$U$2:$U$501,1)=0),"",SUMIFS(Scoresheet!$O$2:$O$501,Scoresheet!$C$2:$C$501,A52,Scoresheet!$U$2:$U$501,1))</f>
        <v/>
      </c>
      <c r="R52" s="44" t="str">
        <f aca="false">IF(E52="","",IF(OR(A52="",COUNTIFS(Scoresheet!$C$2:$C$501,A52,Scoresheet!$U$2:$U$501,1)=0),"No scoresheet yet",IF(SUMIFS(Scoresheet!$N$2:$N$501,Scoresheet!$C$2:$C$501,A52,Scoresheet!$U$2:$U$501,1)&lt;6,"Partly scored ("&amp;SUMIFS(Scoresheet!$N$2:$N$501,Scoresheet!$C$2:$C$501,A52,Scoresheet!$U$2:$U$501,1)&amp;"/6)",IF(Q52&gt;=Settings!$S$8,"Hot",IF(Q52&gt;=Settings!$S$9,"Warm","Cold")))))</f>
        <v/>
      </c>
      <c r="S52" s="44" t="str">
        <f aca="false">IF(OR(E52="",A52=""),"",IF(AND(COUNTIFS(Scoresheet!$C$2:$C$501,A52,Scoresheet!$U$2:$U$501,1,Scoresheet!$H$2:$H$501,"No")&gt;0,COUNTIFS(Scoresheet!$C$2:$C$501,A52,Scoresheet!$U$2:$U$501,1,Scoresheet!$J$2:$J$501,"No")&gt;0),"🚩 Budget  ·  🚩 No one on camera",IF(COUNTIFS(Scoresheet!$C$2:$C$501,A52,Scoresheet!$U$2:$U$501,1,Scoresheet!$H$2:$H$501,"No")&gt;0,"🚩 Budget under AED 5k",IF(COUNTIFS(Scoresheet!$C$2:$C$501,A52,Scoresheet!$U$2:$U$501,1,Scoresheet!$J$2:$J$501,"No")&gt;0,"🚩 No one on camera",""))))</f>
        <v/>
      </c>
      <c r="T52" s="17"/>
      <c r="U52" s="17"/>
      <c r="V52" s="40"/>
      <c r="W52" s="17"/>
      <c r="X52" s="45" t="str">
        <f aca="false">IF(OR(E52="",V52="",OR(U52="Contract signed + paid",U52="Closed – No response",U52="Lost"),N(W52)&gt;=Settings!$S$3),"",V52+Settings!$S$2)</f>
        <v/>
      </c>
      <c r="Y52" s="40"/>
      <c r="Z52" s="41"/>
      <c r="AA52" s="17"/>
      <c r="AB52" s="17"/>
      <c r="AC52" s="17"/>
      <c r="AD52" s="46" t="str">
        <f aca="true">IF(OR(E52="",B52=""),"",INT(TODAY()-B52))</f>
        <v/>
      </c>
      <c r="AE52" s="44" t="str">
        <f aca="true">IF(E52="","",IF(OR(COUNTIFS(Clients!$C$2:$C$501,E52,Clients!$S$2:$S$501,"Paid")&gt;0,AND(I52&lt;&gt;"",COUNTIFS(Clients!$E$2:$E$501,I52,Clients!$S$2:$S$501,"Paid")&gt;0)),"⚠ Refunded before – no free video",IF(OR(U52="Contract signed + paid",U52="Closed – No response",U52="Lost"),"",IF(U52="","Set a stage",IF(AND(U52="Proposal sent",SUMIFS(Scoresheet!$N$2:$N$501,Scoresheet!$C$2:$C$501,A52,Scoresheet!$U$2:$U$501,1)&lt;6),"Score this lead – fill the call scoresheet",IF(N(W52)&gt;=Settings!$S$3,"Close – 4 follow-ups sent",IF(X52="",IF(V52="","Make first contact",""),IF(TODAY()&gt;X52,"OVERDUE follow-up",IF(TODAY()=X52,"Follow up today","")))))))))</f>
        <v/>
      </c>
    </row>
    <row r="53" customFormat="false" ht="15" hidden="false" customHeight="false" outlineLevel="0" collapsed="false">
      <c r="A53" s="17"/>
      <c r="B53" s="40"/>
      <c r="C53" s="41"/>
      <c r="D53" s="17"/>
      <c r="E53" s="17"/>
      <c r="F53" s="17"/>
      <c r="G53" s="17"/>
      <c r="H53" s="17"/>
      <c r="I53" s="42"/>
      <c r="J53" s="17"/>
      <c r="K53" s="17"/>
      <c r="L53" s="17"/>
      <c r="M53" s="17"/>
      <c r="N53" s="40"/>
      <c r="O53" s="41"/>
      <c r="P53" s="43" t="str">
        <f aca="false">IF(OR(B53="",N53=""),"",ROUND(((N53+N(O53))-(B53+N(C53)))*24,1))</f>
        <v/>
      </c>
      <c r="Q53" s="44" t="str">
        <f aca="false">IF(OR(E53="",A53="",COUNTIFS(Scoresheet!$C$2:$C$501,A53,Scoresheet!$U$2:$U$501,1)=0),"",SUMIFS(Scoresheet!$O$2:$O$501,Scoresheet!$C$2:$C$501,A53,Scoresheet!$U$2:$U$501,1))</f>
        <v/>
      </c>
      <c r="R53" s="44" t="str">
        <f aca="false">IF(E53="","",IF(OR(A53="",COUNTIFS(Scoresheet!$C$2:$C$501,A53,Scoresheet!$U$2:$U$501,1)=0),"No scoresheet yet",IF(SUMIFS(Scoresheet!$N$2:$N$501,Scoresheet!$C$2:$C$501,A53,Scoresheet!$U$2:$U$501,1)&lt;6,"Partly scored ("&amp;SUMIFS(Scoresheet!$N$2:$N$501,Scoresheet!$C$2:$C$501,A53,Scoresheet!$U$2:$U$501,1)&amp;"/6)",IF(Q53&gt;=Settings!$S$8,"Hot",IF(Q53&gt;=Settings!$S$9,"Warm","Cold")))))</f>
        <v/>
      </c>
      <c r="S53" s="44" t="str">
        <f aca="false">IF(OR(E53="",A53=""),"",IF(AND(COUNTIFS(Scoresheet!$C$2:$C$501,A53,Scoresheet!$U$2:$U$501,1,Scoresheet!$H$2:$H$501,"No")&gt;0,COUNTIFS(Scoresheet!$C$2:$C$501,A53,Scoresheet!$U$2:$U$501,1,Scoresheet!$J$2:$J$501,"No")&gt;0),"🚩 Budget  ·  🚩 No one on camera",IF(COUNTIFS(Scoresheet!$C$2:$C$501,A53,Scoresheet!$U$2:$U$501,1,Scoresheet!$H$2:$H$501,"No")&gt;0,"🚩 Budget under AED 5k",IF(COUNTIFS(Scoresheet!$C$2:$C$501,A53,Scoresheet!$U$2:$U$501,1,Scoresheet!$J$2:$J$501,"No")&gt;0,"🚩 No one on camera",""))))</f>
        <v/>
      </c>
      <c r="T53" s="17"/>
      <c r="U53" s="17"/>
      <c r="V53" s="40"/>
      <c r="W53" s="17"/>
      <c r="X53" s="45" t="str">
        <f aca="false">IF(OR(E53="",V53="",OR(U53="Contract signed + paid",U53="Closed – No response",U53="Lost"),N(W53)&gt;=Settings!$S$3),"",V53+Settings!$S$2)</f>
        <v/>
      </c>
      <c r="Y53" s="40"/>
      <c r="Z53" s="41"/>
      <c r="AA53" s="17"/>
      <c r="AB53" s="17"/>
      <c r="AC53" s="17"/>
      <c r="AD53" s="46" t="str">
        <f aca="true">IF(OR(E53="",B53=""),"",INT(TODAY()-B53))</f>
        <v/>
      </c>
      <c r="AE53" s="44" t="str">
        <f aca="true">IF(E53="","",IF(OR(COUNTIFS(Clients!$C$2:$C$501,E53,Clients!$S$2:$S$501,"Paid")&gt;0,AND(I53&lt;&gt;"",COUNTIFS(Clients!$E$2:$E$501,I53,Clients!$S$2:$S$501,"Paid")&gt;0)),"⚠ Refunded before – no free video",IF(OR(U53="Contract signed + paid",U53="Closed – No response",U53="Lost"),"",IF(U53="","Set a stage",IF(AND(U53="Proposal sent",SUMIFS(Scoresheet!$N$2:$N$501,Scoresheet!$C$2:$C$501,A53,Scoresheet!$U$2:$U$501,1)&lt;6),"Score this lead – fill the call scoresheet",IF(N(W53)&gt;=Settings!$S$3,"Close – 4 follow-ups sent",IF(X53="",IF(V53="","Make first contact",""),IF(TODAY()&gt;X53,"OVERDUE follow-up",IF(TODAY()=X53,"Follow up today","")))))))))</f>
        <v/>
      </c>
    </row>
    <row r="54" customFormat="false" ht="15" hidden="false" customHeight="false" outlineLevel="0" collapsed="false">
      <c r="A54" s="17"/>
      <c r="B54" s="40"/>
      <c r="C54" s="41"/>
      <c r="D54" s="17"/>
      <c r="E54" s="17"/>
      <c r="F54" s="17"/>
      <c r="G54" s="17"/>
      <c r="H54" s="17"/>
      <c r="I54" s="42"/>
      <c r="J54" s="17"/>
      <c r="K54" s="17"/>
      <c r="L54" s="17"/>
      <c r="M54" s="17"/>
      <c r="N54" s="40"/>
      <c r="O54" s="41"/>
      <c r="P54" s="43" t="str">
        <f aca="false">IF(OR(B54="",N54=""),"",ROUND(((N54+N(O54))-(B54+N(C54)))*24,1))</f>
        <v/>
      </c>
      <c r="Q54" s="44" t="str">
        <f aca="false">IF(OR(E54="",A54="",COUNTIFS(Scoresheet!$C$2:$C$501,A54,Scoresheet!$U$2:$U$501,1)=0),"",SUMIFS(Scoresheet!$O$2:$O$501,Scoresheet!$C$2:$C$501,A54,Scoresheet!$U$2:$U$501,1))</f>
        <v/>
      </c>
      <c r="R54" s="44" t="str">
        <f aca="false">IF(E54="","",IF(OR(A54="",COUNTIFS(Scoresheet!$C$2:$C$501,A54,Scoresheet!$U$2:$U$501,1)=0),"No scoresheet yet",IF(SUMIFS(Scoresheet!$N$2:$N$501,Scoresheet!$C$2:$C$501,A54,Scoresheet!$U$2:$U$501,1)&lt;6,"Partly scored ("&amp;SUMIFS(Scoresheet!$N$2:$N$501,Scoresheet!$C$2:$C$501,A54,Scoresheet!$U$2:$U$501,1)&amp;"/6)",IF(Q54&gt;=Settings!$S$8,"Hot",IF(Q54&gt;=Settings!$S$9,"Warm","Cold")))))</f>
        <v/>
      </c>
      <c r="S54" s="44" t="str">
        <f aca="false">IF(OR(E54="",A54=""),"",IF(AND(COUNTIFS(Scoresheet!$C$2:$C$501,A54,Scoresheet!$U$2:$U$501,1,Scoresheet!$H$2:$H$501,"No")&gt;0,COUNTIFS(Scoresheet!$C$2:$C$501,A54,Scoresheet!$U$2:$U$501,1,Scoresheet!$J$2:$J$501,"No")&gt;0),"🚩 Budget  ·  🚩 No one on camera",IF(COUNTIFS(Scoresheet!$C$2:$C$501,A54,Scoresheet!$U$2:$U$501,1,Scoresheet!$H$2:$H$501,"No")&gt;0,"🚩 Budget under AED 5k",IF(COUNTIFS(Scoresheet!$C$2:$C$501,A54,Scoresheet!$U$2:$U$501,1,Scoresheet!$J$2:$J$501,"No")&gt;0,"🚩 No one on camera",""))))</f>
        <v/>
      </c>
      <c r="T54" s="17"/>
      <c r="U54" s="17"/>
      <c r="V54" s="40"/>
      <c r="W54" s="17"/>
      <c r="X54" s="45" t="str">
        <f aca="false">IF(OR(E54="",V54="",OR(U54="Contract signed + paid",U54="Closed – No response",U54="Lost"),N(W54)&gt;=Settings!$S$3),"",V54+Settings!$S$2)</f>
        <v/>
      </c>
      <c r="Y54" s="40"/>
      <c r="Z54" s="41"/>
      <c r="AA54" s="17"/>
      <c r="AB54" s="17"/>
      <c r="AC54" s="17"/>
      <c r="AD54" s="46" t="str">
        <f aca="true">IF(OR(E54="",B54=""),"",INT(TODAY()-B54))</f>
        <v/>
      </c>
      <c r="AE54" s="44" t="str">
        <f aca="true">IF(E54="","",IF(OR(COUNTIFS(Clients!$C$2:$C$501,E54,Clients!$S$2:$S$501,"Paid")&gt;0,AND(I54&lt;&gt;"",COUNTIFS(Clients!$E$2:$E$501,I54,Clients!$S$2:$S$501,"Paid")&gt;0)),"⚠ Refunded before – no free video",IF(OR(U54="Contract signed + paid",U54="Closed – No response",U54="Lost"),"",IF(U54="","Set a stage",IF(AND(U54="Proposal sent",SUMIFS(Scoresheet!$N$2:$N$501,Scoresheet!$C$2:$C$501,A54,Scoresheet!$U$2:$U$501,1)&lt;6),"Score this lead – fill the call scoresheet",IF(N(W54)&gt;=Settings!$S$3,"Close – 4 follow-ups sent",IF(X54="",IF(V54="","Make first contact",""),IF(TODAY()&gt;X54,"OVERDUE follow-up",IF(TODAY()=X54,"Follow up today","")))))))))</f>
        <v/>
      </c>
    </row>
    <row r="55" customFormat="false" ht="15" hidden="false" customHeight="false" outlineLevel="0" collapsed="false">
      <c r="A55" s="17"/>
      <c r="B55" s="40"/>
      <c r="C55" s="41"/>
      <c r="D55" s="17"/>
      <c r="E55" s="17"/>
      <c r="F55" s="17"/>
      <c r="G55" s="17"/>
      <c r="H55" s="17"/>
      <c r="I55" s="42"/>
      <c r="J55" s="17"/>
      <c r="K55" s="17"/>
      <c r="L55" s="17"/>
      <c r="M55" s="17"/>
      <c r="N55" s="40"/>
      <c r="O55" s="41"/>
      <c r="P55" s="43" t="str">
        <f aca="false">IF(OR(B55="",N55=""),"",ROUND(((N55+N(O55))-(B55+N(C55)))*24,1))</f>
        <v/>
      </c>
      <c r="Q55" s="44" t="str">
        <f aca="false">IF(OR(E55="",A55="",COUNTIFS(Scoresheet!$C$2:$C$501,A55,Scoresheet!$U$2:$U$501,1)=0),"",SUMIFS(Scoresheet!$O$2:$O$501,Scoresheet!$C$2:$C$501,A55,Scoresheet!$U$2:$U$501,1))</f>
        <v/>
      </c>
      <c r="R55" s="44" t="str">
        <f aca="false">IF(E55="","",IF(OR(A55="",COUNTIFS(Scoresheet!$C$2:$C$501,A55,Scoresheet!$U$2:$U$501,1)=0),"No scoresheet yet",IF(SUMIFS(Scoresheet!$N$2:$N$501,Scoresheet!$C$2:$C$501,A55,Scoresheet!$U$2:$U$501,1)&lt;6,"Partly scored ("&amp;SUMIFS(Scoresheet!$N$2:$N$501,Scoresheet!$C$2:$C$501,A55,Scoresheet!$U$2:$U$501,1)&amp;"/6)",IF(Q55&gt;=Settings!$S$8,"Hot",IF(Q55&gt;=Settings!$S$9,"Warm","Cold")))))</f>
        <v/>
      </c>
      <c r="S55" s="44" t="str">
        <f aca="false">IF(OR(E55="",A55=""),"",IF(AND(COUNTIFS(Scoresheet!$C$2:$C$501,A55,Scoresheet!$U$2:$U$501,1,Scoresheet!$H$2:$H$501,"No")&gt;0,COUNTIFS(Scoresheet!$C$2:$C$501,A55,Scoresheet!$U$2:$U$501,1,Scoresheet!$J$2:$J$501,"No")&gt;0),"🚩 Budget  ·  🚩 No one on camera",IF(COUNTIFS(Scoresheet!$C$2:$C$501,A55,Scoresheet!$U$2:$U$501,1,Scoresheet!$H$2:$H$501,"No")&gt;0,"🚩 Budget under AED 5k",IF(COUNTIFS(Scoresheet!$C$2:$C$501,A55,Scoresheet!$U$2:$U$501,1,Scoresheet!$J$2:$J$501,"No")&gt;0,"🚩 No one on camera",""))))</f>
        <v/>
      </c>
      <c r="T55" s="17"/>
      <c r="U55" s="17"/>
      <c r="V55" s="40"/>
      <c r="W55" s="17"/>
      <c r="X55" s="45" t="str">
        <f aca="false">IF(OR(E55="",V55="",OR(U55="Contract signed + paid",U55="Closed – No response",U55="Lost"),N(W55)&gt;=Settings!$S$3),"",V55+Settings!$S$2)</f>
        <v/>
      </c>
      <c r="Y55" s="40"/>
      <c r="Z55" s="41"/>
      <c r="AA55" s="17"/>
      <c r="AB55" s="17"/>
      <c r="AC55" s="17"/>
      <c r="AD55" s="46" t="str">
        <f aca="true">IF(OR(E55="",B55=""),"",INT(TODAY()-B55))</f>
        <v/>
      </c>
      <c r="AE55" s="44" t="str">
        <f aca="true">IF(E55="","",IF(OR(COUNTIFS(Clients!$C$2:$C$501,E55,Clients!$S$2:$S$501,"Paid")&gt;0,AND(I55&lt;&gt;"",COUNTIFS(Clients!$E$2:$E$501,I55,Clients!$S$2:$S$501,"Paid")&gt;0)),"⚠ Refunded before – no free video",IF(OR(U55="Contract signed + paid",U55="Closed – No response",U55="Lost"),"",IF(U55="","Set a stage",IF(AND(U55="Proposal sent",SUMIFS(Scoresheet!$N$2:$N$501,Scoresheet!$C$2:$C$501,A55,Scoresheet!$U$2:$U$501,1)&lt;6),"Score this lead – fill the call scoresheet",IF(N(W55)&gt;=Settings!$S$3,"Close – 4 follow-ups sent",IF(X55="",IF(V55="","Make first contact",""),IF(TODAY()&gt;X55,"OVERDUE follow-up",IF(TODAY()=X55,"Follow up today","")))))))))</f>
        <v/>
      </c>
    </row>
    <row r="56" customFormat="false" ht="15" hidden="false" customHeight="false" outlineLevel="0" collapsed="false">
      <c r="A56" s="17"/>
      <c r="B56" s="40"/>
      <c r="C56" s="41"/>
      <c r="D56" s="17"/>
      <c r="E56" s="17"/>
      <c r="F56" s="17"/>
      <c r="G56" s="17"/>
      <c r="H56" s="17"/>
      <c r="I56" s="42"/>
      <c r="J56" s="17"/>
      <c r="K56" s="17"/>
      <c r="L56" s="17"/>
      <c r="M56" s="17"/>
      <c r="N56" s="40"/>
      <c r="O56" s="41"/>
      <c r="P56" s="43" t="str">
        <f aca="false">IF(OR(B56="",N56=""),"",ROUND(((N56+N(O56))-(B56+N(C56)))*24,1))</f>
        <v/>
      </c>
      <c r="Q56" s="44" t="str">
        <f aca="false">IF(OR(E56="",A56="",COUNTIFS(Scoresheet!$C$2:$C$501,A56,Scoresheet!$U$2:$U$501,1)=0),"",SUMIFS(Scoresheet!$O$2:$O$501,Scoresheet!$C$2:$C$501,A56,Scoresheet!$U$2:$U$501,1))</f>
        <v/>
      </c>
      <c r="R56" s="44" t="str">
        <f aca="false">IF(E56="","",IF(OR(A56="",COUNTIFS(Scoresheet!$C$2:$C$501,A56,Scoresheet!$U$2:$U$501,1)=0),"No scoresheet yet",IF(SUMIFS(Scoresheet!$N$2:$N$501,Scoresheet!$C$2:$C$501,A56,Scoresheet!$U$2:$U$501,1)&lt;6,"Partly scored ("&amp;SUMIFS(Scoresheet!$N$2:$N$501,Scoresheet!$C$2:$C$501,A56,Scoresheet!$U$2:$U$501,1)&amp;"/6)",IF(Q56&gt;=Settings!$S$8,"Hot",IF(Q56&gt;=Settings!$S$9,"Warm","Cold")))))</f>
        <v/>
      </c>
      <c r="S56" s="44" t="str">
        <f aca="false">IF(OR(E56="",A56=""),"",IF(AND(COUNTIFS(Scoresheet!$C$2:$C$501,A56,Scoresheet!$U$2:$U$501,1,Scoresheet!$H$2:$H$501,"No")&gt;0,COUNTIFS(Scoresheet!$C$2:$C$501,A56,Scoresheet!$U$2:$U$501,1,Scoresheet!$J$2:$J$501,"No")&gt;0),"🚩 Budget  ·  🚩 No one on camera",IF(COUNTIFS(Scoresheet!$C$2:$C$501,A56,Scoresheet!$U$2:$U$501,1,Scoresheet!$H$2:$H$501,"No")&gt;0,"🚩 Budget under AED 5k",IF(COUNTIFS(Scoresheet!$C$2:$C$501,A56,Scoresheet!$U$2:$U$501,1,Scoresheet!$J$2:$J$501,"No")&gt;0,"🚩 No one on camera",""))))</f>
        <v/>
      </c>
      <c r="T56" s="17"/>
      <c r="U56" s="17"/>
      <c r="V56" s="40"/>
      <c r="W56" s="17"/>
      <c r="X56" s="45" t="str">
        <f aca="false">IF(OR(E56="",V56="",OR(U56="Contract signed + paid",U56="Closed – No response",U56="Lost"),N(W56)&gt;=Settings!$S$3),"",V56+Settings!$S$2)</f>
        <v/>
      </c>
      <c r="Y56" s="40"/>
      <c r="Z56" s="41"/>
      <c r="AA56" s="17"/>
      <c r="AB56" s="17"/>
      <c r="AC56" s="17"/>
      <c r="AD56" s="46" t="str">
        <f aca="true">IF(OR(E56="",B56=""),"",INT(TODAY()-B56))</f>
        <v/>
      </c>
      <c r="AE56" s="44" t="str">
        <f aca="true">IF(E56="","",IF(OR(COUNTIFS(Clients!$C$2:$C$501,E56,Clients!$S$2:$S$501,"Paid")&gt;0,AND(I56&lt;&gt;"",COUNTIFS(Clients!$E$2:$E$501,I56,Clients!$S$2:$S$501,"Paid")&gt;0)),"⚠ Refunded before – no free video",IF(OR(U56="Contract signed + paid",U56="Closed – No response",U56="Lost"),"",IF(U56="","Set a stage",IF(AND(U56="Proposal sent",SUMIFS(Scoresheet!$N$2:$N$501,Scoresheet!$C$2:$C$501,A56,Scoresheet!$U$2:$U$501,1)&lt;6),"Score this lead – fill the call scoresheet",IF(N(W56)&gt;=Settings!$S$3,"Close – 4 follow-ups sent",IF(X56="",IF(V56="","Make first contact",""),IF(TODAY()&gt;X56,"OVERDUE follow-up",IF(TODAY()=X56,"Follow up today","")))))))))</f>
        <v/>
      </c>
    </row>
    <row r="57" customFormat="false" ht="15" hidden="false" customHeight="false" outlineLevel="0" collapsed="false">
      <c r="A57" s="17"/>
      <c r="B57" s="40"/>
      <c r="C57" s="41"/>
      <c r="D57" s="17"/>
      <c r="E57" s="17"/>
      <c r="F57" s="17"/>
      <c r="G57" s="17"/>
      <c r="H57" s="17"/>
      <c r="I57" s="42"/>
      <c r="J57" s="17"/>
      <c r="K57" s="17"/>
      <c r="L57" s="17"/>
      <c r="M57" s="17"/>
      <c r="N57" s="40"/>
      <c r="O57" s="41"/>
      <c r="P57" s="43" t="str">
        <f aca="false">IF(OR(B57="",N57=""),"",ROUND(((N57+N(O57))-(B57+N(C57)))*24,1))</f>
        <v/>
      </c>
      <c r="Q57" s="44" t="str">
        <f aca="false">IF(OR(E57="",A57="",COUNTIFS(Scoresheet!$C$2:$C$501,A57,Scoresheet!$U$2:$U$501,1)=0),"",SUMIFS(Scoresheet!$O$2:$O$501,Scoresheet!$C$2:$C$501,A57,Scoresheet!$U$2:$U$501,1))</f>
        <v/>
      </c>
      <c r="R57" s="44" t="str">
        <f aca="false">IF(E57="","",IF(OR(A57="",COUNTIFS(Scoresheet!$C$2:$C$501,A57,Scoresheet!$U$2:$U$501,1)=0),"No scoresheet yet",IF(SUMIFS(Scoresheet!$N$2:$N$501,Scoresheet!$C$2:$C$501,A57,Scoresheet!$U$2:$U$501,1)&lt;6,"Partly scored ("&amp;SUMIFS(Scoresheet!$N$2:$N$501,Scoresheet!$C$2:$C$501,A57,Scoresheet!$U$2:$U$501,1)&amp;"/6)",IF(Q57&gt;=Settings!$S$8,"Hot",IF(Q57&gt;=Settings!$S$9,"Warm","Cold")))))</f>
        <v/>
      </c>
      <c r="S57" s="44" t="str">
        <f aca="false">IF(OR(E57="",A57=""),"",IF(AND(COUNTIFS(Scoresheet!$C$2:$C$501,A57,Scoresheet!$U$2:$U$501,1,Scoresheet!$H$2:$H$501,"No")&gt;0,COUNTIFS(Scoresheet!$C$2:$C$501,A57,Scoresheet!$U$2:$U$501,1,Scoresheet!$J$2:$J$501,"No")&gt;0),"🚩 Budget  ·  🚩 No one on camera",IF(COUNTIFS(Scoresheet!$C$2:$C$501,A57,Scoresheet!$U$2:$U$501,1,Scoresheet!$H$2:$H$501,"No")&gt;0,"🚩 Budget under AED 5k",IF(COUNTIFS(Scoresheet!$C$2:$C$501,A57,Scoresheet!$U$2:$U$501,1,Scoresheet!$J$2:$J$501,"No")&gt;0,"🚩 No one on camera",""))))</f>
        <v/>
      </c>
      <c r="T57" s="17"/>
      <c r="U57" s="17"/>
      <c r="V57" s="40"/>
      <c r="W57" s="17"/>
      <c r="X57" s="45" t="str">
        <f aca="false">IF(OR(E57="",V57="",OR(U57="Contract signed + paid",U57="Closed – No response",U57="Lost"),N(W57)&gt;=Settings!$S$3),"",V57+Settings!$S$2)</f>
        <v/>
      </c>
      <c r="Y57" s="40"/>
      <c r="Z57" s="41"/>
      <c r="AA57" s="17"/>
      <c r="AB57" s="17"/>
      <c r="AC57" s="17"/>
      <c r="AD57" s="46" t="str">
        <f aca="true">IF(OR(E57="",B57=""),"",INT(TODAY()-B57))</f>
        <v/>
      </c>
      <c r="AE57" s="44" t="str">
        <f aca="true">IF(E57="","",IF(OR(COUNTIFS(Clients!$C$2:$C$501,E57,Clients!$S$2:$S$501,"Paid")&gt;0,AND(I57&lt;&gt;"",COUNTIFS(Clients!$E$2:$E$501,I57,Clients!$S$2:$S$501,"Paid")&gt;0)),"⚠ Refunded before – no free video",IF(OR(U57="Contract signed + paid",U57="Closed – No response",U57="Lost"),"",IF(U57="","Set a stage",IF(AND(U57="Proposal sent",SUMIFS(Scoresheet!$N$2:$N$501,Scoresheet!$C$2:$C$501,A57,Scoresheet!$U$2:$U$501,1)&lt;6),"Score this lead – fill the call scoresheet",IF(N(W57)&gt;=Settings!$S$3,"Close – 4 follow-ups sent",IF(X57="",IF(V57="","Make first contact",""),IF(TODAY()&gt;X57,"OVERDUE follow-up",IF(TODAY()=X57,"Follow up today","")))))))))</f>
        <v/>
      </c>
    </row>
    <row r="58" customFormat="false" ht="15" hidden="false" customHeight="false" outlineLevel="0" collapsed="false">
      <c r="A58" s="17"/>
      <c r="B58" s="40"/>
      <c r="C58" s="41"/>
      <c r="D58" s="17"/>
      <c r="E58" s="17"/>
      <c r="F58" s="17"/>
      <c r="G58" s="17"/>
      <c r="H58" s="17"/>
      <c r="I58" s="42"/>
      <c r="J58" s="17"/>
      <c r="K58" s="17"/>
      <c r="L58" s="17"/>
      <c r="M58" s="17"/>
      <c r="N58" s="40"/>
      <c r="O58" s="41"/>
      <c r="P58" s="43" t="str">
        <f aca="false">IF(OR(B58="",N58=""),"",ROUND(((N58+N(O58))-(B58+N(C58)))*24,1))</f>
        <v/>
      </c>
      <c r="Q58" s="44" t="str">
        <f aca="false">IF(OR(E58="",A58="",COUNTIFS(Scoresheet!$C$2:$C$501,A58,Scoresheet!$U$2:$U$501,1)=0),"",SUMIFS(Scoresheet!$O$2:$O$501,Scoresheet!$C$2:$C$501,A58,Scoresheet!$U$2:$U$501,1))</f>
        <v/>
      </c>
      <c r="R58" s="44" t="str">
        <f aca="false">IF(E58="","",IF(OR(A58="",COUNTIFS(Scoresheet!$C$2:$C$501,A58,Scoresheet!$U$2:$U$501,1)=0),"No scoresheet yet",IF(SUMIFS(Scoresheet!$N$2:$N$501,Scoresheet!$C$2:$C$501,A58,Scoresheet!$U$2:$U$501,1)&lt;6,"Partly scored ("&amp;SUMIFS(Scoresheet!$N$2:$N$501,Scoresheet!$C$2:$C$501,A58,Scoresheet!$U$2:$U$501,1)&amp;"/6)",IF(Q58&gt;=Settings!$S$8,"Hot",IF(Q58&gt;=Settings!$S$9,"Warm","Cold")))))</f>
        <v/>
      </c>
      <c r="S58" s="44" t="str">
        <f aca="false">IF(OR(E58="",A58=""),"",IF(AND(COUNTIFS(Scoresheet!$C$2:$C$501,A58,Scoresheet!$U$2:$U$501,1,Scoresheet!$H$2:$H$501,"No")&gt;0,COUNTIFS(Scoresheet!$C$2:$C$501,A58,Scoresheet!$U$2:$U$501,1,Scoresheet!$J$2:$J$501,"No")&gt;0),"🚩 Budget  ·  🚩 No one on camera",IF(COUNTIFS(Scoresheet!$C$2:$C$501,A58,Scoresheet!$U$2:$U$501,1,Scoresheet!$H$2:$H$501,"No")&gt;0,"🚩 Budget under AED 5k",IF(COUNTIFS(Scoresheet!$C$2:$C$501,A58,Scoresheet!$U$2:$U$501,1,Scoresheet!$J$2:$J$501,"No")&gt;0,"🚩 No one on camera",""))))</f>
        <v/>
      </c>
      <c r="T58" s="17"/>
      <c r="U58" s="17"/>
      <c r="V58" s="40"/>
      <c r="W58" s="17"/>
      <c r="X58" s="45" t="str">
        <f aca="false">IF(OR(E58="",V58="",OR(U58="Contract signed + paid",U58="Closed – No response",U58="Lost"),N(W58)&gt;=Settings!$S$3),"",V58+Settings!$S$2)</f>
        <v/>
      </c>
      <c r="Y58" s="40"/>
      <c r="Z58" s="41"/>
      <c r="AA58" s="17"/>
      <c r="AB58" s="17"/>
      <c r="AC58" s="17"/>
      <c r="AD58" s="46" t="str">
        <f aca="true">IF(OR(E58="",B58=""),"",INT(TODAY()-B58))</f>
        <v/>
      </c>
      <c r="AE58" s="44" t="str">
        <f aca="true">IF(E58="","",IF(OR(COUNTIFS(Clients!$C$2:$C$501,E58,Clients!$S$2:$S$501,"Paid")&gt;0,AND(I58&lt;&gt;"",COUNTIFS(Clients!$E$2:$E$501,I58,Clients!$S$2:$S$501,"Paid")&gt;0)),"⚠ Refunded before – no free video",IF(OR(U58="Contract signed + paid",U58="Closed – No response",U58="Lost"),"",IF(U58="","Set a stage",IF(AND(U58="Proposal sent",SUMIFS(Scoresheet!$N$2:$N$501,Scoresheet!$C$2:$C$501,A58,Scoresheet!$U$2:$U$501,1)&lt;6),"Score this lead – fill the call scoresheet",IF(N(W58)&gt;=Settings!$S$3,"Close – 4 follow-ups sent",IF(X58="",IF(V58="","Make first contact",""),IF(TODAY()&gt;X58,"OVERDUE follow-up",IF(TODAY()=X58,"Follow up today","")))))))))</f>
        <v/>
      </c>
    </row>
    <row r="59" customFormat="false" ht="15" hidden="false" customHeight="false" outlineLevel="0" collapsed="false">
      <c r="A59" s="17"/>
      <c r="B59" s="40"/>
      <c r="C59" s="41"/>
      <c r="D59" s="17"/>
      <c r="E59" s="17"/>
      <c r="F59" s="17"/>
      <c r="G59" s="17"/>
      <c r="H59" s="17"/>
      <c r="I59" s="42"/>
      <c r="J59" s="17"/>
      <c r="K59" s="17"/>
      <c r="L59" s="17"/>
      <c r="M59" s="17"/>
      <c r="N59" s="40"/>
      <c r="O59" s="41"/>
      <c r="P59" s="43" t="str">
        <f aca="false">IF(OR(B59="",N59=""),"",ROUND(((N59+N(O59))-(B59+N(C59)))*24,1))</f>
        <v/>
      </c>
      <c r="Q59" s="44" t="str">
        <f aca="false">IF(OR(E59="",A59="",COUNTIFS(Scoresheet!$C$2:$C$501,A59,Scoresheet!$U$2:$U$501,1)=0),"",SUMIFS(Scoresheet!$O$2:$O$501,Scoresheet!$C$2:$C$501,A59,Scoresheet!$U$2:$U$501,1))</f>
        <v/>
      </c>
      <c r="R59" s="44" t="str">
        <f aca="false">IF(E59="","",IF(OR(A59="",COUNTIFS(Scoresheet!$C$2:$C$501,A59,Scoresheet!$U$2:$U$501,1)=0),"No scoresheet yet",IF(SUMIFS(Scoresheet!$N$2:$N$501,Scoresheet!$C$2:$C$501,A59,Scoresheet!$U$2:$U$501,1)&lt;6,"Partly scored ("&amp;SUMIFS(Scoresheet!$N$2:$N$501,Scoresheet!$C$2:$C$501,A59,Scoresheet!$U$2:$U$501,1)&amp;"/6)",IF(Q59&gt;=Settings!$S$8,"Hot",IF(Q59&gt;=Settings!$S$9,"Warm","Cold")))))</f>
        <v/>
      </c>
      <c r="S59" s="44" t="str">
        <f aca="false">IF(OR(E59="",A59=""),"",IF(AND(COUNTIFS(Scoresheet!$C$2:$C$501,A59,Scoresheet!$U$2:$U$501,1,Scoresheet!$H$2:$H$501,"No")&gt;0,COUNTIFS(Scoresheet!$C$2:$C$501,A59,Scoresheet!$U$2:$U$501,1,Scoresheet!$J$2:$J$501,"No")&gt;0),"🚩 Budget  ·  🚩 No one on camera",IF(COUNTIFS(Scoresheet!$C$2:$C$501,A59,Scoresheet!$U$2:$U$501,1,Scoresheet!$H$2:$H$501,"No")&gt;0,"🚩 Budget under AED 5k",IF(COUNTIFS(Scoresheet!$C$2:$C$501,A59,Scoresheet!$U$2:$U$501,1,Scoresheet!$J$2:$J$501,"No")&gt;0,"🚩 No one on camera",""))))</f>
        <v/>
      </c>
      <c r="T59" s="17"/>
      <c r="U59" s="17"/>
      <c r="V59" s="40"/>
      <c r="W59" s="17"/>
      <c r="X59" s="45" t="str">
        <f aca="false">IF(OR(E59="",V59="",OR(U59="Contract signed + paid",U59="Closed – No response",U59="Lost"),N(W59)&gt;=Settings!$S$3),"",V59+Settings!$S$2)</f>
        <v/>
      </c>
      <c r="Y59" s="40"/>
      <c r="Z59" s="41"/>
      <c r="AA59" s="17"/>
      <c r="AB59" s="17"/>
      <c r="AC59" s="17"/>
      <c r="AD59" s="46" t="str">
        <f aca="true">IF(OR(E59="",B59=""),"",INT(TODAY()-B59))</f>
        <v/>
      </c>
      <c r="AE59" s="44" t="str">
        <f aca="true">IF(E59="","",IF(OR(COUNTIFS(Clients!$C$2:$C$501,E59,Clients!$S$2:$S$501,"Paid")&gt;0,AND(I59&lt;&gt;"",COUNTIFS(Clients!$E$2:$E$501,I59,Clients!$S$2:$S$501,"Paid")&gt;0)),"⚠ Refunded before – no free video",IF(OR(U59="Contract signed + paid",U59="Closed – No response",U59="Lost"),"",IF(U59="","Set a stage",IF(AND(U59="Proposal sent",SUMIFS(Scoresheet!$N$2:$N$501,Scoresheet!$C$2:$C$501,A59,Scoresheet!$U$2:$U$501,1)&lt;6),"Score this lead – fill the call scoresheet",IF(N(W59)&gt;=Settings!$S$3,"Close – 4 follow-ups sent",IF(X59="",IF(V59="","Make first contact",""),IF(TODAY()&gt;X59,"OVERDUE follow-up",IF(TODAY()=X59,"Follow up today","")))))))))</f>
        <v/>
      </c>
    </row>
    <row r="60" customFormat="false" ht="15" hidden="false" customHeight="false" outlineLevel="0" collapsed="false">
      <c r="A60" s="17"/>
      <c r="B60" s="40"/>
      <c r="C60" s="41"/>
      <c r="D60" s="17"/>
      <c r="E60" s="17"/>
      <c r="F60" s="17"/>
      <c r="G60" s="17"/>
      <c r="H60" s="17"/>
      <c r="I60" s="42"/>
      <c r="J60" s="17"/>
      <c r="K60" s="17"/>
      <c r="L60" s="17"/>
      <c r="M60" s="17"/>
      <c r="N60" s="40"/>
      <c r="O60" s="41"/>
      <c r="P60" s="43" t="str">
        <f aca="false">IF(OR(B60="",N60=""),"",ROUND(((N60+N(O60))-(B60+N(C60)))*24,1))</f>
        <v/>
      </c>
      <c r="Q60" s="44" t="str">
        <f aca="false">IF(OR(E60="",A60="",COUNTIFS(Scoresheet!$C$2:$C$501,A60,Scoresheet!$U$2:$U$501,1)=0),"",SUMIFS(Scoresheet!$O$2:$O$501,Scoresheet!$C$2:$C$501,A60,Scoresheet!$U$2:$U$501,1))</f>
        <v/>
      </c>
      <c r="R60" s="44" t="str">
        <f aca="false">IF(E60="","",IF(OR(A60="",COUNTIFS(Scoresheet!$C$2:$C$501,A60,Scoresheet!$U$2:$U$501,1)=0),"No scoresheet yet",IF(SUMIFS(Scoresheet!$N$2:$N$501,Scoresheet!$C$2:$C$501,A60,Scoresheet!$U$2:$U$501,1)&lt;6,"Partly scored ("&amp;SUMIFS(Scoresheet!$N$2:$N$501,Scoresheet!$C$2:$C$501,A60,Scoresheet!$U$2:$U$501,1)&amp;"/6)",IF(Q60&gt;=Settings!$S$8,"Hot",IF(Q60&gt;=Settings!$S$9,"Warm","Cold")))))</f>
        <v/>
      </c>
      <c r="S60" s="44" t="str">
        <f aca="false">IF(OR(E60="",A60=""),"",IF(AND(COUNTIFS(Scoresheet!$C$2:$C$501,A60,Scoresheet!$U$2:$U$501,1,Scoresheet!$H$2:$H$501,"No")&gt;0,COUNTIFS(Scoresheet!$C$2:$C$501,A60,Scoresheet!$U$2:$U$501,1,Scoresheet!$J$2:$J$501,"No")&gt;0),"🚩 Budget  ·  🚩 No one on camera",IF(COUNTIFS(Scoresheet!$C$2:$C$501,A60,Scoresheet!$U$2:$U$501,1,Scoresheet!$H$2:$H$501,"No")&gt;0,"🚩 Budget under AED 5k",IF(COUNTIFS(Scoresheet!$C$2:$C$501,A60,Scoresheet!$U$2:$U$501,1,Scoresheet!$J$2:$J$501,"No")&gt;0,"🚩 No one on camera",""))))</f>
        <v/>
      </c>
      <c r="T60" s="17"/>
      <c r="U60" s="17"/>
      <c r="V60" s="40"/>
      <c r="W60" s="17"/>
      <c r="X60" s="45" t="str">
        <f aca="false">IF(OR(E60="",V60="",OR(U60="Contract signed + paid",U60="Closed – No response",U60="Lost"),N(W60)&gt;=Settings!$S$3),"",V60+Settings!$S$2)</f>
        <v/>
      </c>
      <c r="Y60" s="40"/>
      <c r="Z60" s="41"/>
      <c r="AA60" s="17"/>
      <c r="AB60" s="17"/>
      <c r="AC60" s="17"/>
      <c r="AD60" s="46" t="str">
        <f aca="true">IF(OR(E60="",B60=""),"",INT(TODAY()-B60))</f>
        <v/>
      </c>
      <c r="AE60" s="44" t="str">
        <f aca="true">IF(E60="","",IF(OR(COUNTIFS(Clients!$C$2:$C$501,E60,Clients!$S$2:$S$501,"Paid")&gt;0,AND(I60&lt;&gt;"",COUNTIFS(Clients!$E$2:$E$501,I60,Clients!$S$2:$S$501,"Paid")&gt;0)),"⚠ Refunded before – no free video",IF(OR(U60="Contract signed + paid",U60="Closed – No response",U60="Lost"),"",IF(U60="","Set a stage",IF(AND(U60="Proposal sent",SUMIFS(Scoresheet!$N$2:$N$501,Scoresheet!$C$2:$C$501,A60,Scoresheet!$U$2:$U$501,1)&lt;6),"Score this lead – fill the call scoresheet",IF(N(W60)&gt;=Settings!$S$3,"Close – 4 follow-ups sent",IF(X60="",IF(V60="","Make first contact",""),IF(TODAY()&gt;X60,"OVERDUE follow-up",IF(TODAY()=X60,"Follow up today","")))))))))</f>
        <v/>
      </c>
    </row>
    <row r="61" customFormat="false" ht="15" hidden="false" customHeight="false" outlineLevel="0" collapsed="false">
      <c r="A61" s="17"/>
      <c r="B61" s="40"/>
      <c r="C61" s="41"/>
      <c r="D61" s="17"/>
      <c r="E61" s="17"/>
      <c r="F61" s="17"/>
      <c r="G61" s="17"/>
      <c r="H61" s="17"/>
      <c r="I61" s="42"/>
      <c r="J61" s="17"/>
      <c r="K61" s="17"/>
      <c r="L61" s="17"/>
      <c r="M61" s="17"/>
      <c r="N61" s="40"/>
      <c r="O61" s="41"/>
      <c r="P61" s="43" t="str">
        <f aca="false">IF(OR(B61="",N61=""),"",ROUND(((N61+N(O61))-(B61+N(C61)))*24,1))</f>
        <v/>
      </c>
      <c r="Q61" s="44" t="str">
        <f aca="false">IF(OR(E61="",A61="",COUNTIFS(Scoresheet!$C$2:$C$501,A61,Scoresheet!$U$2:$U$501,1)=0),"",SUMIFS(Scoresheet!$O$2:$O$501,Scoresheet!$C$2:$C$501,A61,Scoresheet!$U$2:$U$501,1))</f>
        <v/>
      </c>
      <c r="R61" s="44" t="str">
        <f aca="false">IF(E61="","",IF(OR(A61="",COUNTIFS(Scoresheet!$C$2:$C$501,A61,Scoresheet!$U$2:$U$501,1)=0),"No scoresheet yet",IF(SUMIFS(Scoresheet!$N$2:$N$501,Scoresheet!$C$2:$C$501,A61,Scoresheet!$U$2:$U$501,1)&lt;6,"Partly scored ("&amp;SUMIFS(Scoresheet!$N$2:$N$501,Scoresheet!$C$2:$C$501,A61,Scoresheet!$U$2:$U$501,1)&amp;"/6)",IF(Q61&gt;=Settings!$S$8,"Hot",IF(Q61&gt;=Settings!$S$9,"Warm","Cold")))))</f>
        <v/>
      </c>
      <c r="S61" s="44" t="str">
        <f aca="false">IF(OR(E61="",A61=""),"",IF(AND(COUNTIFS(Scoresheet!$C$2:$C$501,A61,Scoresheet!$U$2:$U$501,1,Scoresheet!$H$2:$H$501,"No")&gt;0,COUNTIFS(Scoresheet!$C$2:$C$501,A61,Scoresheet!$U$2:$U$501,1,Scoresheet!$J$2:$J$501,"No")&gt;0),"🚩 Budget  ·  🚩 No one on camera",IF(COUNTIFS(Scoresheet!$C$2:$C$501,A61,Scoresheet!$U$2:$U$501,1,Scoresheet!$H$2:$H$501,"No")&gt;0,"🚩 Budget under AED 5k",IF(COUNTIFS(Scoresheet!$C$2:$C$501,A61,Scoresheet!$U$2:$U$501,1,Scoresheet!$J$2:$J$501,"No")&gt;0,"🚩 No one on camera",""))))</f>
        <v/>
      </c>
      <c r="T61" s="17"/>
      <c r="U61" s="17"/>
      <c r="V61" s="40"/>
      <c r="W61" s="17"/>
      <c r="X61" s="45" t="str">
        <f aca="false">IF(OR(E61="",V61="",OR(U61="Contract signed + paid",U61="Closed – No response",U61="Lost"),N(W61)&gt;=Settings!$S$3),"",V61+Settings!$S$2)</f>
        <v/>
      </c>
      <c r="Y61" s="40"/>
      <c r="Z61" s="41"/>
      <c r="AA61" s="17"/>
      <c r="AB61" s="17"/>
      <c r="AC61" s="17"/>
      <c r="AD61" s="46" t="str">
        <f aca="true">IF(OR(E61="",B61=""),"",INT(TODAY()-B61))</f>
        <v/>
      </c>
      <c r="AE61" s="44" t="str">
        <f aca="true">IF(E61="","",IF(OR(COUNTIFS(Clients!$C$2:$C$501,E61,Clients!$S$2:$S$501,"Paid")&gt;0,AND(I61&lt;&gt;"",COUNTIFS(Clients!$E$2:$E$501,I61,Clients!$S$2:$S$501,"Paid")&gt;0)),"⚠ Refunded before – no free video",IF(OR(U61="Contract signed + paid",U61="Closed – No response",U61="Lost"),"",IF(U61="","Set a stage",IF(AND(U61="Proposal sent",SUMIFS(Scoresheet!$N$2:$N$501,Scoresheet!$C$2:$C$501,A61,Scoresheet!$U$2:$U$501,1)&lt;6),"Score this lead – fill the call scoresheet",IF(N(W61)&gt;=Settings!$S$3,"Close – 4 follow-ups sent",IF(X61="",IF(V61="","Make first contact",""),IF(TODAY()&gt;X61,"OVERDUE follow-up",IF(TODAY()=X61,"Follow up today","")))))))))</f>
        <v/>
      </c>
    </row>
    <row r="62" customFormat="false" ht="15" hidden="false" customHeight="false" outlineLevel="0" collapsed="false">
      <c r="A62" s="17"/>
      <c r="B62" s="40"/>
      <c r="C62" s="41"/>
      <c r="D62" s="17"/>
      <c r="E62" s="17"/>
      <c r="F62" s="17"/>
      <c r="G62" s="17"/>
      <c r="H62" s="17"/>
      <c r="I62" s="42"/>
      <c r="J62" s="17"/>
      <c r="K62" s="17"/>
      <c r="L62" s="17"/>
      <c r="M62" s="17"/>
      <c r="N62" s="40"/>
      <c r="O62" s="41"/>
      <c r="P62" s="43" t="str">
        <f aca="false">IF(OR(B62="",N62=""),"",ROUND(((N62+N(O62))-(B62+N(C62)))*24,1))</f>
        <v/>
      </c>
      <c r="Q62" s="44" t="str">
        <f aca="false">IF(OR(E62="",A62="",COUNTIFS(Scoresheet!$C$2:$C$501,A62,Scoresheet!$U$2:$U$501,1)=0),"",SUMIFS(Scoresheet!$O$2:$O$501,Scoresheet!$C$2:$C$501,A62,Scoresheet!$U$2:$U$501,1))</f>
        <v/>
      </c>
      <c r="R62" s="44" t="str">
        <f aca="false">IF(E62="","",IF(OR(A62="",COUNTIFS(Scoresheet!$C$2:$C$501,A62,Scoresheet!$U$2:$U$501,1)=0),"No scoresheet yet",IF(SUMIFS(Scoresheet!$N$2:$N$501,Scoresheet!$C$2:$C$501,A62,Scoresheet!$U$2:$U$501,1)&lt;6,"Partly scored ("&amp;SUMIFS(Scoresheet!$N$2:$N$501,Scoresheet!$C$2:$C$501,A62,Scoresheet!$U$2:$U$501,1)&amp;"/6)",IF(Q62&gt;=Settings!$S$8,"Hot",IF(Q62&gt;=Settings!$S$9,"Warm","Cold")))))</f>
        <v/>
      </c>
      <c r="S62" s="44" t="str">
        <f aca="false">IF(OR(E62="",A62=""),"",IF(AND(COUNTIFS(Scoresheet!$C$2:$C$501,A62,Scoresheet!$U$2:$U$501,1,Scoresheet!$H$2:$H$501,"No")&gt;0,COUNTIFS(Scoresheet!$C$2:$C$501,A62,Scoresheet!$U$2:$U$501,1,Scoresheet!$J$2:$J$501,"No")&gt;0),"🚩 Budget  ·  🚩 No one on camera",IF(COUNTIFS(Scoresheet!$C$2:$C$501,A62,Scoresheet!$U$2:$U$501,1,Scoresheet!$H$2:$H$501,"No")&gt;0,"🚩 Budget under AED 5k",IF(COUNTIFS(Scoresheet!$C$2:$C$501,A62,Scoresheet!$U$2:$U$501,1,Scoresheet!$J$2:$J$501,"No")&gt;0,"🚩 No one on camera",""))))</f>
        <v/>
      </c>
      <c r="T62" s="17"/>
      <c r="U62" s="17"/>
      <c r="V62" s="40"/>
      <c r="W62" s="17"/>
      <c r="X62" s="45" t="str">
        <f aca="false">IF(OR(E62="",V62="",OR(U62="Contract signed + paid",U62="Closed – No response",U62="Lost"),N(W62)&gt;=Settings!$S$3),"",V62+Settings!$S$2)</f>
        <v/>
      </c>
      <c r="Y62" s="40"/>
      <c r="Z62" s="41"/>
      <c r="AA62" s="17"/>
      <c r="AB62" s="17"/>
      <c r="AC62" s="17"/>
      <c r="AD62" s="46" t="str">
        <f aca="true">IF(OR(E62="",B62=""),"",INT(TODAY()-B62))</f>
        <v/>
      </c>
      <c r="AE62" s="44" t="str">
        <f aca="true">IF(E62="","",IF(OR(COUNTIFS(Clients!$C$2:$C$501,E62,Clients!$S$2:$S$501,"Paid")&gt;0,AND(I62&lt;&gt;"",COUNTIFS(Clients!$E$2:$E$501,I62,Clients!$S$2:$S$501,"Paid")&gt;0)),"⚠ Refunded before – no free video",IF(OR(U62="Contract signed + paid",U62="Closed – No response",U62="Lost"),"",IF(U62="","Set a stage",IF(AND(U62="Proposal sent",SUMIFS(Scoresheet!$N$2:$N$501,Scoresheet!$C$2:$C$501,A62,Scoresheet!$U$2:$U$501,1)&lt;6),"Score this lead – fill the call scoresheet",IF(N(W62)&gt;=Settings!$S$3,"Close – 4 follow-ups sent",IF(X62="",IF(V62="","Make first contact",""),IF(TODAY()&gt;X62,"OVERDUE follow-up",IF(TODAY()=X62,"Follow up today","")))))))))</f>
        <v/>
      </c>
    </row>
    <row r="63" customFormat="false" ht="15" hidden="false" customHeight="false" outlineLevel="0" collapsed="false">
      <c r="A63" s="17"/>
      <c r="B63" s="40"/>
      <c r="C63" s="41"/>
      <c r="D63" s="17"/>
      <c r="E63" s="17"/>
      <c r="F63" s="17"/>
      <c r="G63" s="17"/>
      <c r="H63" s="17"/>
      <c r="I63" s="42"/>
      <c r="J63" s="17"/>
      <c r="K63" s="17"/>
      <c r="L63" s="17"/>
      <c r="M63" s="17"/>
      <c r="N63" s="40"/>
      <c r="O63" s="41"/>
      <c r="P63" s="43" t="str">
        <f aca="false">IF(OR(B63="",N63=""),"",ROUND(((N63+N(O63))-(B63+N(C63)))*24,1))</f>
        <v/>
      </c>
      <c r="Q63" s="44" t="str">
        <f aca="false">IF(OR(E63="",A63="",COUNTIFS(Scoresheet!$C$2:$C$501,A63,Scoresheet!$U$2:$U$501,1)=0),"",SUMIFS(Scoresheet!$O$2:$O$501,Scoresheet!$C$2:$C$501,A63,Scoresheet!$U$2:$U$501,1))</f>
        <v/>
      </c>
      <c r="R63" s="44" t="str">
        <f aca="false">IF(E63="","",IF(OR(A63="",COUNTIFS(Scoresheet!$C$2:$C$501,A63,Scoresheet!$U$2:$U$501,1)=0),"No scoresheet yet",IF(SUMIFS(Scoresheet!$N$2:$N$501,Scoresheet!$C$2:$C$501,A63,Scoresheet!$U$2:$U$501,1)&lt;6,"Partly scored ("&amp;SUMIFS(Scoresheet!$N$2:$N$501,Scoresheet!$C$2:$C$501,A63,Scoresheet!$U$2:$U$501,1)&amp;"/6)",IF(Q63&gt;=Settings!$S$8,"Hot",IF(Q63&gt;=Settings!$S$9,"Warm","Cold")))))</f>
        <v/>
      </c>
      <c r="S63" s="44" t="str">
        <f aca="false">IF(OR(E63="",A63=""),"",IF(AND(COUNTIFS(Scoresheet!$C$2:$C$501,A63,Scoresheet!$U$2:$U$501,1,Scoresheet!$H$2:$H$501,"No")&gt;0,COUNTIFS(Scoresheet!$C$2:$C$501,A63,Scoresheet!$U$2:$U$501,1,Scoresheet!$J$2:$J$501,"No")&gt;0),"🚩 Budget  ·  🚩 No one on camera",IF(COUNTIFS(Scoresheet!$C$2:$C$501,A63,Scoresheet!$U$2:$U$501,1,Scoresheet!$H$2:$H$501,"No")&gt;0,"🚩 Budget under AED 5k",IF(COUNTIFS(Scoresheet!$C$2:$C$501,A63,Scoresheet!$U$2:$U$501,1,Scoresheet!$J$2:$J$501,"No")&gt;0,"🚩 No one on camera",""))))</f>
        <v/>
      </c>
      <c r="T63" s="17"/>
      <c r="U63" s="17"/>
      <c r="V63" s="40"/>
      <c r="W63" s="17"/>
      <c r="X63" s="45" t="str">
        <f aca="false">IF(OR(E63="",V63="",OR(U63="Contract signed + paid",U63="Closed – No response",U63="Lost"),N(W63)&gt;=Settings!$S$3),"",V63+Settings!$S$2)</f>
        <v/>
      </c>
      <c r="Y63" s="40"/>
      <c r="Z63" s="41"/>
      <c r="AA63" s="17"/>
      <c r="AB63" s="17"/>
      <c r="AC63" s="17"/>
      <c r="AD63" s="46" t="str">
        <f aca="true">IF(OR(E63="",B63=""),"",INT(TODAY()-B63))</f>
        <v/>
      </c>
      <c r="AE63" s="44" t="str">
        <f aca="true">IF(E63="","",IF(OR(COUNTIFS(Clients!$C$2:$C$501,E63,Clients!$S$2:$S$501,"Paid")&gt;0,AND(I63&lt;&gt;"",COUNTIFS(Clients!$E$2:$E$501,I63,Clients!$S$2:$S$501,"Paid")&gt;0)),"⚠ Refunded before – no free video",IF(OR(U63="Contract signed + paid",U63="Closed – No response",U63="Lost"),"",IF(U63="","Set a stage",IF(AND(U63="Proposal sent",SUMIFS(Scoresheet!$N$2:$N$501,Scoresheet!$C$2:$C$501,A63,Scoresheet!$U$2:$U$501,1)&lt;6),"Score this lead – fill the call scoresheet",IF(N(W63)&gt;=Settings!$S$3,"Close – 4 follow-ups sent",IF(X63="",IF(V63="","Make first contact",""),IF(TODAY()&gt;X63,"OVERDUE follow-up",IF(TODAY()=X63,"Follow up today","")))))))))</f>
        <v/>
      </c>
    </row>
    <row r="64" customFormat="false" ht="15" hidden="false" customHeight="false" outlineLevel="0" collapsed="false">
      <c r="A64" s="17"/>
      <c r="B64" s="40"/>
      <c r="C64" s="41"/>
      <c r="D64" s="17"/>
      <c r="E64" s="17"/>
      <c r="F64" s="17"/>
      <c r="G64" s="17"/>
      <c r="H64" s="17"/>
      <c r="I64" s="42"/>
      <c r="J64" s="17"/>
      <c r="K64" s="17"/>
      <c r="L64" s="17"/>
      <c r="M64" s="17"/>
      <c r="N64" s="40"/>
      <c r="O64" s="41"/>
      <c r="P64" s="43" t="str">
        <f aca="false">IF(OR(B64="",N64=""),"",ROUND(((N64+N(O64))-(B64+N(C64)))*24,1))</f>
        <v/>
      </c>
      <c r="Q64" s="44" t="str">
        <f aca="false">IF(OR(E64="",A64="",COUNTIFS(Scoresheet!$C$2:$C$501,A64,Scoresheet!$U$2:$U$501,1)=0),"",SUMIFS(Scoresheet!$O$2:$O$501,Scoresheet!$C$2:$C$501,A64,Scoresheet!$U$2:$U$501,1))</f>
        <v/>
      </c>
      <c r="R64" s="44" t="str">
        <f aca="false">IF(E64="","",IF(OR(A64="",COUNTIFS(Scoresheet!$C$2:$C$501,A64,Scoresheet!$U$2:$U$501,1)=0),"No scoresheet yet",IF(SUMIFS(Scoresheet!$N$2:$N$501,Scoresheet!$C$2:$C$501,A64,Scoresheet!$U$2:$U$501,1)&lt;6,"Partly scored ("&amp;SUMIFS(Scoresheet!$N$2:$N$501,Scoresheet!$C$2:$C$501,A64,Scoresheet!$U$2:$U$501,1)&amp;"/6)",IF(Q64&gt;=Settings!$S$8,"Hot",IF(Q64&gt;=Settings!$S$9,"Warm","Cold")))))</f>
        <v/>
      </c>
      <c r="S64" s="44" t="str">
        <f aca="false">IF(OR(E64="",A64=""),"",IF(AND(COUNTIFS(Scoresheet!$C$2:$C$501,A64,Scoresheet!$U$2:$U$501,1,Scoresheet!$H$2:$H$501,"No")&gt;0,COUNTIFS(Scoresheet!$C$2:$C$501,A64,Scoresheet!$U$2:$U$501,1,Scoresheet!$J$2:$J$501,"No")&gt;0),"🚩 Budget  ·  🚩 No one on camera",IF(COUNTIFS(Scoresheet!$C$2:$C$501,A64,Scoresheet!$U$2:$U$501,1,Scoresheet!$H$2:$H$501,"No")&gt;0,"🚩 Budget under AED 5k",IF(COUNTIFS(Scoresheet!$C$2:$C$501,A64,Scoresheet!$U$2:$U$501,1,Scoresheet!$J$2:$J$501,"No")&gt;0,"🚩 No one on camera",""))))</f>
        <v/>
      </c>
      <c r="T64" s="17"/>
      <c r="U64" s="17"/>
      <c r="V64" s="40"/>
      <c r="W64" s="17"/>
      <c r="X64" s="45" t="str">
        <f aca="false">IF(OR(E64="",V64="",OR(U64="Contract signed + paid",U64="Closed – No response",U64="Lost"),N(W64)&gt;=Settings!$S$3),"",V64+Settings!$S$2)</f>
        <v/>
      </c>
      <c r="Y64" s="40"/>
      <c r="Z64" s="41"/>
      <c r="AA64" s="17"/>
      <c r="AB64" s="17"/>
      <c r="AC64" s="17"/>
      <c r="AD64" s="46" t="str">
        <f aca="true">IF(OR(E64="",B64=""),"",INT(TODAY()-B64))</f>
        <v/>
      </c>
      <c r="AE64" s="44" t="str">
        <f aca="true">IF(E64="","",IF(OR(COUNTIFS(Clients!$C$2:$C$501,E64,Clients!$S$2:$S$501,"Paid")&gt;0,AND(I64&lt;&gt;"",COUNTIFS(Clients!$E$2:$E$501,I64,Clients!$S$2:$S$501,"Paid")&gt;0)),"⚠ Refunded before – no free video",IF(OR(U64="Contract signed + paid",U64="Closed – No response",U64="Lost"),"",IF(U64="","Set a stage",IF(AND(U64="Proposal sent",SUMIFS(Scoresheet!$N$2:$N$501,Scoresheet!$C$2:$C$501,A64,Scoresheet!$U$2:$U$501,1)&lt;6),"Score this lead – fill the call scoresheet",IF(N(W64)&gt;=Settings!$S$3,"Close – 4 follow-ups sent",IF(X64="",IF(V64="","Make first contact",""),IF(TODAY()&gt;X64,"OVERDUE follow-up",IF(TODAY()=X64,"Follow up today","")))))))))</f>
        <v/>
      </c>
    </row>
    <row r="65" customFormat="false" ht="15" hidden="false" customHeight="false" outlineLevel="0" collapsed="false">
      <c r="A65" s="17"/>
      <c r="B65" s="40"/>
      <c r="C65" s="41"/>
      <c r="D65" s="17"/>
      <c r="E65" s="17"/>
      <c r="F65" s="17"/>
      <c r="G65" s="17"/>
      <c r="H65" s="17"/>
      <c r="I65" s="42"/>
      <c r="J65" s="17"/>
      <c r="K65" s="17"/>
      <c r="L65" s="17"/>
      <c r="M65" s="17"/>
      <c r="N65" s="40"/>
      <c r="O65" s="41"/>
      <c r="P65" s="43" t="str">
        <f aca="false">IF(OR(B65="",N65=""),"",ROUND(((N65+N(O65))-(B65+N(C65)))*24,1))</f>
        <v/>
      </c>
      <c r="Q65" s="44" t="str">
        <f aca="false">IF(OR(E65="",A65="",COUNTIFS(Scoresheet!$C$2:$C$501,A65,Scoresheet!$U$2:$U$501,1)=0),"",SUMIFS(Scoresheet!$O$2:$O$501,Scoresheet!$C$2:$C$501,A65,Scoresheet!$U$2:$U$501,1))</f>
        <v/>
      </c>
      <c r="R65" s="44" t="str">
        <f aca="false">IF(E65="","",IF(OR(A65="",COUNTIFS(Scoresheet!$C$2:$C$501,A65,Scoresheet!$U$2:$U$501,1)=0),"No scoresheet yet",IF(SUMIFS(Scoresheet!$N$2:$N$501,Scoresheet!$C$2:$C$501,A65,Scoresheet!$U$2:$U$501,1)&lt;6,"Partly scored ("&amp;SUMIFS(Scoresheet!$N$2:$N$501,Scoresheet!$C$2:$C$501,A65,Scoresheet!$U$2:$U$501,1)&amp;"/6)",IF(Q65&gt;=Settings!$S$8,"Hot",IF(Q65&gt;=Settings!$S$9,"Warm","Cold")))))</f>
        <v/>
      </c>
      <c r="S65" s="44" t="str">
        <f aca="false">IF(OR(E65="",A65=""),"",IF(AND(COUNTIFS(Scoresheet!$C$2:$C$501,A65,Scoresheet!$U$2:$U$501,1,Scoresheet!$H$2:$H$501,"No")&gt;0,COUNTIFS(Scoresheet!$C$2:$C$501,A65,Scoresheet!$U$2:$U$501,1,Scoresheet!$J$2:$J$501,"No")&gt;0),"🚩 Budget  ·  🚩 No one on camera",IF(COUNTIFS(Scoresheet!$C$2:$C$501,A65,Scoresheet!$U$2:$U$501,1,Scoresheet!$H$2:$H$501,"No")&gt;0,"🚩 Budget under AED 5k",IF(COUNTIFS(Scoresheet!$C$2:$C$501,A65,Scoresheet!$U$2:$U$501,1,Scoresheet!$J$2:$J$501,"No")&gt;0,"🚩 No one on camera",""))))</f>
        <v/>
      </c>
      <c r="T65" s="17"/>
      <c r="U65" s="17"/>
      <c r="V65" s="40"/>
      <c r="W65" s="17"/>
      <c r="X65" s="45" t="str">
        <f aca="false">IF(OR(E65="",V65="",OR(U65="Contract signed + paid",U65="Closed – No response",U65="Lost"),N(W65)&gt;=Settings!$S$3),"",V65+Settings!$S$2)</f>
        <v/>
      </c>
      <c r="Y65" s="40"/>
      <c r="Z65" s="41"/>
      <c r="AA65" s="17"/>
      <c r="AB65" s="17"/>
      <c r="AC65" s="17"/>
      <c r="AD65" s="46" t="str">
        <f aca="true">IF(OR(E65="",B65=""),"",INT(TODAY()-B65))</f>
        <v/>
      </c>
      <c r="AE65" s="44" t="str">
        <f aca="true">IF(E65="","",IF(OR(COUNTIFS(Clients!$C$2:$C$501,E65,Clients!$S$2:$S$501,"Paid")&gt;0,AND(I65&lt;&gt;"",COUNTIFS(Clients!$E$2:$E$501,I65,Clients!$S$2:$S$501,"Paid")&gt;0)),"⚠ Refunded before – no free video",IF(OR(U65="Contract signed + paid",U65="Closed – No response",U65="Lost"),"",IF(U65="","Set a stage",IF(AND(U65="Proposal sent",SUMIFS(Scoresheet!$N$2:$N$501,Scoresheet!$C$2:$C$501,A65,Scoresheet!$U$2:$U$501,1)&lt;6),"Score this lead – fill the call scoresheet",IF(N(W65)&gt;=Settings!$S$3,"Close – 4 follow-ups sent",IF(X65="",IF(V65="","Make first contact",""),IF(TODAY()&gt;X65,"OVERDUE follow-up",IF(TODAY()=X65,"Follow up today","")))))))))</f>
        <v/>
      </c>
    </row>
    <row r="66" customFormat="false" ht="15" hidden="false" customHeight="false" outlineLevel="0" collapsed="false">
      <c r="A66" s="17"/>
      <c r="B66" s="40"/>
      <c r="C66" s="41"/>
      <c r="D66" s="17"/>
      <c r="E66" s="17"/>
      <c r="F66" s="17"/>
      <c r="G66" s="17"/>
      <c r="H66" s="17"/>
      <c r="I66" s="42"/>
      <c r="J66" s="17"/>
      <c r="K66" s="17"/>
      <c r="L66" s="17"/>
      <c r="M66" s="17"/>
      <c r="N66" s="40"/>
      <c r="O66" s="41"/>
      <c r="P66" s="43" t="str">
        <f aca="false">IF(OR(B66="",N66=""),"",ROUND(((N66+N(O66))-(B66+N(C66)))*24,1))</f>
        <v/>
      </c>
      <c r="Q66" s="44" t="str">
        <f aca="false">IF(OR(E66="",A66="",COUNTIFS(Scoresheet!$C$2:$C$501,A66,Scoresheet!$U$2:$U$501,1)=0),"",SUMIFS(Scoresheet!$O$2:$O$501,Scoresheet!$C$2:$C$501,A66,Scoresheet!$U$2:$U$501,1))</f>
        <v/>
      </c>
      <c r="R66" s="44" t="str">
        <f aca="false">IF(E66="","",IF(OR(A66="",COUNTIFS(Scoresheet!$C$2:$C$501,A66,Scoresheet!$U$2:$U$501,1)=0),"No scoresheet yet",IF(SUMIFS(Scoresheet!$N$2:$N$501,Scoresheet!$C$2:$C$501,A66,Scoresheet!$U$2:$U$501,1)&lt;6,"Partly scored ("&amp;SUMIFS(Scoresheet!$N$2:$N$501,Scoresheet!$C$2:$C$501,A66,Scoresheet!$U$2:$U$501,1)&amp;"/6)",IF(Q66&gt;=Settings!$S$8,"Hot",IF(Q66&gt;=Settings!$S$9,"Warm","Cold")))))</f>
        <v/>
      </c>
      <c r="S66" s="44" t="str">
        <f aca="false">IF(OR(E66="",A66=""),"",IF(AND(COUNTIFS(Scoresheet!$C$2:$C$501,A66,Scoresheet!$U$2:$U$501,1,Scoresheet!$H$2:$H$501,"No")&gt;0,COUNTIFS(Scoresheet!$C$2:$C$501,A66,Scoresheet!$U$2:$U$501,1,Scoresheet!$J$2:$J$501,"No")&gt;0),"🚩 Budget  ·  🚩 No one on camera",IF(COUNTIFS(Scoresheet!$C$2:$C$501,A66,Scoresheet!$U$2:$U$501,1,Scoresheet!$H$2:$H$501,"No")&gt;0,"🚩 Budget under AED 5k",IF(COUNTIFS(Scoresheet!$C$2:$C$501,A66,Scoresheet!$U$2:$U$501,1,Scoresheet!$J$2:$J$501,"No")&gt;0,"🚩 No one on camera",""))))</f>
        <v/>
      </c>
      <c r="T66" s="17"/>
      <c r="U66" s="17"/>
      <c r="V66" s="40"/>
      <c r="W66" s="17"/>
      <c r="X66" s="45" t="str">
        <f aca="false">IF(OR(E66="",V66="",OR(U66="Contract signed + paid",U66="Closed – No response",U66="Lost"),N(W66)&gt;=Settings!$S$3),"",V66+Settings!$S$2)</f>
        <v/>
      </c>
      <c r="Y66" s="40"/>
      <c r="Z66" s="41"/>
      <c r="AA66" s="17"/>
      <c r="AB66" s="17"/>
      <c r="AC66" s="17"/>
      <c r="AD66" s="46" t="str">
        <f aca="true">IF(OR(E66="",B66=""),"",INT(TODAY()-B66))</f>
        <v/>
      </c>
      <c r="AE66" s="44" t="str">
        <f aca="true">IF(E66="","",IF(OR(COUNTIFS(Clients!$C$2:$C$501,E66,Clients!$S$2:$S$501,"Paid")&gt;0,AND(I66&lt;&gt;"",COUNTIFS(Clients!$E$2:$E$501,I66,Clients!$S$2:$S$501,"Paid")&gt;0)),"⚠ Refunded before – no free video",IF(OR(U66="Contract signed + paid",U66="Closed – No response",U66="Lost"),"",IF(U66="","Set a stage",IF(AND(U66="Proposal sent",SUMIFS(Scoresheet!$N$2:$N$501,Scoresheet!$C$2:$C$501,A66,Scoresheet!$U$2:$U$501,1)&lt;6),"Score this lead – fill the call scoresheet",IF(N(W66)&gt;=Settings!$S$3,"Close – 4 follow-ups sent",IF(X66="",IF(V66="","Make first contact",""),IF(TODAY()&gt;X66,"OVERDUE follow-up",IF(TODAY()=X66,"Follow up today","")))))))))</f>
        <v/>
      </c>
    </row>
    <row r="67" customFormat="false" ht="15" hidden="false" customHeight="false" outlineLevel="0" collapsed="false">
      <c r="A67" s="17"/>
      <c r="B67" s="40"/>
      <c r="C67" s="41"/>
      <c r="D67" s="17"/>
      <c r="E67" s="17"/>
      <c r="F67" s="17"/>
      <c r="G67" s="17"/>
      <c r="H67" s="17"/>
      <c r="I67" s="42"/>
      <c r="J67" s="17"/>
      <c r="K67" s="17"/>
      <c r="L67" s="17"/>
      <c r="M67" s="17"/>
      <c r="N67" s="40"/>
      <c r="O67" s="41"/>
      <c r="P67" s="43" t="str">
        <f aca="false">IF(OR(B67="",N67=""),"",ROUND(((N67+N(O67))-(B67+N(C67)))*24,1))</f>
        <v/>
      </c>
      <c r="Q67" s="44" t="str">
        <f aca="false">IF(OR(E67="",A67="",COUNTIFS(Scoresheet!$C$2:$C$501,A67,Scoresheet!$U$2:$U$501,1)=0),"",SUMIFS(Scoresheet!$O$2:$O$501,Scoresheet!$C$2:$C$501,A67,Scoresheet!$U$2:$U$501,1))</f>
        <v/>
      </c>
      <c r="R67" s="44" t="str">
        <f aca="false">IF(E67="","",IF(OR(A67="",COUNTIFS(Scoresheet!$C$2:$C$501,A67,Scoresheet!$U$2:$U$501,1)=0),"No scoresheet yet",IF(SUMIFS(Scoresheet!$N$2:$N$501,Scoresheet!$C$2:$C$501,A67,Scoresheet!$U$2:$U$501,1)&lt;6,"Partly scored ("&amp;SUMIFS(Scoresheet!$N$2:$N$501,Scoresheet!$C$2:$C$501,A67,Scoresheet!$U$2:$U$501,1)&amp;"/6)",IF(Q67&gt;=Settings!$S$8,"Hot",IF(Q67&gt;=Settings!$S$9,"Warm","Cold")))))</f>
        <v/>
      </c>
      <c r="S67" s="44" t="str">
        <f aca="false">IF(OR(E67="",A67=""),"",IF(AND(COUNTIFS(Scoresheet!$C$2:$C$501,A67,Scoresheet!$U$2:$U$501,1,Scoresheet!$H$2:$H$501,"No")&gt;0,COUNTIFS(Scoresheet!$C$2:$C$501,A67,Scoresheet!$U$2:$U$501,1,Scoresheet!$J$2:$J$501,"No")&gt;0),"🚩 Budget  ·  🚩 No one on camera",IF(COUNTIFS(Scoresheet!$C$2:$C$501,A67,Scoresheet!$U$2:$U$501,1,Scoresheet!$H$2:$H$501,"No")&gt;0,"🚩 Budget under AED 5k",IF(COUNTIFS(Scoresheet!$C$2:$C$501,A67,Scoresheet!$U$2:$U$501,1,Scoresheet!$J$2:$J$501,"No")&gt;0,"🚩 No one on camera",""))))</f>
        <v/>
      </c>
      <c r="T67" s="17"/>
      <c r="U67" s="17"/>
      <c r="V67" s="40"/>
      <c r="W67" s="17"/>
      <c r="X67" s="45" t="str">
        <f aca="false">IF(OR(E67="",V67="",OR(U67="Contract signed + paid",U67="Closed – No response",U67="Lost"),N(W67)&gt;=Settings!$S$3),"",V67+Settings!$S$2)</f>
        <v/>
      </c>
      <c r="Y67" s="40"/>
      <c r="Z67" s="41"/>
      <c r="AA67" s="17"/>
      <c r="AB67" s="17"/>
      <c r="AC67" s="17"/>
      <c r="AD67" s="46" t="str">
        <f aca="true">IF(OR(E67="",B67=""),"",INT(TODAY()-B67))</f>
        <v/>
      </c>
      <c r="AE67" s="44" t="str">
        <f aca="true">IF(E67="","",IF(OR(COUNTIFS(Clients!$C$2:$C$501,E67,Clients!$S$2:$S$501,"Paid")&gt;0,AND(I67&lt;&gt;"",COUNTIFS(Clients!$E$2:$E$501,I67,Clients!$S$2:$S$501,"Paid")&gt;0)),"⚠ Refunded before – no free video",IF(OR(U67="Contract signed + paid",U67="Closed – No response",U67="Lost"),"",IF(U67="","Set a stage",IF(AND(U67="Proposal sent",SUMIFS(Scoresheet!$N$2:$N$501,Scoresheet!$C$2:$C$501,A67,Scoresheet!$U$2:$U$501,1)&lt;6),"Score this lead – fill the call scoresheet",IF(N(W67)&gt;=Settings!$S$3,"Close – 4 follow-ups sent",IF(X67="",IF(V67="","Make first contact",""),IF(TODAY()&gt;X67,"OVERDUE follow-up",IF(TODAY()=X67,"Follow up today","")))))))))</f>
        <v/>
      </c>
    </row>
    <row r="68" customFormat="false" ht="15" hidden="false" customHeight="false" outlineLevel="0" collapsed="false">
      <c r="A68" s="17"/>
      <c r="B68" s="40"/>
      <c r="C68" s="41"/>
      <c r="D68" s="17"/>
      <c r="E68" s="17"/>
      <c r="F68" s="17"/>
      <c r="G68" s="17"/>
      <c r="H68" s="17"/>
      <c r="I68" s="42"/>
      <c r="J68" s="17"/>
      <c r="K68" s="17"/>
      <c r="L68" s="17"/>
      <c r="M68" s="17"/>
      <c r="N68" s="40"/>
      <c r="O68" s="41"/>
      <c r="P68" s="43" t="str">
        <f aca="false">IF(OR(B68="",N68=""),"",ROUND(((N68+N(O68))-(B68+N(C68)))*24,1))</f>
        <v/>
      </c>
      <c r="Q68" s="44" t="str">
        <f aca="false">IF(OR(E68="",A68="",COUNTIFS(Scoresheet!$C$2:$C$501,A68,Scoresheet!$U$2:$U$501,1)=0),"",SUMIFS(Scoresheet!$O$2:$O$501,Scoresheet!$C$2:$C$501,A68,Scoresheet!$U$2:$U$501,1))</f>
        <v/>
      </c>
      <c r="R68" s="44" t="str">
        <f aca="false">IF(E68="","",IF(OR(A68="",COUNTIFS(Scoresheet!$C$2:$C$501,A68,Scoresheet!$U$2:$U$501,1)=0),"No scoresheet yet",IF(SUMIFS(Scoresheet!$N$2:$N$501,Scoresheet!$C$2:$C$501,A68,Scoresheet!$U$2:$U$501,1)&lt;6,"Partly scored ("&amp;SUMIFS(Scoresheet!$N$2:$N$501,Scoresheet!$C$2:$C$501,A68,Scoresheet!$U$2:$U$501,1)&amp;"/6)",IF(Q68&gt;=Settings!$S$8,"Hot",IF(Q68&gt;=Settings!$S$9,"Warm","Cold")))))</f>
        <v/>
      </c>
      <c r="S68" s="44" t="str">
        <f aca="false">IF(OR(E68="",A68=""),"",IF(AND(COUNTIFS(Scoresheet!$C$2:$C$501,A68,Scoresheet!$U$2:$U$501,1,Scoresheet!$H$2:$H$501,"No")&gt;0,COUNTIFS(Scoresheet!$C$2:$C$501,A68,Scoresheet!$U$2:$U$501,1,Scoresheet!$J$2:$J$501,"No")&gt;0),"🚩 Budget  ·  🚩 No one on camera",IF(COUNTIFS(Scoresheet!$C$2:$C$501,A68,Scoresheet!$U$2:$U$501,1,Scoresheet!$H$2:$H$501,"No")&gt;0,"🚩 Budget under AED 5k",IF(COUNTIFS(Scoresheet!$C$2:$C$501,A68,Scoresheet!$U$2:$U$501,1,Scoresheet!$J$2:$J$501,"No")&gt;0,"🚩 No one on camera",""))))</f>
        <v/>
      </c>
      <c r="T68" s="17"/>
      <c r="U68" s="17"/>
      <c r="V68" s="40"/>
      <c r="W68" s="17"/>
      <c r="X68" s="45" t="str">
        <f aca="false">IF(OR(E68="",V68="",OR(U68="Contract signed + paid",U68="Closed – No response",U68="Lost"),N(W68)&gt;=Settings!$S$3),"",V68+Settings!$S$2)</f>
        <v/>
      </c>
      <c r="Y68" s="40"/>
      <c r="Z68" s="41"/>
      <c r="AA68" s="17"/>
      <c r="AB68" s="17"/>
      <c r="AC68" s="17"/>
      <c r="AD68" s="46" t="str">
        <f aca="true">IF(OR(E68="",B68=""),"",INT(TODAY()-B68))</f>
        <v/>
      </c>
      <c r="AE68" s="44" t="str">
        <f aca="true">IF(E68="","",IF(OR(COUNTIFS(Clients!$C$2:$C$501,E68,Clients!$S$2:$S$501,"Paid")&gt;0,AND(I68&lt;&gt;"",COUNTIFS(Clients!$E$2:$E$501,I68,Clients!$S$2:$S$501,"Paid")&gt;0)),"⚠ Refunded before – no free video",IF(OR(U68="Contract signed + paid",U68="Closed – No response",U68="Lost"),"",IF(U68="","Set a stage",IF(AND(U68="Proposal sent",SUMIFS(Scoresheet!$N$2:$N$501,Scoresheet!$C$2:$C$501,A68,Scoresheet!$U$2:$U$501,1)&lt;6),"Score this lead – fill the call scoresheet",IF(N(W68)&gt;=Settings!$S$3,"Close – 4 follow-ups sent",IF(X68="",IF(V68="","Make first contact",""),IF(TODAY()&gt;X68,"OVERDUE follow-up",IF(TODAY()=X68,"Follow up today","")))))))))</f>
        <v/>
      </c>
    </row>
    <row r="69" customFormat="false" ht="15" hidden="false" customHeight="false" outlineLevel="0" collapsed="false">
      <c r="A69" s="17"/>
      <c r="B69" s="40"/>
      <c r="C69" s="41"/>
      <c r="D69" s="17"/>
      <c r="E69" s="17"/>
      <c r="F69" s="17"/>
      <c r="G69" s="17"/>
      <c r="H69" s="17"/>
      <c r="I69" s="42"/>
      <c r="J69" s="17"/>
      <c r="K69" s="17"/>
      <c r="L69" s="17"/>
      <c r="M69" s="17"/>
      <c r="N69" s="40"/>
      <c r="O69" s="41"/>
      <c r="P69" s="43" t="str">
        <f aca="false">IF(OR(B69="",N69=""),"",ROUND(((N69+N(O69))-(B69+N(C69)))*24,1))</f>
        <v/>
      </c>
      <c r="Q69" s="44" t="str">
        <f aca="false">IF(OR(E69="",A69="",COUNTIFS(Scoresheet!$C$2:$C$501,A69,Scoresheet!$U$2:$U$501,1)=0),"",SUMIFS(Scoresheet!$O$2:$O$501,Scoresheet!$C$2:$C$501,A69,Scoresheet!$U$2:$U$501,1))</f>
        <v/>
      </c>
      <c r="R69" s="44" t="str">
        <f aca="false">IF(E69="","",IF(OR(A69="",COUNTIFS(Scoresheet!$C$2:$C$501,A69,Scoresheet!$U$2:$U$501,1)=0),"No scoresheet yet",IF(SUMIFS(Scoresheet!$N$2:$N$501,Scoresheet!$C$2:$C$501,A69,Scoresheet!$U$2:$U$501,1)&lt;6,"Partly scored ("&amp;SUMIFS(Scoresheet!$N$2:$N$501,Scoresheet!$C$2:$C$501,A69,Scoresheet!$U$2:$U$501,1)&amp;"/6)",IF(Q69&gt;=Settings!$S$8,"Hot",IF(Q69&gt;=Settings!$S$9,"Warm","Cold")))))</f>
        <v/>
      </c>
      <c r="S69" s="44" t="str">
        <f aca="false">IF(OR(E69="",A69=""),"",IF(AND(COUNTIFS(Scoresheet!$C$2:$C$501,A69,Scoresheet!$U$2:$U$501,1,Scoresheet!$H$2:$H$501,"No")&gt;0,COUNTIFS(Scoresheet!$C$2:$C$501,A69,Scoresheet!$U$2:$U$501,1,Scoresheet!$J$2:$J$501,"No")&gt;0),"🚩 Budget  ·  🚩 No one on camera",IF(COUNTIFS(Scoresheet!$C$2:$C$501,A69,Scoresheet!$U$2:$U$501,1,Scoresheet!$H$2:$H$501,"No")&gt;0,"🚩 Budget under AED 5k",IF(COUNTIFS(Scoresheet!$C$2:$C$501,A69,Scoresheet!$U$2:$U$501,1,Scoresheet!$J$2:$J$501,"No")&gt;0,"🚩 No one on camera",""))))</f>
        <v/>
      </c>
      <c r="T69" s="17"/>
      <c r="U69" s="17"/>
      <c r="V69" s="40"/>
      <c r="W69" s="17"/>
      <c r="X69" s="45" t="str">
        <f aca="false">IF(OR(E69="",V69="",OR(U69="Contract signed + paid",U69="Closed – No response",U69="Lost"),N(W69)&gt;=Settings!$S$3),"",V69+Settings!$S$2)</f>
        <v/>
      </c>
      <c r="Y69" s="40"/>
      <c r="Z69" s="41"/>
      <c r="AA69" s="17"/>
      <c r="AB69" s="17"/>
      <c r="AC69" s="17"/>
      <c r="AD69" s="46" t="str">
        <f aca="true">IF(OR(E69="",B69=""),"",INT(TODAY()-B69))</f>
        <v/>
      </c>
      <c r="AE69" s="44" t="str">
        <f aca="true">IF(E69="","",IF(OR(COUNTIFS(Clients!$C$2:$C$501,E69,Clients!$S$2:$S$501,"Paid")&gt;0,AND(I69&lt;&gt;"",COUNTIFS(Clients!$E$2:$E$501,I69,Clients!$S$2:$S$501,"Paid")&gt;0)),"⚠ Refunded before – no free video",IF(OR(U69="Contract signed + paid",U69="Closed – No response",U69="Lost"),"",IF(U69="","Set a stage",IF(AND(U69="Proposal sent",SUMIFS(Scoresheet!$N$2:$N$501,Scoresheet!$C$2:$C$501,A69,Scoresheet!$U$2:$U$501,1)&lt;6),"Score this lead – fill the call scoresheet",IF(N(W69)&gt;=Settings!$S$3,"Close – 4 follow-ups sent",IF(X69="",IF(V69="","Make first contact",""),IF(TODAY()&gt;X69,"OVERDUE follow-up",IF(TODAY()=X69,"Follow up today","")))))))))</f>
        <v/>
      </c>
    </row>
    <row r="70" customFormat="false" ht="15" hidden="false" customHeight="false" outlineLevel="0" collapsed="false">
      <c r="A70" s="17"/>
      <c r="B70" s="40"/>
      <c r="C70" s="41"/>
      <c r="D70" s="17"/>
      <c r="E70" s="17"/>
      <c r="F70" s="17"/>
      <c r="G70" s="17"/>
      <c r="H70" s="17"/>
      <c r="I70" s="42"/>
      <c r="J70" s="17"/>
      <c r="K70" s="17"/>
      <c r="L70" s="17"/>
      <c r="M70" s="17"/>
      <c r="N70" s="40"/>
      <c r="O70" s="41"/>
      <c r="P70" s="43" t="str">
        <f aca="false">IF(OR(B70="",N70=""),"",ROUND(((N70+N(O70))-(B70+N(C70)))*24,1))</f>
        <v/>
      </c>
      <c r="Q70" s="44" t="str">
        <f aca="false">IF(OR(E70="",A70="",COUNTIFS(Scoresheet!$C$2:$C$501,A70,Scoresheet!$U$2:$U$501,1)=0),"",SUMIFS(Scoresheet!$O$2:$O$501,Scoresheet!$C$2:$C$501,A70,Scoresheet!$U$2:$U$501,1))</f>
        <v/>
      </c>
      <c r="R70" s="44" t="str">
        <f aca="false">IF(E70="","",IF(OR(A70="",COUNTIFS(Scoresheet!$C$2:$C$501,A70,Scoresheet!$U$2:$U$501,1)=0),"No scoresheet yet",IF(SUMIFS(Scoresheet!$N$2:$N$501,Scoresheet!$C$2:$C$501,A70,Scoresheet!$U$2:$U$501,1)&lt;6,"Partly scored ("&amp;SUMIFS(Scoresheet!$N$2:$N$501,Scoresheet!$C$2:$C$501,A70,Scoresheet!$U$2:$U$501,1)&amp;"/6)",IF(Q70&gt;=Settings!$S$8,"Hot",IF(Q70&gt;=Settings!$S$9,"Warm","Cold")))))</f>
        <v/>
      </c>
      <c r="S70" s="44" t="str">
        <f aca="false">IF(OR(E70="",A70=""),"",IF(AND(COUNTIFS(Scoresheet!$C$2:$C$501,A70,Scoresheet!$U$2:$U$501,1,Scoresheet!$H$2:$H$501,"No")&gt;0,COUNTIFS(Scoresheet!$C$2:$C$501,A70,Scoresheet!$U$2:$U$501,1,Scoresheet!$J$2:$J$501,"No")&gt;0),"🚩 Budget  ·  🚩 No one on camera",IF(COUNTIFS(Scoresheet!$C$2:$C$501,A70,Scoresheet!$U$2:$U$501,1,Scoresheet!$H$2:$H$501,"No")&gt;0,"🚩 Budget under AED 5k",IF(COUNTIFS(Scoresheet!$C$2:$C$501,A70,Scoresheet!$U$2:$U$501,1,Scoresheet!$J$2:$J$501,"No")&gt;0,"🚩 No one on camera",""))))</f>
        <v/>
      </c>
      <c r="T70" s="17"/>
      <c r="U70" s="17"/>
      <c r="V70" s="40"/>
      <c r="W70" s="17"/>
      <c r="X70" s="45" t="str">
        <f aca="false">IF(OR(E70="",V70="",OR(U70="Contract signed + paid",U70="Closed – No response",U70="Lost"),N(W70)&gt;=Settings!$S$3),"",V70+Settings!$S$2)</f>
        <v/>
      </c>
      <c r="Y70" s="40"/>
      <c r="Z70" s="41"/>
      <c r="AA70" s="17"/>
      <c r="AB70" s="17"/>
      <c r="AC70" s="17"/>
      <c r="AD70" s="46" t="str">
        <f aca="true">IF(OR(E70="",B70=""),"",INT(TODAY()-B70))</f>
        <v/>
      </c>
      <c r="AE70" s="44" t="str">
        <f aca="true">IF(E70="","",IF(OR(COUNTIFS(Clients!$C$2:$C$501,E70,Clients!$S$2:$S$501,"Paid")&gt;0,AND(I70&lt;&gt;"",COUNTIFS(Clients!$E$2:$E$501,I70,Clients!$S$2:$S$501,"Paid")&gt;0)),"⚠ Refunded before – no free video",IF(OR(U70="Contract signed + paid",U70="Closed – No response",U70="Lost"),"",IF(U70="","Set a stage",IF(AND(U70="Proposal sent",SUMIFS(Scoresheet!$N$2:$N$501,Scoresheet!$C$2:$C$501,A70,Scoresheet!$U$2:$U$501,1)&lt;6),"Score this lead – fill the call scoresheet",IF(N(W70)&gt;=Settings!$S$3,"Close – 4 follow-ups sent",IF(X70="",IF(V70="","Make first contact",""),IF(TODAY()&gt;X70,"OVERDUE follow-up",IF(TODAY()=X70,"Follow up today","")))))))))</f>
        <v/>
      </c>
    </row>
    <row r="71" customFormat="false" ht="15" hidden="false" customHeight="false" outlineLevel="0" collapsed="false">
      <c r="A71" s="17"/>
      <c r="B71" s="40"/>
      <c r="C71" s="41"/>
      <c r="D71" s="17"/>
      <c r="E71" s="17"/>
      <c r="F71" s="17"/>
      <c r="G71" s="17"/>
      <c r="H71" s="17"/>
      <c r="I71" s="42"/>
      <c r="J71" s="17"/>
      <c r="K71" s="17"/>
      <c r="L71" s="17"/>
      <c r="M71" s="17"/>
      <c r="N71" s="40"/>
      <c r="O71" s="41"/>
      <c r="P71" s="43" t="str">
        <f aca="false">IF(OR(B71="",N71=""),"",ROUND(((N71+N(O71))-(B71+N(C71)))*24,1))</f>
        <v/>
      </c>
      <c r="Q71" s="44" t="str">
        <f aca="false">IF(OR(E71="",A71="",COUNTIFS(Scoresheet!$C$2:$C$501,A71,Scoresheet!$U$2:$U$501,1)=0),"",SUMIFS(Scoresheet!$O$2:$O$501,Scoresheet!$C$2:$C$501,A71,Scoresheet!$U$2:$U$501,1))</f>
        <v/>
      </c>
      <c r="R71" s="44" t="str">
        <f aca="false">IF(E71="","",IF(OR(A71="",COUNTIFS(Scoresheet!$C$2:$C$501,A71,Scoresheet!$U$2:$U$501,1)=0),"No scoresheet yet",IF(SUMIFS(Scoresheet!$N$2:$N$501,Scoresheet!$C$2:$C$501,A71,Scoresheet!$U$2:$U$501,1)&lt;6,"Partly scored ("&amp;SUMIFS(Scoresheet!$N$2:$N$501,Scoresheet!$C$2:$C$501,A71,Scoresheet!$U$2:$U$501,1)&amp;"/6)",IF(Q71&gt;=Settings!$S$8,"Hot",IF(Q71&gt;=Settings!$S$9,"Warm","Cold")))))</f>
        <v/>
      </c>
      <c r="S71" s="44" t="str">
        <f aca="false">IF(OR(E71="",A71=""),"",IF(AND(COUNTIFS(Scoresheet!$C$2:$C$501,A71,Scoresheet!$U$2:$U$501,1,Scoresheet!$H$2:$H$501,"No")&gt;0,COUNTIFS(Scoresheet!$C$2:$C$501,A71,Scoresheet!$U$2:$U$501,1,Scoresheet!$J$2:$J$501,"No")&gt;0),"🚩 Budget  ·  🚩 No one on camera",IF(COUNTIFS(Scoresheet!$C$2:$C$501,A71,Scoresheet!$U$2:$U$501,1,Scoresheet!$H$2:$H$501,"No")&gt;0,"🚩 Budget under AED 5k",IF(COUNTIFS(Scoresheet!$C$2:$C$501,A71,Scoresheet!$U$2:$U$501,1,Scoresheet!$J$2:$J$501,"No")&gt;0,"🚩 No one on camera",""))))</f>
        <v/>
      </c>
      <c r="T71" s="17"/>
      <c r="U71" s="17"/>
      <c r="V71" s="40"/>
      <c r="W71" s="17"/>
      <c r="X71" s="45" t="str">
        <f aca="false">IF(OR(E71="",V71="",OR(U71="Contract signed + paid",U71="Closed – No response",U71="Lost"),N(W71)&gt;=Settings!$S$3),"",V71+Settings!$S$2)</f>
        <v/>
      </c>
      <c r="Y71" s="40"/>
      <c r="Z71" s="41"/>
      <c r="AA71" s="17"/>
      <c r="AB71" s="17"/>
      <c r="AC71" s="17"/>
      <c r="AD71" s="46" t="str">
        <f aca="true">IF(OR(E71="",B71=""),"",INT(TODAY()-B71))</f>
        <v/>
      </c>
      <c r="AE71" s="44" t="str">
        <f aca="true">IF(E71="","",IF(OR(COUNTIFS(Clients!$C$2:$C$501,E71,Clients!$S$2:$S$501,"Paid")&gt;0,AND(I71&lt;&gt;"",COUNTIFS(Clients!$E$2:$E$501,I71,Clients!$S$2:$S$501,"Paid")&gt;0)),"⚠ Refunded before – no free video",IF(OR(U71="Contract signed + paid",U71="Closed – No response",U71="Lost"),"",IF(U71="","Set a stage",IF(AND(U71="Proposal sent",SUMIFS(Scoresheet!$N$2:$N$501,Scoresheet!$C$2:$C$501,A71,Scoresheet!$U$2:$U$501,1)&lt;6),"Score this lead – fill the call scoresheet",IF(N(W71)&gt;=Settings!$S$3,"Close – 4 follow-ups sent",IF(X71="",IF(V71="","Make first contact",""),IF(TODAY()&gt;X71,"OVERDUE follow-up",IF(TODAY()=X71,"Follow up today","")))))))))</f>
        <v/>
      </c>
    </row>
    <row r="72" customFormat="false" ht="15" hidden="false" customHeight="false" outlineLevel="0" collapsed="false">
      <c r="A72" s="17"/>
      <c r="B72" s="40"/>
      <c r="C72" s="41"/>
      <c r="D72" s="17"/>
      <c r="E72" s="17"/>
      <c r="F72" s="17"/>
      <c r="G72" s="17"/>
      <c r="H72" s="17"/>
      <c r="I72" s="42"/>
      <c r="J72" s="17"/>
      <c r="K72" s="17"/>
      <c r="L72" s="17"/>
      <c r="M72" s="17"/>
      <c r="N72" s="40"/>
      <c r="O72" s="41"/>
      <c r="P72" s="43" t="str">
        <f aca="false">IF(OR(B72="",N72=""),"",ROUND(((N72+N(O72))-(B72+N(C72)))*24,1))</f>
        <v/>
      </c>
      <c r="Q72" s="44" t="str">
        <f aca="false">IF(OR(E72="",A72="",COUNTIFS(Scoresheet!$C$2:$C$501,A72,Scoresheet!$U$2:$U$501,1)=0),"",SUMIFS(Scoresheet!$O$2:$O$501,Scoresheet!$C$2:$C$501,A72,Scoresheet!$U$2:$U$501,1))</f>
        <v/>
      </c>
      <c r="R72" s="44" t="str">
        <f aca="false">IF(E72="","",IF(OR(A72="",COUNTIFS(Scoresheet!$C$2:$C$501,A72,Scoresheet!$U$2:$U$501,1)=0),"No scoresheet yet",IF(SUMIFS(Scoresheet!$N$2:$N$501,Scoresheet!$C$2:$C$501,A72,Scoresheet!$U$2:$U$501,1)&lt;6,"Partly scored ("&amp;SUMIFS(Scoresheet!$N$2:$N$501,Scoresheet!$C$2:$C$501,A72,Scoresheet!$U$2:$U$501,1)&amp;"/6)",IF(Q72&gt;=Settings!$S$8,"Hot",IF(Q72&gt;=Settings!$S$9,"Warm","Cold")))))</f>
        <v/>
      </c>
      <c r="S72" s="44" t="str">
        <f aca="false">IF(OR(E72="",A72=""),"",IF(AND(COUNTIFS(Scoresheet!$C$2:$C$501,A72,Scoresheet!$U$2:$U$501,1,Scoresheet!$H$2:$H$501,"No")&gt;0,COUNTIFS(Scoresheet!$C$2:$C$501,A72,Scoresheet!$U$2:$U$501,1,Scoresheet!$J$2:$J$501,"No")&gt;0),"🚩 Budget  ·  🚩 No one on camera",IF(COUNTIFS(Scoresheet!$C$2:$C$501,A72,Scoresheet!$U$2:$U$501,1,Scoresheet!$H$2:$H$501,"No")&gt;0,"🚩 Budget under AED 5k",IF(COUNTIFS(Scoresheet!$C$2:$C$501,A72,Scoresheet!$U$2:$U$501,1,Scoresheet!$J$2:$J$501,"No")&gt;0,"🚩 No one on camera",""))))</f>
        <v/>
      </c>
      <c r="T72" s="17"/>
      <c r="U72" s="17"/>
      <c r="V72" s="40"/>
      <c r="W72" s="17"/>
      <c r="X72" s="45" t="str">
        <f aca="false">IF(OR(E72="",V72="",OR(U72="Contract signed + paid",U72="Closed – No response",U72="Lost"),N(W72)&gt;=Settings!$S$3),"",V72+Settings!$S$2)</f>
        <v/>
      </c>
      <c r="Y72" s="40"/>
      <c r="Z72" s="41"/>
      <c r="AA72" s="17"/>
      <c r="AB72" s="17"/>
      <c r="AC72" s="17"/>
      <c r="AD72" s="46" t="str">
        <f aca="true">IF(OR(E72="",B72=""),"",INT(TODAY()-B72))</f>
        <v/>
      </c>
      <c r="AE72" s="44" t="str">
        <f aca="true">IF(E72="","",IF(OR(COUNTIFS(Clients!$C$2:$C$501,E72,Clients!$S$2:$S$501,"Paid")&gt;0,AND(I72&lt;&gt;"",COUNTIFS(Clients!$E$2:$E$501,I72,Clients!$S$2:$S$501,"Paid")&gt;0)),"⚠ Refunded before – no free video",IF(OR(U72="Contract signed + paid",U72="Closed – No response",U72="Lost"),"",IF(U72="","Set a stage",IF(AND(U72="Proposal sent",SUMIFS(Scoresheet!$N$2:$N$501,Scoresheet!$C$2:$C$501,A72,Scoresheet!$U$2:$U$501,1)&lt;6),"Score this lead – fill the call scoresheet",IF(N(W72)&gt;=Settings!$S$3,"Close – 4 follow-ups sent",IF(X72="",IF(V72="","Make first contact",""),IF(TODAY()&gt;X72,"OVERDUE follow-up",IF(TODAY()=X72,"Follow up today","")))))))))</f>
        <v/>
      </c>
    </row>
    <row r="73" customFormat="false" ht="15" hidden="false" customHeight="false" outlineLevel="0" collapsed="false">
      <c r="A73" s="17"/>
      <c r="B73" s="40"/>
      <c r="C73" s="41"/>
      <c r="D73" s="17"/>
      <c r="E73" s="17"/>
      <c r="F73" s="17"/>
      <c r="G73" s="17"/>
      <c r="H73" s="17"/>
      <c r="I73" s="42"/>
      <c r="J73" s="17"/>
      <c r="K73" s="17"/>
      <c r="L73" s="17"/>
      <c r="M73" s="17"/>
      <c r="N73" s="40"/>
      <c r="O73" s="41"/>
      <c r="P73" s="43" t="str">
        <f aca="false">IF(OR(B73="",N73=""),"",ROUND(((N73+N(O73))-(B73+N(C73)))*24,1))</f>
        <v/>
      </c>
      <c r="Q73" s="44" t="str">
        <f aca="false">IF(OR(E73="",A73="",COUNTIFS(Scoresheet!$C$2:$C$501,A73,Scoresheet!$U$2:$U$501,1)=0),"",SUMIFS(Scoresheet!$O$2:$O$501,Scoresheet!$C$2:$C$501,A73,Scoresheet!$U$2:$U$501,1))</f>
        <v/>
      </c>
      <c r="R73" s="44" t="str">
        <f aca="false">IF(E73="","",IF(OR(A73="",COUNTIFS(Scoresheet!$C$2:$C$501,A73,Scoresheet!$U$2:$U$501,1)=0),"No scoresheet yet",IF(SUMIFS(Scoresheet!$N$2:$N$501,Scoresheet!$C$2:$C$501,A73,Scoresheet!$U$2:$U$501,1)&lt;6,"Partly scored ("&amp;SUMIFS(Scoresheet!$N$2:$N$501,Scoresheet!$C$2:$C$501,A73,Scoresheet!$U$2:$U$501,1)&amp;"/6)",IF(Q73&gt;=Settings!$S$8,"Hot",IF(Q73&gt;=Settings!$S$9,"Warm","Cold")))))</f>
        <v/>
      </c>
      <c r="S73" s="44" t="str">
        <f aca="false">IF(OR(E73="",A73=""),"",IF(AND(COUNTIFS(Scoresheet!$C$2:$C$501,A73,Scoresheet!$U$2:$U$501,1,Scoresheet!$H$2:$H$501,"No")&gt;0,COUNTIFS(Scoresheet!$C$2:$C$501,A73,Scoresheet!$U$2:$U$501,1,Scoresheet!$J$2:$J$501,"No")&gt;0),"🚩 Budget  ·  🚩 No one on camera",IF(COUNTIFS(Scoresheet!$C$2:$C$501,A73,Scoresheet!$U$2:$U$501,1,Scoresheet!$H$2:$H$501,"No")&gt;0,"🚩 Budget under AED 5k",IF(COUNTIFS(Scoresheet!$C$2:$C$501,A73,Scoresheet!$U$2:$U$501,1,Scoresheet!$J$2:$J$501,"No")&gt;0,"🚩 No one on camera",""))))</f>
        <v/>
      </c>
      <c r="T73" s="17"/>
      <c r="U73" s="17"/>
      <c r="V73" s="40"/>
      <c r="W73" s="17"/>
      <c r="X73" s="45" t="str">
        <f aca="false">IF(OR(E73="",V73="",OR(U73="Contract signed + paid",U73="Closed – No response",U73="Lost"),N(W73)&gt;=Settings!$S$3),"",V73+Settings!$S$2)</f>
        <v/>
      </c>
      <c r="Y73" s="40"/>
      <c r="Z73" s="41"/>
      <c r="AA73" s="17"/>
      <c r="AB73" s="17"/>
      <c r="AC73" s="17"/>
      <c r="AD73" s="46" t="str">
        <f aca="true">IF(OR(E73="",B73=""),"",INT(TODAY()-B73))</f>
        <v/>
      </c>
      <c r="AE73" s="44" t="str">
        <f aca="true">IF(E73="","",IF(OR(COUNTIFS(Clients!$C$2:$C$501,E73,Clients!$S$2:$S$501,"Paid")&gt;0,AND(I73&lt;&gt;"",COUNTIFS(Clients!$E$2:$E$501,I73,Clients!$S$2:$S$501,"Paid")&gt;0)),"⚠ Refunded before – no free video",IF(OR(U73="Contract signed + paid",U73="Closed – No response",U73="Lost"),"",IF(U73="","Set a stage",IF(AND(U73="Proposal sent",SUMIFS(Scoresheet!$N$2:$N$501,Scoresheet!$C$2:$C$501,A73,Scoresheet!$U$2:$U$501,1)&lt;6),"Score this lead – fill the call scoresheet",IF(N(W73)&gt;=Settings!$S$3,"Close – 4 follow-ups sent",IF(X73="",IF(V73="","Make first contact",""),IF(TODAY()&gt;X73,"OVERDUE follow-up",IF(TODAY()=X73,"Follow up today","")))))))))</f>
        <v/>
      </c>
    </row>
    <row r="74" customFormat="false" ht="15" hidden="false" customHeight="false" outlineLevel="0" collapsed="false">
      <c r="A74" s="17"/>
      <c r="B74" s="40"/>
      <c r="C74" s="41"/>
      <c r="D74" s="17"/>
      <c r="E74" s="17"/>
      <c r="F74" s="17"/>
      <c r="G74" s="17"/>
      <c r="H74" s="17"/>
      <c r="I74" s="42"/>
      <c r="J74" s="17"/>
      <c r="K74" s="17"/>
      <c r="L74" s="17"/>
      <c r="M74" s="17"/>
      <c r="N74" s="40"/>
      <c r="O74" s="41"/>
      <c r="P74" s="43" t="str">
        <f aca="false">IF(OR(B74="",N74=""),"",ROUND(((N74+N(O74))-(B74+N(C74)))*24,1))</f>
        <v/>
      </c>
      <c r="Q74" s="44" t="str">
        <f aca="false">IF(OR(E74="",A74="",COUNTIFS(Scoresheet!$C$2:$C$501,A74,Scoresheet!$U$2:$U$501,1)=0),"",SUMIFS(Scoresheet!$O$2:$O$501,Scoresheet!$C$2:$C$501,A74,Scoresheet!$U$2:$U$501,1))</f>
        <v/>
      </c>
      <c r="R74" s="44" t="str">
        <f aca="false">IF(E74="","",IF(OR(A74="",COUNTIFS(Scoresheet!$C$2:$C$501,A74,Scoresheet!$U$2:$U$501,1)=0),"No scoresheet yet",IF(SUMIFS(Scoresheet!$N$2:$N$501,Scoresheet!$C$2:$C$501,A74,Scoresheet!$U$2:$U$501,1)&lt;6,"Partly scored ("&amp;SUMIFS(Scoresheet!$N$2:$N$501,Scoresheet!$C$2:$C$501,A74,Scoresheet!$U$2:$U$501,1)&amp;"/6)",IF(Q74&gt;=Settings!$S$8,"Hot",IF(Q74&gt;=Settings!$S$9,"Warm","Cold")))))</f>
        <v/>
      </c>
      <c r="S74" s="44" t="str">
        <f aca="false">IF(OR(E74="",A74=""),"",IF(AND(COUNTIFS(Scoresheet!$C$2:$C$501,A74,Scoresheet!$U$2:$U$501,1,Scoresheet!$H$2:$H$501,"No")&gt;0,COUNTIFS(Scoresheet!$C$2:$C$501,A74,Scoresheet!$U$2:$U$501,1,Scoresheet!$J$2:$J$501,"No")&gt;0),"🚩 Budget  ·  🚩 No one on camera",IF(COUNTIFS(Scoresheet!$C$2:$C$501,A74,Scoresheet!$U$2:$U$501,1,Scoresheet!$H$2:$H$501,"No")&gt;0,"🚩 Budget under AED 5k",IF(COUNTIFS(Scoresheet!$C$2:$C$501,A74,Scoresheet!$U$2:$U$501,1,Scoresheet!$J$2:$J$501,"No")&gt;0,"🚩 No one on camera",""))))</f>
        <v/>
      </c>
      <c r="T74" s="17"/>
      <c r="U74" s="17"/>
      <c r="V74" s="40"/>
      <c r="W74" s="17"/>
      <c r="X74" s="45" t="str">
        <f aca="false">IF(OR(E74="",V74="",OR(U74="Contract signed + paid",U74="Closed – No response",U74="Lost"),N(W74)&gt;=Settings!$S$3),"",V74+Settings!$S$2)</f>
        <v/>
      </c>
      <c r="Y74" s="40"/>
      <c r="Z74" s="41"/>
      <c r="AA74" s="17"/>
      <c r="AB74" s="17"/>
      <c r="AC74" s="17"/>
      <c r="AD74" s="46" t="str">
        <f aca="true">IF(OR(E74="",B74=""),"",INT(TODAY()-B74))</f>
        <v/>
      </c>
      <c r="AE74" s="44" t="str">
        <f aca="true">IF(E74="","",IF(OR(COUNTIFS(Clients!$C$2:$C$501,E74,Clients!$S$2:$S$501,"Paid")&gt;0,AND(I74&lt;&gt;"",COUNTIFS(Clients!$E$2:$E$501,I74,Clients!$S$2:$S$501,"Paid")&gt;0)),"⚠ Refunded before – no free video",IF(OR(U74="Contract signed + paid",U74="Closed – No response",U74="Lost"),"",IF(U74="","Set a stage",IF(AND(U74="Proposal sent",SUMIFS(Scoresheet!$N$2:$N$501,Scoresheet!$C$2:$C$501,A74,Scoresheet!$U$2:$U$501,1)&lt;6),"Score this lead – fill the call scoresheet",IF(N(W74)&gt;=Settings!$S$3,"Close – 4 follow-ups sent",IF(X74="",IF(V74="","Make first contact",""),IF(TODAY()&gt;X74,"OVERDUE follow-up",IF(TODAY()=X74,"Follow up today","")))))))))</f>
        <v/>
      </c>
    </row>
    <row r="75" customFormat="false" ht="15" hidden="false" customHeight="false" outlineLevel="0" collapsed="false">
      <c r="A75" s="17"/>
      <c r="B75" s="40"/>
      <c r="C75" s="41"/>
      <c r="D75" s="17"/>
      <c r="E75" s="17"/>
      <c r="F75" s="17"/>
      <c r="G75" s="17"/>
      <c r="H75" s="17"/>
      <c r="I75" s="42"/>
      <c r="J75" s="17"/>
      <c r="K75" s="17"/>
      <c r="L75" s="17"/>
      <c r="M75" s="17"/>
      <c r="N75" s="40"/>
      <c r="O75" s="41"/>
      <c r="P75" s="43" t="str">
        <f aca="false">IF(OR(B75="",N75=""),"",ROUND(((N75+N(O75))-(B75+N(C75)))*24,1))</f>
        <v/>
      </c>
      <c r="Q75" s="44" t="str">
        <f aca="false">IF(OR(E75="",A75="",COUNTIFS(Scoresheet!$C$2:$C$501,A75,Scoresheet!$U$2:$U$501,1)=0),"",SUMIFS(Scoresheet!$O$2:$O$501,Scoresheet!$C$2:$C$501,A75,Scoresheet!$U$2:$U$501,1))</f>
        <v/>
      </c>
      <c r="R75" s="44" t="str">
        <f aca="false">IF(E75="","",IF(OR(A75="",COUNTIFS(Scoresheet!$C$2:$C$501,A75,Scoresheet!$U$2:$U$501,1)=0),"No scoresheet yet",IF(SUMIFS(Scoresheet!$N$2:$N$501,Scoresheet!$C$2:$C$501,A75,Scoresheet!$U$2:$U$501,1)&lt;6,"Partly scored ("&amp;SUMIFS(Scoresheet!$N$2:$N$501,Scoresheet!$C$2:$C$501,A75,Scoresheet!$U$2:$U$501,1)&amp;"/6)",IF(Q75&gt;=Settings!$S$8,"Hot",IF(Q75&gt;=Settings!$S$9,"Warm","Cold")))))</f>
        <v/>
      </c>
      <c r="S75" s="44" t="str">
        <f aca="false">IF(OR(E75="",A75=""),"",IF(AND(COUNTIFS(Scoresheet!$C$2:$C$501,A75,Scoresheet!$U$2:$U$501,1,Scoresheet!$H$2:$H$501,"No")&gt;0,COUNTIFS(Scoresheet!$C$2:$C$501,A75,Scoresheet!$U$2:$U$501,1,Scoresheet!$J$2:$J$501,"No")&gt;0),"🚩 Budget  ·  🚩 No one on camera",IF(COUNTIFS(Scoresheet!$C$2:$C$501,A75,Scoresheet!$U$2:$U$501,1,Scoresheet!$H$2:$H$501,"No")&gt;0,"🚩 Budget under AED 5k",IF(COUNTIFS(Scoresheet!$C$2:$C$501,A75,Scoresheet!$U$2:$U$501,1,Scoresheet!$J$2:$J$501,"No")&gt;0,"🚩 No one on camera",""))))</f>
        <v/>
      </c>
      <c r="T75" s="17"/>
      <c r="U75" s="17"/>
      <c r="V75" s="40"/>
      <c r="W75" s="17"/>
      <c r="X75" s="45" t="str">
        <f aca="false">IF(OR(E75="",V75="",OR(U75="Contract signed + paid",U75="Closed – No response",U75="Lost"),N(W75)&gt;=Settings!$S$3),"",V75+Settings!$S$2)</f>
        <v/>
      </c>
      <c r="Y75" s="40"/>
      <c r="Z75" s="41"/>
      <c r="AA75" s="17"/>
      <c r="AB75" s="17"/>
      <c r="AC75" s="17"/>
      <c r="AD75" s="46" t="str">
        <f aca="true">IF(OR(E75="",B75=""),"",INT(TODAY()-B75))</f>
        <v/>
      </c>
      <c r="AE75" s="44" t="str">
        <f aca="true">IF(E75="","",IF(OR(COUNTIFS(Clients!$C$2:$C$501,E75,Clients!$S$2:$S$501,"Paid")&gt;0,AND(I75&lt;&gt;"",COUNTIFS(Clients!$E$2:$E$501,I75,Clients!$S$2:$S$501,"Paid")&gt;0)),"⚠ Refunded before – no free video",IF(OR(U75="Contract signed + paid",U75="Closed – No response",U75="Lost"),"",IF(U75="","Set a stage",IF(AND(U75="Proposal sent",SUMIFS(Scoresheet!$N$2:$N$501,Scoresheet!$C$2:$C$501,A75,Scoresheet!$U$2:$U$501,1)&lt;6),"Score this lead – fill the call scoresheet",IF(N(W75)&gt;=Settings!$S$3,"Close – 4 follow-ups sent",IF(X75="",IF(V75="","Make first contact",""),IF(TODAY()&gt;X75,"OVERDUE follow-up",IF(TODAY()=X75,"Follow up today","")))))))))</f>
        <v/>
      </c>
    </row>
    <row r="76" customFormat="false" ht="15" hidden="false" customHeight="false" outlineLevel="0" collapsed="false">
      <c r="A76" s="17"/>
      <c r="B76" s="40"/>
      <c r="C76" s="41"/>
      <c r="D76" s="17"/>
      <c r="E76" s="17"/>
      <c r="F76" s="17"/>
      <c r="G76" s="17"/>
      <c r="H76" s="17"/>
      <c r="I76" s="42"/>
      <c r="J76" s="17"/>
      <c r="K76" s="17"/>
      <c r="L76" s="17"/>
      <c r="M76" s="17"/>
      <c r="N76" s="40"/>
      <c r="O76" s="41"/>
      <c r="P76" s="43" t="str">
        <f aca="false">IF(OR(B76="",N76=""),"",ROUND(((N76+N(O76))-(B76+N(C76)))*24,1))</f>
        <v/>
      </c>
      <c r="Q76" s="44" t="str">
        <f aca="false">IF(OR(E76="",A76="",COUNTIFS(Scoresheet!$C$2:$C$501,A76,Scoresheet!$U$2:$U$501,1)=0),"",SUMIFS(Scoresheet!$O$2:$O$501,Scoresheet!$C$2:$C$501,A76,Scoresheet!$U$2:$U$501,1))</f>
        <v/>
      </c>
      <c r="R76" s="44" t="str">
        <f aca="false">IF(E76="","",IF(OR(A76="",COUNTIFS(Scoresheet!$C$2:$C$501,A76,Scoresheet!$U$2:$U$501,1)=0),"No scoresheet yet",IF(SUMIFS(Scoresheet!$N$2:$N$501,Scoresheet!$C$2:$C$501,A76,Scoresheet!$U$2:$U$501,1)&lt;6,"Partly scored ("&amp;SUMIFS(Scoresheet!$N$2:$N$501,Scoresheet!$C$2:$C$501,A76,Scoresheet!$U$2:$U$501,1)&amp;"/6)",IF(Q76&gt;=Settings!$S$8,"Hot",IF(Q76&gt;=Settings!$S$9,"Warm","Cold")))))</f>
        <v/>
      </c>
      <c r="S76" s="44" t="str">
        <f aca="false">IF(OR(E76="",A76=""),"",IF(AND(COUNTIFS(Scoresheet!$C$2:$C$501,A76,Scoresheet!$U$2:$U$501,1,Scoresheet!$H$2:$H$501,"No")&gt;0,COUNTIFS(Scoresheet!$C$2:$C$501,A76,Scoresheet!$U$2:$U$501,1,Scoresheet!$J$2:$J$501,"No")&gt;0),"🚩 Budget  ·  🚩 No one on camera",IF(COUNTIFS(Scoresheet!$C$2:$C$501,A76,Scoresheet!$U$2:$U$501,1,Scoresheet!$H$2:$H$501,"No")&gt;0,"🚩 Budget under AED 5k",IF(COUNTIFS(Scoresheet!$C$2:$C$501,A76,Scoresheet!$U$2:$U$501,1,Scoresheet!$J$2:$J$501,"No")&gt;0,"🚩 No one on camera",""))))</f>
        <v/>
      </c>
      <c r="T76" s="17"/>
      <c r="U76" s="17"/>
      <c r="V76" s="40"/>
      <c r="W76" s="17"/>
      <c r="X76" s="45" t="str">
        <f aca="false">IF(OR(E76="",V76="",OR(U76="Contract signed + paid",U76="Closed – No response",U76="Lost"),N(W76)&gt;=Settings!$S$3),"",V76+Settings!$S$2)</f>
        <v/>
      </c>
      <c r="Y76" s="40"/>
      <c r="Z76" s="41"/>
      <c r="AA76" s="17"/>
      <c r="AB76" s="17"/>
      <c r="AC76" s="17"/>
      <c r="AD76" s="46" t="str">
        <f aca="true">IF(OR(E76="",B76=""),"",INT(TODAY()-B76))</f>
        <v/>
      </c>
      <c r="AE76" s="44" t="str">
        <f aca="true">IF(E76="","",IF(OR(COUNTIFS(Clients!$C$2:$C$501,E76,Clients!$S$2:$S$501,"Paid")&gt;0,AND(I76&lt;&gt;"",COUNTIFS(Clients!$E$2:$E$501,I76,Clients!$S$2:$S$501,"Paid")&gt;0)),"⚠ Refunded before – no free video",IF(OR(U76="Contract signed + paid",U76="Closed – No response",U76="Lost"),"",IF(U76="","Set a stage",IF(AND(U76="Proposal sent",SUMIFS(Scoresheet!$N$2:$N$501,Scoresheet!$C$2:$C$501,A76,Scoresheet!$U$2:$U$501,1)&lt;6),"Score this lead – fill the call scoresheet",IF(N(W76)&gt;=Settings!$S$3,"Close – 4 follow-ups sent",IF(X76="",IF(V76="","Make first contact",""),IF(TODAY()&gt;X76,"OVERDUE follow-up",IF(TODAY()=X76,"Follow up today","")))))))))</f>
        <v/>
      </c>
    </row>
    <row r="77" customFormat="false" ht="15" hidden="false" customHeight="false" outlineLevel="0" collapsed="false">
      <c r="A77" s="17"/>
      <c r="B77" s="40"/>
      <c r="C77" s="41"/>
      <c r="D77" s="17"/>
      <c r="E77" s="17"/>
      <c r="F77" s="17"/>
      <c r="G77" s="17"/>
      <c r="H77" s="17"/>
      <c r="I77" s="42"/>
      <c r="J77" s="17"/>
      <c r="K77" s="17"/>
      <c r="L77" s="17"/>
      <c r="M77" s="17"/>
      <c r="N77" s="40"/>
      <c r="O77" s="41"/>
      <c r="P77" s="43" t="str">
        <f aca="false">IF(OR(B77="",N77=""),"",ROUND(((N77+N(O77))-(B77+N(C77)))*24,1))</f>
        <v/>
      </c>
      <c r="Q77" s="44" t="str">
        <f aca="false">IF(OR(E77="",A77="",COUNTIFS(Scoresheet!$C$2:$C$501,A77,Scoresheet!$U$2:$U$501,1)=0),"",SUMIFS(Scoresheet!$O$2:$O$501,Scoresheet!$C$2:$C$501,A77,Scoresheet!$U$2:$U$501,1))</f>
        <v/>
      </c>
      <c r="R77" s="44" t="str">
        <f aca="false">IF(E77="","",IF(OR(A77="",COUNTIFS(Scoresheet!$C$2:$C$501,A77,Scoresheet!$U$2:$U$501,1)=0),"No scoresheet yet",IF(SUMIFS(Scoresheet!$N$2:$N$501,Scoresheet!$C$2:$C$501,A77,Scoresheet!$U$2:$U$501,1)&lt;6,"Partly scored ("&amp;SUMIFS(Scoresheet!$N$2:$N$501,Scoresheet!$C$2:$C$501,A77,Scoresheet!$U$2:$U$501,1)&amp;"/6)",IF(Q77&gt;=Settings!$S$8,"Hot",IF(Q77&gt;=Settings!$S$9,"Warm","Cold")))))</f>
        <v/>
      </c>
      <c r="S77" s="44" t="str">
        <f aca="false">IF(OR(E77="",A77=""),"",IF(AND(COUNTIFS(Scoresheet!$C$2:$C$501,A77,Scoresheet!$U$2:$U$501,1,Scoresheet!$H$2:$H$501,"No")&gt;0,COUNTIFS(Scoresheet!$C$2:$C$501,A77,Scoresheet!$U$2:$U$501,1,Scoresheet!$J$2:$J$501,"No")&gt;0),"🚩 Budget  ·  🚩 No one on camera",IF(COUNTIFS(Scoresheet!$C$2:$C$501,A77,Scoresheet!$U$2:$U$501,1,Scoresheet!$H$2:$H$501,"No")&gt;0,"🚩 Budget under AED 5k",IF(COUNTIFS(Scoresheet!$C$2:$C$501,A77,Scoresheet!$U$2:$U$501,1,Scoresheet!$J$2:$J$501,"No")&gt;0,"🚩 No one on camera",""))))</f>
        <v/>
      </c>
      <c r="T77" s="17"/>
      <c r="U77" s="17"/>
      <c r="V77" s="40"/>
      <c r="W77" s="17"/>
      <c r="X77" s="45" t="str">
        <f aca="false">IF(OR(E77="",V77="",OR(U77="Contract signed + paid",U77="Closed – No response",U77="Lost"),N(W77)&gt;=Settings!$S$3),"",V77+Settings!$S$2)</f>
        <v/>
      </c>
      <c r="Y77" s="40"/>
      <c r="Z77" s="41"/>
      <c r="AA77" s="17"/>
      <c r="AB77" s="17"/>
      <c r="AC77" s="17"/>
      <c r="AD77" s="46" t="str">
        <f aca="true">IF(OR(E77="",B77=""),"",INT(TODAY()-B77))</f>
        <v/>
      </c>
      <c r="AE77" s="44" t="str">
        <f aca="true">IF(E77="","",IF(OR(COUNTIFS(Clients!$C$2:$C$501,E77,Clients!$S$2:$S$501,"Paid")&gt;0,AND(I77&lt;&gt;"",COUNTIFS(Clients!$E$2:$E$501,I77,Clients!$S$2:$S$501,"Paid")&gt;0)),"⚠ Refunded before – no free video",IF(OR(U77="Contract signed + paid",U77="Closed – No response",U77="Lost"),"",IF(U77="","Set a stage",IF(AND(U77="Proposal sent",SUMIFS(Scoresheet!$N$2:$N$501,Scoresheet!$C$2:$C$501,A77,Scoresheet!$U$2:$U$501,1)&lt;6),"Score this lead – fill the call scoresheet",IF(N(W77)&gt;=Settings!$S$3,"Close – 4 follow-ups sent",IF(X77="",IF(V77="","Make first contact",""),IF(TODAY()&gt;X77,"OVERDUE follow-up",IF(TODAY()=X77,"Follow up today","")))))))))</f>
        <v/>
      </c>
    </row>
    <row r="78" customFormat="false" ht="15" hidden="false" customHeight="false" outlineLevel="0" collapsed="false">
      <c r="A78" s="17"/>
      <c r="B78" s="40"/>
      <c r="C78" s="41"/>
      <c r="D78" s="17"/>
      <c r="E78" s="17"/>
      <c r="F78" s="17"/>
      <c r="G78" s="17"/>
      <c r="H78" s="17"/>
      <c r="I78" s="42"/>
      <c r="J78" s="17"/>
      <c r="K78" s="17"/>
      <c r="L78" s="17"/>
      <c r="M78" s="17"/>
      <c r="N78" s="40"/>
      <c r="O78" s="41"/>
      <c r="P78" s="43" t="str">
        <f aca="false">IF(OR(B78="",N78=""),"",ROUND(((N78+N(O78))-(B78+N(C78)))*24,1))</f>
        <v/>
      </c>
      <c r="Q78" s="44" t="str">
        <f aca="false">IF(OR(E78="",A78="",COUNTIFS(Scoresheet!$C$2:$C$501,A78,Scoresheet!$U$2:$U$501,1)=0),"",SUMIFS(Scoresheet!$O$2:$O$501,Scoresheet!$C$2:$C$501,A78,Scoresheet!$U$2:$U$501,1))</f>
        <v/>
      </c>
      <c r="R78" s="44" t="str">
        <f aca="false">IF(E78="","",IF(OR(A78="",COUNTIFS(Scoresheet!$C$2:$C$501,A78,Scoresheet!$U$2:$U$501,1)=0),"No scoresheet yet",IF(SUMIFS(Scoresheet!$N$2:$N$501,Scoresheet!$C$2:$C$501,A78,Scoresheet!$U$2:$U$501,1)&lt;6,"Partly scored ("&amp;SUMIFS(Scoresheet!$N$2:$N$501,Scoresheet!$C$2:$C$501,A78,Scoresheet!$U$2:$U$501,1)&amp;"/6)",IF(Q78&gt;=Settings!$S$8,"Hot",IF(Q78&gt;=Settings!$S$9,"Warm","Cold")))))</f>
        <v/>
      </c>
      <c r="S78" s="44" t="str">
        <f aca="false">IF(OR(E78="",A78=""),"",IF(AND(COUNTIFS(Scoresheet!$C$2:$C$501,A78,Scoresheet!$U$2:$U$501,1,Scoresheet!$H$2:$H$501,"No")&gt;0,COUNTIFS(Scoresheet!$C$2:$C$501,A78,Scoresheet!$U$2:$U$501,1,Scoresheet!$J$2:$J$501,"No")&gt;0),"🚩 Budget  ·  🚩 No one on camera",IF(COUNTIFS(Scoresheet!$C$2:$C$501,A78,Scoresheet!$U$2:$U$501,1,Scoresheet!$H$2:$H$501,"No")&gt;0,"🚩 Budget under AED 5k",IF(COUNTIFS(Scoresheet!$C$2:$C$501,A78,Scoresheet!$U$2:$U$501,1,Scoresheet!$J$2:$J$501,"No")&gt;0,"🚩 No one on camera",""))))</f>
        <v/>
      </c>
      <c r="T78" s="17"/>
      <c r="U78" s="17"/>
      <c r="V78" s="40"/>
      <c r="W78" s="17"/>
      <c r="X78" s="45" t="str">
        <f aca="false">IF(OR(E78="",V78="",OR(U78="Contract signed + paid",U78="Closed – No response",U78="Lost"),N(W78)&gt;=Settings!$S$3),"",V78+Settings!$S$2)</f>
        <v/>
      </c>
      <c r="Y78" s="40"/>
      <c r="Z78" s="41"/>
      <c r="AA78" s="17"/>
      <c r="AB78" s="17"/>
      <c r="AC78" s="17"/>
      <c r="AD78" s="46" t="str">
        <f aca="true">IF(OR(E78="",B78=""),"",INT(TODAY()-B78))</f>
        <v/>
      </c>
      <c r="AE78" s="44" t="str">
        <f aca="true">IF(E78="","",IF(OR(COUNTIFS(Clients!$C$2:$C$501,E78,Clients!$S$2:$S$501,"Paid")&gt;0,AND(I78&lt;&gt;"",COUNTIFS(Clients!$E$2:$E$501,I78,Clients!$S$2:$S$501,"Paid")&gt;0)),"⚠ Refunded before – no free video",IF(OR(U78="Contract signed + paid",U78="Closed – No response",U78="Lost"),"",IF(U78="","Set a stage",IF(AND(U78="Proposal sent",SUMIFS(Scoresheet!$N$2:$N$501,Scoresheet!$C$2:$C$501,A78,Scoresheet!$U$2:$U$501,1)&lt;6),"Score this lead – fill the call scoresheet",IF(N(W78)&gt;=Settings!$S$3,"Close – 4 follow-ups sent",IF(X78="",IF(V78="","Make first contact",""),IF(TODAY()&gt;X78,"OVERDUE follow-up",IF(TODAY()=X78,"Follow up today","")))))))))</f>
        <v/>
      </c>
    </row>
    <row r="79" customFormat="false" ht="15" hidden="false" customHeight="false" outlineLevel="0" collapsed="false">
      <c r="A79" s="17"/>
      <c r="B79" s="40"/>
      <c r="C79" s="41"/>
      <c r="D79" s="17"/>
      <c r="E79" s="17"/>
      <c r="F79" s="17"/>
      <c r="G79" s="17"/>
      <c r="H79" s="17"/>
      <c r="I79" s="42"/>
      <c r="J79" s="17"/>
      <c r="K79" s="17"/>
      <c r="L79" s="17"/>
      <c r="M79" s="17"/>
      <c r="N79" s="40"/>
      <c r="O79" s="41"/>
      <c r="P79" s="43" t="str">
        <f aca="false">IF(OR(B79="",N79=""),"",ROUND(((N79+N(O79))-(B79+N(C79)))*24,1))</f>
        <v/>
      </c>
      <c r="Q79" s="44" t="str">
        <f aca="false">IF(OR(E79="",A79="",COUNTIFS(Scoresheet!$C$2:$C$501,A79,Scoresheet!$U$2:$U$501,1)=0),"",SUMIFS(Scoresheet!$O$2:$O$501,Scoresheet!$C$2:$C$501,A79,Scoresheet!$U$2:$U$501,1))</f>
        <v/>
      </c>
      <c r="R79" s="44" t="str">
        <f aca="false">IF(E79="","",IF(OR(A79="",COUNTIFS(Scoresheet!$C$2:$C$501,A79,Scoresheet!$U$2:$U$501,1)=0),"No scoresheet yet",IF(SUMIFS(Scoresheet!$N$2:$N$501,Scoresheet!$C$2:$C$501,A79,Scoresheet!$U$2:$U$501,1)&lt;6,"Partly scored ("&amp;SUMIFS(Scoresheet!$N$2:$N$501,Scoresheet!$C$2:$C$501,A79,Scoresheet!$U$2:$U$501,1)&amp;"/6)",IF(Q79&gt;=Settings!$S$8,"Hot",IF(Q79&gt;=Settings!$S$9,"Warm","Cold")))))</f>
        <v/>
      </c>
      <c r="S79" s="44" t="str">
        <f aca="false">IF(OR(E79="",A79=""),"",IF(AND(COUNTIFS(Scoresheet!$C$2:$C$501,A79,Scoresheet!$U$2:$U$501,1,Scoresheet!$H$2:$H$501,"No")&gt;0,COUNTIFS(Scoresheet!$C$2:$C$501,A79,Scoresheet!$U$2:$U$501,1,Scoresheet!$J$2:$J$501,"No")&gt;0),"🚩 Budget  ·  🚩 No one on camera",IF(COUNTIFS(Scoresheet!$C$2:$C$501,A79,Scoresheet!$U$2:$U$501,1,Scoresheet!$H$2:$H$501,"No")&gt;0,"🚩 Budget under AED 5k",IF(COUNTIFS(Scoresheet!$C$2:$C$501,A79,Scoresheet!$U$2:$U$501,1,Scoresheet!$J$2:$J$501,"No")&gt;0,"🚩 No one on camera",""))))</f>
        <v/>
      </c>
      <c r="T79" s="17"/>
      <c r="U79" s="17"/>
      <c r="V79" s="40"/>
      <c r="W79" s="17"/>
      <c r="X79" s="45" t="str">
        <f aca="false">IF(OR(E79="",V79="",OR(U79="Contract signed + paid",U79="Closed – No response",U79="Lost"),N(W79)&gt;=Settings!$S$3),"",V79+Settings!$S$2)</f>
        <v/>
      </c>
      <c r="Y79" s="40"/>
      <c r="Z79" s="41"/>
      <c r="AA79" s="17"/>
      <c r="AB79" s="17"/>
      <c r="AC79" s="17"/>
      <c r="AD79" s="46" t="str">
        <f aca="true">IF(OR(E79="",B79=""),"",INT(TODAY()-B79))</f>
        <v/>
      </c>
      <c r="AE79" s="44" t="str">
        <f aca="true">IF(E79="","",IF(OR(COUNTIFS(Clients!$C$2:$C$501,E79,Clients!$S$2:$S$501,"Paid")&gt;0,AND(I79&lt;&gt;"",COUNTIFS(Clients!$E$2:$E$501,I79,Clients!$S$2:$S$501,"Paid")&gt;0)),"⚠ Refunded before – no free video",IF(OR(U79="Contract signed + paid",U79="Closed – No response",U79="Lost"),"",IF(U79="","Set a stage",IF(AND(U79="Proposal sent",SUMIFS(Scoresheet!$N$2:$N$501,Scoresheet!$C$2:$C$501,A79,Scoresheet!$U$2:$U$501,1)&lt;6),"Score this lead – fill the call scoresheet",IF(N(W79)&gt;=Settings!$S$3,"Close – 4 follow-ups sent",IF(X79="",IF(V79="","Make first contact",""),IF(TODAY()&gt;X79,"OVERDUE follow-up",IF(TODAY()=X79,"Follow up today","")))))))))</f>
        <v/>
      </c>
    </row>
    <row r="80" customFormat="false" ht="15" hidden="false" customHeight="false" outlineLevel="0" collapsed="false">
      <c r="A80" s="17"/>
      <c r="B80" s="40"/>
      <c r="C80" s="41"/>
      <c r="D80" s="17"/>
      <c r="E80" s="17"/>
      <c r="F80" s="17"/>
      <c r="G80" s="17"/>
      <c r="H80" s="17"/>
      <c r="I80" s="42"/>
      <c r="J80" s="17"/>
      <c r="K80" s="17"/>
      <c r="L80" s="17"/>
      <c r="M80" s="17"/>
      <c r="N80" s="40"/>
      <c r="O80" s="41"/>
      <c r="P80" s="43" t="str">
        <f aca="false">IF(OR(B80="",N80=""),"",ROUND(((N80+N(O80))-(B80+N(C80)))*24,1))</f>
        <v/>
      </c>
      <c r="Q80" s="44" t="str">
        <f aca="false">IF(OR(E80="",A80="",COUNTIFS(Scoresheet!$C$2:$C$501,A80,Scoresheet!$U$2:$U$501,1)=0),"",SUMIFS(Scoresheet!$O$2:$O$501,Scoresheet!$C$2:$C$501,A80,Scoresheet!$U$2:$U$501,1))</f>
        <v/>
      </c>
      <c r="R80" s="44" t="str">
        <f aca="false">IF(E80="","",IF(OR(A80="",COUNTIFS(Scoresheet!$C$2:$C$501,A80,Scoresheet!$U$2:$U$501,1)=0),"No scoresheet yet",IF(SUMIFS(Scoresheet!$N$2:$N$501,Scoresheet!$C$2:$C$501,A80,Scoresheet!$U$2:$U$501,1)&lt;6,"Partly scored ("&amp;SUMIFS(Scoresheet!$N$2:$N$501,Scoresheet!$C$2:$C$501,A80,Scoresheet!$U$2:$U$501,1)&amp;"/6)",IF(Q80&gt;=Settings!$S$8,"Hot",IF(Q80&gt;=Settings!$S$9,"Warm","Cold")))))</f>
        <v/>
      </c>
      <c r="S80" s="44" t="str">
        <f aca="false">IF(OR(E80="",A80=""),"",IF(AND(COUNTIFS(Scoresheet!$C$2:$C$501,A80,Scoresheet!$U$2:$U$501,1,Scoresheet!$H$2:$H$501,"No")&gt;0,COUNTIFS(Scoresheet!$C$2:$C$501,A80,Scoresheet!$U$2:$U$501,1,Scoresheet!$J$2:$J$501,"No")&gt;0),"🚩 Budget  ·  🚩 No one on camera",IF(COUNTIFS(Scoresheet!$C$2:$C$501,A80,Scoresheet!$U$2:$U$501,1,Scoresheet!$H$2:$H$501,"No")&gt;0,"🚩 Budget under AED 5k",IF(COUNTIFS(Scoresheet!$C$2:$C$501,A80,Scoresheet!$U$2:$U$501,1,Scoresheet!$J$2:$J$501,"No")&gt;0,"🚩 No one on camera",""))))</f>
        <v/>
      </c>
      <c r="T80" s="17"/>
      <c r="U80" s="17"/>
      <c r="V80" s="40"/>
      <c r="W80" s="17"/>
      <c r="X80" s="45" t="str">
        <f aca="false">IF(OR(E80="",V80="",OR(U80="Contract signed + paid",U80="Closed – No response",U80="Lost"),N(W80)&gt;=Settings!$S$3),"",V80+Settings!$S$2)</f>
        <v/>
      </c>
      <c r="Y80" s="40"/>
      <c r="Z80" s="41"/>
      <c r="AA80" s="17"/>
      <c r="AB80" s="17"/>
      <c r="AC80" s="17"/>
      <c r="AD80" s="46" t="str">
        <f aca="true">IF(OR(E80="",B80=""),"",INT(TODAY()-B80))</f>
        <v/>
      </c>
      <c r="AE80" s="44" t="str">
        <f aca="true">IF(E80="","",IF(OR(COUNTIFS(Clients!$C$2:$C$501,E80,Clients!$S$2:$S$501,"Paid")&gt;0,AND(I80&lt;&gt;"",COUNTIFS(Clients!$E$2:$E$501,I80,Clients!$S$2:$S$501,"Paid")&gt;0)),"⚠ Refunded before – no free video",IF(OR(U80="Contract signed + paid",U80="Closed – No response",U80="Lost"),"",IF(U80="","Set a stage",IF(AND(U80="Proposal sent",SUMIFS(Scoresheet!$N$2:$N$501,Scoresheet!$C$2:$C$501,A80,Scoresheet!$U$2:$U$501,1)&lt;6),"Score this lead – fill the call scoresheet",IF(N(W80)&gt;=Settings!$S$3,"Close – 4 follow-ups sent",IF(X80="",IF(V80="","Make first contact",""),IF(TODAY()&gt;X80,"OVERDUE follow-up",IF(TODAY()=X80,"Follow up today","")))))))))</f>
        <v/>
      </c>
    </row>
    <row r="81" customFormat="false" ht="15" hidden="false" customHeight="false" outlineLevel="0" collapsed="false">
      <c r="A81" s="17"/>
      <c r="B81" s="40"/>
      <c r="C81" s="41"/>
      <c r="D81" s="17"/>
      <c r="E81" s="17"/>
      <c r="F81" s="17"/>
      <c r="G81" s="17"/>
      <c r="H81" s="17"/>
      <c r="I81" s="42"/>
      <c r="J81" s="17"/>
      <c r="K81" s="17"/>
      <c r="L81" s="17"/>
      <c r="M81" s="17"/>
      <c r="N81" s="40"/>
      <c r="O81" s="41"/>
      <c r="P81" s="43" t="str">
        <f aca="false">IF(OR(B81="",N81=""),"",ROUND(((N81+N(O81))-(B81+N(C81)))*24,1))</f>
        <v/>
      </c>
      <c r="Q81" s="44" t="str">
        <f aca="false">IF(OR(E81="",A81="",COUNTIFS(Scoresheet!$C$2:$C$501,A81,Scoresheet!$U$2:$U$501,1)=0),"",SUMIFS(Scoresheet!$O$2:$O$501,Scoresheet!$C$2:$C$501,A81,Scoresheet!$U$2:$U$501,1))</f>
        <v/>
      </c>
      <c r="R81" s="44" t="str">
        <f aca="false">IF(E81="","",IF(OR(A81="",COUNTIFS(Scoresheet!$C$2:$C$501,A81,Scoresheet!$U$2:$U$501,1)=0),"No scoresheet yet",IF(SUMIFS(Scoresheet!$N$2:$N$501,Scoresheet!$C$2:$C$501,A81,Scoresheet!$U$2:$U$501,1)&lt;6,"Partly scored ("&amp;SUMIFS(Scoresheet!$N$2:$N$501,Scoresheet!$C$2:$C$501,A81,Scoresheet!$U$2:$U$501,1)&amp;"/6)",IF(Q81&gt;=Settings!$S$8,"Hot",IF(Q81&gt;=Settings!$S$9,"Warm","Cold")))))</f>
        <v/>
      </c>
      <c r="S81" s="44" t="str">
        <f aca="false">IF(OR(E81="",A81=""),"",IF(AND(COUNTIFS(Scoresheet!$C$2:$C$501,A81,Scoresheet!$U$2:$U$501,1,Scoresheet!$H$2:$H$501,"No")&gt;0,COUNTIFS(Scoresheet!$C$2:$C$501,A81,Scoresheet!$U$2:$U$501,1,Scoresheet!$J$2:$J$501,"No")&gt;0),"🚩 Budget  ·  🚩 No one on camera",IF(COUNTIFS(Scoresheet!$C$2:$C$501,A81,Scoresheet!$U$2:$U$501,1,Scoresheet!$H$2:$H$501,"No")&gt;0,"🚩 Budget under AED 5k",IF(COUNTIFS(Scoresheet!$C$2:$C$501,A81,Scoresheet!$U$2:$U$501,1,Scoresheet!$J$2:$J$501,"No")&gt;0,"🚩 No one on camera",""))))</f>
        <v/>
      </c>
      <c r="T81" s="17"/>
      <c r="U81" s="17"/>
      <c r="V81" s="40"/>
      <c r="W81" s="17"/>
      <c r="X81" s="45" t="str">
        <f aca="false">IF(OR(E81="",V81="",OR(U81="Contract signed + paid",U81="Closed – No response",U81="Lost"),N(W81)&gt;=Settings!$S$3),"",V81+Settings!$S$2)</f>
        <v/>
      </c>
      <c r="Y81" s="40"/>
      <c r="Z81" s="41"/>
      <c r="AA81" s="17"/>
      <c r="AB81" s="17"/>
      <c r="AC81" s="17"/>
      <c r="AD81" s="46" t="str">
        <f aca="true">IF(OR(E81="",B81=""),"",INT(TODAY()-B81))</f>
        <v/>
      </c>
      <c r="AE81" s="44" t="str">
        <f aca="true">IF(E81="","",IF(OR(COUNTIFS(Clients!$C$2:$C$501,E81,Clients!$S$2:$S$501,"Paid")&gt;0,AND(I81&lt;&gt;"",COUNTIFS(Clients!$E$2:$E$501,I81,Clients!$S$2:$S$501,"Paid")&gt;0)),"⚠ Refunded before – no free video",IF(OR(U81="Contract signed + paid",U81="Closed – No response",U81="Lost"),"",IF(U81="","Set a stage",IF(AND(U81="Proposal sent",SUMIFS(Scoresheet!$N$2:$N$501,Scoresheet!$C$2:$C$501,A81,Scoresheet!$U$2:$U$501,1)&lt;6),"Score this lead – fill the call scoresheet",IF(N(W81)&gt;=Settings!$S$3,"Close – 4 follow-ups sent",IF(X81="",IF(V81="","Make first contact",""),IF(TODAY()&gt;X81,"OVERDUE follow-up",IF(TODAY()=X81,"Follow up today","")))))))))</f>
        <v/>
      </c>
    </row>
    <row r="82" customFormat="false" ht="15" hidden="false" customHeight="false" outlineLevel="0" collapsed="false">
      <c r="A82" s="17"/>
      <c r="B82" s="40"/>
      <c r="C82" s="41"/>
      <c r="D82" s="17"/>
      <c r="E82" s="17"/>
      <c r="F82" s="17"/>
      <c r="G82" s="17"/>
      <c r="H82" s="17"/>
      <c r="I82" s="42"/>
      <c r="J82" s="17"/>
      <c r="K82" s="17"/>
      <c r="L82" s="17"/>
      <c r="M82" s="17"/>
      <c r="N82" s="40"/>
      <c r="O82" s="41"/>
      <c r="P82" s="43" t="str">
        <f aca="false">IF(OR(B82="",N82=""),"",ROUND(((N82+N(O82))-(B82+N(C82)))*24,1))</f>
        <v/>
      </c>
      <c r="Q82" s="44" t="str">
        <f aca="false">IF(OR(E82="",A82="",COUNTIFS(Scoresheet!$C$2:$C$501,A82,Scoresheet!$U$2:$U$501,1)=0),"",SUMIFS(Scoresheet!$O$2:$O$501,Scoresheet!$C$2:$C$501,A82,Scoresheet!$U$2:$U$501,1))</f>
        <v/>
      </c>
      <c r="R82" s="44" t="str">
        <f aca="false">IF(E82="","",IF(OR(A82="",COUNTIFS(Scoresheet!$C$2:$C$501,A82,Scoresheet!$U$2:$U$501,1)=0),"No scoresheet yet",IF(SUMIFS(Scoresheet!$N$2:$N$501,Scoresheet!$C$2:$C$501,A82,Scoresheet!$U$2:$U$501,1)&lt;6,"Partly scored ("&amp;SUMIFS(Scoresheet!$N$2:$N$501,Scoresheet!$C$2:$C$501,A82,Scoresheet!$U$2:$U$501,1)&amp;"/6)",IF(Q82&gt;=Settings!$S$8,"Hot",IF(Q82&gt;=Settings!$S$9,"Warm","Cold")))))</f>
        <v/>
      </c>
      <c r="S82" s="44" t="str">
        <f aca="false">IF(OR(E82="",A82=""),"",IF(AND(COUNTIFS(Scoresheet!$C$2:$C$501,A82,Scoresheet!$U$2:$U$501,1,Scoresheet!$H$2:$H$501,"No")&gt;0,COUNTIFS(Scoresheet!$C$2:$C$501,A82,Scoresheet!$U$2:$U$501,1,Scoresheet!$J$2:$J$501,"No")&gt;0),"🚩 Budget  ·  🚩 No one on camera",IF(COUNTIFS(Scoresheet!$C$2:$C$501,A82,Scoresheet!$U$2:$U$501,1,Scoresheet!$H$2:$H$501,"No")&gt;0,"🚩 Budget under AED 5k",IF(COUNTIFS(Scoresheet!$C$2:$C$501,A82,Scoresheet!$U$2:$U$501,1,Scoresheet!$J$2:$J$501,"No")&gt;0,"🚩 No one on camera",""))))</f>
        <v/>
      </c>
      <c r="T82" s="17"/>
      <c r="U82" s="17"/>
      <c r="V82" s="40"/>
      <c r="W82" s="17"/>
      <c r="X82" s="45" t="str">
        <f aca="false">IF(OR(E82="",V82="",OR(U82="Contract signed + paid",U82="Closed – No response",U82="Lost"),N(W82)&gt;=Settings!$S$3),"",V82+Settings!$S$2)</f>
        <v/>
      </c>
      <c r="Y82" s="40"/>
      <c r="Z82" s="41"/>
      <c r="AA82" s="17"/>
      <c r="AB82" s="17"/>
      <c r="AC82" s="17"/>
      <c r="AD82" s="46" t="str">
        <f aca="true">IF(OR(E82="",B82=""),"",INT(TODAY()-B82))</f>
        <v/>
      </c>
      <c r="AE82" s="44" t="str">
        <f aca="true">IF(E82="","",IF(OR(COUNTIFS(Clients!$C$2:$C$501,E82,Clients!$S$2:$S$501,"Paid")&gt;0,AND(I82&lt;&gt;"",COUNTIFS(Clients!$E$2:$E$501,I82,Clients!$S$2:$S$501,"Paid")&gt;0)),"⚠ Refunded before – no free video",IF(OR(U82="Contract signed + paid",U82="Closed – No response",U82="Lost"),"",IF(U82="","Set a stage",IF(AND(U82="Proposal sent",SUMIFS(Scoresheet!$N$2:$N$501,Scoresheet!$C$2:$C$501,A82,Scoresheet!$U$2:$U$501,1)&lt;6),"Score this lead – fill the call scoresheet",IF(N(W82)&gt;=Settings!$S$3,"Close – 4 follow-ups sent",IF(X82="",IF(V82="","Make first contact",""),IF(TODAY()&gt;X82,"OVERDUE follow-up",IF(TODAY()=X82,"Follow up today","")))))))))</f>
        <v/>
      </c>
    </row>
    <row r="83" customFormat="false" ht="15" hidden="false" customHeight="false" outlineLevel="0" collapsed="false">
      <c r="A83" s="17"/>
      <c r="B83" s="40"/>
      <c r="C83" s="41"/>
      <c r="D83" s="17"/>
      <c r="E83" s="17"/>
      <c r="F83" s="17"/>
      <c r="G83" s="17"/>
      <c r="H83" s="17"/>
      <c r="I83" s="42"/>
      <c r="J83" s="17"/>
      <c r="K83" s="17"/>
      <c r="L83" s="17"/>
      <c r="M83" s="17"/>
      <c r="N83" s="40"/>
      <c r="O83" s="41"/>
      <c r="P83" s="43" t="str">
        <f aca="false">IF(OR(B83="",N83=""),"",ROUND(((N83+N(O83))-(B83+N(C83)))*24,1))</f>
        <v/>
      </c>
      <c r="Q83" s="44" t="str">
        <f aca="false">IF(OR(E83="",A83="",COUNTIFS(Scoresheet!$C$2:$C$501,A83,Scoresheet!$U$2:$U$501,1)=0),"",SUMIFS(Scoresheet!$O$2:$O$501,Scoresheet!$C$2:$C$501,A83,Scoresheet!$U$2:$U$501,1))</f>
        <v/>
      </c>
      <c r="R83" s="44" t="str">
        <f aca="false">IF(E83="","",IF(OR(A83="",COUNTIFS(Scoresheet!$C$2:$C$501,A83,Scoresheet!$U$2:$U$501,1)=0),"No scoresheet yet",IF(SUMIFS(Scoresheet!$N$2:$N$501,Scoresheet!$C$2:$C$501,A83,Scoresheet!$U$2:$U$501,1)&lt;6,"Partly scored ("&amp;SUMIFS(Scoresheet!$N$2:$N$501,Scoresheet!$C$2:$C$501,A83,Scoresheet!$U$2:$U$501,1)&amp;"/6)",IF(Q83&gt;=Settings!$S$8,"Hot",IF(Q83&gt;=Settings!$S$9,"Warm","Cold")))))</f>
        <v/>
      </c>
      <c r="S83" s="44" t="str">
        <f aca="false">IF(OR(E83="",A83=""),"",IF(AND(COUNTIFS(Scoresheet!$C$2:$C$501,A83,Scoresheet!$U$2:$U$501,1,Scoresheet!$H$2:$H$501,"No")&gt;0,COUNTIFS(Scoresheet!$C$2:$C$501,A83,Scoresheet!$U$2:$U$501,1,Scoresheet!$J$2:$J$501,"No")&gt;0),"🚩 Budget  ·  🚩 No one on camera",IF(COUNTIFS(Scoresheet!$C$2:$C$501,A83,Scoresheet!$U$2:$U$501,1,Scoresheet!$H$2:$H$501,"No")&gt;0,"🚩 Budget under AED 5k",IF(COUNTIFS(Scoresheet!$C$2:$C$501,A83,Scoresheet!$U$2:$U$501,1,Scoresheet!$J$2:$J$501,"No")&gt;0,"🚩 No one on camera",""))))</f>
        <v/>
      </c>
      <c r="T83" s="17"/>
      <c r="U83" s="17"/>
      <c r="V83" s="40"/>
      <c r="W83" s="17"/>
      <c r="X83" s="45" t="str">
        <f aca="false">IF(OR(E83="",V83="",OR(U83="Contract signed + paid",U83="Closed – No response",U83="Lost"),N(W83)&gt;=Settings!$S$3),"",V83+Settings!$S$2)</f>
        <v/>
      </c>
      <c r="Y83" s="40"/>
      <c r="Z83" s="41"/>
      <c r="AA83" s="17"/>
      <c r="AB83" s="17"/>
      <c r="AC83" s="17"/>
      <c r="AD83" s="46" t="str">
        <f aca="true">IF(OR(E83="",B83=""),"",INT(TODAY()-B83))</f>
        <v/>
      </c>
      <c r="AE83" s="44" t="str">
        <f aca="true">IF(E83="","",IF(OR(COUNTIFS(Clients!$C$2:$C$501,E83,Clients!$S$2:$S$501,"Paid")&gt;0,AND(I83&lt;&gt;"",COUNTIFS(Clients!$E$2:$E$501,I83,Clients!$S$2:$S$501,"Paid")&gt;0)),"⚠ Refunded before – no free video",IF(OR(U83="Contract signed + paid",U83="Closed – No response",U83="Lost"),"",IF(U83="","Set a stage",IF(AND(U83="Proposal sent",SUMIFS(Scoresheet!$N$2:$N$501,Scoresheet!$C$2:$C$501,A83,Scoresheet!$U$2:$U$501,1)&lt;6),"Score this lead – fill the call scoresheet",IF(N(W83)&gt;=Settings!$S$3,"Close – 4 follow-ups sent",IF(X83="",IF(V83="","Make first contact",""),IF(TODAY()&gt;X83,"OVERDUE follow-up",IF(TODAY()=X83,"Follow up today","")))))))))</f>
        <v/>
      </c>
    </row>
    <row r="84" customFormat="false" ht="15" hidden="false" customHeight="false" outlineLevel="0" collapsed="false">
      <c r="A84" s="17"/>
      <c r="B84" s="40"/>
      <c r="C84" s="41"/>
      <c r="D84" s="17"/>
      <c r="E84" s="17"/>
      <c r="F84" s="17"/>
      <c r="G84" s="17"/>
      <c r="H84" s="17"/>
      <c r="I84" s="42"/>
      <c r="J84" s="17"/>
      <c r="K84" s="17"/>
      <c r="L84" s="17"/>
      <c r="M84" s="17"/>
      <c r="N84" s="40"/>
      <c r="O84" s="41"/>
      <c r="P84" s="43" t="str">
        <f aca="false">IF(OR(B84="",N84=""),"",ROUND(((N84+N(O84))-(B84+N(C84)))*24,1))</f>
        <v/>
      </c>
      <c r="Q84" s="44" t="str">
        <f aca="false">IF(OR(E84="",A84="",COUNTIFS(Scoresheet!$C$2:$C$501,A84,Scoresheet!$U$2:$U$501,1)=0),"",SUMIFS(Scoresheet!$O$2:$O$501,Scoresheet!$C$2:$C$501,A84,Scoresheet!$U$2:$U$501,1))</f>
        <v/>
      </c>
      <c r="R84" s="44" t="str">
        <f aca="false">IF(E84="","",IF(OR(A84="",COUNTIFS(Scoresheet!$C$2:$C$501,A84,Scoresheet!$U$2:$U$501,1)=0),"No scoresheet yet",IF(SUMIFS(Scoresheet!$N$2:$N$501,Scoresheet!$C$2:$C$501,A84,Scoresheet!$U$2:$U$501,1)&lt;6,"Partly scored ("&amp;SUMIFS(Scoresheet!$N$2:$N$501,Scoresheet!$C$2:$C$501,A84,Scoresheet!$U$2:$U$501,1)&amp;"/6)",IF(Q84&gt;=Settings!$S$8,"Hot",IF(Q84&gt;=Settings!$S$9,"Warm","Cold")))))</f>
        <v/>
      </c>
      <c r="S84" s="44" t="str">
        <f aca="false">IF(OR(E84="",A84=""),"",IF(AND(COUNTIFS(Scoresheet!$C$2:$C$501,A84,Scoresheet!$U$2:$U$501,1,Scoresheet!$H$2:$H$501,"No")&gt;0,COUNTIFS(Scoresheet!$C$2:$C$501,A84,Scoresheet!$U$2:$U$501,1,Scoresheet!$J$2:$J$501,"No")&gt;0),"🚩 Budget  ·  🚩 No one on camera",IF(COUNTIFS(Scoresheet!$C$2:$C$501,A84,Scoresheet!$U$2:$U$501,1,Scoresheet!$H$2:$H$501,"No")&gt;0,"🚩 Budget under AED 5k",IF(COUNTIFS(Scoresheet!$C$2:$C$501,A84,Scoresheet!$U$2:$U$501,1,Scoresheet!$J$2:$J$501,"No")&gt;0,"🚩 No one on camera",""))))</f>
        <v/>
      </c>
      <c r="T84" s="17"/>
      <c r="U84" s="17"/>
      <c r="V84" s="40"/>
      <c r="W84" s="17"/>
      <c r="X84" s="45" t="str">
        <f aca="false">IF(OR(E84="",V84="",OR(U84="Contract signed + paid",U84="Closed – No response",U84="Lost"),N(W84)&gt;=Settings!$S$3),"",V84+Settings!$S$2)</f>
        <v/>
      </c>
      <c r="Y84" s="40"/>
      <c r="Z84" s="41"/>
      <c r="AA84" s="17"/>
      <c r="AB84" s="17"/>
      <c r="AC84" s="17"/>
      <c r="AD84" s="46" t="str">
        <f aca="true">IF(OR(E84="",B84=""),"",INT(TODAY()-B84))</f>
        <v/>
      </c>
      <c r="AE84" s="44" t="str">
        <f aca="true">IF(E84="","",IF(OR(COUNTIFS(Clients!$C$2:$C$501,E84,Clients!$S$2:$S$501,"Paid")&gt;0,AND(I84&lt;&gt;"",COUNTIFS(Clients!$E$2:$E$501,I84,Clients!$S$2:$S$501,"Paid")&gt;0)),"⚠ Refunded before – no free video",IF(OR(U84="Contract signed + paid",U84="Closed – No response",U84="Lost"),"",IF(U84="","Set a stage",IF(AND(U84="Proposal sent",SUMIFS(Scoresheet!$N$2:$N$501,Scoresheet!$C$2:$C$501,A84,Scoresheet!$U$2:$U$501,1)&lt;6),"Score this lead – fill the call scoresheet",IF(N(W84)&gt;=Settings!$S$3,"Close – 4 follow-ups sent",IF(X84="",IF(V84="","Make first contact",""),IF(TODAY()&gt;X84,"OVERDUE follow-up",IF(TODAY()=X84,"Follow up today","")))))))))</f>
        <v/>
      </c>
    </row>
    <row r="85" customFormat="false" ht="15" hidden="false" customHeight="false" outlineLevel="0" collapsed="false">
      <c r="A85" s="17"/>
      <c r="B85" s="40"/>
      <c r="C85" s="41"/>
      <c r="D85" s="17"/>
      <c r="E85" s="17"/>
      <c r="F85" s="17"/>
      <c r="G85" s="17"/>
      <c r="H85" s="17"/>
      <c r="I85" s="42"/>
      <c r="J85" s="17"/>
      <c r="K85" s="17"/>
      <c r="L85" s="17"/>
      <c r="M85" s="17"/>
      <c r="N85" s="40"/>
      <c r="O85" s="41"/>
      <c r="P85" s="43" t="str">
        <f aca="false">IF(OR(B85="",N85=""),"",ROUND(((N85+N(O85))-(B85+N(C85)))*24,1))</f>
        <v/>
      </c>
      <c r="Q85" s="44" t="str">
        <f aca="false">IF(OR(E85="",A85="",COUNTIFS(Scoresheet!$C$2:$C$501,A85,Scoresheet!$U$2:$U$501,1)=0),"",SUMIFS(Scoresheet!$O$2:$O$501,Scoresheet!$C$2:$C$501,A85,Scoresheet!$U$2:$U$501,1))</f>
        <v/>
      </c>
      <c r="R85" s="44" t="str">
        <f aca="false">IF(E85="","",IF(OR(A85="",COUNTIFS(Scoresheet!$C$2:$C$501,A85,Scoresheet!$U$2:$U$501,1)=0),"No scoresheet yet",IF(SUMIFS(Scoresheet!$N$2:$N$501,Scoresheet!$C$2:$C$501,A85,Scoresheet!$U$2:$U$501,1)&lt;6,"Partly scored ("&amp;SUMIFS(Scoresheet!$N$2:$N$501,Scoresheet!$C$2:$C$501,A85,Scoresheet!$U$2:$U$501,1)&amp;"/6)",IF(Q85&gt;=Settings!$S$8,"Hot",IF(Q85&gt;=Settings!$S$9,"Warm","Cold")))))</f>
        <v/>
      </c>
      <c r="S85" s="44" t="str">
        <f aca="false">IF(OR(E85="",A85=""),"",IF(AND(COUNTIFS(Scoresheet!$C$2:$C$501,A85,Scoresheet!$U$2:$U$501,1,Scoresheet!$H$2:$H$501,"No")&gt;0,COUNTIFS(Scoresheet!$C$2:$C$501,A85,Scoresheet!$U$2:$U$501,1,Scoresheet!$J$2:$J$501,"No")&gt;0),"🚩 Budget  ·  🚩 No one on camera",IF(COUNTIFS(Scoresheet!$C$2:$C$501,A85,Scoresheet!$U$2:$U$501,1,Scoresheet!$H$2:$H$501,"No")&gt;0,"🚩 Budget under AED 5k",IF(COUNTIFS(Scoresheet!$C$2:$C$501,A85,Scoresheet!$U$2:$U$501,1,Scoresheet!$J$2:$J$501,"No")&gt;0,"🚩 No one on camera",""))))</f>
        <v/>
      </c>
      <c r="T85" s="17"/>
      <c r="U85" s="17"/>
      <c r="V85" s="40"/>
      <c r="W85" s="17"/>
      <c r="X85" s="45" t="str">
        <f aca="false">IF(OR(E85="",V85="",OR(U85="Contract signed + paid",U85="Closed – No response",U85="Lost"),N(W85)&gt;=Settings!$S$3),"",V85+Settings!$S$2)</f>
        <v/>
      </c>
      <c r="Y85" s="40"/>
      <c r="Z85" s="41"/>
      <c r="AA85" s="17"/>
      <c r="AB85" s="17"/>
      <c r="AC85" s="17"/>
      <c r="AD85" s="46" t="str">
        <f aca="true">IF(OR(E85="",B85=""),"",INT(TODAY()-B85))</f>
        <v/>
      </c>
      <c r="AE85" s="44" t="str">
        <f aca="true">IF(E85="","",IF(OR(COUNTIFS(Clients!$C$2:$C$501,E85,Clients!$S$2:$S$501,"Paid")&gt;0,AND(I85&lt;&gt;"",COUNTIFS(Clients!$E$2:$E$501,I85,Clients!$S$2:$S$501,"Paid")&gt;0)),"⚠ Refunded before – no free video",IF(OR(U85="Contract signed + paid",U85="Closed – No response",U85="Lost"),"",IF(U85="","Set a stage",IF(AND(U85="Proposal sent",SUMIFS(Scoresheet!$N$2:$N$501,Scoresheet!$C$2:$C$501,A85,Scoresheet!$U$2:$U$501,1)&lt;6),"Score this lead – fill the call scoresheet",IF(N(W85)&gt;=Settings!$S$3,"Close – 4 follow-ups sent",IF(X85="",IF(V85="","Make first contact",""),IF(TODAY()&gt;X85,"OVERDUE follow-up",IF(TODAY()=X85,"Follow up today","")))))))))</f>
        <v/>
      </c>
    </row>
    <row r="86" customFormat="false" ht="15" hidden="false" customHeight="false" outlineLevel="0" collapsed="false">
      <c r="A86" s="17"/>
      <c r="B86" s="40"/>
      <c r="C86" s="41"/>
      <c r="D86" s="17"/>
      <c r="E86" s="17"/>
      <c r="F86" s="17"/>
      <c r="G86" s="17"/>
      <c r="H86" s="17"/>
      <c r="I86" s="42"/>
      <c r="J86" s="17"/>
      <c r="K86" s="17"/>
      <c r="L86" s="17"/>
      <c r="M86" s="17"/>
      <c r="N86" s="40"/>
      <c r="O86" s="41"/>
      <c r="P86" s="43" t="str">
        <f aca="false">IF(OR(B86="",N86=""),"",ROUND(((N86+N(O86))-(B86+N(C86)))*24,1))</f>
        <v/>
      </c>
      <c r="Q86" s="44" t="str">
        <f aca="false">IF(OR(E86="",A86="",COUNTIFS(Scoresheet!$C$2:$C$501,A86,Scoresheet!$U$2:$U$501,1)=0),"",SUMIFS(Scoresheet!$O$2:$O$501,Scoresheet!$C$2:$C$501,A86,Scoresheet!$U$2:$U$501,1))</f>
        <v/>
      </c>
      <c r="R86" s="44" t="str">
        <f aca="false">IF(E86="","",IF(OR(A86="",COUNTIFS(Scoresheet!$C$2:$C$501,A86,Scoresheet!$U$2:$U$501,1)=0),"No scoresheet yet",IF(SUMIFS(Scoresheet!$N$2:$N$501,Scoresheet!$C$2:$C$501,A86,Scoresheet!$U$2:$U$501,1)&lt;6,"Partly scored ("&amp;SUMIFS(Scoresheet!$N$2:$N$501,Scoresheet!$C$2:$C$501,A86,Scoresheet!$U$2:$U$501,1)&amp;"/6)",IF(Q86&gt;=Settings!$S$8,"Hot",IF(Q86&gt;=Settings!$S$9,"Warm","Cold")))))</f>
        <v/>
      </c>
      <c r="S86" s="44" t="str">
        <f aca="false">IF(OR(E86="",A86=""),"",IF(AND(COUNTIFS(Scoresheet!$C$2:$C$501,A86,Scoresheet!$U$2:$U$501,1,Scoresheet!$H$2:$H$501,"No")&gt;0,COUNTIFS(Scoresheet!$C$2:$C$501,A86,Scoresheet!$U$2:$U$501,1,Scoresheet!$J$2:$J$501,"No")&gt;0),"🚩 Budget  ·  🚩 No one on camera",IF(COUNTIFS(Scoresheet!$C$2:$C$501,A86,Scoresheet!$U$2:$U$501,1,Scoresheet!$H$2:$H$501,"No")&gt;0,"🚩 Budget under AED 5k",IF(COUNTIFS(Scoresheet!$C$2:$C$501,A86,Scoresheet!$U$2:$U$501,1,Scoresheet!$J$2:$J$501,"No")&gt;0,"🚩 No one on camera",""))))</f>
        <v/>
      </c>
      <c r="T86" s="17"/>
      <c r="U86" s="17"/>
      <c r="V86" s="40"/>
      <c r="W86" s="17"/>
      <c r="X86" s="45" t="str">
        <f aca="false">IF(OR(E86="",V86="",OR(U86="Contract signed + paid",U86="Closed – No response",U86="Lost"),N(W86)&gt;=Settings!$S$3),"",V86+Settings!$S$2)</f>
        <v/>
      </c>
      <c r="Y86" s="40"/>
      <c r="Z86" s="41"/>
      <c r="AA86" s="17"/>
      <c r="AB86" s="17"/>
      <c r="AC86" s="17"/>
      <c r="AD86" s="46" t="str">
        <f aca="true">IF(OR(E86="",B86=""),"",INT(TODAY()-B86))</f>
        <v/>
      </c>
      <c r="AE86" s="44" t="str">
        <f aca="true">IF(E86="","",IF(OR(COUNTIFS(Clients!$C$2:$C$501,E86,Clients!$S$2:$S$501,"Paid")&gt;0,AND(I86&lt;&gt;"",COUNTIFS(Clients!$E$2:$E$501,I86,Clients!$S$2:$S$501,"Paid")&gt;0)),"⚠ Refunded before – no free video",IF(OR(U86="Contract signed + paid",U86="Closed – No response",U86="Lost"),"",IF(U86="","Set a stage",IF(AND(U86="Proposal sent",SUMIFS(Scoresheet!$N$2:$N$501,Scoresheet!$C$2:$C$501,A86,Scoresheet!$U$2:$U$501,1)&lt;6),"Score this lead – fill the call scoresheet",IF(N(W86)&gt;=Settings!$S$3,"Close – 4 follow-ups sent",IF(X86="",IF(V86="","Make first contact",""),IF(TODAY()&gt;X86,"OVERDUE follow-up",IF(TODAY()=X86,"Follow up today","")))))))))</f>
        <v/>
      </c>
    </row>
    <row r="87" customFormat="false" ht="15" hidden="false" customHeight="false" outlineLevel="0" collapsed="false">
      <c r="A87" s="17"/>
      <c r="B87" s="40"/>
      <c r="C87" s="41"/>
      <c r="D87" s="17"/>
      <c r="E87" s="17"/>
      <c r="F87" s="17"/>
      <c r="G87" s="17"/>
      <c r="H87" s="17"/>
      <c r="I87" s="42"/>
      <c r="J87" s="17"/>
      <c r="K87" s="17"/>
      <c r="L87" s="17"/>
      <c r="M87" s="17"/>
      <c r="N87" s="40"/>
      <c r="O87" s="41"/>
      <c r="P87" s="43" t="str">
        <f aca="false">IF(OR(B87="",N87=""),"",ROUND(((N87+N(O87))-(B87+N(C87)))*24,1))</f>
        <v/>
      </c>
      <c r="Q87" s="44" t="str">
        <f aca="false">IF(OR(E87="",A87="",COUNTIFS(Scoresheet!$C$2:$C$501,A87,Scoresheet!$U$2:$U$501,1)=0),"",SUMIFS(Scoresheet!$O$2:$O$501,Scoresheet!$C$2:$C$501,A87,Scoresheet!$U$2:$U$501,1))</f>
        <v/>
      </c>
      <c r="R87" s="44" t="str">
        <f aca="false">IF(E87="","",IF(OR(A87="",COUNTIFS(Scoresheet!$C$2:$C$501,A87,Scoresheet!$U$2:$U$501,1)=0),"No scoresheet yet",IF(SUMIFS(Scoresheet!$N$2:$N$501,Scoresheet!$C$2:$C$501,A87,Scoresheet!$U$2:$U$501,1)&lt;6,"Partly scored ("&amp;SUMIFS(Scoresheet!$N$2:$N$501,Scoresheet!$C$2:$C$501,A87,Scoresheet!$U$2:$U$501,1)&amp;"/6)",IF(Q87&gt;=Settings!$S$8,"Hot",IF(Q87&gt;=Settings!$S$9,"Warm","Cold")))))</f>
        <v/>
      </c>
      <c r="S87" s="44" t="str">
        <f aca="false">IF(OR(E87="",A87=""),"",IF(AND(COUNTIFS(Scoresheet!$C$2:$C$501,A87,Scoresheet!$U$2:$U$501,1,Scoresheet!$H$2:$H$501,"No")&gt;0,COUNTIFS(Scoresheet!$C$2:$C$501,A87,Scoresheet!$U$2:$U$501,1,Scoresheet!$J$2:$J$501,"No")&gt;0),"🚩 Budget  ·  🚩 No one on camera",IF(COUNTIFS(Scoresheet!$C$2:$C$501,A87,Scoresheet!$U$2:$U$501,1,Scoresheet!$H$2:$H$501,"No")&gt;0,"🚩 Budget under AED 5k",IF(COUNTIFS(Scoresheet!$C$2:$C$501,A87,Scoresheet!$U$2:$U$501,1,Scoresheet!$J$2:$J$501,"No")&gt;0,"🚩 No one on camera",""))))</f>
        <v/>
      </c>
      <c r="T87" s="17"/>
      <c r="U87" s="17"/>
      <c r="V87" s="40"/>
      <c r="W87" s="17"/>
      <c r="X87" s="45" t="str">
        <f aca="false">IF(OR(E87="",V87="",OR(U87="Contract signed + paid",U87="Closed – No response",U87="Lost"),N(W87)&gt;=Settings!$S$3),"",V87+Settings!$S$2)</f>
        <v/>
      </c>
      <c r="Y87" s="40"/>
      <c r="Z87" s="41"/>
      <c r="AA87" s="17"/>
      <c r="AB87" s="17"/>
      <c r="AC87" s="17"/>
      <c r="AD87" s="46" t="str">
        <f aca="true">IF(OR(E87="",B87=""),"",INT(TODAY()-B87))</f>
        <v/>
      </c>
      <c r="AE87" s="44" t="str">
        <f aca="true">IF(E87="","",IF(OR(COUNTIFS(Clients!$C$2:$C$501,E87,Clients!$S$2:$S$501,"Paid")&gt;0,AND(I87&lt;&gt;"",COUNTIFS(Clients!$E$2:$E$501,I87,Clients!$S$2:$S$501,"Paid")&gt;0)),"⚠ Refunded before – no free video",IF(OR(U87="Contract signed + paid",U87="Closed – No response",U87="Lost"),"",IF(U87="","Set a stage",IF(AND(U87="Proposal sent",SUMIFS(Scoresheet!$N$2:$N$501,Scoresheet!$C$2:$C$501,A87,Scoresheet!$U$2:$U$501,1)&lt;6),"Score this lead – fill the call scoresheet",IF(N(W87)&gt;=Settings!$S$3,"Close – 4 follow-ups sent",IF(X87="",IF(V87="","Make first contact",""),IF(TODAY()&gt;X87,"OVERDUE follow-up",IF(TODAY()=X87,"Follow up today","")))))))))</f>
        <v/>
      </c>
    </row>
    <row r="88" customFormat="false" ht="15" hidden="false" customHeight="false" outlineLevel="0" collapsed="false">
      <c r="A88" s="17"/>
      <c r="B88" s="40"/>
      <c r="C88" s="41"/>
      <c r="D88" s="17"/>
      <c r="E88" s="17"/>
      <c r="F88" s="17"/>
      <c r="G88" s="17"/>
      <c r="H88" s="17"/>
      <c r="I88" s="42"/>
      <c r="J88" s="17"/>
      <c r="K88" s="17"/>
      <c r="L88" s="17"/>
      <c r="M88" s="17"/>
      <c r="N88" s="40"/>
      <c r="O88" s="41"/>
      <c r="P88" s="43" t="str">
        <f aca="false">IF(OR(B88="",N88=""),"",ROUND(((N88+N(O88))-(B88+N(C88)))*24,1))</f>
        <v/>
      </c>
      <c r="Q88" s="44" t="str">
        <f aca="false">IF(OR(E88="",A88="",COUNTIFS(Scoresheet!$C$2:$C$501,A88,Scoresheet!$U$2:$U$501,1)=0),"",SUMIFS(Scoresheet!$O$2:$O$501,Scoresheet!$C$2:$C$501,A88,Scoresheet!$U$2:$U$501,1))</f>
        <v/>
      </c>
      <c r="R88" s="44" t="str">
        <f aca="false">IF(E88="","",IF(OR(A88="",COUNTIFS(Scoresheet!$C$2:$C$501,A88,Scoresheet!$U$2:$U$501,1)=0),"No scoresheet yet",IF(SUMIFS(Scoresheet!$N$2:$N$501,Scoresheet!$C$2:$C$501,A88,Scoresheet!$U$2:$U$501,1)&lt;6,"Partly scored ("&amp;SUMIFS(Scoresheet!$N$2:$N$501,Scoresheet!$C$2:$C$501,A88,Scoresheet!$U$2:$U$501,1)&amp;"/6)",IF(Q88&gt;=Settings!$S$8,"Hot",IF(Q88&gt;=Settings!$S$9,"Warm","Cold")))))</f>
        <v/>
      </c>
      <c r="S88" s="44" t="str">
        <f aca="false">IF(OR(E88="",A88=""),"",IF(AND(COUNTIFS(Scoresheet!$C$2:$C$501,A88,Scoresheet!$U$2:$U$501,1,Scoresheet!$H$2:$H$501,"No")&gt;0,COUNTIFS(Scoresheet!$C$2:$C$501,A88,Scoresheet!$U$2:$U$501,1,Scoresheet!$J$2:$J$501,"No")&gt;0),"🚩 Budget  ·  🚩 No one on camera",IF(COUNTIFS(Scoresheet!$C$2:$C$501,A88,Scoresheet!$U$2:$U$501,1,Scoresheet!$H$2:$H$501,"No")&gt;0,"🚩 Budget under AED 5k",IF(COUNTIFS(Scoresheet!$C$2:$C$501,A88,Scoresheet!$U$2:$U$501,1,Scoresheet!$J$2:$J$501,"No")&gt;0,"🚩 No one on camera",""))))</f>
        <v/>
      </c>
      <c r="T88" s="17"/>
      <c r="U88" s="17"/>
      <c r="V88" s="40"/>
      <c r="W88" s="17"/>
      <c r="X88" s="45" t="str">
        <f aca="false">IF(OR(E88="",V88="",OR(U88="Contract signed + paid",U88="Closed – No response",U88="Lost"),N(W88)&gt;=Settings!$S$3),"",V88+Settings!$S$2)</f>
        <v/>
      </c>
      <c r="Y88" s="40"/>
      <c r="Z88" s="41"/>
      <c r="AA88" s="17"/>
      <c r="AB88" s="17"/>
      <c r="AC88" s="17"/>
      <c r="AD88" s="46" t="str">
        <f aca="true">IF(OR(E88="",B88=""),"",INT(TODAY()-B88))</f>
        <v/>
      </c>
      <c r="AE88" s="44" t="str">
        <f aca="true">IF(E88="","",IF(OR(COUNTIFS(Clients!$C$2:$C$501,E88,Clients!$S$2:$S$501,"Paid")&gt;0,AND(I88&lt;&gt;"",COUNTIFS(Clients!$E$2:$E$501,I88,Clients!$S$2:$S$501,"Paid")&gt;0)),"⚠ Refunded before – no free video",IF(OR(U88="Contract signed + paid",U88="Closed – No response",U88="Lost"),"",IF(U88="","Set a stage",IF(AND(U88="Proposal sent",SUMIFS(Scoresheet!$N$2:$N$501,Scoresheet!$C$2:$C$501,A88,Scoresheet!$U$2:$U$501,1)&lt;6),"Score this lead – fill the call scoresheet",IF(N(W88)&gt;=Settings!$S$3,"Close – 4 follow-ups sent",IF(X88="",IF(V88="","Make first contact",""),IF(TODAY()&gt;X88,"OVERDUE follow-up",IF(TODAY()=X88,"Follow up today","")))))))))</f>
        <v/>
      </c>
    </row>
    <row r="89" customFormat="false" ht="15" hidden="false" customHeight="false" outlineLevel="0" collapsed="false">
      <c r="A89" s="17"/>
      <c r="B89" s="40"/>
      <c r="C89" s="41"/>
      <c r="D89" s="17"/>
      <c r="E89" s="17"/>
      <c r="F89" s="17"/>
      <c r="G89" s="17"/>
      <c r="H89" s="17"/>
      <c r="I89" s="42"/>
      <c r="J89" s="17"/>
      <c r="K89" s="17"/>
      <c r="L89" s="17"/>
      <c r="M89" s="17"/>
      <c r="N89" s="40"/>
      <c r="O89" s="41"/>
      <c r="P89" s="43" t="str">
        <f aca="false">IF(OR(B89="",N89=""),"",ROUND(((N89+N(O89))-(B89+N(C89)))*24,1))</f>
        <v/>
      </c>
      <c r="Q89" s="44" t="str">
        <f aca="false">IF(OR(E89="",A89="",COUNTIFS(Scoresheet!$C$2:$C$501,A89,Scoresheet!$U$2:$U$501,1)=0),"",SUMIFS(Scoresheet!$O$2:$O$501,Scoresheet!$C$2:$C$501,A89,Scoresheet!$U$2:$U$501,1))</f>
        <v/>
      </c>
      <c r="R89" s="44" t="str">
        <f aca="false">IF(E89="","",IF(OR(A89="",COUNTIFS(Scoresheet!$C$2:$C$501,A89,Scoresheet!$U$2:$U$501,1)=0),"No scoresheet yet",IF(SUMIFS(Scoresheet!$N$2:$N$501,Scoresheet!$C$2:$C$501,A89,Scoresheet!$U$2:$U$501,1)&lt;6,"Partly scored ("&amp;SUMIFS(Scoresheet!$N$2:$N$501,Scoresheet!$C$2:$C$501,A89,Scoresheet!$U$2:$U$501,1)&amp;"/6)",IF(Q89&gt;=Settings!$S$8,"Hot",IF(Q89&gt;=Settings!$S$9,"Warm","Cold")))))</f>
        <v/>
      </c>
      <c r="S89" s="44" t="str">
        <f aca="false">IF(OR(E89="",A89=""),"",IF(AND(COUNTIFS(Scoresheet!$C$2:$C$501,A89,Scoresheet!$U$2:$U$501,1,Scoresheet!$H$2:$H$501,"No")&gt;0,COUNTIFS(Scoresheet!$C$2:$C$501,A89,Scoresheet!$U$2:$U$501,1,Scoresheet!$J$2:$J$501,"No")&gt;0),"🚩 Budget  ·  🚩 No one on camera",IF(COUNTIFS(Scoresheet!$C$2:$C$501,A89,Scoresheet!$U$2:$U$501,1,Scoresheet!$H$2:$H$501,"No")&gt;0,"🚩 Budget under AED 5k",IF(COUNTIFS(Scoresheet!$C$2:$C$501,A89,Scoresheet!$U$2:$U$501,1,Scoresheet!$J$2:$J$501,"No")&gt;0,"🚩 No one on camera",""))))</f>
        <v/>
      </c>
      <c r="T89" s="17"/>
      <c r="U89" s="17"/>
      <c r="V89" s="40"/>
      <c r="W89" s="17"/>
      <c r="X89" s="45" t="str">
        <f aca="false">IF(OR(E89="",V89="",OR(U89="Contract signed + paid",U89="Closed – No response",U89="Lost"),N(W89)&gt;=Settings!$S$3),"",V89+Settings!$S$2)</f>
        <v/>
      </c>
      <c r="Y89" s="40"/>
      <c r="Z89" s="41"/>
      <c r="AA89" s="17"/>
      <c r="AB89" s="17"/>
      <c r="AC89" s="17"/>
      <c r="AD89" s="46" t="str">
        <f aca="true">IF(OR(E89="",B89=""),"",INT(TODAY()-B89))</f>
        <v/>
      </c>
      <c r="AE89" s="44" t="str">
        <f aca="true">IF(E89="","",IF(OR(COUNTIFS(Clients!$C$2:$C$501,E89,Clients!$S$2:$S$501,"Paid")&gt;0,AND(I89&lt;&gt;"",COUNTIFS(Clients!$E$2:$E$501,I89,Clients!$S$2:$S$501,"Paid")&gt;0)),"⚠ Refunded before – no free video",IF(OR(U89="Contract signed + paid",U89="Closed – No response",U89="Lost"),"",IF(U89="","Set a stage",IF(AND(U89="Proposal sent",SUMIFS(Scoresheet!$N$2:$N$501,Scoresheet!$C$2:$C$501,A89,Scoresheet!$U$2:$U$501,1)&lt;6),"Score this lead – fill the call scoresheet",IF(N(W89)&gt;=Settings!$S$3,"Close – 4 follow-ups sent",IF(X89="",IF(V89="","Make first contact",""),IF(TODAY()&gt;X89,"OVERDUE follow-up",IF(TODAY()=X89,"Follow up today","")))))))))</f>
        <v/>
      </c>
    </row>
    <row r="90" customFormat="false" ht="15" hidden="false" customHeight="false" outlineLevel="0" collapsed="false">
      <c r="A90" s="17"/>
      <c r="B90" s="40"/>
      <c r="C90" s="41"/>
      <c r="D90" s="17"/>
      <c r="E90" s="17"/>
      <c r="F90" s="17"/>
      <c r="G90" s="17"/>
      <c r="H90" s="17"/>
      <c r="I90" s="42"/>
      <c r="J90" s="17"/>
      <c r="K90" s="17"/>
      <c r="L90" s="17"/>
      <c r="M90" s="17"/>
      <c r="N90" s="40"/>
      <c r="O90" s="41"/>
      <c r="P90" s="43" t="str">
        <f aca="false">IF(OR(B90="",N90=""),"",ROUND(((N90+N(O90))-(B90+N(C90)))*24,1))</f>
        <v/>
      </c>
      <c r="Q90" s="44" t="str">
        <f aca="false">IF(OR(E90="",A90="",COUNTIFS(Scoresheet!$C$2:$C$501,A90,Scoresheet!$U$2:$U$501,1)=0),"",SUMIFS(Scoresheet!$O$2:$O$501,Scoresheet!$C$2:$C$501,A90,Scoresheet!$U$2:$U$501,1))</f>
        <v/>
      </c>
      <c r="R90" s="44" t="str">
        <f aca="false">IF(E90="","",IF(OR(A90="",COUNTIFS(Scoresheet!$C$2:$C$501,A90,Scoresheet!$U$2:$U$501,1)=0),"No scoresheet yet",IF(SUMIFS(Scoresheet!$N$2:$N$501,Scoresheet!$C$2:$C$501,A90,Scoresheet!$U$2:$U$501,1)&lt;6,"Partly scored ("&amp;SUMIFS(Scoresheet!$N$2:$N$501,Scoresheet!$C$2:$C$501,A90,Scoresheet!$U$2:$U$501,1)&amp;"/6)",IF(Q90&gt;=Settings!$S$8,"Hot",IF(Q90&gt;=Settings!$S$9,"Warm","Cold")))))</f>
        <v/>
      </c>
      <c r="S90" s="44" t="str">
        <f aca="false">IF(OR(E90="",A90=""),"",IF(AND(COUNTIFS(Scoresheet!$C$2:$C$501,A90,Scoresheet!$U$2:$U$501,1,Scoresheet!$H$2:$H$501,"No")&gt;0,COUNTIFS(Scoresheet!$C$2:$C$501,A90,Scoresheet!$U$2:$U$501,1,Scoresheet!$J$2:$J$501,"No")&gt;0),"🚩 Budget  ·  🚩 No one on camera",IF(COUNTIFS(Scoresheet!$C$2:$C$501,A90,Scoresheet!$U$2:$U$501,1,Scoresheet!$H$2:$H$501,"No")&gt;0,"🚩 Budget under AED 5k",IF(COUNTIFS(Scoresheet!$C$2:$C$501,A90,Scoresheet!$U$2:$U$501,1,Scoresheet!$J$2:$J$501,"No")&gt;0,"🚩 No one on camera",""))))</f>
        <v/>
      </c>
      <c r="T90" s="17"/>
      <c r="U90" s="17"/>
      <c r="V90" s="40"/>
      <c r="W90" s="17"/>
      <c r="X90" s="45" t="str">
        <f aca="false">IF(OR(E90="",V90="",OR(U90="Contract signed + paid",U90="Closed – No response",U90="Lost"),N(W90)&gt;=Settings!$S$3),"",V90+Settings!$S$2)</f>
        <v/>
      </c>
      <c r="Y90" s="40"/>
      <c r="Z90" s="41"/>
      <c r="AA90" s="17"/>
      <c r="AB90" s="17"/>
      <c r="AC90" s="17"/>
      <c r="AD90" s="46" t="str">
        <f aca="true">IF(OR(E90="",B90=""),"",INT(TODAY()-B90))</f>
        <v/>
      </c>
      <c r="AE90" s="44" t="str">
        <f aca="true">IF(E90="","",IF(OR(COUNTIFS(Clients!$C$2:$C$501,E90,Clients!$S$2:$S$501,"Paid")&gt;0,AND(I90&lt;&gt;"",COUNTIFS(Clients!$E$2:$E$501,I90,Clients!$S$2:$S$501,"Paid")&gt;0)),"⚠ Refunded before – no free video",IF(OR(U90="Contract signed + paid",U90="Closed – No response",U90="Lost"),"",IF(U90="","Set a stage",IF(AND(U90="Proposal sent",SUMIFS(Scoresheet!$N$2:$N$501,Scoresheet!$C$2:$C$501,A90,Scoresheet!$U$2:$U$501,1)&lt;6),"Score this lead – fill the call scoresheet",IF(N(W90)&gt;=Settings!$S$3,"Close – 4 follow-ups sent",IF(X90="",IF(V90="","Make first contact",""),IF(TODAY()&gt;X90,"OVERDUE follow-up",IF(TODAY()=X90,"Follow up today","")))))))))</f>
        <v/>
      </c>
    </row>
    <row r="91" customFormat="false" ht="15" hidden="false" customHeight="false" outlineLevel="0" collapsed="false">
      <c r="A91" s="17"/>
      <c r="B91" s="40"/>
      <c r="C91" s="41"/>
      <c r="D91" s="17"/>
      <c r="E91" s="17"/>
      <c r="F91" s="17"/>
      <c r="G91" s="17"/>
      <c r="H91" s="17"/>
      <c r="I91" s="42"/>
      <c r="J91" s="17"/>
      <c r="K91" s="17"/>
      <c r="L91" s="17"/>
      <c r="M91" s="17"/>
      <c r="N91" s="40"/>
      <c r="O91" s="41"/>
      <c r="P91" s="43" t="str">
        <f aca="false">IF(OR(B91="",N91=""),"",ROUND(((N91+N(O91))-(B91+N(C91)))*24,1))</f>
        <v/>
      </c>
      <c r="Q91" s="44" t="str">
        <f aca="false">IF(OR(E91="",A91="",COUNTIFS(Scoresheet!$C$2:$C$501,A91,Scoresheet!$U$2:$U$501,1)=0),"",SUMIFS(Scoresheet!$O$2:$O$501,Scoresheet!$C$2:$C$501,A91,Scoresheet!$U$2:$U$501,1))</f>
        <v/>
      </c>
      <c r="R91" s="44" t="str">
        <f aca="false">IF(E91="","",IF(OR(A91="",COUNTIFS(Scoresheet!$C$2:$C$501,A91,Scoresheet!$U$2:$U$501,1)=0),"No scoresheet yet",IF(SUMIFS(Scoresheet!$N$2:$N$501,Scoresheet!$C$2:$C$501,A91,Scoresheet!$U$2:$U$501,1)&lt;6,"Partly scored ("&amp;SUMIFS(Scoresheet!$N$2:$N$501,Scoresheet!$C$2:$C$501,A91,Scoresheet!$U$2:$U$501,1)&amp;"/6)",IF(Q91&gt;=Settings!$S$8,"Hot",IF(Q91&gt;=Settings!$S$9,"Warm","Cold")))))</f>
        <v/>
      </c>
      <c r="S91" s="44" t="str">
        <f aca="false">IF(OR(E91="",A91=""),"",IF(AND(COUNTIFS(Scoresheet!$C$2:$C$501,A91,Scoresheet!$U$2:$U$501,1,Scoresheet!$H$2:$H$501,"No")&gt;0,COUNTIFS(Scoresheet!$C$2:$C$501,A91,Scoresheet!$U$2:$U$501,1,Scoresheet!$J$2:$J$501,"No")&gt;0),"🚩 Budget  ·  🚩 No one on camera",IF(COUNTIFS(Scoresheet!$C$2:$C$501,A91,Scoresheet!$U$2:$U$501,1,Scoresheet!$H$2:$H$501,"No")&gt;0,"🚩 Budget under AED 5k",IF(COUNTIFS(Scoresheet!$C$2:$C$501,A91,Scoresheet!$U$2:$U$501,1,Scoresheet!$J$2:$J$501,"No")&gt;0,"🚩 No one on camera",""))))</f>
        <v/>
      </c>
      <c r="T91" s="17"/>
      <c r="U91" s="17"/>
      <c r="V91" s="40"/>
      <c r="W91" s="17"/>
      <c r="X91" s="45" t="str">
        <f aca="false">IF(OR(E91="",V91="",OR(U91="Contract signed + paid",U91="Closed – No response",U91="Lost"),N(W91)&gt;=Settings!$S$3),"",V91+Settings!$S$2)</f>
        <v/>
      </c>
      <c r="Y91" s="40"/>
      <c r="Z91" s="41"/>
      <c r="AA91" s="17"/>
      <c r="AB91" s="17"/>
      <c r="AC91" s="17"/>
      <c r="AD91" s="46" t="str">
        <f aca="true">IF(OR(E91="",B91=""),"",INT(TODAY()-B91))</f>
        <v/>
      </c>
      <c r="AE91" s="44" t="str">
        <f aca="true">IF(E91="","",IF(OR(COUNTIFS(Clients!$C$2:$C$501,E91,Clients!$S$2:$S$501,"Paid")&gt;0,AND(I91&lt;&gt;"",COUNTIFS(Clients!$E$2:$E$501,I91,Clients!$S$2:$S$501,"Paid")&gt;0)),"⚠ Refunded before – no free video",IF(OR(U91="Contract signed + paid",U91="Closed – No response",U91="Lost"),"",IF(U91="","Set a stage",IF(AND(U91="Proposal sent",SUMIFS(Scoresheet!$N$2:$N$501,Scoresheet!$C$2:$C$501,A91,Scoresheet!$U$2:$U$501,1)&lt;6),"Score this lead – fill the call scoresheet",IF(N(W91)&gt;=Settings!$S$3,"Close – 4 follow-ups sent",IF(X91="",IF(V91="","Make first contact",""),IF(TODAY()&gt;X91,"OVERDUE follow-up",IF(TODAY()=X91,"Follow up today","")))))))))</f>
        <v/>
      </c>
    </row>
    <row r="92" customFormat="false" ht="15" hidden="false" customHeight="false" outlineLevel="0" collapsed="false">
      <c r="A92" s="17"/>
      <c r="B92" s="40"/>
      <c r="C92" s="41"/>
      <c r="D92" s="17"/>
      <c r="E92" s="17"/>
      <c r="F92" s="17"/>
      <c r="G92" s="17"/>
      <c r="H92" s="17"/>
      <c r="I92" s="42"/>
      <c r="J92" s="17"/>
      <c r="K92" s="17"/>
      <c r="L92" s="17"/>
      <c r="M92" s="17"/>
      <c r="N92" s="40"/>
      <c r="O92" s="41"/>
      <c r="P92" s="43" t="str">
        <f aca="false">IF(OR(B92="",N92=""),"",ROUND(((N92+N(O92))-(B92+N(C92)))*24,1))</f>
        <v/>
      </c>
      <c r="Q92" s="44" t="str">
        <f aca="false">IF(OR(E92="",A92="",COUNTIFS(Scoresheet!$C$2:$C$501,A92,Scoresheet!$U$2:$U$501,1)=0),"",SUMIFS(Scoresheet!$O$2:$O$501,Scoresheet!$C$2:$C$501,A92,Scoresheet!$U$2:$U$501,1))</f>
        <v/>
      </c>
      <c r="R92" s="44" t="str">
        <f aca="false">IF(E92="","",IF(OR(A92="",COUNTIFS(Scoresheet!$C$2:$C$501,A92,Scoresheet!$U$2:$U$501,1)=0),"No scoresheet yet",IF(SUMIFS(Scoresheet!$N$2:$N$501,Scoresheet!$C$2:$C$501,A92,Scoresheet!$U$2:$U$501,1)&lt;6,"Partly scored ("&amp;SUMIFS(Scoresheet!$N$2:$N$501,Scoresheet!$C$2:$C$501,A92,Scoresheet!$U$2:$U$501,1)&amp;"/6)",IF(Q92&gt;=Settings!$S$8,"Hot",IF(Q92&gt;=Settings!$S$9,"Warm","Cold")))))</f>
        <v/>
      </c>
      <c r="S92" s="44" t="str">
        <f aca="false">IF(OR(E92="",A92=""),"",IF(AND(COUNTIFS(Scoresheet!$C$2:$C$501,A92,Scoresheet!$U$2:$U$501,1,Scoresheet!$H$2:$H$501,"No")&gt;0,COUNTIFS(Scoresheet!$C$2:$C$501,A92,Scoresheet!$U$2:$U$501,1,Scoresheet!$J$2:$J$501,"No")&gt;0),"🚩 Budget  ·  🚩 No one on camera",IF(COUNTIFS(Scoresheet!$C$2:$C$501,A92,Scoresheet!$U$2:$U$501,1,Scoresheet!$H$2:$H$501,"No")&gt;0,"🚩 Budget under AED 5k",IF(COUNTIFS(Scoresheet!$C$2:$C$501,A92,Scoresheet!$U$2:$U$501,1,Scoresheet!$J$2:$J$501,"No")&gt;0,"🚩 No one on camera",""))))</f>
        <v/>
      </c>
      <c r="T92" s="17"/>
      <c r="U92" s="17"/>
      <c r="V92" s="40"/>
      <c r="W92" s="17"/>
      <c r="X92" s="45" t="str">
        <f aca="false">IF(OR(E92="",V92="",OR(U92="Contract signed + paid",U92="Closed – No response",U92="Lost"),N(W92)&gt;=Settings!$S$3),"",V92+Settings!$S$2)</f>
        <v/>
      </c>
      <c r="Y92" s="40"/>
      <c r="Z92" s="41"/>
      <c r="AA92" s="17"/>
      <c r="AB92" s="17"/>
      <c r="AC92" s="17"/>
      <c r="AD92" s="46" t="str">
        <f aca="true">IF(OR(E92="",B92=""),"",INT(TODAY()-B92))</f>
        <v/>
      </c>
      <c r="AE92" s="44" t="str">
        <f aca="true">IF(E92="","",IF(OR(COUNTIFS(Clients!$C$2:$C$501,E92,Clients!$S$2:$S$501,"Paid")&gt;0,AND(I92&lt;&gt;"",COUNTIFS(Clients!$E$2:$E$501,I92,Clients!$S$2:$S$501,"Paid")&gt;0)),"⚠ Refunded before – no free video",IF(OR(U92="Contract signed + paid",U92="Closed – No response",U92="Lost"),"",IF(U92="","Set a stage",IF(AND(U92="Proposal sent",SUMIFS(Scoresheet!$N$2:$N$501,Scoresheet!$C$2:$C$501,A92,Scoresheet!$U$2:$U$501,1)&lt;6),"Score this lead – fill the call scoresheet",IF(N(W92)&gt;=Settings!$S$3,"Close – 4 follow-ups sent",IF(X92="",IF(V92="","Make first contact",""),IF(TODAY()&gt;X92,"OVERDUE follow-up",IF(TODAY()=X92,"Follow up today","")))))))))</f>
        <v/>
      </c>
    </row>
    <row r="93" customFormat="false" ht="15" hidden="false" customHeight="false" outlineLevel="0" collapsed="false">
      <c r="A93" s="17"/>
      <c r="B93" s="40"/>
      <c r="C93" s="41"/>
      <c r="D93" s="17"/>
      <c r="E93" s="17"/>
      <c r="F93" s="17"/>
      <c r="G93" s="17"/>
      <c r="H93" s="17"/>
      <c r="I93" s="42"/>
      <c r="J93" s="17"/>
      <c r="K93" s="17"/>
      <c r="L93" s="17"/>
      <c r="M93" s="17"/>
      <c r="N93" s="40"/>
      <c r="O93" s="41"/>
      <c r="P93" s="43" t="str">
        <f aca="false">IF(OR(B93="",N93=""),"",ROUND(((N93+N(O93))-(B93+N(C93)))*24,1))</f>
        <v/>
      </c>
      <c r="Q93" s="44" t="str">
        <f aca="false">IF(OR(E93="",A93="",COUNTIFS(Scoresheet!$C$2:$C$501,A93,Scoresheet!$U$2:$U$501,1)=0),"",SUMIFS(Scoresheet!$O$2:$O$501,Scoresheet!$C$2:$C$501,A93,Scoresheet!$U$2:$U$501,1))</f>
        <v/>
      </c>
      <c r="R93" s="44" t="str">
        <f aca="false">IF(E93="","",IF(OR(A93="",COUNTIFS(Scoresheet!$C$2:$C$501,A93,Scoresheet!$U$2:$U$501,1)=0),"No scoresheet yet",IF(SUMIFS(Scoresheet!$N$2:$N$501,Scoresheet!$C$2:$C$501,A93,Scoresheet!$U$2:$U$501,1)&lt;6,"Partly scored ("&amp;SUMIFS(Scoresheet!$N$2:$N$501,Scoresheet!$C$2:$C$501,A93,Scoresheet!$U$2:$U$501,1)&amp;"/6)",IF(Q93&gt;=Settings!$S$8,"Hot",IF(Q93&gt;=Settings!$S$9,"Warm","Cold")))))</f>
        <v/>
      </c>
      <c r="S93" s="44" t="str">
        <f aca="false">IF(OR(E93="",A93=""),"",IF(AND(COUNTIFS(Scoresheet!$C$2:$C$501,A93,Scoresheet!$U$2:$U$501,1,Scoresheet!$H$2:$H$501,"No")&gt;0,COUNTIFS(Scoresheet!$C$2:$C$501,A93,Scoresheet!$U$2:$U$501,1,Scoresheet!$J$2:$J$501,"No")&gt;0),"🚩 Budget  ·  🚩 No one on camera",IF(COUNTIFS(Scoresheet!$C$2:$C$501,A93,Scoresheet!$U$2:$U$501,1,Scoresheet!$H$2:$H$501,"No")&gt;0,"🚩 Budget under AED 5k",IF(COUNTIFS(Scoresheet!$C$2:$C$501,A93,Scoresheet!$U$2:$U$501,1,Scoresheet!$J$2:$J$501,"No")&gt;0,"🚩 No one on camera",""))))</f>
        <v/>
      </c>
      <c r="T93" s="17"/>
      <c r="U93" s="17"/>
      <c r="V93" s="40"/>
      <c r="W93" s="17"/>
      <c r="X93" s="45" t="str">
        <f aca="false">IF(OR(E93="",V93="",OR(U93="Contract signed + paid",U93="Closed – No response",U93="Lost"),N(W93)&gt;=Settings!$S$3),"",V93+Settings!$S$2)</f>
        <v/>
      </c>
      <c r="Y93" s="40"/>
      <c r="Z93" s="41"/>
      <c r="AA93" s="17"/>
      <c r="AB93" s="17"/>
      <c r="AC93" s="17"/>
      <c r="AD93" s="46" t="str">
        <f aca="true">IF(OR(E93="",B93=""),"",INT(TODAY()-B93))</f>
        <v/>
      </c>
      <c r="AE93" s="44" t="str">
        <f aca="true">IF(E93="","",IF(OR(COUNTIFS(Clients!$C$2:$C$501,E93,Clients!$S$2:$S$501,"Paid")&gt;0,AND(I93&lt;&gt;"",COUNTIFS(Clients!$E$2:$E$501,I93,Clients!$S$2:$S$501,"Paid")&gt;0)),"⚠ Refunded before – no free video",IF(OR(U93="Contract signed + paid",U93="Closed – No response",U93="Lost"),"",IF(U93="","Set a stage",IF(AND(U93="Proposal sent",SUMIFS(Scoresheet!$N$2:$N$501,Scoresheet!$C$2:$C$501,A93,Scoresheet!$U$2:$U$501,1)&lt;6),"Score this lead – fill the call scoresheet",IF(N(W93)&gt;=Settings!$S$3,"Close – 4 follow-ups sent",IF(X93="",IF(V93="","Make first contact",""),IF(TODAY()&gt;X93,"OVERDUE follow-up",IF(TODAY()=X93,"Follow up today","")))))))))</f>
        <v/>
      </c>
    </row>
    <row r="94" customFormat="false" ht="15" hidden="false" customHeight="false" outlineLevel="0" collapsed="false">
      <c r="A94" s="17"/>
      <c r="B94" s="40"/>
      <c r="C94" s="41"/>
      <c r="D94" s="17"/>
      <c r="E94" s="17"/>
      <c r="F94" s="17"/>
      <c r="G94" s="17"/>
      <c r="H94" s="17"/>
      <c r="I94" s="42"/>
      <c r="J94" s="17"/>
      <c r="K94" s="17"/>
      <c r="L94" s="17"/>
      <c r="M94" s="17"/>
      <c r="N94" s="40"/>
      <c r="O94" s="41"/>
      <c r="P94" s="43" t="str">
        <f aca="false">IF(OR(B94="",N94=""),"",ROUND(((N94+N(O94))-(B94+N(C94)))*24,1))</f>
        <v/>
      </c>
      <c r="Q94" s="44" t="str">
        <f aca="false">IF(OR(E94="",A94="",COUNTIFS(Scoresheet!$C$2:$C$501,A94,Scoresheet!$U$2:$U$501,1)=0),"",SUMIFS(Scoresheet!$O$2:$O$501,Scoresheet!$C$2:$C$501,A94,Scoresheet!$U$2:$U$501,1))</f>
        <v/>
      </c>
      <c r="R94" s="44" t="str">
        <f aca="false">IF(E94="","",IF(OR(A94="",COUNTIFS(Scoresheet!$C$2:$C$501,A94,Scoresheet!$U$2:$U$501,1)=0),"No scoresheet yet",IF(SUMIFS(Scoresheet!$N$2:$N$501,Scoresheet!$C$2:$C$501,A94,Scoresheet!$U$2:$U$501,1)&lt;6,"Partly scored ("&amp;SUMIFS(Scoresheet!$N$2:$N$501,Scoresheet!$C$2:$C$501,A94,Scoresheet!$U$2:$U$501,1)&amp;"/6)",IF(Q94&gt;=Settings!$S$8,"Hot",IF(Q94&gt;=Settings!$S$9,"Warm","Cold")))))</f>
        <v/>
      </c>
      <c r="S94" s="44" t="str">
        <f aca="false">IF(OR(E94="",A94=""),"",IF(AND(COUNTIFS(Scoresheet!$C$2:$C$501,A94,Scoresheet!$U$2:$U$501,1,Scoresheet!$H$2:$H$501,"No")&gt;0,COUNTIFS(Scoresheet!$C$2:$C$501,A94,Scoresheet!$U$2:$U$501,1,Scoresheet!$J$2:$J$501,"No")&gt;0),"🚩 Budget  ·  🚩 No one on camera",IF(COUNTIFS(Scoresheet!$C$2:$C$501,A94,Scoresheet!$U$2:$U$501,1,Scoresheet!$H$2:$H$501,"No")&gt;0,"🚩 Budget under AED 5k",IF(COUNTIFS(Scoresheet!$C$2:$C$501,A94,Scoresheet!$U$2:$U$501,1,Scoresheet!$J$2:$J$501,"No")&gt;0,"🚩 No one on camera",""))))</f>
        <v/>
      </c>
      <c r="T94" s="17"/>
      <c r="U94" s="17"/>
      <c r="V94" s="40"/>
      <c r="W94" s="17"/>
      <c r="X94" s="45" t="str">
        <f aca="false">IF(OR(E94="",V94="",OR(U94="Contract signed + paid",U94="Closed – No response",U94="Lost"),N(W94)&gt;=Settings!$S$3),"",V94+Settings!$S$2)</f>
        <v/>
      </c>
      <c r="Y94" s="40"/>
      <c r="Z94" s="41"/>
      <c r="AA94" s="17"/>
      <c r="AB94" s="17"/>
      <c r="AC94" s="17"/>
      <c r="AD94" s="46" t="str">
        <f aca="true">IF(OR(E94="",B94=""),"",INT(TODAY()-B94))</f>
        <v/>
      </c>
      <c r="AE94" s="44" t="str">
        <f aca="true">IF(E94="","",IF(OR(COUNTIFS(Clients!$C$2:$C$501,E94,Clients!$S$2:$S$501,"Paid")&gt;0,AND(I94&lt;&gt;"",COUNTIFS(Clients!$E$2:$E$501,I94,Clients!$S$2:$S$501,"Paid")&gt;0)),"⚠ Refunded before – no free video",IF(OR(U94="Contract signed + paid",U94="Closed – No response",U94="Lost"),"",IF(U94="","Set a stage",IF(AND(U94="Proposal sent",SUMIFS(Scoresheet!$N$2:$N$501,Scoresheet!$C$2:$C$501,A94,Scoresheet!$U$2:$U$501,1)&lt;6),"Score this lead – fill the call scoresheet",IF(N(W94)&gt;=Settings!$S$3,"Close – 4 follow-ups sent",IF(X94="",IF(V94="","Make first contact",""),IF(TODAY()&gt;X94,"OVERDUE follow-up",IF(TODAY()=X94,"Follow up today","")))))))))</f>
        <v/>
      </c>
    </row>
    <row r="95" customFormat="false" ht="15" hidden="false" customHeight="false" outlineLevel="0" collapsed="false">
      <c r="A95" s="17"/>
      <c r="B95" s="40"/>
      <c r="C95" s="41"/>
      <c r="D95" s="17"/>
      <c r="E95" s="17"/>
      <c r="F95" s="17"/>
      <c r="G95" s="17"/>
      <c r="H95" s="17"/>
      <c r="I95" s="42"/>
      <c r="J95" s="17"/>
      <c r="K95" s="17"/>
      <c r="L95" s="17"/>
      <c r="M95" s="17"/>
      <c r="N95" s="40"/>
      <c r="O95" s="41"/>
      <c r="P95" s="43" t="str">
        <f aca="false">IF(OR(B95="",N95=""),"",ROUND(((N95+N(O95))-(B95+N(C95)))*24,1))</f>
        <v/>
      </c>
      <c r="Q95" s="44" t="str">
        <f aca="false">IF(OR(E95="",A95="",COUNTIFS(Scoresheet!$C$2:$C$501,A95,Scoresheet!$U$2:$U$501,1)=0),"",SUMIFS(Scoresheet!$O$2:$O$501,Scoresheet!$C$2:$C$501,A95,Scoresheet!$U$2:$U$501,1))</f>
        <v/>
      </c>
      <c r="R95" s="44" t="str">
        <f aca="false">IF(E95="","",IF(OR(A95="",COUNTIFS(Scoresheet!$C$2:$C$501,A95,Scoresheet!$U$2:$U$501,1)=0),"No scoresheet yet",IF(SUMIFS(Scoresheet!$N$2:$N$501,Scoresheet!$C$2:$C$501,A95,Scoresheet!$U$2:$U$501,1)&lt;6,"Partly scored ("&amp;SUMIFS(Scoresheet!$N$2:$N$501,Scoresheet!$C$2:$C$501,A95,Scoresheet!$U$2:$U$501,1)&amp;"/6)",IF(Q95&gt;=Settings!$S$8,"Hot",IF(Q95&gt;=Settings!$S$9,"Warm","Cold")))))</f>
        <v/>
      </c>
      <c r="S95" s="44" t="str">
        <f aca="false">IF(OR(E95="",A95=""),"",IF(AND(COUNTIFS(Scoresheet!$C$2:$C$501,A95,Scoresheet!$U$2:$U$501,1,Scoresheet!$H$2:$H$501,"No")&gt;0,COUNTIFS(Scoresheet!$C$2:$C$501,A95,Scoresheet!$U$2:$U$501,1,Scoresheet!$J$2:$J$501,"No")&gt;0),"🚩 Budget  ·  🚩 No one on camera",IF(COUNTIFS(Scoresheet!$C$2:$C$501,A95,Scoresheet!$U$2:$U$501,1,Scoresheet!$H$2:$H$501,"No")&gt;0,"🚩 Budget under AED 5k",IF(COUNTIFS(Scoresheet!$C$2:$C$501,A95,Scoresheet!$U$2:$U$501,1,Scoresheet!$J$2:$J$501,"No")&gt;0,"🚩 No one on camera",""))))</f>
        <v/>
      </c>
      <c r="T95" s="17"/>
      <c r="U95" s="17"/>
      <c r="V95" s="40"/>
      <c r="W95" s="17"/>
      <c r="X95" s="45" t="str">
        <f aca="false">IF(OR(E95="",V95="",OR(U95="Contract signed + paid",U95="Closed – No response",U95="Lost"),N(W95)&gt;=Settings!$S$3),"",V95+Settings!$S$2)</f>
        <v/>
      </c>
      <c r="Y95" s="40"/>
      <c r="Z95" s="41"/>
      <c r="AA95" s="17"/>
      <c r="AB95" s="17"/>
      <c r="AC95" s="17"/>
      <c r="AD95" s="46" t="str">
        <f aca="true">IF(OR(E95="",B95=""),"",INT(TODAY()-B95))</f>
        <v/>
      </c>
      <c r="AE95" s="44" t="str">
        <f aca="true">IF(E95="","",IF(OR(COUNTIFS(Clients!$C$2:$C$501,E95,Clients!$S$2:$S$501,"Paid")&gt;0,AND(I95&lt;&gt;"",COUNTIFS(Clients!$E$2:$E$501,I95,Clients!$S$2:$S$501,"Paid")&gt;0)),"⚠ Refunded before – no free video",IF(OR(U95="Contract signed + paid",U95="Closed – No response",U95="Lost"),"",IF(U95="","Set a stage",IF(AND(U95="Proposal sent",SUMIFS(Scoresheet!$N$2:$N$501,Scoresheet!$C$2:$C$501,A95,Scoresheet!$U$2:$U$501,1)&lt;6),"Score this lead – fill the call scoresheet",IF(N(W95)&gt;=Settings!$S$3,"Close – 4 follow-ups sent",IF(X95="",IF(V95="","Make first contact",""),IF(TODAY()&gt;X95,"OVERDUE follow-up",IF(TODAY()=X95,"Follow up today","")))))))))</f>
        <v/>
      </c>
    </row>
    <row r="96" customFormat="false" ht="15" hidden="false" customHeight="false" outlineLevel="0" collapsed="false">
      <c r="A96" s="17"/>
      <c r="B96" s="40"/>
      <c r="C96" s="41"/>
      <c r="D96" s="17"/>
      <c r="E96" s="17"/>
      <c r="F96" s="17"/>
      <c r="G96" s="17"/>
      <c r="H96" s="17"/>
      <c r="I96" s="42"/>
      <c r="J96" s="17"/>
      <c r="K96" s="17"/>
      <c r="L96" s="17"/>
      <c r="M96" s="17"/>
      <c r="N96" s="40"/>
      <c r="O96" s="41"/>
      <c r="P96" s="43" t="str">
        <f aca="false">IF(OR(B96="",N96=""),"",ROUND(((N96+N(O96))-(B96+N(C96)))*24,1))</f>
        <v/>
      </c>
      <c r="Q96" s="44" t="str">
        <f aca="false">IF(OR(E96="",A96="",COUNTIFS(Scoresheet!$C$2:$C$501,A96,Scoresheet!$U$2:$U$501,1)=0),"",SUMIFS(Scoresheet!$O$2:$O$501,Scoresheet!$C$2:$C$501,A96,Scoresheet!$U$2:$U$501,1))</f>
        <v/>
      </c>
      <c r="R96" s="44" t="str">
        <f aca="false">IF(E96="","",IF(OR(A96="",COUNTIFS(Scoresheet!$C$2:$C$501,A96,Scoresheet!$U$2:$U$501,1)=0),"No scoresheet yet",IF(SUMIFS(Scoresheet!$N$2:$N$501,Scoresheet!$C$2:$C$501,A96,Scoresheet!$U$2:$U$501,1)&lt;6,"Partly scored ("&amp;SUMIFS(Scoresheet!$N$2:$N$501,Scoresheet!$C$2:$C$501,A96,Scoresheet!$U$2:$U$501,1)&amp;"/6)",IF(Q96&gt;=Settings!$S$8,"Hot",IF(Q96&gt;=Settings!$S$9,"Warm","Cold")))))</f>
        <v/>
      </c>
      <c r="S96" s="44" t="str">
        <f aca="false">IF(OR(E96="",A96=""),"",IF(AND(COUNTIFS(Scoresheet!$C$2:$C$501,A96,Scoresheet!$U$2:$U$501,1,Scoresheet!$H$2:$H$501,"No")&gt;0,COUNTIFS(Scoresheet!$C$2:$C$501,A96,Scoresheet!$U$2:$U$501,1,Scoresheet!$J$2:$J$501,"No")&gt;0),"🚩 Budget  ·  🚩 No one on camera",IF(COUNTIFS(Scoresheet!$C$2:$C$501,A96,Scoresheet!$U$2:$U$501,1,Scoresheet!$H$2:$H$501,"No")&gt;0,"🚩 Budget under AED 5k",IF(COUNTIFS(Scoresheet!$C$2:$C$501,A96,Scoresheet!$U$2:$U$501,1,Scoresheet!$J$2:$J$501,"No")&gt;0,"🚩 No one on camera",""))))</f>
        <v/>
      </c>
      <c r="T96" s="17"/>
      <c r="U96" s="17"/>
      <c r="V96" s="40"/>
      <c r="W96" s="17"/>
      <c r="X96" s="45" t="str">
        <f aca="false">IF(OR(E96="",V96="",OR(U96="Contract signed + paid",U96="Closed – No response",U96="Lost"),N(W96)&gt;=Settings!$S$3),"",V96+Settings!$S$2)</f>
        <v/>
      </c>
      <c r="Y96" s="40"/>
      <c r="Z96" s="41"/>
      <c r="AA96" s="17"/>
      <c r="AB96" s="17"/>
      <c r="AC96" s="17"/>
      <c r="AD96" s="46" t="str">
        <f aca="true">IF(OR(E96="",B96=""),"",INT(TODAY()-B96))</f>
        <v/>
      </c>
      <c r="AE96" s="44" t="str">
        <f aca="true">IF(E96="","",IF(OR(COUNTIFS(Clients!$C$2:$C$501,E96,Clients!$S$2:$S$501,"Paid")&gt;0,AND(I96&lt;&gt;"",COUNTIFS(Clients!$E$2:$E$501,I96,Clients!$S$2:$S$501,"Paid")&gt;0)),"⚠ Refunded before – no free video",IF(OR(U96="Contract signed + paid",U96="Closed – No response",U96="Lost"),"",IF(U96="","Set a stage",IF(AND(U96="Proposal sent",SUMIFS(Scoresheet!$N$2:$N$501,Scoresheet!$C$2:$C$501,A96,Scoresheet!$U$2:$U$501,1)&lt;6),"Score this lead – fill the call scoresheet",IF(N(W96)&gt;=Settings!$S$3,"Close – 4 follow-ups sent",IF(X96="",IF(V96="","Make first contact",""),IF(TODAY()&gt;X96,"OVERDUE follow-up",IF(TODAY()=X96,"Follow up today","")))))))))</f>
        <v/>
      </c>
    </row>
    <row r="97" customFormat="false" ht="15" hidden="false" customHeight="false" outlineLevel="0" collapsed="false">
      <c r="A97" s="17"/>
      <c r="B97" s="40"/>
      <c r="C97" s="41"/>
      <c r="D97" s="17"/>
      <c r="E97" s="17"/>
      <c r="F97" s="17"/>
      <c r="G97" s="17"/>
      <c r="H97" s="17"/>
      <c r="I97" s="42"/>
      <c r="J97" s="17"/>
      <c r="K97" s="17"/>
      <c r="L97" s="17"/>
      <c r="M97" s="17"/>
      <c r="N97" s="40"/>
      <c r="O97" s="41"/>
      <c r="P97" s="43" t="str">
        <f aca="false">IF(OR(B97="",N97=""),"",ROUND(((N97+N(O97))-(B97+N(C97)))*24,1))</f>
        <v/>
      </c>
      <c r="Q97" s="44" t="str">
        <f aca="false">IF(OR(E97="",A97="",COUNTIFS(Scoresheet!$C$2:$C$501,A97,Scoresheet!$U$2:$U$501,1)=0),"",SUMIFS(Scoresheet!$O$2:$O$501,Scoresheet!$C$2:$C$501,A97,Scoresheet!$U$2:$U$501,1))</f>
        <v/>
      </c>
      <c r="R97" s="44" t="str">
        <f aca="false">IF(E97="","",IF(OR(A97="",COUNTIFS(Scoresheet!$C$2:$C$501,A97,Scoresheet!$U$2:$U$501,1)=0),"No scoresheet yet",IF(SUMIFS(Scoresheet!$N$2:$N$501,Scoresheet!$C$2:$C$501,A97,Scoresheet!$U$2:$U$501,1)&lt;6,"Partly scored ("&amp;SUMIFS(Scoresheet!$N$2:$N$501,Scoresheet!$C$2:$C$501,A97,Scoresheet!$U$2:$U$501,1)&amp;"/6)",IF(Q97&gt;=Settings!$S$8,"Hot",IF(Q97&gt;=Settings!$S$9,"Warm","Cold")))))</f>
        <v/>
      </c>
      <c r="S97" s="44" t="str">
        <f aca="false">IF(OR(E97="",A97=""),"",IF(AND(COUNTIFS(Scoresheet!$C$2:$C$501,A97,Scoresheet!$U$2:$U$501,1,Scoresheet!$H$2:$H$501,"No")&gt;0,COUNTIFS(Scoresheet!$C$2:$C$501,A97,Scoresheet!$U$2:$U$501,1,Scoresheet!$J$2:$J$501,"No")&gt;0),"🚩 Budget  ·  🚩 No one on camera",IF(COUNTIFS(Scoresheet!$C$2:$C$501,A97,Scoresheet!$U$2:$U$501,1,Scoresheet!$H$2:$H$501,"No")&gt;0,"🚩 Budget under AED 5k",IF(COUNTIFS(Scoresheet!$C$2:$C$501,A97,Scoresheet!$U$2:$U$501,1,Scoresheet!$J$2:$J$501,"No")&gt;0,"🚩 No one on camera",""))))</f>
        <v/>
      </c>
      <c r="T97" s="17"/>
      <c r="U97" s="17"/>
      <c r="V97" s="40"/>
      <c r="W97" s="17"/>
      <c r="X97" s="45" t="str">
        <f aca="false">IF(OR(E97="",V97="",OR(U97="Contract signed + paid",U97="Closed – No response",U97="Lost"),N(W97)&gt;=Settings!$S$3),"",V97+Settings!$S$2)</f>
        <v/>
      </c>
      <c r="Y97" s="40"/>
      <c r="Z97" s="41"/>
      <c r="AA97" s="17"/>
      <c r="AB97" s="17"/>
      <c r="AC97" s="17"/>
      <c r="AD97" s="46" t="str">
        <f aca="true">IF(OR(E97="",B97=""),"",INT(TODAY()-B97))</f>
        <v/>
      </c>
      <c r="AE97" s="44" t="str">
        <f aca="true">IF(E97="","",IF(OR(COUNTIFS(Clients!$C$2:$C$501,E97,Clients!$S$2:$S$501,"Paid")&gt;0,AND(I97&lt;&gt;"",COUNTIFS(Clients!$E$2:$E$501,I97,Clients!$S$2:$S$501,"Paid")&gt;0)),"⚠ Refunded before – no free video",IF(OR(U97="Contract signed + paid",U97="Closed – No response",U97="Lost"),"",IF(U97="","Set a stage",IF(AND(U97="Proposal sent",SUMIFS(Scoresheet!$N$2:$N$501,Scoresheet!$C$2:$C$501,A97,Scoresheet!$U$2:$U$501,1)&lt;6),"Score this lead – fill the call scoresheet",IF(N(W97)&gt;=Settings!$S$3,"Close – 4 follow-ups sent",IF(X97="",IF(V97="","Make first contact",""),IF(TODAY()&gt;X97,"OVERDUE follow-up",IF(TODAY()=X97,"Follow up today","")))))))))</f>
        <v/>
      </c>
    </row>
    <row r="98" customFormat="false" ht="15" hidden="false" customHeight="false" outlineLevel="0" collapsed="false">
      <c r="A98" s="17"/>
      <c r="B98" s="40"/>
      <c r="C98" s="41"/>
      <c r="D98" s="17"/>
      <c r="E98" s="17"/>
      <c r="F98" s="17"/>
      <c r="G98" s="17"/>
      <c r="H98" s="17"/>
      <c r="I98" s="42"/>
      <c r="J98" s="17"/>
      <c r="K98" s="17"/>
      <c r="L98" s="17"/>
      <c r="M98" s="17"/>
      <c r="N98" s="40"/>
      <c r="O98" s="41"/>
      <c r="P98" s="43" t="str">
        <f aca="false">IF(OR(B98="",N98=""),"",ROUND(((N98+N(O98))-(B98+N(C98)))*24,1))</f>
        <v/>
      </c>
      <c r="Q98" s="44" t="str">
        <f aca="false">IF(OR(E98="",A98="",COUNTIFS(Scoresheet!$C$2:$C$501,A98,Scoresheet!$U$2:$U$501,1)=0),"",SUMIFS(Scoresheet!$O$2:$O$501,Scoresheet!$C$2:$C$501,A98,Scoresheet!$U$2:$U$501,1))</f>
        <v/>
      </c>
      <c r="R98" s="44" t="str">
        <f aca="false">IF(E98="","",IF(OR(A98="",COUNTIFS(Scoresheet!$C$2:$C$501,A98,Scoresheet!$U$2:$U$501,1)=0),"No scoresheet yet",IF(SUMIFS(Scoresheet!$N$2:$N$501,Scoresheet!$C$2:$C$501,A98,Scoresheet!$U$2:$U$501,1)&lt;6,"Partly scored ("&amp;SUMIFS(Scoresheet!$N$2:$N$501,Scoresheet!$C$2:$C$501,A98,Scoresheet!$U$2:$U$501,1)&amp;"/6)",IF(Q98&gt;=Settings!$S$8,"Hot",IF(Q98&gt;=Settings!$S$9,"Warm","Cold")))))</f>
        <v/>
      </c>
      <c r="S98" s="44" t="str">
        <f aca="false">IF(OR(E98="",A98=""),"",IF(AND(COUNTIFS(Scoresheet!$C$2:$C$501,A98,Scoresheet!$U$2:$U$501,1,Scoresheet!$H$2:$H$501,"No")&gt;0,COUNTIFS(Scoresheet!$C$2:$C$501,A98,Scoresheet!$U$2:$U$501,1,Scoresheet!$J$2:$J$501,"No")&gt;0),"🚩 Budget  ·  🚩 No one on camera",IF(COUNTIFS(Scoresheet!$C$2:$C$501,A98,Scoresheet!$U$2:$U$501,1,Scoresheet!$H$2:$H$501,"No")&gt;0,"🚩 Budget under AED 5k",IF(COUNTIFS(Scoresheet!$C$2:$C$501,A98,Scoresheet!$U$2:$U$501,1,Scoresheet!$J$2:$J$501,"No")&gt;0,"🚩 No one on camera",""))))</f>
        <v/>
      </c>
      <c r="T98" s="17"/>
      <c r="U98" s="17"/>
      <c r="V98" s="40"/>
      <c r="W98" s="17"/>
      <c r="X98" s="45" t="str">
        <f aca="false">IF(OR(E98="",V98="",OR(U98="Contract signed + paid",U98="Closed – No response",U98="Lost"),N(W98)&gt;=Settings!$S$3),"",V98+Settings!$S$2)</f>
        <v/>
      </c>
      <c r="Y98" s="40"/>
      <c r="Z98" s="41"/>
      <c r="AA98" s="17"/>
      <c r="AB98" s="17"/>
      <c r="AC98" s="17"/>
      <c r="AD98" s="46" t="str">
        <f aca="true">IF(OR(E98="",B98=""),"",INT(TODAY()-B98))</f>
        <v/>
      </c>
      <c r="AE98" s="44" t="str">
        <f aca="true">IF(E98="","",IF(OR(COUNTIFS(Clients!$C$2:$C$501,E98,Clients!$S$2:$S$501,"Paid")&gt;0,AND(I98&lt;&gt;"",COUNTIFS(Clients!$E$2:$E$501,I98,Clients!$S$2:$S$501,"Paid")&gt;0)),"⚠ Refunded before – no free video",IF(OR(U98="Contract signed + paid",U98="Closed – No response",U98="Lost"),"",IF(U98="","Set a stage",IF(AND(U98="Proposal sent",SUMIFS(Scoresheet!$N$2:$N$501,Scoresheet!$C$2:$C$501,A98,Scoresheet!$U$2:$U$501,1)&lt;6),"Score this lead – fill the call scoresheet",IF(N(W98)&gt;=Settings!$S$3,"Close – 4 follow-ups sent",IF(X98="",IF(V98="","Make first contact",""),IF(TODAY()&gt;X98,"OVERDUE follow-up",IF(TODAY()=X98,"Follow up today","")))))))))</f>
        <v/>
      </c>
    </row>
    <row r="99" customFormat="false" ht="15" hidden="false" customHeight="false" outlineLevel="0" collapsed="false">
      <c r="A99" s="17"/>
      <c r="B99" s="40"/>
      <c r="C99" s="41"/>
      <c r="D99" s="17"/>
      <c r="E99" s="17"/>
      <c r="F99" s="17"/>
      <c r="G99" s="17"/>
      <c r="H99" s="17"/>
      <c r="I99" s="42"/>
      <c r="J99" s="17"/>
      <c r="K99" s="17"/>
      <c r="L99" s="17"/>
      <c r="M99" s="17"/>
      <c r="N99" s="40"/>
      <c r="O99" s="41"/>
      <c r="P99" s="43" t="str">
        <f aca="false">IF(OR(B99="",N99=""),"",ROUND(((N99+N(O99))-(B99+N(C99)))*24,1))</f>
        <v/>
      </c>
      <c r="Q99" s="44" t="str">
        <f aca="false">IF(OR(E99="",A99="",COUNTIFS(Scoresheet!$C$2:$C$501,A99,Scoresheet!$U$2:$U$501,1)=0),"",SUMIFS(Scoresheet!$O$2:$O$501,Scoresheet!$C$2:$C$501,A99,Scoresheet!$U$2:$U$501,1))</f>
        <v/>
      </c>
      <c r="R99" s="44" t="str">
        <f aca="false">IF(E99="","",IF(OR(A99="",COUNTIFS(Scoresheet!$C$2:$C$501,A99,Scoresheet!$U$2:$U$501,1)=0),"No scoresheet yet",IF(SUMIFS(Scoresheet!$N$2:$N$501,Scoresheet!$C$2:$C$501,A99,Scoresheet!$U$2:$U$501,1)&lt;6,"Partly scored ("&amp;SUMIFS(Scoresheet!$N$2:$N$501,Scoresheet!$C$2:$C$501,A99,Scoresheet!$U$2:$U$501,1)&amp;"/6)",IF(Q99&gt;=Settings!$S$8,"Hot",IF(Q99&gt;=Settings!$S$9,"Warm","Cold")))))</f>
        <v/>
      </c>
      <c r="S99" s="44" t="str">
        <f aca="false">IF(OR(E99="",A99=""),"",IF(AND(COUNTIFS(Scoresheet!$C$2:$C$501,A99,Scoresheet!$U$2:$U$501,1,Scoresheet!$H$2:$H$501,"No")&gt;0,COUNTIFS(Scoresheet!$C$2:$C$501,A99,Scoresheet!$U$2:$U$501,1,Scoresheet!$J$2:$J$501,"No")&gt;0),"🚩 Budget  ·  🚩 No one on camera",IF(COUNTIFS(Scoresheet!$C$2:$C$501,A99,Scoresheet!$U$2:$U$501,1,Scoresheet!$H$2:$H$501,"No")&gt;0,"🚩 Budget under AED 5k",IF(COUNTIFS(Scoresheet!$C$2:$C$501,A99,Scoresheet!$U$2:$U$501,1,Scoresheet!$J$2:$J$501,"No")&gt;0,"🚩 No one on camera",""))))</f>
        <v/>
      </c>
      <c r="T99" s="17"/>
      <c r="U99" s="17"/>
      <c r="V99" s="40"/>
      <c r="W99" s="17"/>
      <c r="X99" s="45" t="str">
        <f aca="false">IF(OR(E99="",V99="",OR(U99="Contract signed + paid",U99="Closed – No response",U99="Lost"),N(W99)&gt;=Settings!$S$3),"",V99+Settings!$S$2)</f>
        <v/>
      </c>
      <c r="Y99" s="40"/>
      <c r="Z99" s="41"/>
      <c r="AA99" s="17"/>
      <c r="AB99" s="17"/>
      <c r="AC99" s="17"/>
      <c r="AD99" s="46" t="str">
        <f aca="true">IF(OR(E99="",B99=""),"",INT(TODAY()-B99))</f>
        <v/>
      </c>
      <c r="AE99" s="44" t="str">
        <f aca="true">IF(E99="","",IF(OR(COUNTIFS(Clients!$C$2:$C$501,E99,Clients!$S$2:$S$501,"Paid")&gt;0,AND(I99&lt;&gt;"",COUNTIFS(Clients!$E$2:$E$501,I99,Clients!$S$2:$S$501,"Paid")&gt;0)),"⚠ Refunded before – no free video",IF(OR(U99="Contract signed + paid",U99="Closed – No response",U99="Lost"),"",IF(U99="","Set a stage",IF(AND(U99="Proposal sent",SUMIFS(Scoresheet!$N$2:$N$501,Scoresheet!$C$2:$C$501,A99,Scoresheet!$U$2:$U$501,1)&lt;6),"Score this lead – fill the call scoresheet",IF(N(W99)&gt;=Settings!$S$3,"Close – 4 follow-ups sent",IF(X99="",IF(V99="","Make first contact",""),IF(TODAY()&gt;X99,"OVERDUE follow-up",IF(TODAY()=X99,"Follow up today","")))))))))</f>
        <v/>
      </c>
    </row>
    <row r="100" customFormat="false" ht="15" hidden="false" customHeight="false" outlineLevel="0" collapsed="false">
      <c r="A100" s="17"/>
      <c r="B100" s="40"/>
      <c r="C100" s="41"/>
      <c r="D100" s="17"/>
      <c r="E100" s="17"/>
      <c r="F100" s="17"/>
      <c r="G100" s="17"/>
      <c r="H100" s="17"/>
      <c r="I100" s="42"/>
      <c r="J100" s="17"/>
      <c r="K100" s="17"/>
      <c r="L100" s="17"/>
      <c r="M100" s="17"/>
      <c r="N100" s="40"/>
      <c r="O100" s="41"/>
      <c r="P100" s="43" t="str">
        <f aca="false">IF(OR(B100="",N100=""),"",ROUND(((N100+N(O100))-(B100+N(C100)))*24,1))</f>
        <v/>
      </c>
      <c r="Q100" s="44" t="str">
        <f aca="false">IF(OR(E100="",A100="",COUNTIFS(Scoresheet!$C$2:$C$501,A100,Scoresheet!$U$2:$U$501,1)=0),"",SUMIFS(Scoresheet!$O$2:$O$501,Scoresheet!$C$2:$C$501,A100,Scoresheet!$U$2:$U$501,1))</f>
        <v/>
      </c>
      <c r="R100" s="44" t="str">
        <f aca="false">IF(E100="","",IF(OR(A100="",COUNTIFS(Scoresheet!$C$2:$C$501,A100,Scoresheet!$U$2:$U$501,1)=0),"No scoresheet yet",IF(SUMIFS(Scoresheet!$N$2:$N$501,Scoresheet!$C$2:$C$501,A100,Scoresheet!$U$2:$U$501,1)&lt;6,"Partly scored ("&amp;SUMIFS(Scoresheet!$N$2:$N$501,Scoresheet!$C$2:$C$501,A100,Scoresheet!$U$2:$U$501,1)&amp;"/6)",IF(Q100&gt;=Settings!$S$8,"Hot",IF(Q100&gt;=Settings!$S$9,"Warm","Cold")))))</f>
        <v/>
      </c>
      <c r="S100" s="44" t="str">
        <f aca="false">IF(OR(E100="",A100=""),"",IF(AND(COUNTIFS(Scoresheet!$C$2:$C$501,A100,Scoresheet!$U$2:$U$501,1,Scoresheet!$H$2:$H$501,"No")&gt;0,COUNTIFS(Scoresheet!$C$2:$C$501,A100,Scoresheet!$U$2:$U$501,1,Scoresheet!$J$2:$J$501,"No")&gt;0),"🚩 Budget  ·  🚩 No one on camera",IF(COUNTIFS(Scoresheet!$C$2:$C$501,A100,Scoresheet!$U$2:$U$501,1,Scoresheet!$H$2:$H$501,"No")&gt;0,"🚩 Budget under AED 5k",IF(COUNTIFS(Scoresheet!$C$2:$C$501,A100,Scoresheet!$U$2:$U$501,1,Scoresheet!$J$2:$J$501,"No")&gt;0,"🚩 No one on camera",""))))</f>
        <v/>
      </c>
      <c r="T100" s="17"/>
      <c r="U100" s="17"/>
      <c r="V100" s="40"/>
      <c r="W100" s="17"/>
      <c r="X100" s="45" t="str">
        <f aca="false">IF(OR(E100="",V100="",OR(U100="Contract signed + paid",U100="Closed – No response",U100="Lost"),N(W100)&gt;=Settings!$S$3),"",V100+Settings!$S$2)</f>
        <v/>
      </c>
      <c r="Y100" s="40"/>
      <c r="Z100" s="41"/>
      <c r="AA100" s="17"/>
      <c r="AB100" s="17"/>
      <c r="AC100" s="17"/>
      <c r="AD100" s="46" t="str">
        <f aca="true">IF(OR(E100="",B100=""),"",INT(TODAY()-B100))</f>
        <v/>
      </c>
      <c r="AE100" s="44" t="str">
        <f aca="true">IF(E100="","",IF(OR(COUNTIFS(Clients!$C$2:$C$501,E100,Clients!$S$2:$S$501,"Paid")&gt;0,AND(I100&lt;&gt;"",COUNTIFS(Clients!$E$2:$E$501,I100,Clients!$S$2:$S$501,"Paid")&gt;0)),"⚠ Refunded before – no free video",IF(OR(U100="Contract signed + paid",U100="Closed – No response",U100="Lost"),"",IF(U100="","Set a stage",IF(AND(U100="Proposal sent",SUMIFS(Scoresheet!$N$2:$N$501,Scoresheet!$C$2:$C$501,A100,Scoresheet!$U$2:$U$501,1)&lt;6),"Score this lead – fill the call scoresheet",IF(N(W100)&gt;=Settings!$S$3,"Close – 4 follow-ups sent",IF(X100="",IF(V100="","Make first contact",""),IF(TODAY()&gt;X100,"OVERDUE follow-up",IF(TODAY()=X100,"Follow up today","")))))))))</f>
        <v/>
      </c>
    </row>
    <row r="101" customFormat="false" ht="15" hidden="false" customHeight="false" outlineLevel="0" collapsed="false">
      <c r="A101" s="17"/>
      <c r="B101" s="40"/>
      <c r="C101" s="41"/>
      <c r="D101" s="17"/>
      <c r="E101" s="17"/>
      <c r="F101" s="17"/>
      <c r="G101" s="17"/>
      <c r="H101" s="17"/>
      <c r="I101" s="42"/>
      <c r="J101" s="17"/>
      <c r="K101" s="17"/>
      <c r="L101" s="17"/>
      <c r="M101" s="17"/>
      <c r="N101" s="40"/>
      <c r="O101" s="41"/>
      <c r="P101" s="43" t="str">
        <f aca="false">IF(OR(B101="",N101=""),"",ROUND(((N101+N(O101))-(B101+N(C101)))*24,1))</f>
        <v/>
      </c>
      <c r="Q101" s="44" t="str">
        <f aca="false">IF(OR(E101="",A101="",COUNTIFS(Scoresheet!$C$2:$C$501,A101,Scoresheet!$U$2:$U$501,1)=0),"",SUMIFS(Scoresheet!$O$2:$O$501,Scoresheet!$C$2:$C$501,A101,Scoresheet!$U$2:$U$501,1))</f>
        <v/>
      </c>
      <c r="R101" s="44" t="str">
        <f aca="false">IF(E101="","",IF(OR(A101="",COUNTIFS(Scoresheet!$C$2:$C$501,A101,Scoresheet!$U$2:$U$501,1)=0),"No scoresheet yet",IF(SUMIFS(Scoresheet!$N$2:$N$501,Scoresheet!$C$2:$C$501,A101,Scoresheet!$U$2:$U$501,1)&lt;6,"Partly scored ("&amp;SUMIFS(Scoresheet!$N$2:$N$501,Scoresheet!$C$2:$C$501,A101,Scoresheet!$U$2:$U$501,1)&amp;"/6)",IF(Q101&gt;=Settings!$S$8,"Hot",IF(Q101&gt;=Settings!$S$9,"Warm","Cold")))))</f>
        <v/>
      </c>
      <c r="S101" s="44" t="str">
        <f aca="false">IF(OR(E101="",A101=""),"",IF(AND(COUNTIFS(Scoresheet!$C$2:$C$501,A101,Scoresheet!$U$2:$U$501,1,Scoresheet!$H$2:$H$501,"No")&gt;0,COUNTIFS(Scoresheet!$C$2:$C$501,A101,Scoresheet!$U$2:$U$501,1,Scoresheet!$J$2:$J$501,"No")&gt;0),"🚩 Budget  ·  🚩 No one on camera",IF(COUNTIFS(Scoresheet!$C$2:$C$501,A101,Scoresheet!$U$2:$U$501,1,Scoresheet!$H$2:$H$501,"No")&gt;0,"🚩 Budget under AED 5k",IF(COUNTIFS(Scoresheet!$C$2:$C$501,A101,Scoresheet!$U$2:$U$501,1,Scoresheet!$J$2:$J$501,"No")&gt;0,"🚩 No one on camera",""))))</f>
        <v/>
      </c>
      <c r="T101" s="17"/>
      <c r="U101" s="17"/>
      <c r="V101" s="40"/>
      <c r="W101" s="17"/>
      <c r="X101" s="45" t="str">
        <f aca="false">IF(OR(E101="",V101="",OR(U101="Contract signed + paid",U101="Closed – No response",U101="Lost"),N(W101)&gt;=Settings!$S$3),"",V101+Settings!$S$2)</f>
        <v/>
      </c>
      <c r="Y101" s="40"/>
      <c r="Z101" s="41"/>
      <c r="AA101" s="17"/>
      <c r="AB101" s="17"/>
      <c r="AC101" s="17"/>
      <c r="AD101" s="46" t="str">
        <f aca="true">IF(OR(E101="",B101=""),"",INT(TODAY()-B101))</f>
        <v/>
      </c>
      <c r="AE101" s="44" t="str">
        <f aca="true">IF(E101="","",IF(OR(COUNTIFS(Clients!$C$2:$C$501,E101,Clients!$S$2:$S$501,"Paid")&gt;0,AND(I101&lt;&gt;"",COUNTIFS(Clients!$E$2:$E$501,I101,Clients!$S$2:$S$501,"Paid")&gt;0)),"⚠ Refunded before – no free video",IF(OR(U101="Contract signed + paid",U101="Closed – No response",U101="Lost"),"",IF(U101="","Set a stage",IF(AND(U101="Proposal sent",SUMIFS(Scoresheet!$N$2:$N$501,Scoresheet!$C$2:$C$501,A101,Scoresheet!$U$2:$U$501,1)&lt;6),"Score this lead – fill the call scoresheet",IF(N(W101)&gt;=Settings!$S$3,"Close – 4 follow-ups sent",IF(X101="",IF(V101="","Make first contact",""),IF(TODAY()&gt;X101,"OVERDUE follow-up",IF(TODAY()=X101,"Follow up today","")))))))))</f>
        <v/>
      </c>
    </row>
    <row r="102" customFormat="false" ht="15" hidden="false" customHeight="false" outlineLevel="0" collapsed="false">
      <c r="A102" s="17"/>
      <c r="B102" s="40"/>
      <c r="C102" s="41"/>
      <c r="D102" s="17"/>
      <c r="E102" s="17"/>
      <c r="F102" s="17"/>
      <c r="G102" s="17"/>
      <c r="H102" s="17"/>
      <c r="I102" s="42"/>
      <c r="J102" s="17"/>
      <c r="K102" s="17"/>
      <c r="L102" s="17"/>
      <c r="M102" s="17"/>
      <c r="N102" s="40"/>
      <c r="O102" s="41"/>
      <c r="P102" s="43" t="str">
        <f aca="false">IF(OR(B102="",N102=""),"",ROUND(((N102+N(O102))-(B102+N(C102)))*24,1))</f>
        <v/>
      </c>
      <c r="Q102" s="44" t="str">
        <f aca="false">IF(OR(E102="",A102="",COUNTIFS(Scoresheet!$C$2:$C$501,A102,Scoresheet!$U$2:$U$501,1)=0),"",SUMIFS(Scoresheet!$O$2:$O$501,Scoresheet!$C$2:$C$501,A102,Scoresheet!$U$2:$U$501,1))</f>
        <v/>
      </c>
      <c r="R102" s="44" t="str">
        <f aca="false">IF(E102="","",IF(OR(A102="",COUNTIFS(Scoresheet!$C$2:$C$501,A102,Scoresheet!$U$2:$U$501,1)=0),"No scoresheet yet",IF(SUMIFS(Scoresheet!$N$2:$N$501,Scoresheet!$C$2:$C$501,A102,Scoresheet!$U$2:$U$501,1)&lt;6,"Partly scored ("&amp;SUMIFS(Scoresheet!$N$2:$N$501,Scoresheet!$C$2:$C$501,A102,Scoresheet!$U$2:$U$501,1)&amp;"/6)",IF(Q102&gt;=Settings!$S$8,"Hot",IF(Q102&gt;=Settings!$S$9,"Warm","Cold")))))</f>
        <v/>
      </c>
      <c r="S102" s="44" t="str">
        <f aca="false">IF(OR(E102="",A102=""),"",IF(AND(COUNTIFS(Scoresheet!$C$2:$C$501,A102,Scoresheet!$U$2:$U$501,1,Scoresheet!$H$2:$H$501,"No")&gt;0,COUNTIFS(Scoresheet!$C$2:$C$501,A102,Scoresheet!$U$2:$U$501,1,Scoresheet!$J$2:$J$501,"No")&gt;0),"🚩 Budget  ·  🚩 No one on camera",IF(COUNTIFS(Scoresheet!$C$2:$C$501,A102,Scoresheet!$U$2:$U$501,1,Scoresheet!$H$2:$H$501,"No")&gt;0,"🚩 Budget under AED 5k",IF(COUNTIFS(Scoresheet!$C$2:$C$501,A102,Scoresheet!$U$2:$U$501,1,Scoresheet!$J$2:$J$501,"No")&gt;0,"🚩 No one on camera",""))))</f>
        <v/>
      </c>
      <c r="T102" s="17"/>
      <c r="U102" s="17"/>
      <c r="V102" s="40"/>
      <c r="W102" s="17"/>
      <c r="X102" s="45" t="str">
        <f aca="false">IF(OR(E102="",V102="",OR(U102="Contract signed + paid",U102="Closed – No response",U102="Lost"),N(W102)&gt;=Settings!$S$3),"",V102+Settings!$S$2)</f>
        <v/>
      </c>
      <c r="Y102" s="40"/>
      <c r="Z102" s="41"/>
      <c r="AA102" s="17"/>
      <c r="AB102" s="17"/>
      <c r="AC102" s="17"/>
      <c r="AD102" s="46" t="str">
        <f aca="true">IF(OR(E102="",B102=""),"",INT(TODAY()-B102))</f>
        <v/>
      </c>
      <c r="AE102" s="44" t="str">
        <f aca="true">IF(E102="","",IF(OR(COUNTIFS(Clients!$C$2:$C$501,E102,Clients!$S$2:$S$501,"Paid")&gt;0,AND(I102&lt;&gt;"",COUNTIFS(Clients!$E$2:$E$501,I102,Clients!$S$2:$S$501,"Paid")&gt;0)),"⚠ Refunded before – no free video",IF(OR(U102="Contract signed + paid",U102="Closed – No response",U102="Lost"),"",IF(U102="","Set a stage",IF(AND(U102="Proposal sent",SUMIFS(Scoresheet!$N$2:$N$501,Scoresheet!$C$2:$C$501,A102,Scoresheet!$U$2:$U$501,1)&lt;6),"Score this lead – fill the call scoresheet",IF(N(W102)&gt;=Settings!$S$3,"Close – 4 follow-ups sent",IF(X102="",IF(V102="","Make first contact",""),IF(TODAY()&gt;X102,"OVERDUE follow-up",IF(TODAY()=X102,"Follow up today","")))))))))</f>
        <v/>
      </c>
    </row>
    <row r="103" customFormat="false" ht="15" hidden="false" customHeight="false" outlineLevel="0" collapsed="false">
      <c r="A103" s="17"/>
      <c r="B103" s="40"/>
      <c r="C103" s="41"/>
      <c r="D103" s="17"/>
      <c r="E103" s="17"/>
      <c r="F103" s="17"/>
      <c r="G103" s="17"/>
      <c r="H103" s="17"/>
      <c r="I103" s="42"/>
      <c r="J103" s="17"/>
      <c r="K103" s="17"/>
      <c r="L103" s="17"/>
      <c r="M103" s="17"/>
      <c r="N103" s="40"/>
      <c r="O103" s="41"/>
      <c r="P103" s="43" t="str">
        <f aca="false">IF(OR(B103="",N103=""),"",ROUND(((N103+N(O103))-(B103+N(C103)))*24,1))</f>
        <v/>
      </c>
      <c r="Q103" s="44" t="str">
        <f aca="false">IF(OR(E103="",A103="",COUNTIFS(Scoresheet!$C$2:$C$501,A103,Scoresheet!$U$2:$U$501,1)=0),"",SUMIFS(Scoresheet!$O$2:$O$501,Scoresheet!$C$2:$C$501,A103,Scoresheet!$U$2:$U$501,1))</f>
        <v/>
      </c>
      <c r="R103" s="44" t="str">
        <f aca="false">IF(E103="","",IF(OR(A103="",COUNTIFS(Scoresheet!$C$2:$C$501,A103,Scoresheet!$U$2:$U$501,1)=0),"No scoresheet yet",IF(SUMIFS(Scoresheet!$N$2:$N$501,Scoresheet!$C$2:$C$501,A103,Scoresheet!$U$2:$U$501,1)&lt;6,"Partly scored ("&amp;SUMIFS(Scoresheet!$N$2:$N$501,Scoresheet!$C$2:$C$501,A103,Scoresheet!$U$2:$U$501,1)&amp;"/6)",IF(Q103&gt;=Settings!$S$8,"Hot",IF(Q103&gt;=Settings!$S$9,"Warm","Cold")))))</f>
        <v/>
      </c>
      <c r="S103" s="44" t="str">
        <f aca="false">IF(OR(E103="",A103=""),"",IF(AND(COUNTIFS(Scoresheet!$C$2:$C$501,A103,Scoresheet!$U$2:$U$501,1,Scoresheet!$H$2:$H$501,"No")&gt;0,COUNTIFS(Scoresheet!$C$2:$C$501,A103,Scoresheet!$U$2:$U$501,1,Scoresheet!$J$2:$J$501,"No")&gt;0),"🚩 Budget  ·  🚩 No one on camera",IF(COUNTIFS(Scoresheet!$C$2:$C$501,A103,Scoresheet!$U$2:$U$501,1,Scoresheet!$H$2:$H$501,"No")&gt;0,"🚩 Budget under AED 5k",IF(COUNTIFS(Scoresheet!$C$2:$C$501,A103,Scoresheet!$U$2:$U$501,1,Scoresheet!$J$2:$J$501,"No")&gt;0,"🚩 No one on camera",""))))</f>
        <v/>
      </c>
      <c r="T103" s="17"/>
      <c r="U103" s="17"/>
      <c r="V103" s="40"/>
      <c r="W103" s="17"/>
      <c r="X103" s="45" t="str">
        <f aca="false">IF(OR(E103="",V103="",OR(U103="Contract signed + paid",U103="Closed – No response",U103="Lost"),N(W103)&gt;=Settings!$S$3),"",V103+Settings!$S$2)</f>
        <v/>
      </c>
      <c r="Y103" s="40"/>
      <c r="Z103" s="41"/>
      <c r="AA103" s="17"/>
      <c r="AB103" s="17"/>
      <c r="AC103" s="17"/>
      <c r="AD103" s="46" t="str">
        <f aca="true">IF(OR(E103="",B103=""),"",INT(TODAY()-B103))</f>
        <v/>
      </c>
      <c r="AE103" s="44" t="str">
        <f aca="true">IF(E103="","",IF(OR(COUNTIFS(Clients!$C$2:$C$501,E103,Clients!$S$2:$S$501,"Paid")&gt;0,AND(I103&lt;&gt;"",COUNTIFS(Clients!$E$2:$E$501,I103,Clients!$S$2:$S$501,"Paid")&gt;0)),"⚠ Refunded before – no free video",IF(OR(U103="Contract signed + paid",U103="Closed – No response",U103="Lost"),"",IF(U103="","Set a stage",IF(AND(U103="Proposal sent",SUMIFS(Scoresheet!$N$2:$N$501,Scoresheet!$C$2:$C$501,A103,Scoresheet!$U$2:$U$501,1)&lt;6),"Score this lead – fill the call scoresheet",IF(N(W103)&gt;=Settings!$S$3,"Close – 4 follow-ups sent",IF(X103="",IF(V103="","Make first contact",""),IF(TODAY()&gt;X103,"OVERDUE follow-up",IF(TODAY()=X103,"Follow up today","")))))))))</f>
        <v/>
      </c>
    </row>
    <row r="104" customFormat="false" ht="15" hidden="false" customHeight="false" outlineLevel="0" collapsed="false">
      <c r="A104" s="17"/>
      <c r="B104" s="40"/>
      <c r="C104" s="41"/>
      <c r="D104" s="17"/>
      <c r="E104" s="17"/>
      <c r="F104" s="17"/>
      <c r="G104" s="17"/>
      <c r="H104" s="17"/>
      <c r="I104" s="42"/>
      <c r="J104" s="17"/>
      <c r="K104" s="17"/>
      <c r="L104" s="17"/>
      <c r="M104" s="17"/>
      <c r="N104" s="40"/>
      <c r="O104" s="41"/>
      <c r="P104" s="43" t="str">
        <f aca="false">IF(OR(B104="",N104=""),"",ROUND(((N104+N(O104))-(B104+N(C104)))*24,1))</f>
        <v/>
      </c>
      <c r="Q104" s="44" t="str">
        <f aca="false">IF(OR(E104="",A104="",COUNTIFS(Scoresheet!$C$2:$C$501,A104,Scoresheet!$U$2:$U$501,1)=0),"",SUMIFS(Scoresheet!$O$2:$O$501,Scoresheet!$C$2:$C$501,A104,Scoresheet!$U$2:$U$501,1))</f>
        <v/>
      </c>
      <c r="R104" s="44" t="str">
        <f aca="false">IF(E104="","",IF(OR(A104="",COUNTIFS(Scoresheet!$C$2:$C$501,A104,Scoresheet!$U$2:$U$501,1)=0),"No scoresheet yet",IF(SUMIFS(Scoresheet!$N$2:$N$501,Scoresheet!$C$2:$C$501,A104,Scoresheet!$U$2:$U$501,1)&lt;6,"Partly scored ("&amp;SUMIFS(Scoresheet!$N$2:$N$501,Scoresheet!$C$2:$C$501,A104,Scoresheet!$U$2:$U$501,1)&amp;"/6)",IF(Q104&gt;=Settings!$S$8,"Hot",IF(Q104&gt;=Settings!$S$9,"Warm","Cold")))))</f>
        <v/>
      </c>
      <c r="S104" s="44" t="str">
        <f aca="false">IF(OR(E104="",A104=""),"",IF(AND(COUNTIFS(Scoresheet!$C$2:$C$501,A104,Scoresheet!$U$2:$U$501,1,Scoresheet!$H$2:$H$501,"No")&gt;0,COUNTIFS(Scoresheet!$C$2:$C$501,A104,Scoresheet!$U$2:$U$501,1,Scoresheet!$J$2:$J$501,"No")&gt;0),"🚩 Budget  ·  🚩 No one on camera",IF(COUNTIFS(Scoresheet!$C$2:$C$501,A104,Scoresheet!$U$2:$U$501,1,Scoresheet!$H$2:$H$501,"No")&gt;0,"🚩 Budget under AED 5k",IF(COUNTIFS(Scoresheet!$C$2:$C$501,A104,Scoresheet!$U$2:$U$501,1,Scoresheet!$J$2:$J$501,"No")&gt;0,"🚩 No one on camera",""))))</f>
        <v/>
      </c>
      <c r="T104" s="17"/>
      <c r="U104" s="17"/>
      <c r="V104" s="40"/>
      <c r="W104" s="17"/>
      <c r="X104" s="45" t="str">
        <f aca="false">IF(OR(E104="",V104="",OR(U104="Contract signed + paid",U104="Closed – No response",U104="Lost"),N(W104)&gt;=Settings!$S$3),"",V104+Settings!$S$2)</f>
        <v/>
      </c>
      <c r="Y104" s="40"/>
      <c r="Z104" s="41"/>
      <c r="AA104" s="17"/>
      <c r="AB104" s="17"/>
      <c r="AC104" s="17"/>
      <c r="AD104" s="46" t="str">
        <f aca="true">IF(OR(E104="",B104=""),"",INT(TODAY()-B104))</f>
        <v/>
      </c>
      <c r="AE104" s="44" t="str">
        <f aca="true">IF(E104="","",IF(OR(COUNTIFS(Clients!$C$2:$C$501,E104,Clients!$S$2:$S$501,"Paid")&gt;0,AND(I104&lt;&gt;"",COUNTIFS(Clients!$E$2:$E$501,I104,Clients!$S$2:$S$501,"Paid")&gt;0)),"⚠ Refunded before – no free video",IF(OR(U104="Contract signed + paid",U104="Closed – No response",U104="Lost"),"",IF(U104="","Set a stage",IF(AND(U104="Proposal sent",SUMIFS(Scoresheet!$N$2:$N$501,Scoresheet!$C$2:$C$501,A104,Scoresheet!$U$2:$U$501,1)&lt;6),"Score this lead – fill the call scoresheet",IF(N(W104)&gt;=Settings!$S$3,"Close – 4 follow-ups sent",IF(X104="",IF(V104="","Make first contact",""),IF(TODAY()&gt;X104,"OVERDUE follow-up",IF(TODAY()=X104,"Follow up today","")))))))))</f>
        <v/>
      </c>
    </row>
    <row r="105" customFormat="false" ht="15" hidden="false" customHeight="false" outlineLevel="0" collapsed="false">
      <c r="A105" s="17"/>
      <c r="B105" s="40"/>
      <c r="C105" s="41"/>
      <c r="D105" s="17"/>
      <c r="E105" s="17"/>
      <c r="F105" s="17"/>
      <c r="G105" s="17"/>
      <c r="H105" s="17"/>
      <c r="I105" s="42"/>
      <c r="J105" s="17"/>
      <c r="K105" s="17"/>
      <c r="L105" s="17"/>
      <c r="M105" s="17"/>
      <c r="N105" s="40"/>
      <c r="O105" s="41"/>
      <c r="P105" s="43" t="str">
        <f aca="false">IF(OR(B105="",N105=""),"",ROUND(((N105+N(O105))-(B105+N(C105)))*24,1))</f>
        <v/>
      </c>
      <c r="Q105" s="44" t="str">
        <f aca="false">IF(OR(E105="",A105="",COUNTIFS(Scoresheet!$C$2:$C$501,A105,Scoresheet!$U$2:$U$501,1)=0),"",SUMIFS(Scoresheet!$O$2:$O$501,Scoresheet!$C$2:$C$501,A105,Scoresheet!$U$2:$U$501,1))</f>
        <v/>
      </c>
      <c r="R105" s="44" t="str">
        <f aca="false">IF(E105="","",IF(OR(A105="",COUNTIFS(Scoresheet!$C$2:$C$501,A105,Scoresheet!$U$2:$U$501,1)=0),"No scoresheet yet",IF(SUMIFS(Scoresheet!$N$2:$N$501,Scoresheet!$C$2:$C$501,A105,Scoresheet!$U$2:$U$501,1)&lt;6,"Partly scored ("&amp;SUMIFS(Scoresheet!$N$2:$N$501,Scoresheet!$C$2:$C$501,A105,Scoresheet!$U$2:$U$501,1)&amp;"/6)",IF(Q105&gt;=Settings!$S$8,"Hot",IF(Q105&gt;=Settings!$S$9,"Warm","Cold")))))</f>
        <v/>
      </c>
      <c r="S105" s="44" t="str">
        <f aca="false">IF(OR(E105="",A105=""),"",IF(AND(COUNTIFS(Scoresheet!$C$2:$C$501,A105,Scoresheet!$U$2:$U$501,1,Scoresheet!$H$2:$H$501,"No")&gt;0,COUNTIFS(Scoresheet!$C$2:$C$501,A105,Scoresheet!$U$2:$U$501,1,Scoresheet!$J$2:$J$501,"No")&gt;0),"🚩 Budget  ·  🚩 No one on camera",IF(COUNTIFS(Scoresheet!$C$2:$C$501,A105,Scoresheet!$U$2:$U$501,1,Scoresheet!$H$2:$H$501,"No")&gt;0,"🚩 Budget under AED 5k",IF(COUNTIFS(Scoresheet!$C$2:$C$501,A105,Scoresheet!$U$2:$U$501,1,Scoresheet!$J$2:$J$501,"No")&gt;0,"🚩 No one on camera",""))))</f>
        <v/>
      </c>
      <c r="T105" s="17"/>
      <c r="U105" s="17"/>
      <c r="V105" s="40"/>
      <c r="W105" s="17"/>
      <c r="X105" s="45" t="str">
        <f aca="false">IF(OR(E105="",V105="",OR(U105="Contract signed + paid",U105="Closed – No response",U105="Lost"),N(W105)&gt;=Settings!$S$3),"",V105+Settings!$S$2)</f>
        <v/>
      </c>
      <c r="Y105" s="40"/>
      <c r="Z105" s="41"/>
      <c r="AA105" s="17"/>
      <c r="AB105" s="17"/>
      <c r="AC105" s="17"/>
      <c r="AD105" s="46" t="str">
        <f aca="true">IF(OR(E105="",B105=""),"",INT(TODAY()-B105))</f>
        <v/>
      </c>
      <c r="AE105" s="44" t="str">
        <f aca="true">IF(E105="","",IF(OR(COUNTIFS(Clients!$C$2:$C$501,E105,Clients!$S$2:$S$501,"Paid")&gt;0,AND(I105&lt;&gt;"",COUNTIFS(Clients!$E$2:$E$501,I105,Clients!$S$2:$S$501,"Paid")&gt;0)),"⚠ Refunded before – no free video",IF(OR(U105="Contract signed + paid",U105="Closed – No response",U105="Lost"),"",IF(U105="","Set a stage",IF(AND(U105="Proposal sent",SUMIFS(Scoresheet!$N$2:$N$501,Scoresheet!$C$2:$C$501,A105,Scoresheet!$U$2:$U$501,1)&lt;6),"Score this lead – fill the call scoresheet",IF(N(W105)&gt;=Settings!$S$3,"Close – 4 follow-ups sent",IF(X105="",IF(V105="","Make first contact",""),IF(TODAY()&gt;X105,"OVERDUE follow-up",IF(TODAY()=X105,"Follow up today","")))))))))</f>
        <v/>
      </c>
    </row>
    <row r="106" customFormat="false" ht="15" hidden="false" customHeight="false" outlineLevel="0" collapsed="false">
      <c r="A106" s="17"/>
      <c r="B106" s="40"/>
      <c r="C106" s="41"/>
      <c r="D106" s="17"/>
      <c r="E106" s="17"/>
      <c r="F106" s="17"/>
      <c r="G106" s="17"/>
      <c r="H106" s="17"/>
      <c r="I106" s="42"/>
      <c r="J106" s="17"/>
      <c r="K106" s="17"/>
      <c r="L106" s="17"/>
      <c r="M106" s="17"/>
      <c r="N106" s="40"/>
      <c r="O106" s="41"/>
      <c r="P106" s="43" t="str">
        <f aca="false">IF(OR(B106="",N106=""),"",ROUND(((N106+N(O106))-(B106+N(C106)))*24,1))</f>
        <v/>
      </c>
      <c r="Q106" s="44" t="str">
        <f aca="false">IF(OR(E106="",A106="",COUNTIFS(Scoresheet!$C$2:$C$501,A106,Scoresheet!$U$2:$U$501,1)=0),"",SUMIFS(Scoresheet!$O$2:$O$501,Scoresheet!$C$2:$C$501,A106,Scoresheet!$U$2:$U$501,1))</f>
        <v/>
      </c>
      <c r="R106" s="44" t="str">
        <f aca="false">IF(E106="","",IF(OR(A106="",COUNTIFS(Scoresheet!$C$2:$C$501,A106,Scoresheet!$U$2:$U$501,1)=0),"No scoresheet yet",IF(SUMIFS(Scoresheet!$N$2:$N$501,Scoresheet!$C$2:$C$501,A106,Scoresheet!$U$2:$U$501,1)&lt;6,"Partly scored ("&amp;SUMIFS(Scoresheet!$N$2:$N$501,Scoresheet!$C$2:$C$501,A106,Scoresheet!$U$2:$U$501,1)&amp;"/6)",IF(Q106&gt;=Settings!$S$8,"Hot",IF(Q106&gt;=Settings!$S$9,"Warm","Cold")))))</f>
        <v/>
      </c>
      <c r="S106" s="44" t="str">
        <f aca="false">IF(OR(E106="",A106=""),"",IF(AND(COUNTIFS(Scoresheet!$C$2:$C$501,A106,Scoresheet!$U$2:$U$501,1,Scoresheet!$H$2:$H$501,"No")&gt;0,COUNTIFS(Scoresheet!$C$2:$C$501,A106,Scoresheet!$U$2:$U$501,1,Scoresheet!$J$2:$J$501,"No")&gt;0),"🚩 Budget  ·  🚩 No one on camera",IF(COUNTIFS(Scoresheet!$C$2:$C$501,A106,Scoresheet!$U$2:$U$501,1,Scoresheet!$H$2:$H$501,"No")&gt;0,"🚩 Budget under AED 5k",IF(COUNTIFS(Scoresheet!$C$2:$C$501,A106,Scoresheet!$U$2:$U$501,1,Scoresheet!$J$2:$J$501,"No")&gt;0,"🚩 No one on camera",""))))</f>
        <v/>
      </c>
      <c r="T106" s="17"/>
      <c r="U106" s="17"/>
      <c r="V106" s="40"/>
      <c r="W106" s="17"/>
      <c r="X106" s="45" t="str">
        <f aca="false">IF(OR(E106="",V106="",OR(U106="Contract signed + paid",U106="Closed – No response",U106="Lost"),N(W106)&gt;=Settings!$S$3),"",V106+Settings!$S$2)</f>
        <v/>
      </c>
      <c r="Y106" s="40"/>
      <c r="Z106" s="41"/>
      <c r="AA106" s="17"/>
      <c r="AB106" s="17"/>
      <c r="AC106" s="17"/>
      <c r="AD106" s="46" t="str">
        <f aca="true">IF(OR(E106="",B106=""),"",INT(TODAY()-B106))</f>
        <v/>
      </c>
      <c r="AE106" s="44" t="str">
        <f aca="true">IF(E106="","",IF(OR(COUNTIFS(Clients!$C$2:$C$501,E106,Clients!$S$2:$S$501,"Paid")&gt;0,AND(I106&lt;&gt;"",COUNTIFS(Clients!$E$2:$E$501,I106,Clients!$S$2:$S$501,"Paid")&gt;0)),"⚠ Refunded before – no free video",IF(OR(U106="Contract signed + paid",U106="Closed – No response",U106="Lost"),"",IF(U106="","Set a stage",IF(AND(U106="Proposal sent",SUMIFS(Scoresheet!$N$2:$N$501,Scoresheet!$C$2:$C$501,A106,Scoresheet!$U$2:$U$501,1)&lt;6),"Score this lead – fill the call scoresheet",IF(N(W106)&gt;=Settings!$S$3,"Close – 4 follow-ups sent",IF(X106="",IF(V106="","Make first contact",""),IF(TODAY()&gt;X106,"OVERDUE follow-up",IF(TODAY()=X106,"Follow up today","")))))))))</f>
        <v/>
      </c>
    </row>
    <row r="107" customFormat="false" ht="15" hidden="false" customHeight="false" outlineLevel="0" collapsed="false">
      <c r="A107" s="17"/>
      <c r="B107" s="40"/>
      <c r="C107" s="41"/>
      <c r="D107" s="17"/>
      <c r="E107" s="17"/>
      <c r="F107" s="17"/>
      <c r="G107" s="17"/>
      <c r="H107" s="17"/>
      <c r="I107" s="42"/>
      <c r="J107" s="17"/>
      <c r="K107" s="17"/>
      <c r="L107" s="17"/>
      <c r="M107" s="17"/>
      <c r="N107" s="40"/>
      <c r="O107" s="41"/>
      <c r="P107" s="43" t="str">
        <f aca="false">IF(OR(B107="",N107=""),"",ROUND(((N107+N(O107))-(B107+N(C107)))*24,1))</f>
        <v/>
      </c>
      <c r="Q107" s="44" t="str">
        <f aca="false">IF(OR(E107="",A107="",COUNTIFS(Scoresheet!$C$2:$C$501,A107,Scoresheet!$U$2:$U$501,1)=0),"",SUMIFS(Scoresheet!$O$2:$O$501,Scoresheet!$C$2:$C$501,A107,Scoresheet!$U$2:$U$501,1))</f>
        <v/>
      </c>
      <c r="R107" s="44" t="str">
        <f aca="false">IF(E107="","",IF(OR(A107="",COUNTIFS(Scoresheet!$C$2:$C$501,A107,Scoresheet!$U$2:$U$501,1)=0),"No scoresheet yet",IF(SUMIFS(Scoresheet!$N$2:$N$501,Scoresheet!$C$2:$C$501,A107,Scoresheet!$U$2:$U$501,1)&lt;6,"Partly scored ("&amp;SUMIFS(Scoresheet!$N$2:$N$501,Scoresheet!$C$2:$C$501,A107,Scoresheet!$U$2:$U$501,1)&amp;"/6)",IF(Q107&gt;=Settings!$S$8,"Hot",IF(Q107&gt;=Settings!$S$9,"Warm","Cold")))))</f>
        <v/>
      </c>
      <c r="S107" s="44" t="str">
        <f aca="false">IF(OR(E107="",A107=""),"",IF(AND(COUNTIFS(Scoresheet!$C$2:$C$501,A107,Scoresheet!$U$2:$U$501,1,Scoresheet!$H$2:$H$501,"No")&gt;0,COUNTIFS(Scoresheet!$C$2:$C$501,A107,Scoresheet!$U$2:$U$501,1,Scoresheet!$J$2:$J$501,"No")&gt;0),"🚩 Budget  ·  🚩 No one on camera",IF(COUNTIFS(Scoresheet!$C$2:$C$501,A107,Scoresheet!$U$2:$U$501,1,Scoresheet!$H$2:$H$501,"No")&gt;0,"🚩 Budget under AED 5k",IF(COUNTIFS(Scoresheet!$C$2:$C$501,A107,Scoresheet!$U$2:$U$501,1,Scoresheet!$J$2:$J$501,"No")&gt;0,"🚩 No one on camera",""))))</f>
        <v/>
      </c>
      <c r="T107" s="17"/>
      <c r="U107" s="17"/>
      <c r="V107" s="40"/>
      <c r="W107" s="17"/>
      <c r="X107" s="45" t="str">
        <f aca="false">IF(OR(E107="",V107="",OR(U107="Contract signed + paid",U107="Closed – No response",U107="Lost"),N(W107)&gt;=Settings!$S$3),"",V107+Settings!$S$2)</f>
        <v/>
      </c>
      <c r="Y107" s="40"/>
      <c r="Z107" s="41"/>
      <c r="AA107" s="17"/>
      <c r="AB107" s="17"/>
      <c r="AC107" s="17"/>
      <c r="AD107" s="46" t="str">
        <f aca="true">IF(OR(E107="",B107=""),"",INT(TODAY()-B107))</f>
        <v/>
      </c>
      <c r="AE107" s="44" t="str">
        <f aca="true">IF(E107="","",IF(OR(COUNTIFS(Clients!$C$2:$C$501,E107,Clients!$S$2:$S$501,"Paid")&gt;0,AND(I107&lt;&gt;"",COUNTIFS(Clients!$E$2:$E$501,I107,Clients!$S$2:$S$501,"Paid")&gt;0)),"⚠ Refunded before – no free video",IF(OR(U107="Contract signed + paid",U107="Closed – No response",U107="Lost"),"",IF(U107="","Set a stage",IF(AND(U107="Proposal sent",SUMIFS(Scoresheet!$N$2:$N$501,Scoresheet!$C$2:$C$501,A107,Scoresheet!$U$2:$U$501,1)&lt;6),"Score this lead – fill the call scoresheet",IF(N(W107)&gt;=Settings!$S$3,"Close – 4 follow-ups sent",IF(X107="",IF(V107="","Make first contact",""),IF(TODAY()&gt;X107,"OVERDUE follow-up",IF(TODAY()=X107,"Follow up today","")))))))))</f>
        <v/>
      </c>
    </row>
    <row r="108" customFormat="false" ht="15" hidden="false" customHeight="false" outlineLevel="0" collapsed="false">
      <c r="A108" s="17"/>
      <c r="B108" s="40"/>
      <c r="C108" s="41"/>
      <c r="D108" s="17"/>
      <c r="E108" s="17"/>
      <c r="F108" s="17"/>
      <c r="G108" s="17"/>
      <c r="H108" s="17"/>
      <c r="I108" s="42"/>
      <c r="J108" s="17"/>
      <c r="K108" s="17"/>
      <c r="L108" s="17"/>
      <c r="M108" s="17"/>
      <c r="N108" s="40"/>
      <c r="O108" s="41"/>
      <c r="P108" s="43" t="str">
        <f aca="false">IF(OR(B108="",N108=""),"",ROUND(((N108+N(O108))-(B108+N(C108)))*24,1))</f>
        <v/>
      </c>
      <c r="Q108" s="44" t="str">
        <f aca="false">IF(OR(E108="",A108="",COUNTIFS(Scoresheet!$C$2:$C$501,A108,Scoresheet!$U$2:$U$501,1)=0),"",SUMIFS(Scoresheet!$O$2:$O$501,Scoresheet!$C$2:$C$501,A108,Scoresheet!$U$2:$U$501,1))</f>
        <v/>
      </c>
      <c r="R108" s="44" t="str">
        <f aca="false">IF(E108="","",IF(OR(A108="",COUNTIFS(Scoresheet!$C$2:$C$501,A108,Scoresheet!$U$2:$U$501,1)=0),"No scoresheet yet",IF(SUMIFS(Scoresheet!$N$2:$N$501,Scoresheet!$C$2:$C$501,A108,Scoresheet!$U$2:$U$501,1)&lt;6,"Partly scored ("&amp;SUMIFS(Scoresheet!$N$2:$N$501,Scoresheet!$C$2:$C$501,A108,Scoresheet!$U$2:$U$501,1)&amp;"/6)",IF(Q108&gt;=Settings!$S$8,"Hot",IF(Q108&gt;=Settings!$S$9,"Warm","Cold")))))</f>
        <v/>
      </c>
      <c r="S108" s="44" t="str">
        <f aca="false">IF(OR(E108="",A108=""),"",IF(AND(COUNTIFS(Scoresheet!$C$2:$C$501,A108,Scoresheet!$U$2:$U$501,1,Scoresheet!$H$2:$H$501,"No")&gt;0,COUNTIFS(Scoresheet!$C$2:$C$501,A108,Scoresheet!$U$2:$U$501,1,Scoresheet!$J$2:$J$501,"No")&gt;0),"🚩 Budget  ·  🚩 No one on camera",IF(COUNTIFS(Scoresheet!$C$2:$C$501,A108,Scoresheet!$U$2:$U$501,1,Scoresheet!$H$2:$H$501,"No")&gt;0,"🚩 Budget under AED 5k",IF(COUNTIFS(Scoresheet!$C$2:$C$501,A108,Scoresheet!$U$2:$U$501,1,Scoresheet!$J$2:$J$501,"No")&gt;0,"🚩 No one on camera",""))))</f>
        <v/>
      </c>
      <c r="T108" s="17"/>
      <c r="U108" s="17"/>
      <c r="V108" s="40"/>
      <c r="W108" s="17"/>
      <c r="X108" s="45" t="str">
        <f aca="false">IF(OR(E108="",V108="",OR(U108="Contract signed + paid",U108="Closed – No response",U108="Lost"),N(W108)&gt;=Settings!$S$3),"",V108+Settings!$S$2)</f>
        <v/>
      </c>
      <c r="Y108" s="40"/>
      <c r="Z108" s="41"/>
      <c r="AA108" s="17"/>
      <c r="AB108" s="17"/>
      <c r="AC108" s="17"/>
      <c r="AD108" s="46" t="str">
        <f aca="true">IF(OR(E108="",B108=""),"",INT(TODAY()-B108))</f>
        <v/>
      </c>
      <c r="AE108" s="44" t="str">
        <f aca="true">IF(E108="","",IF(OR(COUNTIFS(Clients!$C$2:$C$501,E108,Clients!$S$2:$S$501,"Paid")&gt;0,AND(I108&lt;&gt;"",COUNTIFS(Clients!$E$2:$E$501,I108,Clients!$S$2:$S$501,"Paid")&gt;0)),"⚠ Refunded before – no free video",IF(OR(U108="Contract signed + paid",U108="Closed – No response",U108="Lost"),"",IF(U108="","Set a stage",IF(AND(U108="Proposal sent",SUMIFS(Scoresheet!$N$2:$N$501,Scoresheet!$C$2:$C$501,A108,Scoresheet!$U$2:$U$501,1)&lt;6),"Score this lead – fill the call scoresheet",IF(N(W108)&gt;=Settings!$S$3,"Close – 4 follow-ups sent",IF(X108="",IF(V108="","Make first contact",""),IF(TODAY()&gt;X108,"OVERDUE follow-up",IF(TODAY()=X108,"Follow up today","")))))))))</f>
        <v/>
      </c>
    </row>
    <row r="109" customFormat="false" ht="15" hidden="false" customHeight="false" outlineLevel="0" collapsed="false">
      <c r="A109" s="17"/>
      <c r="B109" s="40"/>
      <c r="C109" s="41"/>
      <c r="D109" s="17"/>
      <c r="E109" s="17"/>
      <c r="F109" s="17"/>
      <c r="G109" s="17"/>
      <c r="H109" s="17"/>
      <c r="I109" s="42"/>
      <c r="J109" s="17"/>
      <c r="K109" s="17"/>
      <c r="L109" s="17"/>
      <c r="M109" s="17"/>
      <c r="N109" s="40"/>
      <c r="O109" s="41"/>
      <c r="P109" s="43" t="str">
        <f aca="false">IF(OR(B109="",N109=""),"",ROUND(((N109+N(O109))-(B109+N(C109)))*24,1))</f>
        <v/>
      </c>
      <c r="Q109" s="44" t="str">
        <f aca="false">IF(OR(E109="",A109="",COUNTIFS(Scoresheet!$C$2:$C$501,A109,Scoresheet!$U$2:$U$501,1)=0),"",SUMIFS(Scoresheet!$O$2:$O$501,Scoresheet!$C$2:$C$501,A109,Scoresheet!$U$2:$U$501,1))</f>
        <v/>
      </c>
      <c r="R109" s="44" t="str">
        <f aca="false">IF(E109="","",IF(OR(A109="",COUNTIFS(Scoresheet!$C$2:$C$501,A109,Scoresheet!$U$2:$U$501,1)=0),"No scoresheet yet",IF(SUMIFS(Scoresheet!$N$2:$N$501,Scoresheet!$C$2:$C$501,A109,Scoresheet!$U$2:$U$501,1)&lt;6,"Partly scored ("&amp;SUMIFS(Scoresheet!$N$2:$N$501,Scoresheet!$C$2:$C$501,A109,Scoresheet!$U$2:$U$501,1)&amp;"/6)",IF(Q109&gt;=Settings!$S$8,"Hot",IF(Q109&gt;=Settings!$S$9,"Warm","Cold")))))</f>
        <v/>
      </c>
      <c r="S109" s="44" t="str">
        <f aca="false">IF(OR(E109="",A109=""),"",IF(AND(COUNTIFS(Scoresheet!$C$2:$C$501,A109,Scoresheet!$U$2:$U$501,1,Scoresheet!$H$2:$H$501,"No")&gt;0,COUNTIFS(Scoresheet!$C$2:$C$501,A109,Scoresheet!$U$2:$U$501,1,Scoresheet!$J$2:$J$501,"No")&gt;0),"🚩 Budget  ·  🚩 No one on camera",IF(COUNTIFS(Scoresheet!$C$2:$C$501,A109,Scoresheet!$U$2:$U$501,1,Scoresheet!$H$2:$H$501,"No")&gt;0,"🚩 Budget under AED 5k",IF(COUNTIFS(Scoresheet!$C$2:$C$501,A109,Scoresheet!$U$2:$U$501,1,Scoresheet!$J$2:$J$501,"No")&gt;0,"🚩 No one on camera",""))))</f>
        <v/>
      </c>
      <c r="T109" s="17"/>
      <c r="U109" s="17"/>
      <c r="V109" s="40"/>
      <c r="W109" s="17"/>
      <c r="X109" s="45" t="str">
        <f aca="false">IF(OR(E109="",V109="",OR(U109="Contract signed + paid",U109="Closed – No response",U109="Lost"),N(W109)&gt;=Settings!$S$3),"",V109+Settings!$S$2)</f>
        <v/>
      </c>
      <c r="Y109" s="40"/>
      <c r="Z109" s="41"/>
      <c r="AA109" s="17"/>
      <c r="AB109" s="17"/>
      <c r="AC109" s="17"/>
      <c r="AD109" s="46" t="str">
        <f aca="true">IF(OR(E109="",B109=""),"",INT(TODAY()-B109))</f>
        <v/>
      </c>
      <c r="AE109" s="44" t="str">
        <f aca="true">IF(E109="","",IF(OR(COUNTIFS(Clients!$C$2:$C$501,E109,Clients!$S$2:$S$501,"Paid")&gt;0,AND(I109&lt;&gt;"",COUNTIFS(Clients!$E$2:$E$501,I109,Clients!$S$2:$S$501,"Paid")&gt;0)),"⚠ Refunded before – no free video",IF(OR(U109="Contract signed + paid",U109="Closed – No response",U109="Lost"),"",IF(U109="","Set a stage",IF(AND(U109="Proposal sent",SUMIFS(Scoresheet!$N$2:$N$501,Scoresheet!$C$2:$C$501,A109,Scoresheet!$U$2:$U$501,1)&lt;6),"Score this lead – fill the call scoresheet",IF(N(W109)&gt;=Settings!$S$3,"Close – 4 follow-ups sent",IF(X109="",IF(V109="","Make first contact",""),IF(TODAY()&gt;X109,"OVERDUE follow-up",IF(TODAY()=X109,"Follow up today","")))))))))</f>
        <v/>
      </c>
    </row>
    <row r="110" customFormat="false" ht="15" hidden="false" customHeight="false" outlineLevel="0" collapsed="false">
      <c r="A110" s="17"/>
      <c r="B110" s="40"/>
      <c r="C110" s="41"/>
      <c r="D110" s="17"/>
      <c r="E110" s="17"/>
      <c r="F110" s="17"/>
      <c r="G110" s="17"/>
      <c r="H110" s="17"/>
      <c r="I110" s="42"/>
      <c r="J110" s="17"/>
      <c r="K110" s="17"/>
      <c r="L110" s="17"/>
      <c r="M110" s="17"/>
      <c r="N110" s="40"/>
      <c r="O110" s="41"/>
      <c r="P110" s="43" t="str">
        <f aca="false">IF(OR(B110="",N110=""),"",ROUND(((N110+N(O110))-(B110+N(C110)))*24,1))</f>
        <v/>
      </c>
      <c r="Q110" s="44" t="str">
        <f aca="false">IF(OR(E110="",A110="",COUNTIFS(Scoresheet!$C$2:$C$501,A110,Scoresheet!$U$2:$U$501,1)=0),"",SUMIFS(Scoresheet!$O$2:$O$501,Scoresheet!$C$2:$C$501,A110,Scoresheet!$U$2:$U$501,1))</f>
        <v/>
      </c>
      <c r="R110" s="44" t="str">
        <f aca="false">IF(E110="","",IF(OR(A110="",COUNTIFS(Scoresheet!$C$2:$C$501,A110,Scoresheet!$U$2:$U$501,1)=0),"No scoresheet yet",IF(SUMIFS(Scoresheet!$N$2:$N$501,Scoresheet!$C$2:$C$501,A110,Scoresheet!$U$2:$U$501,1)&lt;6,"Partly scored ("&amp;SUMIFS(Scoresheet!$N$2:$N$501,Scoresheet!$C$2:$C$501,A110,Scoresheet!$U$2:$U$501,1)&amp;"/6)",IF(Q110&gt;=Settings!$S$8,"Hot",IF(Q110&gt;=Settings!$S$9,"Warm","Cold")))))</f>
        <v/>
      </c>
      <c r="S110" s="44" t="str">
        <f aca="false">IF(OR(E110="",A110=""),"",IF(AND(COUNTIFS(Scoresheet!$C$2:$C$501,A110,Scoresheet!$U$2:$U$501,1,Scoresheet!$H$2:$H$501,"No")&gt;0,COUNTIFS(Scoresheet!$C$2:$C$501,A110,Scoresheet!$U$2:$U$501,1,Scoresheet!$J$2:$J$501,"No")&gt;0),"🚩 Budget  ·  🚩 No one on camera",IF(COUNTIFS(Scoresheet!$C$2:$C$501,A110,Scoresheet!$U$2:$U$501,1,Scoresheet!$H$2:$H$501,"No")&gt;0,"🚩 Budget under AED 5k",IF(COUNTIFS(Scoresheet!$C$2:$C$501,A110,Scoresheet!$U$2:$U$501,1,Scoresheet!$J$2:$J$501,"No")&gt;0,"🚩 No one on camera",""))))</f>
        <v/>
      </c>
      <c r="T110" s="17"/>
      <c r="U110" s="17"/>
      <c r="V110" s="40"/>
      <c r="W110" s="17"/>
      <c r="X110" s="45" t="str">
        <f aca="false">IF(OR(E110="",V110="",OR(U110="Contract signed + paid",U110="Closed – No response",U110="Lost"),N(W110)&gt;=Settings!$S$3),"",V110+Settings!$S$2)</f>
        <v/>
      </c>
      <c r="Y110" s="40"/>
      <c r="Z110" s="41"/>
      <c r="AA110" s="17"/>
      <c r="AB110" s="17"/>
      <c r="AC110" s="17"/>
      <c r="AD110" s="46" t="str">
        <f aca="true">IF(OR(E110="",B110=""),"",INT(TODAY()-B110))</f>
        <v/>
      </c>
      <c r="AE110" s="44" t="str">
        <f aca="true">IF(E110="","",IF(OR(COUNTIFS(Clients!$C$2:$C$501,E110,Clients!$S$2:$S$501,"Paid")&gt;0,AND(I110&lt;&gt;"",COUNTIFS(Clients!$E$2:$E$501,I110,Clients!$S$2:$S$501,"Paid")&gt;0)),"⚠ Refunded before – no free video",IF(OR(U110="Contract signed + paid",U110="Closed – No response",U110="Lost"),"",IF(U110="","Set a stage",IF(AND(U110="Proposal sent",SUMIFS(Scoresheet!$N$2:$N$501,Scoresheet!$C$2:$C$501,A110,Scoresheet!$U$2:$U$501,1)&lt;6),"Score this lead – fill the call scoresheet",IF(N(W110)&gt;=Settings!$S$3,"Close – 4 follow-ups sent",IF(X110="",IF(V110="","Make first contact",""),IF(TODAY()&gt;X110,"OVERDUE follow-up",IF(TODAY()=X110,"Follow up today","")))))))))</f>
        <v/>
      </c>
    </row>
    <row r="111" customFormat="false" ht="15" hidden="false" customHeight="false" outlineLevel="0" collapsed="false">
      <c r="A111" s="17"/>
      <c r="B111" s="40"/>
      <c r="C111" s="41"/>
      <c r="D111" s="17"/>
      <c r="E111" s="17"/>
      <c r="F111" s="17"/>
      <c r="G111" s="17"/>
      <c r="H111" s="17"/>
      <c r="I111" s="42"/>
      <c r="J111" s="17"/>
      <c r="K111" s="17"/>
      <c r="L111" s="17"/>
      <c r="M111" s="17"/>
      <c r="N111" s="40"/>
      <c r="O111" s="41"/>
      <c r="P111" s="43" t="str">
        <f aca="false">IF(OR(B111="",N111=""),"",ROUND(((N111+N(O111))-(B111+N(C111)))*24,1))</f>
        <v/>
      </c>
      <c r="Q111" s="44" t="str">
        <f aca="false">IF(OR(E111="",A111="",COUNTIFS(Scoresheet!$C$2:$C$501,A111,Scoresheet!$U$2:$U$501,1)=0),"",SUMIFS(Scoresheet!$O$2:$O$501,Scoresheet!$C$2:$C$501,A111,Scoresheet!$U$2:$U$501,1))</f>
        <v/>
      </c>
      <c r="R111" s="44" t="str">
        <f aca="false">IF(E111="","",IF(OR(A111="",COUNTIFS(Scoresheet!$C$2:$C$501,A111,Scoresheet!$U$2:$U$501,1)=0),"No scoresheet yet",IF(SUMIFS(Scoresheet!$N$2:$N$501,Scoresheet!$C$2:$C$501,A111,Scoresheet!$U$2:$U$501,1)&lt;6,"Partly scored ("&amp;SUMIFS(Scoresheet!$N$2:$N$501,Scoresheet!$C$2:$C$501,A111,Scoresheet!$U$2:$U$501,1)&amp;"/6)",IF(Q111&gt;=Settings!$S$8,"Hot",IF(Q111&gt;=Settings!$S$9,"Warm","Cold")))))</f>
        <v/>
      </c>
      <c r="S111" s="44" t="str">
        <f aca="false">IF(OR(E111="",A111=""),"",IF(AND(COUNTIFS(Scoresheet!$C$2:$C$501,A111,Scoresheet!$U$2:$U$501,1,Scoresheet!$H$2:$H$501,"No")&gt;0,COUNTIFS(Scoresheet!$C$2:$C$501,A111,Scoresheet!$U$2:$U$501,1,Scoresheet!$J$2:$J$501,"No")&gt;0),"🚩 Budget  ·  🚩 No one on camera",IF(COUNTIFS(Scoresheet!$C$2:$C$501,A111,Scoresheet!$U$2:$U$501,1,Scoresheet!$H$2:$H$501,"No")&gt;0,"🚩 Budget under AED 5k",IF(COUNTIFS(Scoresheet!$C$2:$C$501,A111,Scoresheet!$U$2:$U$501,1,Scoresheet!$J$2:$J$501,"No")&gt;0,"🚩 No one on camera",""))))</f>
        <v/>
      </c>
      <c r="T111" s="17"/>
      <c r="U111" s="17"/>
      <c r="V111" s="40"/>
      <c r="W111" s="17"/>
      <c r="X111" s="45" t="str">
        <f aca="false">IF(OR(E111="",V111="",OR(U111="Contract signed + paid",U111="Closed – No response",U111="Lost"),N(W111)&gt;=Settings!$S$3),"",V111+Settings!$S$2)</f>
        <v/>
      </c>
      <c r="Y111" s="40"/>
      <c r="Z111" s="41"/>
      <c r="AA111" s="17"/>
      <c r="AB111" s="17"/>
      <c r="AC111" s="17"/>
      <c r="AD111" s="46" t="str">
        <f aca="true">IF(OR(E111="",B111=""),"",INT(TODAY()-B111))</f>
        <v/>
      </c>
      <c r="AE111" s="44" t="str">
        <f aca="true">IF(E111="","",IF(OR(COUNTIFS(Clients!$C$2:$C$501,E111,Clients!$S$2:$S$501,"Paid")&gt;0,AND(I111&lt;&gt;"",COUNTIFS(Clients!$E$2:$E$501,I111,Clients!$S$2:$S$501,"Paid")&gt;0)),"⚠ Refunded before – no free video",IF(OR(U111="Contract signed + paid",U111="Closed – No response",U111="Lost"),"",IF(U111="","Set a stage",IF(AND(U111="Proposal sent",SUMIFS(Scoresheet!$N$2:$N$501,Scoresheet!$C$2:$C$501,A111,Scoresheet!$U$2:$U$501,1)&lt;6),"Score this lead – fill the call scoresheet",IF(N(W111)&gt;=Settings!$S$3,"Close – 4 follow-ups sent",IF(X111="",IF(V111="","Make first contact",""),IF(TODAY()&gt;X111,"OVERDUE follow-up",IF(TODAY()=X111,"Follow up today","")))))))))</f>
        <v/>
      </c>
    </row>
    <row r="112" customFormat="false" ht="15" hidden="false" customHeight="false" outlineLevel="0" collapsed="false">
      <c r="A112" s="17"/>
      <c r="B112" s="40"/>
      <c r="C112" s="41"/>
      <c r="D112" s="17"/>
      <c r="E112" s="17"/>
      <c r="F112" s="17"/>
      <c r="G112" s="17"/>
      <c r="H112" s="17"/>
      <c r="I112" s="42"/>
      <c r="J112" s="17"/>
      <c r="K112" s="17"/>
      <c r="L112" s="17"/>
      <c r="M112" s="17"/>
      <c r="N112" s="40"/>
      <c r="O112" s="41"/>
      <c r="P112" s="43" t="str">
        <f aca="false">IF(OR(B112="",N112=""),"",ROUND(((N112+N(O112))-(B112+N(C112)))*24,1))</f>
        <v/>
      </c>
      <c r="Q112" s="44" t="str">
        <f aca="false">IF(OR(E112="",A112="",COUNTIFS(Scoresheet!$C$2:$C$501,A112,Scoresheet!$U$2:$U$501,1)=0),"",SUMIFS(Scoresheet!$O$2:$O$501,Scoresheet!$C$2:$C$501,A112,Scoresheet!$U$2:$U$501,1))</f>
        <v/>
      </c>
      <c r="R112" s="44" t="str">
        <f aca="false">IF(E112="","",IF(OR(A112="",COUNTIFS(Scoresheet!$C$2:$C$501,A112,Scoresheet!$U$2:$U$501,1)=0),"No scoresheet yet",IF(SUMIFS(Scoresheet!$N$2:$N$501,Scoresheet!$C$2:$C$501,A112,Scoresheet!$U$2:$U$501,1)&lt;6,"Partly scored ("&amp;SUMIFS(Scoresheet!$N$2:$N$501,Scoresheet!$C$2:$C$501,A112,Scoresheet!$U$2:$U$501,1)&amp;"/6)",IF(Q112&gt;=Settings!$S$8,"Hot",IF(Q112&gt;=Settings!$S$9,"Warm","Cold")))))</f>
        <v/>
      </c>
      <c r="S112" s="44" t="str">
        <f aca="false">IF(OR(E112="",A112=""),"",IF(AND(COUNTIFS(Scoresheet!$C$2:$C$501,A112,Scoresheet!$U$2:$U$501,1,Scoresheet!$H$2:$H$501,"No")&gt;0,COUNTIFS(Scoresheet!$C$2:$C$501,A112,Scoresheet!$U$2:$U$501,1,Scoresheet!$J$2:$J$501,"No")&gt;0),"🚩 Budget  ·  🚩 No one on camera",IF(COUNTIFS(Scoresheet!$C$2:$C$501,A112,Scoresheet!$U$2:$U$501,1,Scoresheet!$H$2:$H$501,"No")&gt;0,"🚩 Budget under AED 5k",IF(COUNTIFS(Scoresheet!$C$2:$C$501,A112,Scoresheet!$U$2:$U$501,1,Scoresheet!$J$2:$J$501,"No")&gt;0,"🚩 No one on camera",""))))</f>
        <v/>
      </c>
      <c r="T112" s="17"/>
      <c r="U112" s="17"/>
      <c r="V112" s="40"/>
      <c r="W112" s="17"/>
      <c r="X112" s="45" t="str">
        <f aca="false">IF(OR(E112="",V112="",OR(U112="Contract signed + paid",U112="Closed – No response",U112="Lost"),N(W112)&gt;=Settings!$S$3),"",V112+Settings!$S$2)</f>
        <v/>
      </c>
      <c r="Y112" s="40"/>
      <c r="Z112" s="41"/>
      <c r="AA112" s="17"/>
      <c r="AB112" s="17"/>
      <c r="AC112" s="17"/>
      <c r="AD112" s="46" t="str">
        <f aca="true">IF(OR(E112="",B112=""),"",INT(TODAY()-B112))</f>
        <v/>
      </c>
      <c r="AE112" s="44" t="str">
        <f aca="true">IF(E112="","",IF(OR(COUNTIFS(Clients!$C$2:$C$501,E112,Clients!$S$2:$S$501,"Paid")&gt;0,AND(I112&lt;&gt;"",COUNTIFS(Clients!$E$2:$E$501,I112,Clients!$S$2:$S$501,"Paid")&gt;0)),"⚠ Refunded before – no free video",IF(OR(U112="Contract signed + paid",U112="Closed – No response",U112="Lost"),"",IF(U112="","Set a stage",IF(AND(U112="Proposal sent",SUMIFS(Scoresheet!$N$2:$N$501,Scoresheet!$C$2:$C$501,A112,Scoresheet!$U$2:$U$501,1)&lt;6),"Score this lead – fill the call scoresheet",IF(N(W112)&gt;=Settings!$S$3,"Close – 4 follow-ups sent",IF(X112="",IF(V112="","Make first contact",""),IF(TODAY()&gt;X112,"OVERDUE follow-up",IF(TODAY()=X112,"Follow up today","")))))))))</f>
        <v/>
      </c>
    </row>
    <row r="113" customFormat="false" ht="15" hidden="false" customHeight="false" outlineLevel="0" collapsed="false">
      <c r="A113" s="17"/>
      <c r="B113" s="40"/>
      <c r="C113" s="41"/>
      <c r="D113" s="17"/>
      <c r="E113" s="17"/>
      <c r="F113" s="17"/>
      <c r="G113" s="17"/>
      <c r="H113" s="17"/>
      <c r="I113" s="42"/>
      <c r="J113" s="17"/>
      <c r="K113" s="17"/>
      <c r="L113" s="17"/>
      <c r="M113" s="17"/>
      <c r="N113" s="40"/>
      <c r="O113" s="41"/>
      <c r="P113" s="43" t="str">
        <f aca="false">IF(OR(B113="",N113=""),"",ROUND(((N113+N(O113))-(B113+N(C113)))*24,1))</f>
        <v/>
      </c>
      <c r="Q113" s="44" t="str">
        <f aca="false">IF(OR(E113="",A113="",COUNTIFS(Scoresheet!$C$2:$C$501,A113,Scoresheet!$U$2:$U$501,1)=0),"",SUMIFS(Scoresheet!$O$2:$O$501,Scoresheet!$C$2:$C$501,A113,Scoresheet!$U$2:$U$501,1))</f>
        <v/>
      </c>
      <c r="R113" s="44" t="str">
        <f aca="false">IF(E113="","",IF(OR(A113="",COUNTIFS(Scoresheet!$C$2:$C$501,A113,Scoresheet!$U$2:$U$501,1)=0),"No scoresheet yet",IF(SUMIFS(Scoresheet!$N$2:$N$501,Scoresheet!$C$2:$C$501,A113,Scoresheet!$U$2:$U$501,1)&lt;6,"Partly scored ("&amp;SUMIFS(Scoresheet!$N$2:$N$501,Scoresheet!$C$2:$C$501,A113,Scoresheet!$U$2:$U$501,1)&amp;"/6)",IF(Q113&gt;=Settings!$S$8,"Hot",IF(Q113&gt;=Settings!$S$9,"Warm","Cold")))))</f>
        <v/>
      </c>
      <c r="S113" s="44" t="str">
        <f aca="false">IF(OR(E113="",A113=""),"",IF(AND(COUNTIFS(Scoresheet!$C$2:$C$501,A113,Scoresheet!$U$2:$U$501,1,Scoresheet!$H$2:$H$501,"No")&gt;0,COUNTIFS(Scoresheet!$C$2:$C$501,A113,Scoresheet!$U$2:$U$501,1,Scoresheet!$J$2:$J$501,"No")&gt;0),"🚩 Budget  ·  🚩 No one on camera",IF(COUNTIFS(Scoresheet!$C$2:$C$501,A113,Scoresheet!$U$2:$U$501,1,Scoresheet!$H$2:$H$501,"No")&gt;0,"🚩 Budget under AED 5k",IF(COUNTIFS(Scoresheet!$C$2:$C$501,A113,Scoresheet!$U$2:$U$501,1,Scoresheet!$J$2:$J$501,"No")&gt;0,"🚩 No one on camera",""))))</f>
        <v/>
      </c>
      <c r="T113" s="17"/>
      <c r="U113" s="17"/>
      <c r="V113" s="40"/>
      <c r="W113" s="17"/>
      <c r="X113" s="45" t="str">
        <f aca="false">IF(OR(E113="",V113="",OR(U113="Contract signed + paid",U113="Closed – No response",U113="Lost"),N(W113)&gt;=Settings!$S$3),"",V113+Settings!$S$2)</f>
        <v/>
      </c>
      <c r="Y113" s="40"/>
      <c r="Z113" s="41"/>
      <c r="AA113" s="17"/>
      <c r="AB113" s="17"/>
      <c r="AC113" s="17"/>
      <c r="AD113" s="46" t="str">
        <f aca="true">IF(OR(E113="",B113=""),"",INT(TODAY()-B113))</f>
        <v/>
      </c>
      <c r="AE113" s="44" t="str">
        <f aca="true">IF(E113="","",IF(OR(COUNTIFS(Clients!$C$2:$C$501,E113,Clients!$S$2:$S$501,"Paid")&gt;0,AND(I113&lt;&gt;"",COUNTIFS(Clients!$E$2:$E$501,I113,Clients!$S$2:$S$501,"Paid")&gt;0)),"⚠ Refunded before – no free video",IF(OR(U113="Contract signed + paid",U113="Closed – No response",U113="Lost"),"",IF(U113="","Set a stage",IF(AND(U113="Proposal sent",SUMIFS(Scoresheet!$N$2:$N$501,Scoresheet!$C$2:$C$501,A113,Scoresheet!$U$2:$U$501,1)&lt;6),"Score this lead – fill the call scoresheet",IF(N(W113)&gt;=Settings!$S$3,"Close – 4 follow-ups sent",IF(X113="",IF(V113="","Make first contact",""),IF(TODAY()&gt;X113,"OVERDUE follow-up",IF(TODAY()=X113,"Follow up today","")))))))))</f>
        <v/>
      </c>
    </row>
    <row r="114" customFormat="false" ht="15" hidden="false" customHeight="false" outlineLevel="0" collapsed="false">
      <c r="A114" s="17"/>
      <c r="B114" s="40"/>
      <c r="C114" s="41"/>
      <c r="D114" s="17"/>
      <c r="E114" s="17"/>
      <c r="F114" s="17"/>
      <c r="G114" s="17"/>
      <c r="H114" s="17"/>
      <c r="I114" s="42"/>
      <c r="J114" s="17"/>
      <c r="K114" s="17"/>
      <c r="L114" s="17"/>
      <c r="M114" s="17"/>
      <c r="N114" s="40"/>
      <c r="O114" s="41"/>
      <c r="P114" s="43" t="str">
        <f aca="false">IF(OR(B114="",N114=""),"",ROUND(((N114+N(O114))-(B114+N(C114)))*24,1))</f>
        <v/>
      </c>
      <c r="Q114" s="44" t="str">
        <f aca="false">IF(OR(E114="",A114="",COUNTIFS(Scoresheet!$C$2:$C$501,A114,Scoresheet!$U$2:$U$501,1)=0),"",SUMIFS(Scoresheet!$O$2:$O$501,Scoresheet!$C$2:$C$501,A114,Scoresheet!$U$2:$U$501,1))</f>
        <v/>
      </c>
      <c r="R114" s="44" t="str">
        <f aca="false">IF(E114="","",IF(OR(A114="",COUNTIFS(Scoresheet!$C$2:$C$501,A114,Scoresheet!$U$2:$U$501,1)=0),"No scoresheet yet",IF(SUMIFS(Scoresheet!$N$2:$N$501,Scoresheet!$C$2:$C$501,A114,Scoresheet!$U$2:$U$501,1)&lt;6,"Partly scored ("&amp;SUMIFS(Scoresheet!$N$2:$N$501,Scoresheet!$C$2:$C$501,A114,Scoresheet!$U$2:$U$501,1)&amp;"/6)",IF(Q114&gt;=Settings!$S$8,"Hot",IF(Q114&gt;=Settings!$S$9,"Warm","Cold")))))</f>
        <v/>
      </c>
      <c r="S114" s="44" t="str">
        <f aca="false">IF(OR(E114="",A114=""),"",IF(AND(COUNTIFS(Scoresheet!$C$2:$C$501,A114,Scoresheet!$U$2:$U$501,1,Scoresheet!$H$2:$H$501,"No")&gt;0,COUNTIFS(Scoresheet!$C$2:$C$501,A114,Scoresheet!$U$2:$U$501,1,Scoresheet!$J$2:$J$501,"No")&gt;0),"🚩 Budget  ·  🚩 No one on camera",IF(COUNTIFS(Scoresheet!$C$2:$C$501,A114,Scoresheet!$U$2:$U$501,1,Scoresheet!$H$2:$H$501,"No")&gt;0,"🚩 Budget under AED 5k",IF(COUNTIFS(Scoresheet!$C$2:$C$501,A114,Scoresheet!$U$2:$U$501,1,Scoresheet!$J$2:$J$501,"No")&gt;0,"🚩 No one on camera",""))))</f>
        <v/>
      </c>
      <c r="T114" s="17"/>
      <c r="U114" s="17"/>
      <c r="V114" s="40"/>
      <c r="W114" s="17"/>
      <c r="X114" s="45" t="str">
        <f aca="false">IF(OR(E114="",V114="",OR(U114="Contract signed + paid",U114="Closed – No response",U114="Lost"),N(W114)&gt;=Settings!$S$3),"",V114+Settings!$S$2)</f>
        <v/>
      </c>
      <c r="Y114" s="40"/>
      <c r="Z114" s="41"/>
      <c r="AA114" s="17"/>
      <c r="AB114" s="17"/>
      <c r="AC114" s="17"/>
      <c r="AD114" s="46" t="str">
        <f aca="true">IF(OR(E114="",B114=""),"",INT(TODAY()-B114))</f>
        <v/>
      </c>
      <c r="AE114" s="44" t="str">
        <f aca="true">IF(E114="","",IF(OR(COUNTIFS(Clients!$C$2:$C$501,E114,Clients!$S$2:$S$501,"Paid")&gt;0,AND(I114&lt;&gt;"",COUNTIFS(Clients!$E$2:$E$501,I114,Clients!$S$2:$S$501,"Paid")&gt;0)),"⚠ Refunded before – no free video",IF(OR(U114="Contract signed + paid",U114="Closed – No response",U114="Lost"),"",IF(U114="","Set a stage",IF(AND(U114="Proposal sent",SUMIFS(Scoresheet!$N$2:$N$501,Scoresheet!$C$2:$C$501,A114,Scoresheet!$U$2:$U$501,1)&lt;6),"Score this lead – fill the call scoresheet",IF(N(W114)&gt;=Settings!$S$3,"Close – 4 follow-ups sent",IF(X114="",IF(V114="","Make first contact",""),IF(TODAY()&gt;X114,"OVERDUE follow-up",IF(TODAY()=X114,"Follow up today","")))))))))</f>
        <v/>
      </c>
    </row>
    <row r="115" customFormat="false" ht="15" hidden="false" customHeight="false" outlineLevel="0" collapsed="false">
      <c r="A115" s="17"/>
      <c r="B115" s="40"/>
      <c r="C115" s="41"/>
      <c r="D115" s="17"/>
      <c r="E115" s="17"/>
      <c r="F115" s="17"/>
      <c r="G115" s="17"/>
      <c r="H115" s="17"/>
      <c r="I115" s="42"/>
      <c r="J115" s="17"/>
      <c r="K115" s="17"/>
      <c r="L115" s="17"/>
      <c r="M115" s="17"/>
      <c r="N115" s="40"/>
      <c r="O115" s="41"/>
      <c r="P115" s="43" t="str">
        <f aca="false">IF(OR(B115="",N115=""),"",ROUND(((N115+N(O115))-(B115+N(C115)))*24,1))</f>
        <v/>
      </c>
      <c r="Q115" s="44" t="str">
        <f aca="false">IF(OR(E115="",A115="",COUNTIFS(Scoresheet!$C$2:$C$501,A115,Scoresheet!$U$2:$U$501,1)=0),"",SUMIFS(Scoresheet!$O$2:$O$501,Scoresheet!$C$2:$C$501,A115,Scoresheet!$U$2:$U$501,1))</f>
        <v/>
      </c>
      <c r="R115" s="44" t="str">
        <f aca="false">IF(E115="","",IF(OR(A115="",COUNTIFS(Scoresheet!$C$2:$C$501,A115,Scoresheet!$U$2:$U$501,1)=0),"No scoresheet yet",IF(SUMIFS(Scoresheet!$N$2:$N$501,Scoresheet!$C$2:$C$501,A115,Scoresheet!$U$2:$U$501,1)&lt;6,"Partly scored ("&amp;SUMIFS(Scoresheet!$N$2:$N$501,Scoresheet!$C$2:$C$501,A115,Scoresheet!$U$2:$U$501,1)&amp;"/6)",IF(Q115&gt;=Settings!$S$8,"Hot",IF(Q115&gt;=Settings!$S$9,"Warm","Cold")))))</f>
        <v/>
      </c>
      <c r="S115" s="44" t="str">
        <f aca="false">IF(OR(E115="",A115=""),"",IF(AND(COUNTIFS(Scoresheet!$C$2:$C$501,A115,Scoresheet!$U$2:$U$501,1,Scoresheet!$H$2:$H$501,"No")&gt;0,COUNTIFS(Scoresheet!$C$2:$C$501,A115,Scoresheet!$U$2:$U$501,1,Scoresheet!$J$2:$J$501,"No")&gt;0),"🚩 Budget  ·  🚩 No one on camera",IF(COUNTIFS(Scoresheet!$C$2:$C$501,A115,Scoresheet!$U$2:$U$501,1,Scoresheet!$H$2:$H$501,"No")&gt;0,"🚩 Budget under AED 5k",IF(COUNTIFS(Scoresheet!$C$2:$C$501,A115,Scoresheet!$U$2:$U$501,1,Scoresheet!$J$2:$J$501,"No")&gt;0,"🚩 No one on camera",""))))</f>
        <v/>
      </c>
      <c r="T115" s="17"/>
      <c r="U115" s="17"/>
      <c r="V115" s="40"/>
      <c r="W115" s="17"/>
      <c r="X115" s="45" t="str">
        <f aca="false">IF(OR(E115="",V115="",OR(U115="Contract signed + paid",U115="Closed – No response",U115="Lost"),N(W115)&gt;=Settings!$S$3),"",V115+Settings!$S$2)</f>
        <v/>
      </c>
      <c r="Y115" s="40"/>
      <c r="Z115" s="41"/>
      <c r="AA115" s="17"/>
      <c r="AB115" s="17"/>
      <c r="AC115" s="17"/>
      <c r="AD115" s="46" t="str">
        <f aca="true">IF(OR(E115="",B115=""),"",INT(TODAY()-B115))</f>
        <v/>
      </c>
      <c r="AE115" s="44" t="str">
        <f aca="true">IF(E115="","",IF(OR(COUNTIFS(Clients!$C$2:$C$501,E115,Clients!$S$2:$S$501,"Paid")&gt;0,AND(I115&lt;&gt;"",COUNTIFS(Clients!$E$2:$E$501,I115,Clients!$S$2:$S$501,"Paid")&gt;0)),"⚠ Refunded before – no free video",IF(OR(U115="Contract signed + paid",U115="Closed – No response",U115="Lost"),"",IF(U115="","Set a stage",IF(AND(U115="Proposal sent",SUMIFS(Scoresheet!$N$2:$N$501,Scoresheet!$C$2:$C$501,A115,Scoresheet!$U$2:$U$501,1)&lt;6),"Score this lead – fill the call scoresheet",IF(N(W115)&gt;=Settings!$S$3,"Close – 4 follow-ups sent",IF(X115="",IF(V115="","Make first contact",""),IF(TODAY()&gt;X115,"OVERDUE follow-up",IF(TODAY()=X115,"Follow up today","")))))))))</f>
        <v/>
      </c>
    </row>
    <row r="116" customFormat="false" ht="15" hidden="false" customHeight="false" outlineLevel="0" collapsed="false">
      <c r="A116" s="17"/>
      <c r="B116" s="40"/>
      <c r="C116" s="41"/>
      <c r="D116" s="17"/>
      <c r="E116" s="17"/>
      <c r="F116" s="17"/>
      <c r="G116" s="17"/>
      <c r="H116" s="17"/>
      <c r="I116" s="42"/>
      <c r="J116" s="17"/>
      <c r="K116" s="17"/>
      <c r="L116" s="17"/>
      <c r="M116" s="17"/>
      <c r="N116" s="40"/>
      <c r="O116" s="41"/>
      <c r="P116" s="43" t="str">
        <f aca="false">IF(OR(B116="",N116=""),"",ROUND(((N116+N(O116))-(B116+N(C116)))*24,1))</f>
        <v/>
      </c>
      <c r="Q116" s="44" t="str">
        <f aca="false">IF(OR(E116="",A116="",COUNTIFS(Scoresheet!$C$2:$C$501,A116,Scoresheet!$U$2:$U$501,1)=0),"",SUMIFS(Scoresheet!$O$2:$O$501,Scoresheet!$C$2:$C$501,A116,Scoresheet!$U$2:$U$501,1))</f>
        <v/>
      </c>
      <c r="R116" s="44" t="str">
        <f aca="false">IF(E116="","",IF(OR(A116="",COUNTIFS(Scoresheet!$C$2:$C$501,A116,Scoresheet!$U$2:$U$501,1)=0),"No scoresheet yet",IF(SUMIFS(Scoresheet!$N$2:$N$501,Scoresheet!$C$2:$C$501,A116,Scoresheet!$U$2:$U$501,1)&lt;6,"Partly scored ("&amp;SUMIFS(Scoresheet!$N$2:$N$501,Scoresheet!$C$2:$C$501,A116,Scoresheet!$U$2:$U$501,1)&amp;"/6)",IF(Q116&gt;=Settings!$S$8,"Hot",IF(Q116&gt;=Settings!$S$9,"Warm","Cold")))))</f>
        <v/>
      </c>
      <c r="S116" s="44" t="str">
        <f aca="false">IF(OR(E116="",A116=""),"",IF(AND(COUNTIFS(Scoresheet!$C$2:$C$501,A116,Scoresheet!$U$2:$U$501,1,Scoresheet!$H$2:$H$501,"No")&gt;0,COUNTIFS(Scoresheet!$C$2:$C$501,A116,Scoresheet!$U$2:$U$501,1,Scoresheet!$J$2:$J$501,"No")&gt;0),"🚩 Budget  ·  🚩 No one on camera",IF(COUNTIFS(Scoresheet!$C$2:$C$501,A116,Scoresheet!$U$2:$U$501,1,Scoresheet!$H$2:$H$501,"No")&gt;0,"🚩 Budget under AED 5k",IF(COUNTIFS(Scoresheet!$C$2:$C$501,A116,Scoresheet!$U$2:$U$501,1,Scoresheet!$J$2:$J$501,"No")&gt;0,"🚩 No one on camera",""))))</f>
        <v/>
      </c>
      <c r="T116" s="17"/>
      <c r="U116" s="17"/>
      <c r="V116" s="40"/>
      <c r="W116" s="17"/>
      <c r="X116" s="45" t="str">
        <f aca="false">IF(OR(E116="",V116="",OR(U116="Contract signed + paid",U116="Closed – No response",U116="Lost"),N(W116)&gt;=Settings!$S$3),"",V116+Settings!$S$2)</f>
        <v/>
      </c>
      <c r="Y116" s="40"/>
      <c r="Z116" s="41"/>
      <c r="AA116" s="17"/>
      <c r="AB116" s="17"/>
      <c r="AC116" s="17"/>
      <c r="AD116" s="46" t="str">
        <f aca="true">IF(OR(E116="",B116=""),"",INT(TODAY()-B116))</f>
        <v/>
      </c>
      <c r="AE116" s="44" t="str">
        <f aca="true">IF(E116="","",IF(OR(COUNTIFS(Clients!$C$2:$C$501,E116,Clients!$S$2:$S$501,"Paid")&gt;0,AND(I116&lt;&gt;"",COUNTIFS(Clients!$E$2:$E$501,I116,Clients!$S$2:$S$501,"Paid")&gt;0)),"⚠ Refunded before – no free video",IF(OR(U116="Contract signed + paid",U116="Closed – No response",U116="Lost"),"",IF(U116="","Set a stage",IF(AND(U116="Proposal sent",SUMIFS(Scoresheet!$N$2:$N$501,Scoresheet!$C$2:$C$501,A116,Scoresheet!$U$2:$U$501,1)&lt;6),"Score this lead – fill the call scoresheet",IF(N(W116)&gt;=Settings!$S$3,"Close – 4 follow-ups sent",IF(X116="",IF(V116="","Make first contact",""),IF(TODAY()&gt;X116,"OVERDUE follow-up",IF(TODAY()=X116,"Follow up today","")))))))))</f>
        <v/>
      </c>
    </row>
    <row r="117" customFormat="false" ht="15" hidden="false" customHeight="false" outlineLevel="0" collapsed="false">
      <c r="A117" s="17"/>
      <c r="B117" s="40"/>
      <c r="C117" s="41"/>
      <c r="D117" s="17"/>
      <c r="E117" s="17"/>
      <c r="F117" s="17"/>
      <c r="G117" s="17"/>
      <c r="H117" s="17"/>
      <c r="I117" s="42"/>
      <c r="J117" s="17"/>
      <c r="K117" s="17"/>
      <c r="L117" s="17"/>
      <c r="M117" s="17"/>
      <c r="N117" s="40"/>
      <c r="O117" s="41"/>
      <c r="P117" s="43" t="str">
        <f aca="false">IF(OR(B117="",N117=""),"",ROUND(((N117+N(O117))-(B117+N(C117)))*24,1))</f>
        <v/>
      </c>
      <c r="Q117" s="44" t="str">
        <f aca="false">IF(OR(E117="",A117="",COUNTIFS(Scoresheet!$C$2:$C$501,A117,Scoresheet!$U$2:$U$501,1)=0),"",SUMIFS(Scoresheet!$O$2:$O$501,Scoresheet!$C$2:$C$501,A117,Scoresheet!$U$2:$U$501,1))</f>
        <v/>
      </c>
      <c r="R117" s="44" t="str">
        <f aca="false">IF(E117="","",IF(OR(A117="",COUNTIFS(Scoresheet!$C$2:$C$501,A117,Scoresheet!$U$2:$U$501,1)=0),"No scoresheet yet",IF(SUMIFS(Scoresheet!$N$2:$N$501,Scoresheet!$C$2:$C$501,A117,Scoresheet!$U$2:$U$501,1)&lt;6,"Partly scored ("&amp;SUMIFS(Scoresheet!$N$2:$N$501,Scoresheet!$C$2:$C$501,A117,Scoresheet!$U$2:$U$501,1)&amp;"/6)",IF(Q117&gt;=Settings!$S$8,"Hot",IF(Q117&gt;=Settings!$S$9,"Warm","Cold")))))</f>
        <v/>
      </c>
      <c r="S117" s="44" t="str">
        <f aca="false">IF(OR(E117="",A117=""),"",IF(AND(COUNTIFS(Scoresheet!$C$2:$C$501,A117,Scoresheet!$U$2:$U$501,1,Scoresheet!$H$2:$H$501,"No")&gt;0,COUNTIFS(Scoresheet!$C$2:$C$501,A117,Scoresheet!$U$2:$U$501,1,Scoresheet!$J$2:$J$501,"No")&gt;0),"🚩 Budget  ·  🚩 No one on camera",IF(COUNTIFS(Scoresheet!$C$2:$C$501,A117,Scoresheet!$U$2:$U$501,1,Scoresheet!$H$2:$H$501,"No")&gt;0,"🚩 Budget under AED 5k",IF(COUNTIFS(Scoresheet!$C$2:$C$501,A117,Scoresheet!$U$2:$U$501,1,Scoresheet!$J$2:$J$501,"No")&gt;0,"🚩 No one on camera",""))))</f>
        <v/>
      </c>
      <c r="T117" s="17"/>
      <c r="U117" s="17"/>
      <c r="V117" s="40"/>
      <c r="W117" s="17"/>
      <c r="X117" s="45" t="str">
        <f aca="false">IF(OR(E117="",V117="",OR(U117="Contract signed + paid",U117="Closed – No response",U117="Lost"),N(W117)&gt;=Settings!$S$3),"",V117+Settings!$S$2)</f>
        <v/>
      </c>
      <c r="Y117" s="40"/>
      <c r="Z117" s="41"/>
      <c r="AA117" s="17"/>
      <c r="AB117" s="17"/>
      <c r="AC117" s="17"/>
      <c r="AD117" s="46" t="str">
        <f aca="true">IF(OR(E117="",B117=""),"",INT(TODAY()-B117))</f>
        <v/>
      </c>
      <c r="AE117" s="44" t="str">
        <f aca="true">IF(E117="","",IF(OR(COUNTIFS(Clients!$C$2:$C$501,E117,Clients!$S$2:$S$501,"Paid")&gt;0,AND(I117&lt;&gt;"",COUNTIFS(Clients!$E$2:$E$501,I117,Clients!$S$2:$S$501,"Paid")&gt;0)),"⚠ Refunded before – no free video",IF(OR(U117="Contract signed + paid",U117="Closed – No response",U117="Lost"),"",IF(U117="","Set a stage",IF(AND(U117="Proposal sent",SUMIFS(Scoresheet!$N$2:$N$501,Scoresheet!$C$2:$C$501,A117,Scoresheet!$U$2:$U$501,1)&lt;6),"Score this lead – fill the call scoresheet",IF(N(W117)&gt;=Settings!$S$3,"Close – 4 follow-ups sent",IF(X117="",IF(V117="","Make first contact",""),IF(TODAY()&gt;X117,"OVERDUE follow-up",IF(TODAY()=X117,"Follow up today","")))))))))</f>
        <v/>
      </c>
    </row>
    <row r="118" customFormat="false" ht="15" hidden="false" customHeight="false" outlineLevel="0" collapsed="false">
      <c r="A118" s="17"/>
      <c r="B118" s="40"/>
      <c r="C118" s="41"/>
      <c r="D118" s="17"/>
      <c r="E118" s="17"/>
      <c r="F118" s="17"/>
      <c r="G118" s="17"/>
      <c r="H118" s="17"/>
      <c r="I118" s="42"/>
      <c r="J118" s="17"/>
      <c r="K118" s="17"/>
      <c r="L118" s="17"/>
      <c r="M118" s="17"/>
      <c r="N118" s="40"/>
      <c r="O118" s="41"/>
      <c r="P118" s="43" t="str">
        <f aca="false">IF(OR(B118="",N118=""),"",ROUND(((N118+N(O118))-(B118+N(C118)))*24,1))</f>
        <v/>
      </c>
      <c r="Q118" s="44" t="str">
        <f aca="false">IF(OR(E118="",A118="",COUNTIFS(Scoresheet!$C$2:$C$501,A118,Scoresheet!$U$2:$U$501,1)=0),"",SUMIFS(Scoresheet!$O$2:$O$501,Scoresheet!$C$2:$C$501,A118,Scoresheet!$U$2:$U$501,1))</f>
        <v/>
      </c>
      <c r="R118" s="44" t="str">
        <f aca="false">IF(E118="","",IF(OR(A118="",COUNTIFS(Scoresheet!$C$2:$C$501,A118,Scoresheet!$U$2:$U$501,1)=0),"No scoresheet yet",IF(SUMIFS(Scoresheet!$N$2:$N$501,Scoresheet!$C$2:$C$501,A118,Scoresheet!$U$2:$U$501,1)&lt;6,"Partly scored ("&amp;SUMIFS(Scoresheet!$N$2:$N$501,Scoresheet!$C$2:$C$501,A118,Scoresheet!$U$2:$U$501,1)&amp;"/6)",IF(Q118&gt;=Settings!$S$8,"Hot",IF(Q118&gt;=Settings!$S$9,"Warm","Cold")))))</f>
        <v/>
      </c>
      <c r="S118" s="44" t="str">
        <f aca="false">IF(OR(E118="",A118=""),"",IF(AND(COUNTIFS(Scoresheet!$C$2:$C$501,A118,Scoresheet!$U$2:$U$501,1,Scoresheet!$H$2:$H$501,"No")&gt;0,COUNTIFS(Scoresheet!$C$2:$C$501,A118,Scoresheet!$U$2:$U$501,1,Scoresheet!$J$2:$J$501,"No")&gt;0),"🚩 Budget  ·  🚩 No one on camera",IF(COUNTIFS(Scoresheet!$C$2:$C$501,A118,Scoresheet!$U$2:$U$501,1,Scoresheet!$H$2:$H$501,"No")&gt;0,"🚩 Budget under AED 5k",IF(COUNTIFS(Scoresheet!$C$2:$C$501,A118,Scoresheet!$U$2:$U$501,1,Scoresheet!$J$2:$J$501,"No")&gt;0,"🚩 No one on camera",""))))</f>
        <v/>
      </c>
      <c r="T118" s="17"/>
      <c r="U118" s="17"/>
      <c r="V118" s="40"/>
      <c r="W118" s="17"/>
      <c r="X118" s="45" t="str">
        <f aca="false">IF(OR(E118="",V118="",OR(U118="Contract signed + paid",U118="Closed – No response",U118="Lost"),N(W118)&gt;=Settings!$S$3),"",V118+Settings!$S$2)</f>
        <v/>
      </c>
      <c r="Y118" s="40"/>
      <c r="Z118" s="41"/>
      <c r="AA118" s="17"/>
      <c r="AB118" s="17"/>
      <c r="AC118" s="17"/>
      <c r="AD118" s="46" t="str">
        <f aca="true">IF(OR(E118="",B118=""),"",INT(TODAY()-B118))</f>
        <v/>
      </c>
      <c r="AE118" s="44" t="str">
        <f aca="true">IF(E118="","",IF(OR(COUNTIFS(Clients!$C$2:$C$501,E118,Clients!$S$2:$S$501,"Paid")&gt;0,AND(I118&lt;&gt;"",COUNTIFS(Clients!$E$2:$E$501,I118,Clients!$S$2:$S$501,"Paid")&gt;0)),"⚠ Refunded before – no free video",IF(OR(U118="Contract signed + paid",U118="Closed – No response",U118="Lost"),"",IF(U118="","Set a stage",IF(AND(U118="Proposal sent",SUMIFS(Scoresheet!$N$2:$N$501,Scoresheet!$C$2:$C$501,A118,Scoresheet!$U$2:$U$501,1)&lt;6),"Score this lead – fill the call scoresheet",IF(N(W118)&gt;=Settings!$S$3,"Close – 4 follow-ups sent",IF(X118="",IF(V118="","Make first contact",""),IF(TODAY()&gt;X118,"OVERDUE follow-up",IF(TODAY()=X118,"Follow up today","")))))))))</f>
        <v/>
      </c>
    </row>
    <row r="119" customFormat="false" ht="15" hidden="false" customHeight="false" outlineLevel="0" collapsed="false">
      <c r="A119" s="17"/>
      <c r="B119" s="40"/>
      <c r="C119" s="41"/>
      <c r="D119" s="17"/>
      <c r="E119" s="17"/>
      <c r="F119" s="17"/>
      <c r="G119" s="17"/>
      <c r="H119" s="17"/>
      <c r="I119" s="42"/>
      <c r="J119" s="17"/>
      <c r="K119" s="17"/>
      <c r="L119" s="17"/>
      <c r="M119" s="17"/>
      <c r="N119" s="40"/>
      <c r="O119" s="41"/>
      <c r="P119" s="43" t="str">
        <f aca="false">IF(OR(B119="",N119=""),"",ROUND(((N119+N(O119))-(B119+N(C119)))*24,1))</f>
        <v/>
      </c>
      <c r="Q119" s="44" t="str">
        <f aca="false">IF(OR(E119="",A119="",COUNTIFS(Scoresheet!$C$2:$C$501,A119,Scoresheet!$U$2:$U$501,1)=0),"",SUMIFS(Scoresheet!$O$2:$O$501,Scoresheet!$C$2:$C$501,A119,Scoresheet!$U$2:$U$501,1))</f>
        <v/>
      </c>
      <c r="R119" s="44" t="str">
        <f aca="false">IF(E119="","",IF(OR(A119="",COUNTIFS(Scoresheet!$C$2:$C$501,A119,Scoresheet!$U$2:$U$501,1)=0),"No scoresheet yet",IF(SUMIFS(Scoresheet!$N$2:$N$501,Scoresheet!$C$2:$C$501,A119,Scoresheet!$U$2:$U$501,1)&lt;6,"Partly scored ("&amp;SUMIFS(Scoresheet!$N$2:$N$501,Scoresheet!$C$2:$C$501,A119,Scoresheet!$U$2:$U$501,1)&amp;"/6)",IF(Q119&gt;=Settings!$S$8,"Hot",IF(Q119&gt;=Settings!$S$9,"Warm","Cold")))))</f>
        <v/>
      </c>
      <c r="S119" s="44" t="str">
        <f aca="false">IF(OR(E119="",A119=""),"",IF(AND(COUNTIFS(Scoresheet!$C$2:$C$501,A119,Scoresheet!$U$2:$U$501,1,Scoresheet!$H$2:$H$501,"No")&gt;0,COUNTIFS(Scoresheet!$C$2:$C$501,A119,Scoresheet!$U$2:$U$501,1,Scoresheet!$J$2:$J$501,"No")&gt;0),"🚩 Budget  ·  🚩 No one on camera",IF(COUNTIFS(Scoresheet!$C$2:$C$501,A119,Scoresheet!$U$2:$U$501,1,Scoresheet!$H$2:$H$501,"No")&gt;0,"🚩 Budget under AED 5k",IF(COUNTIFS(Scoresheet!$C$2:$C$501,A119,Scoresheet!$U$2:$U$501,1,Scoresheet!$J$2:$J$501,"No")&gt;0,"🚩 No one on camera",""))))</f>
        <v/>
      </c>
      <c r="T119" s="17"/>
      <c r="U119" s="17"/>
      <c r="V119" s="40"/>
      <c r="W119" s="17"/>
      <c r="X119" s="45" t="str">
        <f aca="false">IF(OR(E119="",V119="",OR(U119="Contract signed + paid",U119="Closed – No response",U119="Lost"),N(W119)&gt;=Settings!$S$3),"",V119+Settings!$S$2)</f>
        <v/>
      </c>
      <c r="Y119" s="40"/>
      <c r="Z119" s="41"/>
      <c r="AA119" s="17"/>
      <c r="AB119" s="17"/>
      <c r="AC119" s="17"/>
      <c r="AD119" s="46" t="str">
        <f aca="true">IF(OR(E119="",B119=""),"",INT(TODAY()-B119))</f>
        <v/>
      </c>
      <c r="AE119" s="44" t="str">
        <f aca="true">IF(E119="","",IF(OR(COUNTIFS(Clients!$C$2:$C$501,E119,Clients!$S$2:$S$501,"Paid")&gt;0,AND(I119&lt;&gt;"",COUNTIFS(Clients!$E$2:$E$501,I119,Clients!$S$2:$S$501,"Paid")&gt;0)),"⚠ Refunded before – no free video",IF(OR(U119="Contract signed + paid",U119="Closed – No response",U119="Lost"),"",IF(U119="","Set a stage",IF(AND(U119="Proposal sent",SUMIFS(Scoresheet!$N$2:$N$501,Scoresheet!$C$2:$C$501,A119,Scoresheet!$U$2:$U$501,1)&lt;6),"Score this lead – fill the call scoresheet",IF(N(W119)&gt;=Settings!$S$3,"Close – 4 follow-ups sent",IF(X119="",IF(V119="","Make first contact",""),IF(TODAY()&gt;X119,"OVERDUE follow-up",IF(TODAY()=X119,"Follow up today","")))))))))</f>
        <v/>
      </c>
    </row>
    <row r="120" customFormat="false" ht="15" hidden="false" customHeight="false" outlineLevel="0" collapsed="false">
      <c r="A120" s="17"/>
      <c r="B120" s="40"/>
      <c r="C120" s="41"/>
      <c r="D120" s="17"/>
      <c r="E120" s="17"/>
      <c r="F120" s="17"/>
      <c r="G120" s="17"/>
      <c r="H120" s="17"/>
      <c r="I120" s="42"/>
      <c r="J120" s="17"/>
      <c r="K120" s="17"/>
      <c r="L120" s="17"/>
      <c r="M120" s="17"/>
      <c r="N120" s="40"/>
      <c r="O120" s="41"/>
      <c r="P120" s="43" t="str">
        <f aca="false">IF(OR(B120="",N120=""),"",ROUND(((N120+N(O120))-(B120+N(C120)))*24,1))</f>
        <v/>
      </c>
      <c r="Q120" s="44" t="str">
        <f aca="false">IF(OR(E120="",A120="",COUNTIFS(Scoresheet!$C$2:$C$501,A120,Scoresheet!$U$2:$U$501,1)=0),"",SUMIFS(Scoresheet!$O$2:$O$501,Scoresheet!$C$2:$C$501,A120,Scoresheet!$U$2:$U$501,1))</f>
        <v/>
      </c>
      <c r="R120" s="44" t="str">
        <f aca="false">IF(E120="","",IF(OR(A120="",COUNTIFS(Scoresheet!$C$2:$C$501,A120,Scoresheet!$U$2:$U$501,1)=0),"No scoresheet yet",IF(SUMIFS(Scoresheet!$N$2:$N$501,Scoresheet!$C$2:$C$501,A120,Scoresheet!$U$2:$U$501,1)&lt;6,"Partly scored ("&amp;SUMIFS(Scoresheet!$N$2:$N$501,Scoresheet!$C$2:$C$501,A120,Scoresheet!$U$2:$U$501,1)&amp;"/6)",IF(Q120&gt;=Settings!$S$8,"Hot",IF(Q120&gt;=Settings!$S$9,"Warm","Cold")))))</f>
        <v/>
      </c>
      <c r="S120" s="44" t="str">
        <f aca="false">IF(OR(E120="",A120=""),"",IF(AND(COUNTIFS(Scoresheet!$C$2:$C$501,A120,Scoresheet!$U$2:$U$501,1,Scoresheet!$H$2:$H$501,"No")&gt;0,COUNTIFS(Scoresheet!$C$2:$C$501,A120,Scoresheet!$U$2:$U$501,1,Scoresheet!$J$2:$J$501,"No")&gt;0),"🚩 Budget  ·  🚩 No one on camera",IF(COUNTIFS(Scoresheet!$C$2:$C$501,A120,Scoresheet!$U$2:$U$501,1,Scoresheet!$H$2:$H$501,"No")&gt;0,"🚩 Budget under AED 5k",IF(COUNTIFS(Scoresheet!$C$2:$C$501,A120,Scoresheet!$U$2:$U$501,1,Scoresheet!$J$2:$J$501,"No")&gt;0,"🚩 No one on camera",""))))</f>
        <v/>
      </c>
      <c r="T120" s="17"/>
      <c r="U120" s="17"/>
      <c r="V120" s="40"/>
      <c r="W120" s="17"/>
      <c r="X120" s="45" t="str">
        <f aca="false">IF(OR(E120="",V120="",OR(U120="Contract signed + paid",U120="Closed – No response",U120="Lost"),N(W120)&gt;=Settings!$S$3),"",V120+Settings!$S$2)</f>
        <v/>
      </c>
      <c r="Y120" s="40"/>
      <c r="Z120" s="41"/>
      <c r="AA120" s="17"/>
      <c r="AB120" s="17"/>
      <c r="AC120" s="17"/>
      <c r="AD120" s="46" t="str">
        <f aca="true">IF(OR(E120="",B120=""),"",INT(TODAY()-B120))</f>
        <v/>
      </c>
      <c r="AE120" s="44" t="str">
        <f aca="true">IF(E120="","",IF(OR(COUNTIFS(Clients!$C$2:$C$501,E120,Clients!$S$2:$S$501,"Paid")&gt;0,AND(I120&lt;&gt;"",COUNTIFS(Clients!$E$2:$E$501,I120,Clients!$S$2:$S$501,"Paid")&gt;0)),"⚠ Refunded before – no free video",IF(OR(U120="Contract signed + paid",U120="Closed – No response",U120="Lost"),"",IF(U120="","Set a stage",IF(AND(U120="Proposal sent",SUMIFS(Scoresheet!$N$2:$N$501,Scoresheet!$C$2:$C$501,A120,Scoresheet!$U$2:$U$501,1)&lt;6),"Score this lead – fill the call scoresheet",IF(N(W120)&gt;=Settings!$S$3,"Close – 4 follow-ups sent",IF(X120="",IF(V120="","Make first contact",""),IF(TODAY()&gt;X120,"OVERDUE follow-up",IF(TODAY()=X120,"Follow up today","")))))))))</f>
        <v/>
      </c>
    </row>
    <row r="121" customFormat="false" ht="15" hidden="false" customHeight="false" outlineLevel="0" collapsed="false">
      <c r="A121" s="17"/>
      <c r="B121" s="40"/>
      <c r="C121" s="41"/>
      <c r="D121" s="17"/>
      <c r="E121" s="17"/>
      <c r="F121" s="17"/>
      <c r="G121" s="17"/>
      <c r="H121" s="17"/>
      <c r="I121" s="42"/>
      <c r="J121" s="17"/>
      <c r="K121" s="17"/>
      <c r="L121" s="17"/>
      <c r="M121" s="17"/>
      <c r="N121" s="40"/>
      <c r="O121" s="41"/>
      <c r="P121" s="43" t="str">
        <f aca="false">IF(OR(B121="",N121=""),"",ROUND(((N121+N(O121))-(B121+N(C121)))*24,1))</f>
        <v/>
      </c>
      <c r="Q121" s="44" t="str">
        <f aca="false">IF(OR(E121="",A121="",COUNTIFS(Scoresheet!$C$2:$C$501,A121,Scoresheet!$U$2:$U$501,1)=0),"",SUMIFS(Scoresheet!$O$2:$O$501,Scoresheet!$C$2:$C$501,A121,Scoresheet!$U$2:$U$501,1))</f>
        <v/>
      </c>
      <c r="R121" s="44" t="str">
        <f aca="false">IF(E121="","",IF(OR(A121="",COUNTIFS(Scoresheet!$C$2:$C$501,A121,Scoresheet!$U$2:$U$501,1)=0),"No scoresheet yet",IF(SUMIFS(Scoresheet!$N$2:$N$501,Scoresheet!$C$2:$C$501,A121,Scoresheet!$U$2:$U$501,1)&lt;6,"Partly scored ("&amp;SUMIFS(Scoresheet!$N$2:$N$501,Scoresheet!$C$2:$C$501,A121,Scoresheet!$U$2:$U$501,1)&amp;"/6)",IF(Q121&gt;=Settings!$S$8,"Hot",IF(Q121&gt;=Settings!$S$9,"Warm","Cold")))))</f>
        <v/>
      </c>
      <c r="S121" s="44" t="str">
        <f aca="false">IF(OR(E121="",A121=""),"",IF(AND(COUNTIFS(Scoresheet!$C$2:$C$501,A121,Scoresheet!$U$2:$U$501,1,Scoresheet!$H$2:$H$501,"No")&gt;0,COUNTIFS(Scoresheet!$C$2:$C$501,A121,Scoresheet!$U$2:$U$501,1,Scoresheet!$J$2:$J$501,"No")&gt;0),"🚩 Budget  ·  🚩 No one on camera",IF(COUNTIFS(Scoresheet!$C$2:$C$501,A121,Scoresheet!$U$2:$U$501,1,Scoresheet!$H$2:$H$501,"No")&gt;0,"🚩 Budget under AED 5k",IF(COUNTIFS(Scoresheet!$C$2:$C$501,A121,Scoresheet!$U$2:$U$501,1,Scoresheet!$J$2:$J$501,"No")&gt;0,"🚩 No one on camera",""))))</f>
        <v/>
      </c>
      <c r="T121" s="17"/>
      <c r="U121" s="17"/>
      <c r="V121" s="40"/>
      <c r="W121" s="17"/>
      <c r="X121" s="45" t="str">
        <f aca="false">IF(OR(E121="",V121="",OR(U121="Contract signed + paid",U121="Closed – No response",U121="Lost"),N(W121)&gt;=Settings!$S$3),"",V121+Settings!$S$2)</f>
        <v/>
      </c>
      <c r="Y121" s="40"/>
      <c r="Z121" s="41"/>
      <c r="AA121" s="17"/>
      <c r="AB121" s="17"/>
      <c r="AC121" s="17"/>
      <c r="AD121" s="46" t="str">
        <f aca="true">IF(OR(E121="",B121=""),"",INT(TODAY()-B121))</f>
        <v/>
      </c>
      <c r="AE121" s="44" t="str">
        <f aca="true">IF(E121="","",IF(OR(COUNTIFS(Clients!$C$2:$C$501,E121,Clients!$S$2:$S$501,"Paid")&gt;0,AND(I121&lt;&gt;"",COUNTIFS(Clients!$E$2:$E$501,I121,Clients!$S$2:$S$501,"Paid")&gt;0)),"⚠ Refunded before – no free video",IF(OR(U121="Contract signed + paid",U121="Closed – No response",U121="Lost"),"",IF(U121="","Set a stage",IF(AND(U121="Proposal sent",SUMIFS(Scoresheet!$N$2:$N$501,Scoresheet!$C$2:$C$501,A121,Scoresheet!$U$2:$U$501,1)&lt;6),"Score this lead – fill the call scoresheet",IF(N(W121)&gt;=Settings!$S$3,"Close – 4 follow-ups sent",IF(X121="",IF(V121="","Make first contact",""),IF(TODAY()&gt;X121,"OVERDUE follow-up",IF(TODAY()=X121,"Follow up today","")))))))))</f>
        <v/>
      </c>
    </row>
    <row r="122" customFormat="false" ht="15" hidden="false" customHeight="false" outlineLevel="0" collapsed="false">
      <c r="A122" s="17"/>
      <c r="B122" s="40"/>
      <c r="C122" s="41"/>
      <c r="D122" s="17"/>
      <c r="E122" s="17"/>
      <c r="F122" s="17"/>
      <c r="G122" s="17"/>
      <c r="H122" s="17"/>
      <c r="I122" s="42"/>
      <c r="J122" s="17"/>
      <c r="K122" s="17"/>
      <c r="L122" s="17"/>
      <c r="M122" s="17"/>
      <c r="N122" s="40"/>
      <c r="O122" s="41"/>
      <c r="P122" s="43" t="str">
        <f aca="false">IF(OR(B122="",N122=""),"",ROUND(((N122+N(O122))-(B122+N(C122)))*24,1))</f>
        <v/>
      </c>
      <c r="Q122" s="44" t="str">
        <f aca="false">IF(OR(E122="",A122="",COUNTIFS(Scoresheet!$C$2:$C$501,A122,Scoresheet!$U$2:$U$501,1)=0),"",SUMIFS(Scoresheet!$O$2:$O$501,Scoresheet!$C$2:$C$501,A122,Scoresheet!$U$2:$U$501,1))</f>
        <v/>
      </c>
      <c r="R122" s="44" t="str">
        <f aca="false">IF(E122="","",IF(OR(A122="",COUNTIFS(Scoresheet!$C$2:$C$501,A122,Scoresheet!$U$2:$U$501,1)=0),"No scoresheet yet",IF(SUMIFS(Scoresheet!$N$2:$N$501,Scoresheet!$C$2:$C$501,A122,Scoresheet!$U$2:$U$501,1)&lt;6,"Partly scored ("&amp;SUMIFS(Scoresheet!$N$2:$N$501,Scoresheet!$C$2:$C$501,A122,Scoresheet!$U$2:$U$501,1)&amp;"/6)",IF(Q122&gt;=Settings!$S$8,"Hot",IF(Q122&gt;=Settings!$S$9,"Warm","Cold")))))</f>
        <v/>
      </c>
      <c r="S122" s="44" t="str">
        <f aca="false">IF(OR(E122="",A122=""),"",IF(AND(COUNTIFS(Scoresheet!$C$2:$C$501,A122,Scoresheet!$U$2:$U$501,1,Scoresheet!$H$2:$H$501,"No")&gt;0,COUNTIFS(Scoresheet!$C$2:$C$501,A122,Scoresheet!$U$2:$U$501,1,Scoresheet!$J$2:$J$501,"No")&gt;0),"🚩 Budget  ·  🚩 No one on camera",IF(COUNTIFS(Scoresheet!$C$2:$C$501,A122,Scoresheet!$U$2:$U$501,1,Scoresheet!$H$2:$H$501,"No")&gt;0,"🚩 Budget under AED 5k",IF(COUNTIFS(Scoresheet!$C$2:$C$501,A122,Scoresheet!$U$2:$U$501,1,Scoresheet!$J$2:$J$501,"No")&gt;0,"🚩 No one on camera",""))))</f>
        <v/>
      </c>
      <c r="T122" s="17"/>
      <c r="U122" s="17"/>
      <c r="V122" s="40"/>
      <c r="W122" s="17"/>
      <c r="X122" s="45" t="str">
        <f aca="false">IF(OR(E122="",V122="",OR(U122="Contract signed + paid",U122="Closed – No response",U122="Lost"),N(W122)&gt;=Settings!$S$3),"",V122+Settings!$S$2)</f>
        <v/>
      </c>
      <c r="Y122" s="40"/>
      <c r="Z122" s="41"/>
      <c r="AA122" s="17"/>
      <c r="AB122" s="17"/>
      <c r="AC122" s="17"/>
      <c r="AD122" s="46" t="str">
        <f aca="true">IF(OR(E122="",B122=""),"",INT(TODAY()-B122))</f>
        <v/>
      </c>
      <c r="AE122" s="44" t="str">
        <f aca="true">IF(E122="","",IF(OR(COUNTIFS(Clients!$C$2:$C$501,E122,Clients!$S$2:$S$501,"Paid")&gt;0,AND(I122&lt;&gt;"",COUNTIFS(Clients!$E$2:$E$501,I122,Clients!$S$2:$S$501,"Paid")&gt;0)),"⚠ Refunded before – no free video",IF(OR(U122="Contract signed + paid",U122="Closed – No response",U122="Lost"),"",IF(U122="","Set a stage",IF(AND(U122="Proposal sent",SUMIFS(Scoresheet!$N$2:$N$501,Scoresheet!$C$2:$C$501,A122,Scoresheet!$U$2:$U$501,1)&lt;6),"Score this lead – fill the call scoresheet",IF(N(W122)&gt;=Settings!$S$3,"Close – 4 follow-ups sent",IF(X122="",IF(V122="","Make first contact",""),IF(TODAY()&gt;X122,"OVERDUE follow-up",IF(TODAY()=X122,"Follow up today","")))))))))</f>
        <v/>
      </c>
    </row>
    <row r="123" customFormat="false" ht="15" hidden="false" customHeight="false" outlineLevel="0" collapsed="false">
      <c r="A123" s="17"/>
      <c r="B123" s="40"/>
      <c r="C123" s="41"/>
      <c r="D123" s="17"/>
      <c r="E123" s="17"/>
      <c r="F123" s="17"/>
      <c r="G123" s="17"/>
      <c r="H123" s="17"/>
      <c r="I123" s="42"/>
      <c r="J123" s="17"/>
      <c r="K123" s="17"/>
      <c r="L123" s="17"/>
      <c r="M123" s="17"/>
      <c r="N123" s="40"/>
      <c r="O123" s="41"/>
      <c r="P123" s="43" t="str">
        <f aca="false">IF(OR(B123="",N123=""),"",ROUND(((N123+N(O123))-(B123+N(C123)))*24,1))</f>
        <v/>
      </c>
      <c r="Q123" s="44" t="str">
        <f aca="false">IF(OR(E123="",A123="",COUNTIFS(Scoresheet!$C$2:$C$501,A123,Scoresheet!$U$2:$U$501,1)=0),"",SUMIFS(Scoresheet!$O$2:$O$501,Scoresheet!$C$2:$C$501,A123,Scoresheet!$U$2:$U$501,1))</f>
        <v/>
      </c>
      <c r="R123" s="44" t="str">
        <f aca="false">IF(E123="","",IF(OR(A123="",COUNTIFS(Scoresheet!$C$2:$C$501,A123,Scoresheet!$U$2:$U$501,1)=0),"No scoresheet yet",IF(SUMIFS(Scoresheet!$N$2:$N$501,Scoresheet!$C$2:$C$501,A123,Scoresheet!$U$2:$U$501,1)&lt;6,"Partly scored ("&amp;SUMIFS(Scoresheet!$N$2:$N$501,Scoresheet!$C$2:$C$501,A123,Scoresheet!$U$2:$U$501,1)&amp;"/6)",IF(Q123&gt;=Settings!$S$8,"Hot",IF(Q123&gt;=Settings!$S$9,"Warm","Cold")))))</f>
        <v/>
      </c>
      <c r="S123" s="44" t="str">
        <f aca="false">IF(OR(E123="",A123=""),"",IF(AND(COUNTIFS(Scoresheet!$C$2:$C$501,A123,Scoresheet!$U$2:$U$501,1,Scoresheet!$H$2:$H$501,"No")&gt;0,COUNTIFS(Scoresheet!$C$2:$C$501,A123,Scoresheet!$U$2:$U$501,1,Scoresheet!$J$2:$J$501,"No")&gt;0),"🚩 Budget  ·  🚩 No one on camera",IF(COUNTIFS(Scoresheet!$C$2:$C$501,A123,Scoresheet!$U$2:$U$501,1,Scoresheet!$H$2:$H$501,"No")&gt;0,"🚩 Budget under AED 5k",IF(COUNTIFS(Scoresheet!$C$2:$C$501,A123,Scoresheet!$U$2:$U$501,1,Scoresheet!$J$2:$J$501,"No")&gt;0,"🚩 No one on camera",""))))</f>
        <v/>
      </c>
      <c r="T123" s="17"/>
      <c r="U123" s="17"/>
      <c r="V123" s="40"/>
      <c r="W123" s="17"/>
      <c r="X123" s="45" t="str">
        <f aca="false">IF(OR(E123="",V123="",OR(U123="Contract signed + paid",U123="Closed – No response",U123="Lost"),N(W123)&gt;=Settings!$S$3),"",V123+Settings!$S$2)</f>
        <v/>
      </c>
      <c r="Y123" s="40"/>
      <c r="Z123" s="41"/>
      <c r="AA123" s="17"/>
      <c r="AB123" s="17"/>
      <c r="AC123" s="17"/>
      <c r="AD123" s="46" t="str">
        <f aca="true">IF(OR(E123="",B123=""),"",INT(TODAY()-B123))</f>
        <v/>
      </c>
      <c r="AE123" s="44" t="str">
        <f aca="true">IF(E123="","",IF(OR(COUNTIFS(Clients!$C$2:$C$501,E123,Clients!$S$2:$S$501,"Paid")&gt;0,AND(I123&lt;&gt;"",COUNTIFS(Clients!$E$2:$E$501,I123,Clients!$S$2:$S$501,"Paid")&gt;0)),"⚠ Refunded before – no free video",IF(OR(U123="Contract signed + paid",U123="Closed – No response",U123="Lost"),"",IF(U123="","Set a stage",IF(AND(U123="Proposal sent",SUMIFS(Scoresheet!$N$2:$N$501,Scoresheet!$C$2:$C$501,A123,Scoresheet!$U$2:$U$501,1)&lt;6),"Score this lead – fill the call scoresheet",IF(N(W123)&gt;=Settings!$S$3,"Close – 4 follow-ups sent",IF(X123="",IF(V123="","Make first contact",""),IF(TODAY()&gt;X123,"OVERDUE follow-up",IF(TODAY()=X123,"Follow up today","")))))))))</f>
        <v/>
      </c>
    </row>
    <row r="124" customFormat="false" ht="15" hidden="false" customHeight="false" outlineLevel="0" collapsed="false">
      <c r="A124" s="17"/>
      <c r="B124" s="40"/>
      <c r="C124" s="41"/>
      <c r="D124" s="17"/>
      <c r="E124" s="17"/>
      <c r="F124" s="17"/>
      <c r="G124" s="17"/>
      <c r="H124" s="17"/>
      <c r="I124" s="42"/>
      <c r="J124" s="17"/>
      <c r="K124" s="17"/>
      <c r="L124" s="17"/>
      <c r="M124" s="17"/>
      <c r="N124" s="40"/>
      <c r="O124" s="41"/>
      <c r="P124" s="43" t="str">
        <f aca="false">IF(OR(B124="",N124=""),"",ROUND(((N124+N(O124))-(B124+N(C124)))*24,1))</f>
        <v/>
      </c>
      <c r="Q124" s="44" t="str">
        <f aca="false">IF(OR(E124="",A124="",COUNTIFS(Scoresheet!$C$2:$C$501,A124,Scoresheet!$U$2:$U$501,1)=0),"",SUMIFS(Scoresheet!$O$2:$O$501,Scoresheet!$C$2:$C$501,A124,Scoresheet!$U$2:$U$501,1))</f>
        <v/>
      </c>
      <c r="R124" s="44" t="str">
        <f aca="false">IF(E124="","",IF(OR(A124="",COUNTIFS(Scoresheet!$C$2:$C$501,A124,Scoresheet!$U$2:$U$501,1)=0),"No scoresheet yet",IF(SUMIFS(Scoresheet!$N$2:$N$501,Scoresheet!$C$2:$C$501,A124,Scoresheet!$U$2:$U$501,1)&lt;6,"Partly scored ("&amp;SUMIFS(Scoresheet!$N$2:$N$501,Scoresheet!$C$2:$C$501,A124,Scoresheet!$U$2:$U$501,1)&amp;"/6)",IF(Q124&gt;=Settings!$S$8,"Hot",IF(Q124&gt;=Settings!$S$9,"Warm","Cold")))))</f>
        <v/>
      </c>
      <c r="S124" s="44" t="str">
        <f aca="false">IF(OR(E124="",A124=""),"",IF(AND(COUNTIFS(Scoresheet!$C$2:$C$501,A124,Scoresheet!$U$2:$U$501,1,Scoresheet!$H$2:$H$501,"No")&gt;0,COUNTIFS(Scoresheet!$C$2:$C$501,A124,Scoresheet!$U$2:$U$501,1,Scoresheet!$J$2:$J$501,"No")&gt;0),"🚩 Budget  ·  🚩 No one on camera",IF(COUNTIFS(Scoresheet!$C$2:$C$501,A124,Scoresheet!$U$2:$U$501,1,Scoresheet!$H$2:$H$501,"No")&gt;0,"🚩 Budget under AED 5k",IF(COUNTIFS(Scoresheet!$C$2:$C$501,A124,Scoresheet!$U$2:$U$501,1,Scoresheet!$J$2:$J$501,"No")&gt;0,"🚩 No one on camera",""))))</f>
        <v/>
      </c>
      <c r="T124" s="17"/>
      <c r="U124" s="17"/>
      <c r="V124" s="40"/>
      <c r="W124" s="17"/>
      <c r="X124" s="45" t="str">
        <f aca="false">IF(OR(E124="",V124="",OR(U124="Contract signed + paid",U124="Closed – No response",U124="Lost"),N(W124)&gt;=Settings!$S$3),"",V124+Settings!$S$2)</f>
        <v/>
      </c>
      <c r="Y124" s="40"/>
      <c r="Z124" s="41"/>
      <c r="AA124" s="17"/>
      <c r="AB124" s="17"/>
      <c r="AC124" s="17"/>
      <c r="AD124" s="46" t="str">
        <f aca="true">IF(OR(E124="",B124=""),"",INT(TODAY()-B124))</f>
        <v/>
      </c>
      <c r="AE124" s="44" t="str">
        <f aca="true">IF(E124="","",IF(OR(COUNTIFS(Clients!$C$2:$C$501,E124,Clients!$S$2:$S$501,"Paid")&gt;0,AND(I124&lt;&gt;"",COUNTIFS(Clients!$E$2:$E$501,I124,Clients!$S$2:$S$501,"Paid")&gt;0)),"⚠ Refunded before – no free video",IF(OR(U124="Contract signed + paid",U124="Closed – No response",U124="Lost"),"",IF(U124="","Set a stage",IF(AND(U124="Proposal sent",SUMIFS(Scoresheet!$N$2:$N$501,Scoresheet!$C$2:$C$501,A124,Scoresheet!$U$2:$U$501,1)&lt;6),"Score this lead – fill the call scoresheet",IF(N(W124)&gt;=Settings!$S$3,"Close – 4 follow-ups sent",IF(X124="",IF(V124="","Make first contact",""),IF(TODAY()&gt;X124,"OVERDUE follow-up",IF(TODAY()=X124,"Follow up today","")))))))))</f>
        <v/>
      </c>
    </row>
    <row r="125" customFormat="false" ht="15" hidden="false" customHeight="false" outlineLevel="0" collapsed="false">
      <c r="A125" s="17"/>
      <c r="B125" s="40"/>
      <c r="C125" s="41"/>
      <c r="D125" s="17"/>
      <c r="E125" s="17"/>
      <c r="F125" s="17"/>
      <c r="G125" s="17"/>
      <c r="H125" s="17"/>
      <c r="I125" s="42"/>
      <c r="J125" s="17"/>
      <c r="K125" s="17"/>
      <c r="L125" s="17"/>
      <c r="M125" s="17"/>
      <c r="N125" s="40"/>
      <c r="O125" s="41"/>
      <c r="P125" s="43" t="str">
        <f aca="false">IF(OR(B125="",N125=""),"",ROUND(((N125+N(O125))-(B125+N(C125)))*24,1))</f>
        <v/>
      </c>
      <c r="Q125" s="44" t="str">
        <f aca="false">IF(OR(E125="",A125="",COUNTIFS(Scoresheet!$C$2:$C$501,A125,Scoresheet!$U$2:$U$501,1)=0),"",SUMIFS(Scoresheet!$O$2:$O$501,Scoresheet!$C$2:$C$501,A125,Scoresheet!$U$2:$U$501,1))</f>
        <v/>
      </c>
      <c r="R125" s="44" t="str">
        <f aca="false">IF(E125="","",IF(OR(A125="",COUNTIFS(Scoresheet!$C$2:$C$501,A125,Scoresheet!$U$2:$U$501,1)=0),"No scoresheet yet",IF(SUMIFS(Scoresheet!$N$2:$N$501,Scoresheet!$C$2:$C$501,A125,Scoresheet!$U$2:$U$501,1)&lt;6,"Partly scored ("&amp;SUMIFS(Scoresheet!$N$2:$N$501,Scoresheet!$C$2:$C$501,A125,Scoresheet!$U$2:$U$501,1)&amp;"/6)",IF(Q125&gt;=Settings!$S$8,"Hot",IF(Q125&gt;=Settings!$S$9,"Warm","Cold")))))</f>
        <v/>
      </c>
      <c r="S125" s="44" t="str">
        <f aca="false">IF(OR(E125="",A125=""),"",IF(AND(COUNTIFS(Scoresheet!$C$2:$C$501,A125,Scoresheet!$U$2:$U$501,1,Scoresheet!$H$2:$H$501,"No")&gt;0,COUNTIFS(Scoresheet!$C$2:$C$501,A125,Scoresheet!$U$2:$U$501,1,Scoresheet!$J$2:$J$501,"No")&gt;0),"🚩 Budget  ·  🚩 No one on camera",IF(COUNTIFS(Scoresheet!$C$2:$C$501,A125,Scoresheet!$U$2:$U$501,1,Scoresheet!$H$2:$H$501,"No")&gt;0,"🚩 Budget under AED 5k",IF(COUNTIFS(Scoresheet!$C$2:$C$501,A125,Scoresheet!$U$2:$U$501,1,Scoresheet!$J$2:$J$501,"No")&gt;0,"🚩 No one on camera",""))))</f>
        <v/>
      </c>
      <c r="T125" s="17"/>
      <c r="U125" s="17"/>
      <c r="V125" s="40"/>
      <c r="W125" s="17"/>
      <c r="X125" s="45" t="str">
        <f aca="false">IF(OR(E125="",V125="",OR(U125="Contract signed + paid",U125="Closed – No response",U125="Lost"),N(W125)&gt;=Settings!$S$3),"",V125+Settings!$S$2)</f>
        <v/>
      </c>
      <c r="Y125" s="40"/>
      <c r="Z125" s="41"/>
      <c r="AA125" s="17"/>
      <c r="AB125" s="17"/>
      <c r="AC125" s="17"/>
      <c r="AD125" s="46" t="str">
        <f aca="true">IF(OR(E125="",B125=""),"",INT(TODAY()-B125))</f>
        <v/>
      </c>
      <c r="AE125" s="44" t="str">
        <f aca="true">IF(E125="","",IF(OR(COUNTIFS(Clients!$C$2:$C$501,E125,Clients!$S$2:$S$501,"Paid")&gt;0,AND(I125&lt;&gt;"",COUNTIFS(Clients!$E$2:$E$501,I125,Clients!$S$2:$S$501,"Paid")&gt;0)),"⚠ Refunded before – no free video",IF(OR(U125="Contract signed + paid",U125="Closed – No response",U125="Lost"),"",IF(U125="","Set a stage",IF(AND(U125="Proposal sent",SUMIFS(Scoresheet!$N$2:$N$501,Scoresheet!$C$2:$C$501,A125,Scoresheet!$U$2:$U$501,1)&lt;6),"Score this lead – fill the call scoresheet",IF(N(W125)&gt;=Settings!$S$3,"Close – 4 follow-ups sent",IF(X125="",IF(V125="","Make first contact",""),IF(TODAY()&gt;X125,"OVERDUE follow-up",IF(TODAY()=X125,"Follow up today","")))))))))</f>
        <v/>
      </c>
    </row>
    <row r="126" customFormat="false" ht="15" hidden="false" customHeight="false" outlineLevel="0" collapsed="false">
      <c r="A126" s="17"/>
      <c r="B126" s="40"/>
      <c r="C126" s="41"/>
      <c r="D126" s="17"/>
      <c r="E126" s="17"/>
      <c r="F126" s="17"/>
      <c r="G126" s="17"/>
      <c r="H126" s="17"/>
      <c r="I126" s="42"/>
      <c r="J126" s="17"/>
      <c r="K126" s="17"/>
      <c r="L126" s="17"/>
      <c r="M126" s="17"/>
      <c r="N126" s="40"/>
      <c r="O126" s="41"/>
      <c r="P126" s="43" t="str">
        <f aca="false">IF(OR(B126="",N126=""),"",ROUND(((N126+N(O126))-(B126+N(C126)))*24,1))</f>
        <v/>
      </c>
      <c r="Q126" s="44" t="str">
        <f aca="false">IF(OR(E126="",A126="",COUNTIFS(Scoresheet!$C$2:$C$501,A126,Scoresheet!$U$2:$U$501,1)=0),"",SUMIFS(Scoresheet!$O$2:$O$501,Scoresheet!$C$2:$C$501,A126,Scoresheet!$U$2:$U$501,1))</f>
        <v/>
      </c>
      <c r="R126" s="44" t="str">
        <f aca="false">IF(E126="","",IF(OR(A126="",COUNTIFS(Scoresheet!$C$2:$C$501,A126,Scoresheet!$U$2:$U$501,1)=0),"No scoresheet yet",IF(SUMIFS(Scoresheet!$N$2:$N$501,Scoresheet!$C$2:$C$501,A126,Scoresheet!$U$2:$U$501,1)&lt;6,"Partly scored ("&amp;SUMIFS(Scoresheet!$N$2:$N$501,Scoresheet!$C$2:$C$501,A126,Scoresheet!$U$2:$U$501,1)&amp;"/6)",IF(Q126&gt;=Settings!$S$8,"Hot",IF(Q126&gt;=Settings!$S$9,"Warm","Cold")))))</f>
        <v/>
      </c>
      <c r="S126" s="44" t="str">
        <f aca="false">IF(OR(E126="",A126=""),"",IF(AND(COUNTIFS(Scoresheet!$C$2:$C$501,A126,Scoresheet!$U$2:$U$501,1,Scoresheet!$H$2:$H$501,"No")&gt;0,COUNTIFS(Scoresheet!$C$2:$C$501,A126,Scoresheet!$U$2:$U$501,1,Scoresheet!$J$2:$J$501,"No")&gt;0),"🚩 Budget  ·  🚩 No one on camera",IF(COUNTIFS(Scoresheet!$C$2:$C$501,A126,Scoresheet!$U$2:$U$501,1,Scoresheet!$H$2:$H$501,"No")&gt;0,"🚩 Budget under AED 5k",IF(COUNTIFS(Scoresheet!$C$2:$C$501,A126,Scoresheet!$U$2:$U$501,1,Scoresheet!$J$2:$J$501,"No")&gt;0,"🚩 No one on camera",""))))</f>
        <v/>
      </c>
      <c r="T126" s="17"/>
      <c r="U126" s="17"/>
      <c r="V126" s="40"/>
      <c r="W126" s="17"/>
      <c r="X126" s="45" t="str">
        <f aca="false">IF(OR(E126="",V126="",OR(U126="Contract signed + paid",U126="Closed – No response",U126="Lost"),N(W126)&gt;=Settings!$S$3),"",V126+Settings!$S$2)</f>
        <v/>
      </c>
      <c r="Y126" s="40"/>
      <c r="Z126" s="41"/>
      <c r="AA126" s="17"/>
      <c r="AB126" s="17"/>
      <c r="AC126" s="17"/>
      <c r="AD126" s="46" t="str">
        <f aca="true">IF(OR(E126="",B126=""),"",INT(TODAY()-B126))</f>
        <v/>
      </c>
      <c r="AE126" s="44" t="str">
        <f aca="true">IF(E126="","",IF(OR(COUNTIFS(Clients!$C$2:$C$501,E126,Clients!$S$2:$S$501,"Paid")&gt;0,AND(I126&lt;&gt;"",COUNTIFS(Clients!$E$2:$E$501,I126,Clients!$S$2:$S$501,"Paid")&gt;0)),"⚠ Refunded before – no free video",IF(OR(U126="Contract signed + paid",U126="Closed – No response",U126="Lost"),"",IF(U126="","Set a stage",IF(AND(U126="Proposal sent",SUMIFS(Scoresheet!$N$2:$N$501,Scoresheet!$C$2:$C$501,A126,Scoresheet!$U$2:$U$501,1)&lt;6),"Score this lead – fill the call scoresheet",IF(N(W126)&gt;=Settings!$S$3,"Close – 4 follow-ups sent",IF(X126="",IF(V126="","Make first contact",""),IF(TODAY()&gt;X126,"OVERDUE follow-up",IF(TODAY()=X126,"Follow up today","")))))))))</f>
        <v/>
      </c>
    </row>
    <row r="127" customFormat="false" ht="15" hidden="false" customHeight="false" outlineLevel="0" collapsed="false">
      <c r="A127" s="17"/>
      <c r="B127" s="40"/>
      <c r="C127" s="41"/>
      <c r="D127" s="17"/>
      <c r="E127" s="17"/>
      <c r="F127" s="17"/>
      <c r="G127" s="17"/>
      <c r="H127" s="17"/>
      <c r="I127" s="42"/>
      <c r="J127" s="17"/>
      <c r="K127" s="17"/>
      <c r="L127" s="17"/>
      <c r="M127" s="17"/>
      <c r="N127" s="40"/>
      <c r="O127" s="41"/>
      <c r="P127" s="43" t="str">
        <f aca="false">IF(OR(B127="",N127=""),"",ROUND(((N127+N(O127))-(B127+N(C127)))*24,1))</f>
        <v/>
      </c>
      <c r="Q127" s="44" t="str">
        <f aca="false">IF(OR(E127="",A127="",COUNTIFS(Scoresheet!$C$2:$C$501,A127,Scoresheet!$U$2:$U$501,1)=0),"",SUMIFS(Scoresheet!$O$2:$O$501,Scoresheet!$C$2:$C$501,A127,Scoresheet!$U$2:$U$501,1))</f>
        <v/>
      </c>
      <c r="R127" s="44" t="str">
        <f aca="false">IF(E127="","",IF(OR(A127="",COUNTIFS(Scoresheet!$C$2:$C$501,A127,Scoresheet!$U$2:$U$501,1)=0),"No scoresheet yet",IF(SUMIFS(Scoresheet!$N$2:$N$501,Scoresheet!$C$2:$C$501,A127,Scoresheet!$U$2:$U$501,1)&lt;6,"Partly scored ("&amp;SUMIFS(Scoresheet!$N$2:$N$501,Scoresheet!$C$2:$C$501,A127,Scoresheet!$U$2:$U$501,1)&amp;"/6)",IF(Q127&gt;=Settings!$S$8,"Hot",IF(Q127&gt;=Settings!$S$9,"Warm","Cold")))))</f>
        <v/>
      </c>
      <c r="S127" s="44" t="str">
        <f aca="false">IF(OR(E127="",A127=""),"",IF(AND(COUNTIFS(Scoresheet!$C$2:$C$501,A127,Scoresheet!$U$2:$U$501,1,Scoresheet!$H$2:$H$501,"No")&gt;0,COUNTIFS(Scoresheet!$C$2:$C$501,A127,Scoresheet!$U$2:$U$501,1,Scoresheet!$J$2:$J$501,"No")&gt;0),"🚩 Budget  ·  🚩 No one on camera",IF(COUNTIFS(Scoresheet!$C$2:$C$501,A127,Scoresheet!$U$2:$U$501,1,Scoresheet!$H$2:$H$501,"No")&gt;0,"🚩 Budget under AED 5k",IF(COUNTIFS(Scoresheet!$C$2:$C$501,A127,Scoresheet!$U$2:$U$501,1,Scoresheet!$J$2:$J$501,"No")&gt;0,"🚩 No one on camera",""))))</f>
        <v/>
      </c>
      <c r="T127" s="17"/>
      <c r="U127" s="17"/>
      <c r="V127" s="40"/>
      <c r="W127" s="17"/>
      <c r="X127" s="45" t="str">
        <f aca="false">IF(OR(E127="",V127="",OR(U127="Contract signed + paid",U127="Closed – No response",U127="Lost"),N(W127)&gt;=Settings!$S$3),"",V127+Settings!$S$2)</f>
        <v/>
      </c>
      <c r="Y127" s="40"/>
      <c r="Z127" s="41"/>
      <c r="AA127" s="17"/>
      <c r="AB127" s="17"/>
      <c r="AC127" s="17"/>
      <c r="AD127" s="46" t="str">
        <f aca="true">IF(OR(E127="",B127=""),"",INT(TODAY()-B127))</f>
        <v/>
      </c>
      <c r="AE127" s="44" t="str">
        <f aca="true">IF(E127="","",IF(OR(COUNTIFS(Clients!$C$2:$C$501,E127,Clients!$S$2:$S$501,"Paid")&gt;0,AND(I127&lt;&gt;"",COUNTIFS(Clients!$E$2:$E$501,I127,Clients!$S$2:$S$501,"Paid")&gt;0)),"⚠ Refunded before – no free video",IF(OR(U127="Contract signed + paid",U127="Closed – No response",U127="Lost"),"",IF(U127="","Set a stage",IF(AND(U127="Proposal sent",SUMIFS(Scoresheet!$N$2:$N$501,Scoresheet!$C$2:$C$501,A127,Scoresheet!$U$2:$U$501,1)&lt;6),"Score this lead – fill the call scoresheet",IF(N(W127)&gt;=Settings!$S$3,"Close – 4 follow-ups sent",IF(X127="",IF(V127="","Make first contact",""),IF(TODAY()&gt;X127,"OVERDUE follow-up",IF(TODAY()=X127,"Follow up today","")))))))))</f>
        <v/>
      </c>
    </row>
    <row r="128" customFormat="false" ht="15" hidden="false" customHeight="false" outlineLevel="0" collapsed="false">
      <c r="A128" s="17"/>
      <c r="B128" s="40"/>
      <c r="C128" s="41"/>
      <c r="D128" s="17"/>
      <c r="E128" s="17"/>
      <c r="F128" s="17"/>
      <c r="G128" s="17"/>
      <c r="H128" s="17"/>
      <c r="I128" s="42"/>
      <c r="J128" s="17"/>
      <c r="K128" s="17"/>
      <c r="L128" s="17"/>
      <c r="M128" s="17"/>
      <c r="N128" s="40"/>
      <c r="O128" s="41"/>
      <c r="P128" s="43" t="str">
        <f aca="false">IF(OR(B128="",N128=""),"",ROUND(((N128+N(O128))-(B128+N(C128)))*24,1))</f>
        <v/>
      </c>
      <c r="Q128" s="44" t="str">
        <f aca="false">IF(OR(E128="",A128="",COUNTIFS(Scoresheet!$C$2:$C$501,A128,Scoresheet!$U$2:$U$501,1)=0),"",SUMIFS(Scoresheet!$O$2:$O$501,Scoresheet!$C$2:$C$501,A128,Scoresheet!$U$2:$U$501,1))</f>
        <v/>
      </c>
      <c r="R128" s="44" t="str">
        <f aca="false">IF(E128="","",IF(OR(A128="",COUNTIFS(Scoresheet!$C$2:$C$501,A128,Scoresheet!$U$2:$U$501,1)=0),"No scoresheet yet",IF(SUMIFS(Scoresheet!$N$2:$N$501,Scoresheet!$C$2:$C$501,A128,Scoresheet!$U$2:$U$501,1)&lt;6,"Partly scored ("&amp;SUMIFS(Scoresheet!$N$2:$N$501,Scoresheet!$C$2:$C$501,A128,Scoresheet!$U$2:$U$501,1)&amp;"/6)",IF(Q128&gt;=Settings!$S$8,"Hot",IF(Q128&gt;=Settings!$S$9,"Warm","Cold")))))</f>
        <v/>
      </c>
      <c r="S128" s="44" t="str">
        <f aca="false">IF(OR(E128="",A128=""),"",IF(AND(COUNTIFS(Scoresheet!$C$2:$C$501,A128,Scoresheet!$U$2:$U$501,1,Scoresheet!$H$2:$H$501,"No")&gt;0,COUNTIFS(Scoresheet!$C$2:$C$501,A128,Scoresheet!$U$2:$U$501,1,Scoresheet!$J$2:$J$501,"No")&gt;0),"🚩 Budget  ·  🚩 No one on camera",IF(COUNTIFS(Scoresheet!$C$2:$C$501,A128,Scoresheet!$U$2:$U$501,1,Scoresheet!$H$2:$H$501,"No")&gt;0,"🚩 Budget under AED 5k",IF(COUNTIFS(Scoresheet!$C$2:$C$501,A128,Scoresheet!$U$2:$U$501,1,Scoresheet!$J$2:$J$501,"No")&gt;0,"🚩 No one on camera",""))))</f>
        <v/>
      </c>
      <c r="T128" s="17"/>
      <c r="U128" s="17"/>
      <c r="V128" s="40"/>
      <c r="W128" s="17"/>
      <c r="X128" s="45" t="str">
        <f aca="false">IF(OR(E128="",V128="",OR(U128="Contract signed + paid",U128="Closed – No response",U128="Lost"),N(W128)&gt;=Settings!$S$3),"",V128+Settings!$S$2)</f>
        <v/>
      </c>
      <c r="Y128" s="40"/>
      <c r="Z128" s="41"/>
      <c r="AA128" s="17"/>
      <c r="AB128" s="17"/>
      <c r="AC128" s="17"/>
      <c r="AD128" s="46" t="str">
        <f aca="true">IF(OR(E128="",B128=""),"",INT(TODAY()-B128))</f>
        <v/>
      </c>
      <c r="AE128" s="44" t="str">
        <f aca="true">IF(E128="","",IF(OR(COUNTIFS(Clients!$C$2:$C$501,E128,Clients!$S$2:$S$501,"Paid")&gt;0,AND(I128&lt;&gt;"",COUNTIFS(Clients!$E$2:$E$501,I128,Clients!$S$2:$S$501,"Paid")&gt;0)),"⚠ Refunded before – no free video",IF(OR(U128="Contract signed + paid",U128="Closed – No response",U128="Lost"),"",IF(U128="","Set a stage",IF(AND(U128="Proposal sent",SUMIFS(Scoresheet!$N$2:$N$501,Scoresheet!$C$2:$C$501,A128,Scoresheet!$U$2:$U$501,1)&lt;6),"Score this lead – fill the call scoresheet",IF(N(W128)&gt;=Settings!$S$3,"Close – 4 follow-ups sent",IF(X128="",IF(V128="","Make first contact",""),IF(TODAY()&gt;X128,"OVERDUE follow-up",IF(TODAY()=X128,"Follow up today","")))))))))</f>
        <v/>
      </c>
    </row>
    <row r="129" customFormat="false" ht="15" hidden="false" customHeight="false" outlineLevel="0" collapsed="false">
      <c r="A129" s="17"/>
      <c r="B129" s="40"/>
      <c r="C129" s="41"/>
      <c r="D129" s="17"/>
      <c r="E129" s="17"/>
      <c r="F129" s="17"/>
      <c r="G129" s="17"/>
      <c r="H129" s="17"/>
      <c r="I129" s="42"/>
      <c r="J129" s="17"/>
      <c r="K129" s="17"/>
      <c r="L129" s="17"/>
      <c r="M129" s="17"/>
      <c r="N129" s="40"/>
      <c r="O129" s="41"/>
      <c r="P129" s="43" t="str">
        <f aca="false">IF(OR(B129="",N129=""),"",ROUND(((N129+N(O129))-(B129+N(C129)))*24,1))</f>
        <v/>
      </c>
      <c r="Q129" s="44" t="str">
        <f aca="false">IF(OR(E129="",A129="",COUNTIFS(Scoresheet!$C$2:$C$501,A129,Scoresheet!$U$2:$U$501,1)=0),"",SUMIFS(Scoresheet!$O$2:$O$501,Scoresheet!$C$2:$C$501,A129,Scoresheet!$U$2:$U$501,1))</f>
        <v/>
      </c>
      <c r="R129" s="44" t="str">
        <f aca="false">IF(E129="","",IF(OR(A129="",COUNTIFS(Scoresheet!$C$2:$C$501,A129,Scoresheet!$U$2:$U$501,1)=0),"No scoresheet yet",IF(SUMIFS(Scoresheet!$N$2:$N$501,Scoresheet!$C$2:$C$501,A129,Scoresheet!$U$2:$U$501,1)&lt;6,"Partly scored ("&amp;SUMIFS(Scoresheet!$N$2:$N$501,Scoresheet!$C$2:$C$501,A129,Scoresheet!$U$2:$U$501,1)&amp;"/6)",IF(Q129&gt;=Settings!$S$8,"Hot",IF(Q129&gt;=Settings!$S$9,"Warm","Cold")))))</f>
        <v/>
      </c>
      <c r="S129" s="44" t="str">
        <f aca="false">IF(OR(E129="",A129=""),"",IF(AND(COUNTIFS(Scoresheet!$C$2:$C$501,A129,Scoresheet!$U$2:$U$501,1,Scoresheet!$H$2:$H$501,"No")&gt;0,COUNTIFS(Scoresheet!$C$2:$C$501,A129,Scoresheet!$U$2:$U$501,1,Scoresheet!$J$2:$J$501,"No")&gt;0),"🚩 Budget  ·  🚩 No one on camera",IF(COUNTIFS(Scoresheet!$C$2:$C$501,A129,Scoresheet!$U$2:$U$501,1,Scoresheet!$H$2:$H$501,"No")&gt;0,"🚩 Budget under AED 5k",IF(COUNTIFS(Scoresheet!$C$2:$C$501,A129,Scoresheet!$U$2:$U$501,1,Scoresheet!$J$2:$J$501,"No")&gt;0,"🚩 No one on camera",""))))</f>
        <v/>
      </c>
      <c r="T129" s="17"/>
      <c r="U129" s="17"/>
      <c r="V129" s="40"/>
      <c r="W129" s="17"/>
      <c r="X129" s="45" t="str">
        <f aca="false">IF(OR(E129="",V129="",OR(U129="Contract signed + paid",U129="Closed – No response",U129="Lost"),N(W129)&gt;=Settings!$S$3),"",V129+Settings!$S$2)</f>
        <v/>
      </c>
      <c r="Y129" s="40"/>
      <c r="Z129" s="41"/>
      <c r="AA129" s="17"/>
      <c r="AB129" s="17"/>
      <c r="AC129" s="17"/>
      <c r="AD129" s="46" t="str">
        <f aca="true">IF(OR(E129="",B129=""),"",INT(TODAY()-B129))</f>
        <v/>
      </c>
      <c r="AE129" s="44" t="str">
        <f aca="true">IF(E129="","",IF(OR(COUNTIFS(Clients!$C$2:$C$501,E129,Clients!$S$2:$S$501,"Paid")&gt;0,AND(I129&lt;&gt;"",COUNTIFS(Clients!$E$2:$E$501,I129,Clients!$S$2:$S$501,"Paid")&gt;0)),"⚠ Refunded before – no free video",IF(OR(U129="Contract signed + paid",U129="Closed – No response",U129="Lost"),"",IF(U129="","Set a stage",IF(AND(U129="Proposal sent",SUMIFS(Scoresheet!$N$2:$N$501,Scoresheet!$C$2:$C$501,A129,Scoresheet!$U$2:$U$501,1)&lt;6),"Score this lead – fill the call scoresheet",IF(N(W129)&gt;=Settings!$S$3,"Close – 4 follow-ups sent",IF(X129="",IF(V129="","Make first contact",""),IF(TODAY()&gt;X129,"OVERDUE follow-up",IF(TODAY()=X129,"Follow up today","")))))))))</f>
        <v/>
      </c>
    </row>
    <row r="130" customFormat="false" ht="15" hidden="false" customHeight="false" outlineLevel="0" collapsed="false">
      <c r="A130" s="17"/>
      <c r="B130" s="40"/>
      <c r="C130" s="41"/>
      <c r="D130" s="17"/>
      <c r="E130" s="17"/>
      <c r="F130" s="17"/>
      <c r="G130" s="17"/>
      <c r="H130" s="17"/>
      <c r="I130" s="42"/>
      <c r="J130" s="17"/>
      <c r="K130" s="17"/>
      <c r="L130" s="17"/>
      <c r="M130" s="17"/>
      <c r="N130" s="40"/>
      <c r="O130" s="41"/>
      <c r="P130" s="43" t="str">
        <f aca="false">IF(OR(B130="",N130=""),"",ROUND(((N130+N(O130))-(B130+N(C130)))*24,1))</f>
        <v/>
      </c>
      <c r="Q130" s="44" t="str">
        <f aca="false">IF(OR(E130="",A130="",COUNTIFS(Scoresheet!$C$2:$C$501,A130,Scoresheet!$U$2:$U$501,1)=0),"",SUMIFS(Scoresheet!$O$2:$O$501,Scoresheet!$C$2:$C$501,A130,Scoresheet!$U$2:$U$501,1))</f>
        <v/>
      </c>
      <c r="R130" s="44" t="str">
        <f aca="false">IF(E130="","",IF(OR(A130="",COUNTIFS(Scoresheet!$C$2:$C$501,A130,Scoresheet!$U$2:$U$501,1)=0),"No scoresheet yet",IF(SUMIFS(Scoresheet!$N$2:$N$501,Scoresheet!$C$2:$C$501,A130,Scoresheet!$U$2:$U$501,1)&lt;6,"Partly scored ("&amp;SUMIFS(Scoresheet!$N$2:$N$501,Scoresheet!$C$2:$C$501,A130,Scoresheet!$U$2:$U$501,1)&amp;"/6)",IF(Q130&gt;=Settings!$S$8,"Hot",IF(Q130&gt;=Settings!$S$9,"Warm","Cold")))))</f>
        <v/>
      </c>
      <c r="S130" s="44" t="str">
        <f aca="false">IF(OR(E130="",A130=""),"",IF(AND(COUNTIFS(Scoresheet!$C$2:$C$501,A130,Scoresheet!$U$2:$U$501,1,Scoresheet!$H$2:$H$501,"No")&gt;0,COUNTIFS(Scoresheet!$C$2:$C$501,A130,Scoresheet!$U$2:$U$501,1,Scoresheet!$J$2:$J$501,"No")&gt;0),"🚩 Budget  ·  🚩 No one on camera",IF(COUNTIFS(Scoresheet!$C$2:$C$501,A130,Scoresheet!$U$2:$U$501,1,Scoresheet!$H$2:$H$501,"No")&gt;0,"🚩 Budget under AED 5k",IF(COUNTIFS(Scoresheet!$C$2:$C$501,A130,Scoresheet!$U$2:$U$501,1,Scoresheet!$J$2:$J$501,"No")&gt;0,"🚩 No one on camera",""))))</f>
        <v/>
      </c>
      <c r="T130" s="17"/>
      <c r="U130" s="17"/>
      <c r="V130" s="40"/>
      <c r="W130" s="17"/>
      <c r="X130" s="45" t="str">
        <f aca="false">IF(OR(E130="",V130="",OR(U130="Contract signed + paid",U130="Closed – No response",U130="Lost"),N(W130)&gt;=Settings!$S$3),"",V130+Settings!$S$2)</f>
        <v/>
      </c>
      <c r="Y130" s="40"/>
      <c r="Z130" s="41"/>
      <c r="AA130" s="17"/>
      <c r="AB130" s="17"/>
      <c r="AC130" s="17"/>
      <c r="AD130" s="46" t="str">
        <f aca="true">IF(OR(E130="",B130=""),"",INT(TODAY()-B130))</f>
        <v/>
      </c>
      <c r="AE130" s="44" t="str">
        <f aca="true">IF(E130="","",IF(OR(COUNTIFS(Clients!$C$2:$C$501,E130,Clients!$S$2:$S$501,"Paid")&gt;0,AND(I130&lt;&gt;"",COUNTIFS(Clients!$E$2:$E$501,I130,Clients!$S$2:$S$501,"Paid")&gt;0)),"⚠ Refunded before – no free video",IF(OR(U130="Contract signed + paid",U130="Closed – No response",U130="Lost"),"",IF(U130="","Set a stage",IF(AND(U130="Proposal sent",SUMIFS(Scoresheet!$N$2:$N$501,Scoresheet!$C$2:$C$501,A130,Scoresheet!$U$2:$U$501,1)&lt;6),"Score this lead – fill the call scoresheet",IF(N(W130)&gt;=Settings!$S$3,"Close – 4 follow-ups sent",IF(X130="",IF(V130="","Make first contact",""),IF(TODAY()&gt;X130,"OVERDUE follow-up",IF(TODAY()=X130,"Follow up today","")))))))))</f>
        <v/>
      </c>
    </row>
    <row r="131" customFormat="false" ht="15" hidden="false" customHeight="false" outlineLevel="0" collapsed="false">
      <c r="A131" s="17"/>
      <c r="B131" s="40"/>
      <c r="C131" s="41"/>
      <c r="D131" s="17"/>
      <c r="E131" s="17"/>
      <c r="F131" s="17"/>
      <c r="G131" s="17"/>
      <c r="H131" s="17"/>
      <c r="I131" s="42"/>
      <c r="J131" s="17"/>
      <c r="K131" s="17"/>
      <c r="L131" s="17"/>
      <c r="M131" s="17"/>
      <c r="N131" s="40"/>
      <c r="O131" s="41"/>
      <c r="P131" s="43" t="str">
        <f aca="false">IF(OR(B131="",N131=""),"",ROUND(((N131+N(O131))-(B131+N(C131)))*24,1))</f>
        <v/>
      </c>
      <c r="Q131" s="44" t="str">
        <f aca="false">IF(OR(E131="",A131="",COUNTIFS(Scoresheet!$C$2:$C$501,A131,Scoresheet!$U$2:$U$501,1)=0),"",SUMIFS(Scoresheet!$O$2:$O$501,Scoresheet!$C$2:$C$501,A131,Scoresheet!$U$2:$U$501,1))</f>
        <v/>
      </c>
      <c r="R131" s="44" t="str">
        <f aca="false">IF(E131="","",IF(OR(A131="",COUNTIFS(Scoresheet!$C$2:$C$501,A131,Scoresheet!$U$2:$U$501,1)=0),"No scoresheet yet",IF(SUMIFS(Scoresheet!$N$2:$N$501,Scoresheet!$C$2:$C$501,A131,Scoresheet!$U$2:$U$501,1)&lt;6,"Partly scored ("&amp;SUMIFS(Scoresheet!$N$2:$N$501,Scoresheet!$C$2:$C$501,A131,Scoresheet!$U$2:$U$501,1)&amp;"/6)",IF(Q131&gt;=Settings!$S$8,"Hot",IF(Q131&gt;=Settings!$S$9,"Warm","Cold")))))</f>
        <v/>
      </c>
      <c r="S131" s="44" t="str">
        <f aca="false">IF(OR(E131="",A131=""),"",IF(AND(COUNTIFS(Scoresheet!$C$2:$C$501,A131,Scoresheet!$U$2:$U$501,1,Scoresheet!$H$2:$H$501,"No")&gt;0,COUNTIFS(Scoresheet!$C$2:$C$501,A131,Scoresheet!$U$2:$U$501,1,Scoresheet!$J$2:$J$501,"No")&gt;0),"🚩 Budget  ·  🚩 No one on camera",IF(COUNTIFS(Scoresheet!$C$2:$C$501,A131,Scoresheet!$U$2:$U$501,1,Scoresheet!$H$2:$H$501,"No")&gt;0,"🚩 Budget under AED 5k",IF(COUNTIFS(Scoresheet!$C$2:$C$501,A131,Scoresheet!$U$2:$U$501,1,Scoresheet!$J$2:$J$501,"No")&gt;0,"🚩 No one on camera",""))))</f>
        <v/>
      </c>
      <c r="T131" s="17"/>
      <c r="U131" s="17"/>
      <c r="V131" s="40"/>
      <c r="W131" s="17"/>
      <c r="X131" s="45" t="str">
        <f aca="false">IF(OR(E131="",V131="",OR(U131="Contract signed + paid",U131="Closed – No response",U131="Lost"),N(W131)&gt;=Settings!$S$3),"",V131+Settings!$S$2)</f>
        <v/>
      </c>
      <c r="Y131" s="40"/>
      <c r="Z131" s="41"/>
      <c r="AA131" s="17"/>
      <c r="AB131" s="17"/>
      <c r="AC131" s="17"/>
      <c r="AD131" s="46" t="str">
        <f aca="true">IF(OR(E131="",B131=""),"",INT(TODAY()-B131))</f>
        <v/>
      </c>
      <c r="AE131" s="44" t="str">
        <f aca="true">IF(E131="","",IF(OR(COUNTIFS(Clients!$C$2:$C$501,E131,Clients!$S$2:$S$501,"Paid")&gt;0,AND(I131&lt;&gt;"",COUNTIFS(Clients!$E$2:$E$501,I131,Clients!$S$2:$S$501,"Paid")&gt;0)),"⚠ Refunded before – no free video",IF(OR(U131="Contract signed + paid",U131="Closed – No response",U131="Lost"),"",IF(U131="","Set a stage",IF(AND(U131="Proposal sent",SUMIFS(Scoresheet!$N$2:$N$501,Scoresheet!$C$2:$C$501,A131,Scoresheet!$U$2:$U$501,1)&lt;6),"Score this lead – fill the call scoresheet",IF(N(W131)&gt;=Settings!$S$3,"Close – 4 follow-ups sent",IF(X131="",IF(V131="","Make first contact",""),IF(TODAY()&gt;X131,"OVERDUE follow-up",IF(TODAY()=X131,"Follow up today","")))))))))</f>
        <v/>
      </c>
    </row>
    <row r="132" customFormat="false" ht="15" hidden="false" customHeight="false" outlineLevel="0" collapsed="false">
      <c r="A132" s="17"/>
      <c r="B132" s="40"/>
      <c r="C132" s="41"/>
      <c r="D132" s="17"/>
      <c r="E132" s="17"/>
      <c r="F132" s="17"/>
      <c r="G132" s="17"/>
      <c r="H132" s="17"/>
      <c r="I132" s="42"/>
      <c r="J132" s="17"/>
      <c r="K132" s="17"/>
      <c r="L132" s="17"/>
      <c r="M132" s="17"/>
      <c r="N132" s="40"/>
      <c r="O132" s="41"/>
      <c r="P132" s="43" t="str">
        <f aca="false">IF(OR(B132="",N132=""),"",ROUND(((N132+N(O132))-(B132+N(C132)))*24,1))</f>
        <v/>
      </c>
      <c r="Q132" s="44" t="str">
        <f aca="false">IF(OR(E132="",A132="",COUNTIFS(Scoresheet!$C$2:$C$501,A132,Scoresheet!$U$2:$U$501,1)=0),"",SUMIFS(Scoresheet!$O$2:$O$501,Scoresheet!$C$2:$C$501,A132,Scoresheet!$U$2:$U$501,1))</f>
        <v/>
      </c>
      <c r="R132" s="44" t="str">
        <f aca="false">IF(E132="","",IF(OR(A132="",COUNTIFS(Scoresheet!$C$2:$C$501,A132,Scoresheet!$U$2:$U$501,1)=0),"No scoresheet yet",IF(SUMIFS(Scoresheet!$N$2:$N$501,Scoresheet!$C$2:$C$501,A132,Scoresheet!$U$2:$U$501,1)&lt;6,"Partly scored ("&amp;SUMIFS(Scoresheet!$N$2:$N$501,Scoresheet!$C$2:$C$501,A132,Scoresheet!$U$2:$U$501,1)&amp;"/6)",IF(Q132&gt;=Settings!$S$8,"Hot",IF(Q132&gt;=Settings!$S$9,"Warm","Cold")))))</f>
        <v/>
      </c>
      <c r="S132" s="44" t="str">
        <f aca="false">IF(OR(E132="",A132=""),"",IF(AND(COUNTIFS(Scoresheet!$C$2:$C$501,A132,Scoresheet!$U$2:$U$501,1,Scoresheet!$H$2:$H$501,"No")&gt;0,COUNTIFS(Scoresheet!$C$2:$C$501,A132,Scoresheet!$U$2:$U$501,1,Scoresheet!$J$2:$J$501,"No")&gt;0),"🚩 Budget  ·  🚩 No one on camera",IF(COUNTIFS(Scoresheet!$C$2:$C$501,A132,Scoresheet!$U$2:$U$501,1,Scoresheet!$H$2:$H$501,"No")&gt;0,"🚩 Budget under AED 5k",IF(COUNTIFS(Scoresheet!$C$2:$C$501,A132,Scoresheet!$U$2:$U$501,1,Scoresheet!$J$2:$J$501,"No")&gt;0,"🚩 No one on camera",""))))</f>
        <v/>
      </c>
      <c r="T132" s="17"/>
      <c r="U132" s="17"/>
      <c r="V132" s="40"/>
      <c r="W132" s="17"/>
      <c r="X132" s="45" t="str">
        <f aca="false">IF(OR(E132="",V132="",OR(U132="Contract signed + paid",U132="Closed – No response",U132="Lost"),N(W132)&gt;=Settings!$S$3),"",V132+Settings!$S$2)</f>
        <v/>
      </c>
      <c r="Y132" s="40"/>
      <c r="Z132" s="41"/>
      <c r="AA132" s="17"/>
      <c r="AB132" s="17"/>
      <c r="AC132" s="17"/>
      <c r="AD132" s="46" t="str">
        <f aca="true">IF(OR(E132="",B132=""),"",INT(TODAY()-B132))</f>
        <v/>
      </c>
      <c r="AE132" s="44" t="str">
        <f aca="true">IF(E132="","",IF(OR(COUNTIFS(Clients!$C$2:$C$501,E132,Clients!$S$2:$S$501,"Paid")&gt;0,AND(I132&lt;&gt;"",COUNTIFS(Clients!$E$2:$E$501,I132,Clients!$S$2:$S$501,"Paid")&gt;0)),"⚠ Refunded before – no free video",IF(OR(U132="Contract signed + paid",U132="Closed – No response",U132="Lost"),"",IF(U132="","Set a stage",IF(AND(U132="Proposal sent",SUMIFS(Scoresheet!$N$2:$N$501,Scoresheet!$C$2:$C$501,A132,Scoresheet!$U$2:$U$501,1)&lt;6),"Score this lead – fill the call scoresheet",IF(N(W132)&gt;=Settings!$S$3,"Close – 4 follow-ups sent",IF(X132="",IF(V132="","Make first contact",""),IF(TODAY()&gt;X132,"OVERDUE follow-up",IF(TODAY()=X132,"Follow up today","")))))))))</f>
        <v/>
      </c>
    </row>
    <row r="133" customFormat="false" ht="15" hidden="false" customHeight="false" outlineLevel="0" collapsed="false">
      <c r="A133" s="17"/>
      <c r="B133" s="40"/>
      <c r="C133" s="41"/>
      <c r="D133" s="17"/>
      <c r="E133" s="17"/>
      <c r="F133" s="17"/>
      <c r="G133" s="17"/>
      <c r="H133" s="17"/>
      <c r="I133" s="42"/>
      <c r="J133" s="17"/>
      <c r="K133" s="17"/>
      <c r="L133" s="17"/>
      <c r="M133" s="17"/>
      <c r="N133" s="40"/>
      <c r="O133" s="41"/>
      <c r="P133" s="43" t="str">
        <f aca="false">IF(OR(B133="",N133=""),"",ROUND(((N133+N(O133))-(B133+N(C133)))*24,1))</f>
        <v/>
      </c>
      <c r="Q133" s="44" t="str">
        <f aca="false">IF(OR(E133="",A133="",COUNTIFS(Scoresheet!$C$2:$C$501,A133,Scoresheet!$U$2:$U$501,1)=0),"",SUMIFS(Scoresheet!$O$2:$O$501,Scoresheet!$C$2:$C$501,A133,Scoresheet!$U$2:$U$501,1))</f>
        <v/>
      </c>
      <c r="R133" s="44" t="str">
        <f aca="false">IF(E133="","",IF(OR(A133="",COUNTIFS(Scoresheet!$C$2:$C$501,A133,Scoresheet!$U$2:$U$501,1)=0),"No scoresheet yet",IF(SUMIFS(Scoresheet!$N$2:$N$501,Scoresheet!$C$2:$C$501,A133,Scoresheet!$U$2:$U$501,1)&lt;6,"Partly scored ("&amp;SUMIFS(Scoresheet!$N$2:$N$501,Scoresheet!$C$2:$C$501,A133,Scoresheet!$U$2:$U$501,1)&amp;"/6)",IF(Q133&gt;=Settings!$S$8,"Hot",IF(Q133&gt;=Settings!$S$9,"Warm","Cold")))))</f>
        <v/>
      </c>
      <c r="S133" s="44" t="str">
        <f aca="false">IF(OR(E133="",A133=""),"",IF(AND(COUNTIFS(Scoresheet!$C$2:$C$501,A133,Scoresheet!$U$2:$U$501,1,Scoresheet!$H$2:$H$501,"No")&gt;0,COUNTIFS(Scoresheet!$C$2:$C$501,A133,Scoresheet!$U$2:$U$501,1,Scoresheet!$J$2:$J$501,"No")&gt;0),"🚩 Budget  ·  🚩 No one on camera",IF(COUNTIFS(Scoresheet!$C$2:$C$501,A133,Scoresheet!$U$2:$U$501,1,Scoresheet!$H$2:$H$501,"No")&gt;0,"🚩 Budget under AED 5k",IF(COUNTIFS(Scoresheet!$C$2:$C$501,A133,Scoresheet!$U$2:$U$501,1,Scoresheet!$J$2:$J$501,"No")&gt;0,"🚩 No one on camera",""))))</f>
        <v/>
      </c>
      <c r="T133" s="17"/>
      <c r="U133" s="17"/>
      <c r="V133" s="40"/>
      <c r="W133" s="17"/>
      <c r="X133" s="45" t="str">
        <f aca="false">IF(OR(E133="",V133="",OR(U133="Contract signed + paid",U133="Closed – No response",U133="Lost"),N(W133)&gt;=Settings!$S$3),"",V133+Settings!$S$2)</f>
        <v/>
      </c>
      <c r="Y133" s="40"/>
      <c r="Z133" s="41"/>
      <c r="AA133" s="17"/>
      <c r="AB133" s="17"/>
      <c r="AC133" s="17"/>
      <c r="AD133" s="46" t="str">
        <f aca="true">IF(OR(E133="",B133=""),"",INT(TODAY()-B133))</f>
        <v/>
      </c>
      <c r="AE133" s="44" t="str">
        <f aca="true">IF(E133="","",IF(OR(COUNTIFS(Clients!$C$2:$C$501,E133,Clients!$S$2:$S$501,"Paid")&gt;0,AND(I133&lt;&gt;"",COUNTIFS(Clients!$E$2:$E$501,I133,Clients!$S$2:$S$501,"Paid")&gt;0)),"⚠ Refunded before – no free video",IF(OR(U133="Contract signed + paid",U133="Closed – No response",U133="Lost"),"",IF(U133="","Set a stage",IF(AND(U133="Proposal sent",SUMIFS(Scoresheet!$N$2:$N$501,Scoresheet!$C$2:$C$501,A133,Scoresheet!$U$2:$U$501,1)&lt;6),"Score this lead – fill the call scoresheet",IF(N(W133)&gt;=Settings!$S$3,"Close – 4 follow-ups sent",IF(X133="",IF(V133="","Make first contact",""),IF(TODAY()&gt;X133,"OVERDUE follow-up",IF(TODAY()=X133,"Follow up today","")))))))))</f>
        <v/>
      </c>
    </row>
    <row r="134" customFormat="false" ht="15" hidden="false" customHeight="false" outlineLevel="0" collapsed="false">
      <c r="A134" s="17"/>
      <c r="B134" s="40"/>
      <c r="C134" s="41"/>
      <c r="D134" s="17"/>
      <c r="E134" s="17"/>
      <c r="F134" s="17"/>
      <c r="G134" s="17"/>
      <c r="H134" s="17"/>
      <c r="I134" s="42"/>
      <c r="J134" s="17"/>
      <c r="K134" s="17"/>
      <c r="L134" s="17"/>
      <c r="M134" s="17"/>
      <c r="N134" s="40"/>
      <c r="O134" s="41"/>
      <c r="P134" s="43" t="str">
        <f aca="false">IF(OR(B134="",N134=""),"",ROUND(((N134+N(O134))-(B134+N(C134)))*24,1))</f>
        <v/>
      </c>
      <c r="Q134" s="44" t="str">
        <f aca="false">IF(OR(E134="",A134="",COUNTIFS(Scoresheet!$C$2:$C$501,A134,Scoresheet!$U$2:$U$501,1)=0),"",SUMIFS(Scoresheet!$O$2:$O$501,Scoresheet!$C$2:$C$501,A134,Scoresheet!$U$2:$U$501,1))</f>
        <v/>
      </c>
      <c r="R134" s="44" t="str">
        <f aca="false">IF(E134="","",IF(OR(A134="",COUNTIFS(Scoresheet!$C$2:$C$501,A134,Scoresheet!$U$2:$U$501,1)=0),"No scoresheet yet",IF(SUMIFS(Scoresheet!$N$2:$N$501,Scoresheet!$C$2:$C$501,A134,Scoresheet!$U$2:$U$501,1)&lt;6,"Partly scored ("&amp;SUMIFS(Scoresheet!$N$2:$N$501,Scoresheet!$C$2:$C$501,A134,Scoresheet!$U$2:$U$501,1)&amp;"/6)",IF(Q134&gt;=Settings!$S$8,"Hot",IF(Q134&gt;=Settings!$S$9,"Warm","Cold")))))</f>
        <v/>
      </c>
      <c r="S134" s="44" t="str">
        <f aca="false">IF(OR(E134="",A134=""),"",IF(AND(COUNTIFS(Scoresheet!$C$2:$C$501,A134,Scoresheet!$U$2:$U$501,1,Scoresheet!$H$2:$H$501,"No")&gt;0,COUNTIFS(Scoresheet!$C$2:$C$501,A134,Scoresheet!$U$2:$U$501,1,Scoresheet!$J$2:$J$501,"No")&gt;0),"🚩 Budget  ·  🚩 No one on camera",IF(COUNTIFS(Scoresheet!$C$2:$C$501,A134,Scoresheet!$U$2:$U$501,1,Scoresheet!$H$2:$H$501,"No")&gt;0,"🚩 Budget under AED 5k",IF(COUNTIFS(Scoresheet!$C$2:$C$501,A134,Scoresheet!$U$2:$U$501,1,Scoresheet!$J$2:$J$501,"No")&gt;0,"🚩 No one on camera",""))))</f>
        <v/>
      </c>
      <c r="T134" s="17"/>
      <c r="U134" s="17"/>
      <c r="V134" s="40"/>
      <c r="W134" s="17"/>
      <c r="X134" s="45" t="str">
        <f aca="false">IF(OR(E134="",V134="",OR(U134="Contract signed + paid",U134="Closed – No response",U134="Lost"),N(W134)&gt;=Settings!$S$3),"",V134+Settings!$S$2)</f>
        <v/>
      </c>
      <c r="Y134" s="40"/>
      <c r="Z134" s="41"/>
      <c r="AA134" s="17"/>
      <c r="AB134" s="17"/>
      <c r="AC134" s="17"/>
      <c r="AD134" s="46" t="str">
        <f aca="true">IF(OR(E134="",B134=""),"",INT(TODAY()-B134))</f>
        <v/>
      </c>
      <c r="AE134" s="44" t="str">
        <f aca="true">IF(E134="","",IF(OR(COUNTIFS(Clients!$C$2:$C$501,E134,Clients!$S$2:$S$501,"Paid")&gt;0,AND(I134&lt;&gt;"",COUNTIFS(Clients!$E$2:$E$501,I134,Clients!$S$2:$S$501,"Paid")&gt;0)),"⚠ Refunded before – no free video",IF(OR(U134="Contract signed + paid",U134="Closed – No response",U134="Lost"),"",IF(U134="","Set a stage",IF(AND(U134="Proposal sent",SUMIFS(Scoresheet!$N$2:$N$501,Scoresheet!$C$2:$C$501,A134,Scoresheet!$U$2:$U$501,1)&lt;6),"Score this lead – fill the call scoresheet",IF(N(W134)&gt;=Settings!$S$3,"Close – 4 follow-ups sent",IF(X134="",IF(V134="","Make first contact",""),IF(TODAY()&gt;X134,"OVERDUE follow-up",IF(TODAY()=X134,"Follow up today","")))))))))</f>
        <v/>
      </c>
    </row>
    <row r="135" customFormat="false" ht="15" hidden="false" customHeight="false" outlineLevel="0" collapsed="false">
      <c r="A135" s="17"/>
      <c r="B135" s="40"/>
      <c r="C135" s="41"/>
      <c r="D135" s="17"/>
      <c r="E135" s="17"/>
      <c r="F135" s="17"/>
      <c r="G135" s="17"/>
      <c r="H135" s="17"/>
      <c r="I135" s="42"/>
      <c r="J135" s="17"/>
      <c r="K135" s="17"/>
      <c r="L135" s="17"/>
      <c r="M135" s="17"/>
      <c r="N135" s="40"/>
      <c r="O135" s="41"/>
      <c r="P135" s="43" t="str">
        <f aca="false">IF(OR(B135="",N135=""),"",ROUND(((N135+N(O135))-(B135+N(C135)))*24,1))</f>
        <v/>
      </c>
      <c r="Q135" s="44" t="str">
        <f aca="false">IF(OR(E135="",A135="",COUNTIFS(Scoresheet!$C$2:$C$501,A135,Scoresheet!$U$2:$U$501,1)=0),"",SUMIFS(Scoresheet!$O$2:$O$501,Scoresheet!$C$2:$C$501,A135,Scoresheet!$U$2:$U$501,1))</f>
        <v/>
      </c>
      <c r="R135" s="44" t="str">
        <f aca="false">IF(E135="","",IF(OR(A135="",COUNTIFS(Scoresheet!$C$2:$C$501,A135,Scoresheet!$U$2:$U$501,1)=0),"No scoresheet yet",IF(SUMIFS(Scoresheet!$N$2:$N$501,Scoresheet!$C$2:$C$501,A135,Scoresheet!$U$2:$U$501,1)&lt;6,"Partly scored ("&amp;SUMIFS(Scoresheet!$N$2:$N$501,Scoresheet!$C$2:$C$501,A135,Scoresheet!$U$2:$U$501,1)&amp;"/6)",IF(Q135&gt;=Settings!$S$8,"Hot",IF(Q135&gt;=Settings!$S$9,"Warm","Cold")))))</f>
        <v/>
      </c>
      <c r="S135" s="44" t="str">
        <f aca="false">IF(OR(E135="",A135=""),"",IF(AND(COUNTIFS(Scoresheet!$C$2:$C$501,A135,Scoresheet!$U$2:$U$501,1,Scoresheet!$H$2:$H$501,"No")&gt;0,COUNTIFS(Scoresheet!$C$2:$C$501,A135,Scoresheet!$U$2:$U$501,1,Scoresheet!$J$2:$J$501,"No")&gt;0),"🚩 Budget  ·  🚩 No one on camera",IF(COUNTIFS(Scoresheet!$C$2:$C$501,A135,Scoresheet!$U$2:$U$501,1,Scoresheet!$H$2:$H$501,"No")&gt;0,"🚩 Budget under AED 5k",IF(COUNTIFS(Scoresheet!$C$2:$C$501,A135,Scoresheet!$U$2:$U$501,1,Scoresheet!$J$2:$J$501,"No")&gt;0,"🚩 No one on camera",""))))</f>
        <v/>
      </c>
      <c r="T135" s="17"/>
      <c r="U135" s="17"/>
      <c r="V135" s="40"/>
      <c r="W135" s="17"/>
      <c r="X135" s="45" t="str">
        <f aca="false">IF(OR(E135="",V135="",OR(U135="Contract signed + paid",U135="Closed – No response",U135="Lost"),N(W135)&gt;=Settings!$S$3),"",V135+Settings!$S$2)</f>
        <v/>
      </c>
      <c r="Y135" s="40"/>
      <c r="Z135" s="41"/>
      <c r="AA135" s="17"/>
      <c r="AB135" s="17"/>
      <c r="AC135" s="17"/>
      <c r="AD135" s="46" t="str">
        <f aca="true">IF(OR(E135="",B135=""),"",INT(TODAY()-B135))</f>
        <v/>
      </c>
      <c r="AE135" s="44" t="str">
        <f aca="true">IF(E135="","",IF(OR(COUNTIFS(Clients!$C$2:$C$501,E135,Clients!$S$2:$S$501,"Paid")&gt;0,AND(I135&lt;&gt;"",COUNTIFS(Clients!$E$2:$E$501,I135,Clients!$S$2:$S$501,"Paid")&gt;0)),"⚠ Refunded before – no free video",IF(OR(U135="Contract signed + paid",U135="Closed – No response",U135="Lost"),"",IF(U135="","Set a stage",IF(AND(U135="Proposal sent",SUMIFS(Scoresheet!$N$2:$N$501,Scoresheet!$C$2:$C$501,A135,Scoresheet!$U$2:$U$501,1)&lt;6),"Score this lead – fill the call scoresheet",IF(N(W135)&gt;=Settings!$S$3,"Close – 4 follow-ups sent",IF(X135="",IF(V135="","Make first contact",""),IF(TODAY()&gt;X135,"OVERDUE follow-up",IF(TODAY()=X135,"Follow up today","")))))))))</f>
        <v/>
      </c>
    </row>
    <row r="136" customFormat="false" ht="15" hidden="false" customHeight="false" outlineLevel="0" collapsed="false">
      <c r="A136" s="17"/>
      <c r="B136" s="40"/>
      <c r="C136" s="41"/>
      <c r="D136" s="17"/>
      <c r="E136" s="17"/>
      <c r="F136" s="17"/>
      <c r="G136" s="17"/>
      <c r="H136" s="17"/>
      <c r="I136" s="42"/>
      <c r="J136" s="17"/>
      <c r="K136" s="17"/>
      <c r="L136" s="17"/>
      <c r="M136" s="17"/>
      <c r="N136" s="40"/>
      <c r="O136" s="41"/>
      <c r="P136" s="43" t="str">
        <f aca="false">IF(OR(B136="",N136=""),"",ROUND(((N136+N(O136))-(B136+N(C136)))*24,1))</f>
        <v/>
      </c>
      <c r="Q136" s="44" t="str">
        <f aca="false">IF(OR(E136="",A136="",COUNTIFS(Scoresheet!$C$2:$C$501,A136,Scoresheet!$U$2:$U$501,1)=0),"",SUMIFS(Scoresheet!$O$2:$O$501,Scoresheet!$C$2:$C$501,A136,Scoresheet!$U$2:$U$501,1))</f>
        <v/>
      </c>
      <c r="R136" s="44" t="str">
        <f aca="false">IF(E136="","",IF(OR(A136="",COUNTIFS(Scoresheet!$C$2:$C$501,A136,Scoresheet!$U$2:$U$501,1)=0),"No scoresheet yet",IF(SUMIFS(Scoresheet!$N$2:$N$501,Scoresheet!$C$2:$C$501,A136,Scoresheet!$U$2:$U$501,1)&lt;6,"Partly scored ("&amp;SUMIFS(Scoresheet!$N$2:$N$501,Scoresheet!$C$2:$C$501,A136,Scoresheet!$U$2:$U$501,1)&amp;"/6)",IF(Q136&gt;=Settings!$S$8,"Hot",IF(Q136&gt;=Settings!$S$9,"Warm","Cold")))))</f>
        <v/>
      </c>
      <c r="S136" s="44" t="str">
        <f aca="false">IF(OR(E136="",A136=""),"",IF(AND(COUNTIFS(Scoresheet!$C$2:$C$501,A136,Scoresheet!$U$2:$U$501,1,Scoresheet!$H$2:$H$501,"No")&gt;0,COUNTIFS(Scoresheet!$C$2:$C$501,A136,Scoresheet!$U$2:$U$501,1,Scoresheet!$J$2:$J$501,"No")&gt;0),"🚩 Budget  ·  🚩 No one on camera",IF(COUNTIFS(Scoresheet!$C$2:$C$501,A136,Scoresheet!$U$2:$U$501,1,Scoresheet!$H$2:$H$501,"No")&gt;0,"🚩 Budget under AED 5k",IF(COUNTIFS(Scoresheet!$C$2:$C$501,A136,Scoresheet!$U$2:$U$501,1,Scoresheet!$J$2:$J$501,"No")&gt;0,"🚩 No one on camera",""))))</f>
        <v/>
      </c>
      <c r="T136" s="17"/>
      <c r="U136" s="17"/>
      <c r="V136" s="40"/>
      <c r="W136" s="17"/>
      <c r="X136" s="45" t="str">
        <f aca="false">IF(OR(E136="",V136="",OR(U136="Contract signed + paid",U136="Closed – No response",U136="Lost"),N(W136)&gt;=Settings!$S$3),"",V136+Settings!$S$2)</f>
        <v/>
      </c>
      <c r="Y136" s="40"/>
      <c r="Z136" s="41"/>
      <c r="AA136" s="17"/>
      <c r="AB136" s="17"/>
      <c r="AC136" s="17"/>
      <c r="AD136" s="46" t="str">
        <f aca="true">IF(OR(E136="",B136=""),"",INT(TODAY()-B136))</f>
        <v/>
      </c>
      <c r="AE136" s="44" t="str">
        <f aca="true">IF(E136="","",IF(OR(COUNTIFS(Clients!$C$2:$C$501,E136,Clients!$S$2:$S$501,"Paid")&gt;0,AND(I136&lt;&gt;"",COUNTIFS(Clients!$E$2:$E$501,I136,Clients!$S$2:$S$501,"Paid")&gt;0)),"⚠ Refunded before – no free video",IF(OR(U136="Contract signed + paid",U136="Closed – No response",U136="Lost"),"",IF(U136="","Set a stage",IF(AND(U136="Proposal sent",SUMIFS(Scoresheet!$N$2:$N$501,Scoresheet!$C$2:$C$501,A136,Scoresheet!$U$2:$U$501,1)&lt;6),"Score this lead – fill the call scoresheet",IF(N(W136)&gt;=Settings!$S$3,"Close – 4 follow-ups sent",IF(X136="",IF(V136="","Make first contact",""),IF(TODAY()&gt;X136,"OVERDUE follow-up",IF(TODAY()=X136,"Follow up today","")))))))))</f>
        <v/>
      </c>
    </row>
    <row r="137" customFormat="false" ht="15" hidden="false" customHeight="false" outlineLevel="0" collapsed="false">
      <c r="A137" s="17"/>
      <c r="B137" s="40"/>
      <c r="C137" s="41"/>
      <c r="D137" s="17"/>
      <c r="E137" s="17"/>
      <c r="F137" s="17"/>
      <c r="G137" s="17"/>
      <c r="H137" s="17"/>
      <c r="I137" s="42"/>
      <c r="J137" s="17"/>
      <c r="K137" s="17"/>
      <c r="L137" s="17"/>
      <c r="M137" s="17"/>
      <c r="N137" s="40"/>
      <c r="O137" s="41"/>
      <c r="P137" s="43" t="str">
        <f aca="false">IF(OR(B137="",N137=""),"",ROUND(((N137+N(O137))-(B137+N(C137)))*24,1))</f>
        <v/>
      </c>
      <c r="Q137" s="44" t="str">
        <f aca="false">IF(OR(E137="",A137="",COUNTIFS(Scoresheet!$C$2:$C$501,A137,Scoresheet!$U$2:$U$501,1)=0),"",SUMIFS(Scoresheet!$O$2:$O$501,Scoresheet!$C$2:$C$501,A137,Scoresheet!$U$2:$U$501,1))</f>
        <v/>
      </c>
      <c r="R137" s="44" t="str">
        <f aca="false">IF(E137="","",IF(OR(A137="",COUNTIFS(Scoresheet!$C$2:$C$501,A137,Scoresheet!$U$2:$U$501,1)=0),"No scoresheet yet",IF(SUMIFS(Scoresheet!$N$2:$N$501,Scoresheet!$C$2:$C$501,A137,Scoresheet!$U$2:$U$501,1)&lt;6,"Partly scored ("&amp;SUMIFS(Scoresheet!$N$2:$N$501,Scoresheet!$C$2:$C$501,A137,Scoresheet!$U$2:$U$501,1)&amp;"/6)",IF(Q137&gt;=Settings!$S$8,"Hot",IF(Q137&gt;=Settings!$S$9,"Warm","Cold")))))</f>
        <v/>
      </c>
      <c r="S137" s="44" t="str">
        <f aca="false">IF(OR(E137="",A137=""),"",IF(AND(COUNTIFS(Scoresheet!$C$2:$C$501,A137,Scoresheet!$U$2:$U$501,1,Scoresheet!$H$2:$H$501,"No")&gt;0,COUNTIFS(Scoresheet!$C$2:$C$501,A137,Scoresheet!$U$2:$U$501,1,Scoresheet!$J$2:$J$501,"No")&gt;0),"🚩 Budget  ·  🚩 No one on camera",IF(COUNTIFS(Scoresheet!$C$2:$C$501,A137,Scoresheet!$U$2:$U$501,1,Scoresheet!$H$2:$H$501,"No")&gt;0,"🚩 Budget under AED 5k",IF(COUNTIFS(Scoresheet!$C$2:$C$501,A137,Scoresheet!$U$2:$U$501,1,Scoresheet!$J$2:$J$501,"No")&gt;0,"🚩 No one on camera",""))))</f>
        <v/>
      </c>
      <c r="T137" s="17"/>
      <c r="U137" s="17"/>
      <c r="V137" s="40"/>
      <c r="W137" s="17"/>
      <c r="X137" s="45" t="str">
        <f aca="false">IF(OR(E137="",V137="",OR(U137="Contract signed + paid",U137="Closed – No response",U137="Lost"),N(W137)&gt;=Settings!$S$3),"",V137+Settings!$S$2)</f>
        <v/>
      </c>
      <c r="Y137" s="40"/>
      <c r="Z137" s="41"/>
      <c r="AA137" s="17"/>
      <c r="AB137" s="17"/>
      <c r="AC137" s="17"/>
      <c r="AD137" s="46" t="str">
        <f aca="true">IF(OR(E137="",B137=""),"",INT(TODAY()-B137))</f>
        <v/>
      </c>
      <c r="AE137" s="44" t="str">
        <f aca="true">IF(E137="","",IF(OR(COUNTIFS(Clients!$C$2:$C$501,E137,Clients!$S$2:$S$501,"Paid")&gt;0,AND(I137&lt;&gt;"",COUNTIFS(Clients!$E$2:$E$501,I137,Clients!$S$2:$S$501,"Paid")&gt;0)),"⚠ Refunded before – no free video",IF(OR(U137="Contract signed + paid",U137="Closed – No response",U137="Lost"),"",IF(U137="","Set a stage",IF(AND(U137="Proposal sent",SUMIFS(Scoresheet!$N$2:$N$501,Scoresheet!$C$2:$C$501,A137,Scoresheet!$U$2:$U$501,1)&lt;6),"Score this lead – fill the call scoresheet",IF(N(W137)&gt;=Settings!$S$3,"Close – 4 follow-ups sent",IF(X137="",IF(V137="","Make first contact",""),IF(TODAY()&gt;X137,"OVERDUE follow-up",IF(TODAY()=X137,"Follow up today","")))))))))</f>
        <v/>
      </c>
    </row>
    <row r="138" customFormat="false" ht="15" hidden="false" customHeight="false" outlineLevel="0" collapsed="false">
      <c r="A138" s="17"/>
      <c r="B138" s="40"/>
      <c r="C138" s="41"/>
      <c r="D138" s="17"/>
      <c r="E138" s="17"/>
      <c r="F138" s="17"/>
      <c r="G138" s="17"/>
      <c r="H138" s="17"/>
      <c r="I138" s="42"/>
      <c r="J138" s="17"/>
      <c r="K138" s="17"/>
      <c r="L138" s="17"/>
      <c r="M138" s="17"/>
      <c r="N138" s="40"/>
      <c r="O138" s="41"/>
      <c r="P138" s="43" t="str">
        <f aca="false">IF(OR(B138="",N138=""),"",ROUND(((N138+N(O138))-(B138+N(C138)))*24,1))</f>
        <v/>
      </c>
      <c r="Q138" s="44" t="str">
        <f aca="false">IF(OR(E138="",A138="",COUNTIFS(Scoresheet!$C$2:$C$501,A138,Scoresheet!$U$2:$U$501,1)=0),"",SUMIFS(Scoresheet!$O$2:$O$501,Scoresheet!$C$2:$C$501,A138,Scoresheet!$U$2:$U$501,1))</f>
        <v/>
      </c>
      <c r="R138" s="44" t="str">
        <f aca="false">IF(E138="","",IF(OR(A138="",COUNTIFS(Scoresheet!$C$2:$C$501,A138,Scoresheet!$U$2:$U$501,1)=0),"No scoresheet yet",IF(SUMIFS(Scoresheet!$N$2:$N$501,Scoresheet!$C$2:$C$501,A138,Scoresheet!$U$2:$U$501,1)&lt;6,"Partly scored ("&amp;SUMIFS(Scoresheet!$N$2:$N$501,Scoresheet!$C$2:$C$501,A138,Scoresheet!$U$2:$U$501,1)&amp;"/6)",IF(Q138&gt;=Settings!$S$8,"Hot",IF(Q138&gt;=Settings!$S$9,"Warm","Cold")))))</f>
        <v/>
      </c>
      <c r="S138" s="44" t="str">
        <f aca="false">IF(OR(E138="",A138=""),"",IF(AND(COUNTIFS(Scoresheet!$C$2:$C$501,A138,Scoresheet!$U$2:$U$501,1,Scoresheet!$H$2:$H$501,"No")&gt;0,COUNTIFS(Scoresheet!$C$2:$C$501,A138,Scoresheet!$U$2:$U$501,1,Scoresheet!$J$2:$J$501,"No")&gt;0),"🚩 Budget  ·  🚩 No one on camera",IF(COUNTIFS(Scoresheet!$C$2:$C$501,A138,Scoresheet!$U$2:$U$501,1,Scoresheet!$H$2:$H$501,"No")&gt;0,"🚩 Budget under AED 5k",IF(COUNTIFS(Scoresheet!$C$2:$C$501,A138,Scoresheet!$U$2:$U$501,1,Scoresheet!$J$2:$J$501,"No")&gt;0,"🚩 No one on camera",""))))</f>
        <v/>
      </c>
      <c r="T138" s="17"/>
      <c r="U138" s="17"/>
      <c r="V138" s="40"/>
      <c r="W138" s="17"/>
      <c r="X138" s="45" t="str">
        <f aca="false">IF(OR(E138="",V138="",OR(U138="Contract signed + paid",U138="Closed – No response",U138="Lost"),N(W138)&gt;=Settings!$S$3),"",V138+Settings!$S$2)</f>
        <v/>
      </c>
      <c r="Y138" s="40"/>
      <c r="Z138" s="41"/>
      <c r="AA138" s="17"/>
      <c r="AB138" s="17"/>
      <c r="AC138" s="17"/>
      <c r="AD138" s="46" t="str">
        <f aca="true">IF(OR(E138="",B138=""),"",INT(TODAY()-B138))</f>
        <v/>
      </c>
      <c r="AE138" s="44" t="str">
        <f aca="true">IF(E138="","",IF(OR(COUNTIFS(Clients!$C$2:$C$501,E138,Clients!$S$2:$S$501,"Paid")&gt;0,AND(I138&lt;&gt;"",COUNTIFS(Clients!$E$2:$E$501,I138,Clients!$S$2:$S$501,"Paid")&gt;0)),"⚠ Refunded before – no free video",IF(OR(U138="Contract signed + paid",U138="Closed – No response",U138="Lost"),"",IF(U138="","Set a stage",IF(AND(U138="Proposal sent",SUMIFS(Scoresheet!$N$2:$N$501,Scoresheet!$C$2:$C$501,A138,Scoresheet!$U$2:$U$501,1)&lt;6),"Score this lead – fill the call scoresheet",IF(N(W138)&gt;=Settings!$S$3,"Close – 4 follow-ups sent",IF(X138="",IF(V138="","Make first contact",""),IF(TODAY()&gt;X138,"OVERDUE follow-up",IF(TODAY()=X138,"Follow up today","")))))))))</f>
        <v/>
      </c>
    </row>
    <row r="139" customFormat="false" ht="15" hidden="false" customHeight="false" outlineLevel="0" collapsed="false">
      <c r="A139" s="17"/>
      <c r="B139" s="40"/>
      <c r="C139" s="41"/>
      <c r="D139" s="17"/>
      <c r="E139" s="17"/>
      <c r="F139" s="17"/>
      <c r="G139" s="17"/>
      <c r="H139" s="17"/>
      <c r="I139" s="42"/>
      <c r="J139" s="17"/>
      <c r="K139" s="17"/>
      <c r="L139" s="17"/>
      <c r="M139" s="17"/>
      <c r="N139" s="40"/>
      <c r="O139" s="41"/>
      <c r="P139" s="43" t="str">
        <f aca="false">IF(OR(B139="",N139=""),"",ROUND(((N139+N(O139))-(B139+N(C139)))*24,1))</f>
        <v/>
      </c>
      <c r="Q139" s="44" t="str">
        <f aca="false">IF(OR(E139="",A139="",COUNTIFS(Scoresheet!$C$2:$C$501,A139,Scoresheet!$U$2:$U$501,1)=0),"",SUMIFS(Scoresheet!$O$2:$O$501,Scoresheet!$C$2:$C$501,A139,Scoresheet!$U$2:$U$501,1))</f>
        <v/>
      </c>
      <c r="R139" s="44" t="str">
        <f aca="false">IF(E139="","",IF(OR(A139="",COUNTIFS(Scoresheet!$C$2:$C$501,A139,Scoresheet!$U$2:$U$501,1)=0),"No scoresheet yet",IF(SUMIFS(Scoresheet!$N$2:$N$501,Scoresheet!$C$2:$C$501,A139,Scoresheet!$U$2:$U$501,1)&lt;6,"Partly scored ("&amp;SUMIFS(Scoresheet!$N$2:$N$501,Scoresheet!$C$2:$C$501,A139,Scoresheet!$U$2:$U$501,1)&amp;"/6)",IF(Q139&gt;=Settings!$S$8,"Hot",IF(Q139&gt;=Settings!$S$9,"Warm","Cold")))))</f>
        <v/>
      </c>
      <c r="S139" s="44" t="str">
        <f aca="false">IF(OR(E139="",A139=""),"",IF(AND(COUNTIFS(Scoresheet!$C$2:$C$501,A139,Scoresheet!$U$2:$U$501,1,Scoresheet!$H$2:$H$501,"No")&gt;0,COUNTIFS(Scoresheet!$C$2:$C$501,A139,Scoresheet!$U$2:$U$501,1,Scoresheet!$J$2:$J$501,"No")&gt;0),"🚩 Budget  ·  🚩 No one on camera",IF(COUNTIFS(Scoresheet!$C$2:$C$501,A139,Scoresheet!$U$2:$U$501,1,Scoresheet!$H$2:$H$501,"No")&gt;0,"🚩 Budget under AED 5k",IF(COUNTIFS(Scoresheet!$C$2:$C$501,A139,Scoresheet!$U$2:$U$501,1,Scoresheet!$J$2:$J$501,"No")&gt;0,"🚩 No one on camera",""))))</f>
        <v/>
      </c>
      <c r="T139" s="17"/>
      <c r="U139" s="17"/>
      <c r="V139" s="40"/>
      <c r="W139" s="17"/>
      <c r="X139" s="45" t="str">
        <f aca="false">IF(OR(E139="",V139="",OR(U139="Contract signed + paid",U139="Closed – No response",U139="Lost"),N(W139)&gt;=Settings!$S$3),"",V139+Settings!$S$2)</f>
        <v/>
      </c>
      <c r="Y139" s="40"/>
      <c r="Z139" s="41"/>
      <c r="AA139" s="17"/>
      <c r="AB139" s="17"/>
      <c r="AC139" s="17"/>
      <c r="AD139" s="46" t="str">
        <f aca="true">IF(OR(E139="",B139=""),"",INT(TODAY()-B139))</f>
        <v/>
      </c>
      <c r="AE139" s="44" t="str">
        <f aca="true">IF(E139="","",IF(OR(COUNTIFS(Clients!$C$2:$C$501,E139,Clients!$S$2:$S$501,"Paid")&gt;0,AND(I139&lt;&gt;"",COUNTIFS(Clients!$E$2:$E$501,I139,Clients!$S$2:$S$501,"Paid")&gt;0)),"⚠ Refunded before – no free video",IF(OR(U139="Contract signed + paid",U139="Closed – No response",U139="Lost"),"",IF(U139="","Set a stage",IF(AND(U139="Proposal sent",SUMIFS(Scoresheet!$N$2:$N$501,Scoresheet!$C$2:$C$501,A139,Scoresheet!$U$2:$U$501,1)&lt;6),"Score this lead – fill the call scoresheet",IF(N(W139)&gt;=Settings!$S$3,"Close – 4 follow-ups sent",IF(X139="",IF(V139="","Make first contact",""),IF(TODAY()&gt;X139,"OVERDUE follow-up",IF(TODAY()=X139,"Follow up today","")))))))))</f>
        <v/>
      </c>
    </row>
    <row r="140" customFormat="false" ht="15" hidden="false" customHeight="false" outlineLevel="0" collapsed="false">
      <c r="A140" s="17"/>
      <c r="B140" s="40"/>
      <c r="C140" s="41"/>
      <c r="D140" s="17"/>
      <c r="E140" s="17"/>
      <c r="F140" s="17"/>
      <c r="G140" s="17"/>
      <c r="H140" s="17"/>
      <c r="I140" s="42"/>
      <c r="J140" s="17"/>
      <c r="K140" s="17"/>
      <c r="L140" s="17"/>
      <c r="M140" s="17"/>
      <c r="N140" s="40"/>
      <c r="O140" s="41"/>
      <c r="P140" s="43" t="str">
        <f aca="false">IF(OR(B140="",N140=""),"",ROUND(((N140+N(O140))-(B140+N(C140)))*24,1))</f>
        <v/>
      </c>
      <c r="Q140" s="44" t="str">
        <f aca="false">IF(OR(E140="",A140="",COUNTIFS(Scoresheet!$C$2:$C$501,A140,Scoresheet!$U$2:$U$501,1)=0),"",SUMIFS(Scoresheet!$O$2:$O$501,Scoresheet!$C$2:$C$501,A140,Scoresheet!$U$2:$U$501,1))</f>
        <v/>
      </c>
      <c r="R140" s="44" t="str">
        <f aca="false">IF(E140="","",IF(OR(A140="",COUNTIFS(Scoresheet!$C$2:$C$501,A140,Scoresheet!$U$2:$U$501,1)=0),"No scoresheet yet",IF(SUMIFS(Scoresheet!$N$2:$N$501,Scoresheet!$C$2:$C$501,A140,Scoresheet!$U$2:$U$501,1)&lt;6,"Partly scored ("&amp;SUMIFS(Scoresheet!$N$2:$N$501,Scoresheet!$C$2:$C$501,A140,Scoresheet!$U$2:$U$501,1)&amp;"/6)",IF(Q140&gt;=Settings!$S$8,"Hot",IF(Q140&gt;=Settings!$S$9,"Warm","Cold")))))</f>
        <v/>
      </c>
      <c r="S140" s="44" t="str">
        <f aca="false">IF(OR(E140="",A140=""),"",IF(AND(COUNTIFS(Scoresheet!$C$2:$C$501,A140,Scoresheet!$U$2:$U$501,1,Scoresheet!$H$2:$H$501,"No")&gt;0,COUNTIFS(Scoresheet!$C$2:$C$501,A140,Scoresheet!$U$2:$U$501,1,Scoresheet!$J$2:$J$501,"No")&gt;0),"🚩 Budget  ·  🚩 No one on camera",IF(COUNTIFS(Scoresheet!$C$2:$C$501,A140,Scoresheet!$U$2:$U$501,1,Scoresheet!$H$2:$H$501,"No")&gt;0,"🚩 Budget under AED 5k",IF(COUNTIFS(Scoresheet!$C$2:$C$501,A140,Scoresheet!$U$2:$U$501,1,Scoresheet!$J$2:$J$501,"No")&gt;0,"🚩 No one on camera",""))))</f>
        <v/>
      </c>
      <c r="T140" s="17"/>
      <c r="U140" s="17"/>
      <c r="V140" s="40"/>
      <c r="W140" s="17"/>
      <c r="X140" s="45" t="str">
        <f aca="false">IF(OR(E140="",V140="",OR(U140="Contract signed + paid",U140="Closed – No response",U140="Lost"),N(W140)&gt;=Settings!$S$3),"",V140+Settings!$S$2)</f>
        <v/>
      </c>
      <c r="Y140" s="40"/>
      <c r="Z140" s="41"/>
      <c r="AA140" s="17"/>
      <c r="AB140" s="17"/>
      <c r="AC140" s="17"/>
      <c r="AD140" s="46" t="str">
        <f aca="true">IF(OR(E140="",B140=""),"",INT(TODAY()-B140))</f>
        <v/>
      </c>
      <c r="AE140" s="44" t="str">
        <f aca="true">IF(E140="","",IF(OR(COUNTIFS(Clients!$C$2:$C$501,E140,Clients!$S$2:$S$501,"Paid")&gt;0,AND(I140&lt;&gt;"",COUNTIFS(Clients!$E$2:$E$501,I140,Clients!$S$2:$S$501,"Paid")&gt;0)),"⚠ Refunded before – no free video",IF(OR(U140="Contract signed + paid",U140="Closed – No response",U140="Lost"),"",IF(U140="","Set a stage",IF(AND(U140="Proposal sent",SUMIFS(Scoresheet!$N$2:$N$501,Scoresheet!$C$2:$C$501,A140,Scoresheet!$U$2:$U$501,1)&lt;6),"Score this lead – fill the call scoresheet",IF(N(W140)&gt;=Settings!$S$3,"Close – 4 follow-ups sent",IF(X140="",IF(V140="","Make first contact",""),IF(TODAY()&gt;X140,"OVERDUE follow-up",IF(TODAY()=X140,"Follow up today","")))))))))</f>
        <v/>
      </c>
    </row>
    <row r="141" customFormat="false" ht="15" hidden="false" customHeight="false" outlineLevel="0" collapsed="false">
      <c r="A141" s="17"/>
      <c r="B141" s="40"/>
      <c r="C141" s="41"/>
      <c r="D141" s="17"/>
      <c r="E141" s="17"/>
      <c r="F141" s="17"/>
      <c r="G141" s="17"/>
      <c r="H141" s="17"/>
      <c r="I141" s="42"/>
      <c r="J141" s="17"/>
      <c r="K141" s="17"/>
      <c r="L141" s="17"/>
      <c r="M141" s="17"/>
      <c r="N141" s="40"/>
      <c r="O141" s="41"/>
      <c r="P141" s="43" t="str">
        <f aca="false">IF(OR(B141="",N141=""),"",ROUND(((N141+N(O141))-(B141+N(C141)))*24,1))</f>
        <v/>
      </c>
      <c r="Q141" s="44" t="str">
        <f aca="false">IF(OR(E141="",A141="",COUNTIFS(Scoresheet!$C$2:$C$501,A141,Scoresheet!$U$2:$U$501,1)=0),"",SUMIFS(Scoresheet!$O$2:$O$501,Scoresheet!$C$2:$C$501,A141,Scoresheet!$U$2:$U$501,1))</f>
        <v/>
      </c>
      <c r="R141" s="44" t="str">
        <f aca="false">IF(E141="","",IF(OR(A141="",COUNTIFS(Scoresheet!$C$2:$C$501,A141,Scoresheet!$U$2:$U$501,1)=0),"No scoresheet yet",IF(SUMIFS(Scoresheet!$N$2:$N$501,Scoresheet!$C$2:$C$501,A141,Scoresheet!$U$2:$U$501,1)&lt;6,"Partly scored ("&amp;SUMIFS(Scoresheet!$N$2:$N$501,Scoresheet!$C$2:$C$501,A141,Scoresheet!$U$2:$U$501,1)&amp;"/6)",IF(Q141&gt;=Settings!$S$8,"Hot",IF(Q141&gt;=Settings!$S$9,"Warm","Cold")))))</f>
        <v/>
      </c>
      <c r="S141" s="44" t="str">
        <f aca="false">IF(OR(E141="",A141=""),"",IF(AND(COUNTIFS(Scoresheet!$C$2:$C$501,A141,Scoresheet!$U$2:$U$501,1,Scoresheet!$H$2:$H$501,"No")&gt;0,COUNTIFS(Scoresheet!$C$2:$C$501,A141,Scoresheet!$U$2:$U$501,1,Scoresheet!$J$2:$J$501,"No")&gt;0),"🚩 Budget  ·  🚩 No one on camera",IF(COUNTIFS(Scoresheet!$C$2:$C$501,A141,Scoresheet!$U$2:$U$501,1,Scoresheet!$H$2:$H$501,"No")&gt;0,"🚩 Budget under AED 5k",IF(COUNTIFS(Scoresheet!$C$2:$C$501,A141,Scoresheet!$U$2:$U$501,1,Scoresheet!$J$2:$J$501,"No")&gt;0,"🚩 No one on camera",""))))</f>
        <v/>
      </c>
      <c r="T141" s="17"/>
      <c r="U141" s="17"/>
      <c r="V141" s="40"/>
      <c r="W141" s="17"/>
      <c r="X141" s="45" t="str">
        <f aca="false">IF(OR(E141="",V141="",OR(U141="Contract signed + paid",U141="Closed – No response",U141="Lost"),N(W141)&gt;=Settings!$S$3),"",V141+Settings!$S$2)</f>
        <v/>
      </c>
      <c r="Y141" s="40"/>
      <c r="Z141" s="41"/>
      <c r="AA141" s="17"/>
      <c r="AB141" s="17"/>
      <c r="AC141" s="17"/>
      <c r="AD141" s="46" t="str">
        <f aca="true">IF(OR(E141="",B141=""),"",INT(TODAY()-B141))</f>
        <v/>
      </c>
      <c r="AE141" s="44" t="str">
        <f aca="true">IF(E141="","",IF(OR(COUNTIFS(Clients!$C$2:$C$501,E141,Clients!$S$2:$S$501,"Paid")&gt;0,AND(I141&lt;&gt;"",COUNTIFS(Clients!$E$2:$E$501,I141,Clients!$S$2:$S$501,"Paid")&gt;0)),"⚠ Refunded before – no free video",IF(OR(U141="Contract signed + paid",U141="Closed – No response",U141="Lost"),"",IF(U141="","Set a stage",IF(AND(U141="Proposal sent",SUMIFS(Scoresheet!$N$2:$N$501,Scoresheet!$C$2:$C$501,A141,Scoresheet!$U$2:$U$501,1)&lt;6),"Score this lead – fill the call scoresheet",IF(N(W141)&gt;=Settings!$S$3,"Close – 4 follow-ups sent",IF(X141="",IF(V141="","Make first contact",""),IF(TODAY()&gt;X141,"OVERDUE follow-up",IF(TODAY()=X141,"Follow up today","")))))))))</f>
        <v/>
      </c>
    </row>
    <row r="142" customFormat="false" ht="15" hidden="false" customHeight="false" outlineLevel="0" collapsed="false">
      <c r="A142" s="17"/>
      <c r="B142" s="40"/>
      <c r="C142" s="41"/>
      <c r="D142" s="17"/>
      <c r="E142" s="17"/>
      <c r="F142" s="17"/>
      <c r="G142" s="17"/>
      <c r="H142" s="17"/>
      <c r="I142" s="42"/>
      <c r="J142" s="17"/>
      <c r="K142" s="17"/>
      <c r="L142" s="17"/>
      <c r="M142" s="17"/>
      <c r="N142" s="40"/>
      <c r="O142" s="41"/>
      <c r="P142" s="43" t="str">
        <f aca="false">IF(OR(B142="",N142=""),"",ROUND(((N142+N(O142))-(B142+N(C142)))*24,1))</f>
        <v/>
      </c>
      <c r="Q142" s="44" t="str">
        <f aca="false">IF(OR(E142="",A142="",COUNTIFS(Scoresheet!$C$2:$C$501,A142,Scoresheet!$U$2:$U$501,1)=0),"",SUMIFS(Scoresheet!$O$2:$O$501,Scoresheet!$C$2:$C$501,A142,Scoresheet!$U$2:$U$501,1))</f>
        <v/>
      </c>
      <c r="R142" s="44" t="str">
        <f aca="false">IF(E142="","",IF(OR(A142="",COUNTIFS(Scoresheet!$C$2:$C$501,A142,Scoresheet!$U$2:$U$501,1)=0),"No scoresheet yet",IF(SUMIFS(Scoresheet!$N$2:$N$501,Scoresheet!$C$2:$C$501,A142,Scoresheet!$U$2:$U$501,1)&lt;6,"Partly scored ("&amp;SUMIFS(Scoresheet!$N$2:$N$501,Scoresheet!$C$2:$C$501,A142,Scoresheet!$U$2:$U$501,1)&amp;"/6)",IF(Q142&gt;=Settings!$S$8,"Hot",IF(Q142&gt;=Settings!$S$9,"Warm","Cold")))))</f>
        <v/>
      </c>
      <c r="S142" s="44" t="str">
        <f aca="false">IF(OR(E142="",A142=""),"",IF(AND(COUNTIFS(Scoresheet!$C$2:$C$501,A142,Scoresheet!$U$2:$U$501,1,Scoresheet!$H$2:$H$501,"No")&gt;0,COUNTIFS(Scoresheet!$C$2:$C$501,A142,Scoresheet!$U$2:$U$501,1,Scoresheet!$J$2:$J$501,"No")&gt;0),"🚩 Budget  ·  🚩 No one on camera",IF(COUNTIFS(Scoresheet!$C$2:$C$501,A142,Scoresheet!$U$2:$U$501,1,Scoresheet!$H$2:$H$501,"No")&gt;0,"🚩 Budget under AED 5k",IF(COUNTIFS(Scoresheet!$C$2:$C$501,A142,Scoresheet!$U$2:$U$501,1,Scoresheet!$J$2:$J$501,"No")&gt;0,"🚩 No one on camera",""))))</f>
        <v/>
      </c>
      <c r="T142" s="17"/>
      <c r="U142" s="17"/>
      <c r="V142" s="40"/>
      <c r="W142" s="17"/>
      <c r="X142" s="45" t="str">
        <f aca="false">IF(OR(E142="",V142="",OR(U142="Contract signed + paid",U142="Closed – No response",U142="Lost"),N(W142)&gt;=Settings!$S$3),"",V142+Settings!$S$2)</f>
        <v/>
      </c>
      <c r="Y142" s="40"/>
      <c r="Z142" s="41"/>
      <c r="AA142" s="17"/>
      <c r="AB142" s="17"/>
      <c r="AC142" s="17"/>
      <c r="AD142" s="46" t="str">
        <f aca="true">IF(OR(E142="",B142=""),"",INT(TODAY()-B142))</f>
        <v/>
      </c>
      <c r="AE142" s="44" t="str">
        <f aca="true">IF(E142="","",IF(OR(COUNTIFS(Clients!$C$2:$C$501,E142,Clients!$S$2:$S$501,"Paid")&gt;0,AND(I142&lt;&gt;"",COUNTIFS(Clients!$E$2:$E$501,I142,Clients!$S$2:$S$501,"Paid")&gt;0)),"⚠ Refunded before – no free video",IF(OR(U142="Contract signed + paid",U142="Closed – No response",U142="Lost"),"",IF(U142="","Set a stage",IF(AND(U142="Proposal sent",SUMIFS(Scoresheet!$N$2:$N$501,Scoresheet!$C$2:$C$501,A142,Scoresheet!$U$2:$U$501,1)&lt;6),"Score this lead – fill the call scoresheet",IF(N(W142)&gt;=Settings!$S$3,"Close – 4 follow-ups sent",IF(X142="",IF(V142="","Make first contact",""),IF(TODAY()&gt;X142,"OVERDUE follow-up",IF(TODAY()=X142,"Follow up today","")))))))))</f>
        <v/>
      </c>
    </row>
    <row r="143" customFormat="false" ht="15" hidden="false" customHeight="false" outlineLevel="0" collapsed="false">
      <c r="A143" s="17"/>
      <c r="B143" s="40"/>
      <c r="C143" s="41"/>
      <c r="D143" s="17"/>
      <c r="E143" s="17"/>
      <c r="F143" s="17"/>
      <c r="G143" s="17"/>
      <c r="H143" s="17"/>
      <c r="I143" s="42"/>
      <c r="J143" s="17"/>
      <c r="K143" s="17"/>
      <c r="L143" s="17"/>
      <c r="M143" s="17"/>
      <c r="N143" s="40"/>
      <c r="O143" s="41"/>
      <c r="P143" s="43" t="str">
        <f aca="false">IF(OR(B143="",N143=""),"",ROUND(((N143+N(O143))-(B143+N(C143)))*24,1))</f>
        <v/>
      </c>
      <c r="Q143" s="44" t="str">
        <f aca="false">IF(OR(E143="",A143="",COUNTIFS(Scoresheet!$C$2:$C$501,A143,Scoresheet!$U$2:$U$501,1)=0),"",SUMIFS(Scoresheet!$O$2:$O$501,Scoresheet!$C$2:$C$501,A143,Scoresheet!$U$2:$U$501,1))</f>
        <v/>
      </c>
      <c r="R143" s="44" t="str">
        <f aca="false">IF(E143="","",IF(OR(A143="",COUNTIFS(Scoresheet!$C$2:$C$501,A143,Scoresheet!$U$2:$U$501,1)=0),"No scoresheet yet",IF(SUMIFS(Scoresheet!$N$2:$N$501,Scoresheet!$C$2:$C$501,A143,Scoresheet!$U$2:$U$501,1)&lt;6,"Partly scored ("&amp;SUMIFS(Scoresheet!$N$2:$N$501,Scoresheet!$C$2:$C$501,A143,Scoresheet!$U$2:$U$501,1)&amp;"/6)",IF(Q143&gt;=Settings!$S$8,"Hot",IF(Q143&gt;=Settings!$S$9,"Warm","Cold")))))</f>
        <v/>
      </c>
      <c r="S143" s="44" t="str">
        <f aca="false">IF(OR(E143="",A143=""),"",IF(AND(COUNTIFS(Scoresheet!$C$2:$C$501,A143,Scoresheet!$U$2:$U$501,1,Scoresheet!$H$2:$H$501,"No")&gt;0,COUNTIFS(Scoresheet!$C$2:$C$501,A143,Scoresheet!$U$2:$U$501,1,Scoresheet!$J$2:$J$501,"No")&gt;0),"🚩 Budget  ·  🚩 No one on camera",IF(COUNTIFS(Scoresheet!$C$2:$C$501,A143,Scoresheet!$U$2:$U$501,1,Scoresheet!$H$2:$H$501,"No")&gt;0,"🚩 Budget under AED 5k",IF(COUNTIFS(Scoresheet!$C$2:$C$501,A143,Scoresheet!$U$2:$U$501,1,Scoresheet!$J$2:$J$501,"No")&gt;0,"🚩 No one on camera",""))))</f>
        <v/>
      </c>
      <c r="T143" s="17"/>
      <c r="U143" s="17"/>
      <c r="V143" s="40"/>
      <c r="W143" s="17"/>
      <c r="X143" s="45" t="str">
        <f aca="false">IF(OR(E143="",V143="",OR(U143="Contract signed + paid",U143="Closed – No response",U143="Lost"),N(W143)&gt;=Settings!$S$3),"",V143+Settings!$S$2)</f>
        <v/>
      </c>
      <c r="Y143" s="40"/>
      <c r="Z143" s="41"/>
      <c r="AA143" s="17"/>
      <c r="AB143" s="17"/>
      <c r="AC143" s="17"/>
      <c r="AD143" s="46" t="str">
        <f aca="true">IF(OR(E143="",B143=""),"",INT(TODAY()-B143))</f>
        <v/>
      </c>
      <c r="AE143" s="44" t="str">
        <f aca="true">IF(E143="","",IF(OR(COUNTIFS(Clients!$C$2:$C$501,E143,Clients!$S$2:$S$501,"Paid")&gt;0,AND(I143&lt;&gt;"",COUNTIFS(Clients!$E$2:$E$501,I143,Clients!$S$2:$S$501,"Paid")&gt;0)),"⚠ Refunded before – no free video",IF(OR(U143="Contract signed + paid",U143="Closed – No response",U143="Lost"),"",IF(U143="","Set a stage",IF(AND(U143="Proposal sent",SUMIFS(Scoresheet!$N$2:$N$501,Scoresheet!$C$2:$C$501,A143,Scoresheet!$U$2:$U$501,1)&lt;6),"Score this lead – fill the call scoresheet",IF(N(W143)&gt;=Settings!$S$3,"Close – 4 follow-ups sent",IF(X143="",IF(V143="","Make first contact",""),IF(TODAY()&gt;X143,"OVERDUE follow-up",IF(TODAY()=X143,"Follow up today","")))))))))</f>
        <v/>
      </c>
    </row>
    <row r="144" customFormat="false" ht="15" hidden="false" customHeight="false" outlineLevel="0" collapsed="false">
      <c r="A144" s="17"/>
      <c r="B144" s="40"/>
      <c r="C144" s="41"/>
      <c r="D144" s="17"/>
      <c r="E144" s="17"/>
      <c r="F144" s="17"/>
      <c r="G144" s="17"/>
      <c r="H144" s="17"/>
      <c r="I144" s="42"/>
      <c r="J144" s="17"/>
      <c r="K144" s="17"/>
      <c r="L144" s="17"/>
      <c r="M144" s="17"/>
      <c r="N144" s="40"/>
      <c r="O144" s="41"/>
      <c r="P144" s="43" t="str">
        <f aca="false">IF(OR(B144="",N144=""),"",ROUND(((N144+N(O144))-(B144+N(C144)))*24,1))</f>
        <v/>
      </c>
      <c r="Q144" s="44" t="str">
        <f aca="false">IF(OR(E144="",A144="",COUNTIFS(Scoresheet!$C$2:$C$501,A144,Scoresheet!$U$2:$U$501,1)=0),"",SUMIFS(Scoresheet!$O$2:$O$501,Scoresheet!$C$2:$C$501,A144,Scoresheet!$U$2:$U$501,1))</f>
        <v/>
      </c>
      <c r="R144" s="44" t="str">
        <f aca="false">IF(E144="","",IF(OR(A144="",COUNTIFS(Scoresheet!$C$2:$C$501,A144,Scoresheet!$U$2:$U$501,1)=0),"No scoresheet yet",IF(SUMIFS(Scoresheet!$N$2:$N$501,Scoresheet!$C$2:$C$501,A144,Scoresheet!$U$2:$U$501,1)&lt;6,"Partly scored ("&amp;SUMIFS(Scoresheet!$N$2:$N$501,Scoresheet!$C$2:$C$501,A144,Scoresheet!$U$2:$U$501,1)&amp;"/6)",IF(Q144&gt;=Settings!$S$8,"Hot",IF(Q144&gt;=Settings!$S$9,"Warm","Cold")))))</f>
        <v/>
      </c>
      <c r="S144" s="44" t="str">
        <f aca="false">IF(OR(E144="",A144=""),"",IF(AND(COUNTIFS(Scoresheet!$C$2:$C$501,A144,Scoresheet!$U$2:$U$501,1,Scoresheet!$H$2:$H$501,"No")&gt;0,COUNTIFS(Scoresheet!$C$2:$C$501,A144,Scoresheet!$U$2:$U$501,1,Scoresheet!$J$2:$J$501,"No")&gt;0),"🚩 Budget  ·  🚩 No one on camera",IF(COUNTIFS(Scoresheet!$C$2:$C$501,A144,Scoresheet!$U$2:$U$501,1,Scoresheet!$H$2:$H$501,"No")&gt;0,"🚩 Budget under AED 5k",IF(COUNTIFS(Scoresheet!$C$2:$C$501,A144,Scoresheet!$U$2:$U$501,1,Scoresheet!$J$2:$J$501,"No")&gt;0,"🚩 No one on camera",""))))</f>
        <v/>
      </c>
      <c r="T144" s="17"/>
      <c r="U144" s="17"/>
      <c r="V144" s="40"/>
      <c r="W144" s="17"/>
      <c r="X144" s="45" t="str">
        <f aca="false">IF(OR(E144="",V144="",OR(U144="Contract signed + paid",U144="Closed – No response",U144="Lost"),N(W144)&gt;=Settings!$S$3),"",V144+Settings!$S$2)</f>
        <v/>
      </c>
      <c r="Y144" s="40"/>
      <c r="Z144" s="41"/>
      <c r="AA144" s="17"/>
      <c r="AB144" s="17"/>
      <c r="AC144" s="17"/>
      <c r="AD144" s="46" t="str">
        <f aca="true">IF(OR(E144="",B144=""),"",INT(TODAY()-B144))</f>
        <v/>
      </c>
      <c r="AE144" s="44" t="str">
        <f aca="true">IF(E144="","",IF(OR(COUNTIFS(Clients!$C$2:$C$501,E144,Clients!$S$2:$S$501,"Paid")&gt;0,AND(I144&lt;&gt;"",COUNTIFS(Clients!$E$2:$E$501,I144,Clients!$S$2:$S$501,"Paid")&gt;0)),"⚠ Refunded before – no free video",IF(OR(U144="Contract signed + paid",U144="Closed – No response",U144="Lost"),"",IF(U144="","Set a stage",IF(AND(U144="Proposal sent",SUMIFS(Scoresheet!$N$2:$N$501,Scoresheet!$C$2:$C$501,A144,Scoresheet!$U$2:$U$501,1)&lt;6),"Score this lead – fill the call scoresheet",IF(N(W144)&gt;=Settings!$S$3,"Close – 4 follow-ups sent",IF(X144="",IF(V144="","Make first contact",""),IF(TODAY()&gt;X144,"OVERDUE follow-up",IF(TODAY()=X144,"Follow up today","")))))))))</f>
        <v/>
      </c>
    </row>
    <row r="145" customFormat="false" ht="15" hidden="false" customHeight="false" outlineLevel="0" collapsed="false">
      <c r="A145" s="17"/>
      <c r="B145" s="40"/>
      <c r="C145" s="41"/>
      <c r="D145" s="17"/>
      <c r="E145" s="17"/>
      <c r="F145" s="17"/>
      <c r="G145" s="17"/>
      <c r="H145" s="17"/>
      <c r="I145" s="42"/>
      <c r="J145" s="17"/>
      <c r="K145" s="17"/>
      <c r="L145" s="17"/>
      <c r="M145" s="17"/>
      <c r="N145" s="40"/>
      <c r="O145" s="41"/>
      <c r="P145" s="43" t="str">
        <f aca="false">IF(OR(B145="",N145=""),"",ROUND(((N145+N(O145))-(B145+N(C145)))*24,1))</f>
        <v/>
      </c>
      <c r="Q145" s="44" t="str">
        <f aca="false">IF(OR(E145="",A145="",COUNTIFS(Scoresheet!$C$2:$C$501,A145,Scoresheet!$U$2:$U$501,1)=0),"",SUMIFS(Scoresheet!$O$2:$O$501,Scoresheet!$C$2:$C$501,A145,Scoresheet!$U$2:$U$501,1))</f>
        <v/>
      </c>
      <c r="R145" s="44" t="str">
        <f aca="false">IF(E145="","",IF(OR(A145="",COUNTIFS(Scoresheet!$C$2:$C$501,A145,Scoresheet!$U$2:$U$501,1)=0),"No scoresheet yet",IF(SUMIFS(Scoresheet!$N$2:$N$501,Scoresheet!$C$2:$C$501,A145,Scoresheet!$U$2:$U$501,1)&lt;6,"Partly scored ("&amp;SUMIFS(Scoresheet!$N$2:$N$501,Scoresheet!$C$2:$C$501,A145,Scoresheet!$U$2:$U$501,1)&amp;"/6)",IF(Q145&gt;=Settings!$S$8,"Hot",IF(Q145&gt;=Settings!$S$9,"Warm","Cold")))))</f>
        <v/>
      </c>
      <c r="S145" s="44" t="str">
        <f aca="false">IF(OR(E145="",A145=""),"",IF(AND(COUNTIFS(Scoresheet!$C$2:$C$501,A145,Scoresheet!$U$2:$U$501,1,Scoresheet!$H$2:$H$501,"No")&gt;0,COUNTIFS(Scoresheet!$C$2:$C$501,A145,Scoresheet!$U$2:$U$501,1,Scoresheet!$J$2:$J$501,"No")&gt;0),"🚩 Budget  ·  🚩 No one on camera",IF(COUNTIFS(Scoresheet!$C$2:$C$501,A145,Scoresheet!$U$2:$U$501,1,Scoresheet!$H$2:$H$501,"No")&gt;0,"🚩 Budget under AED 5k",IF(COUNTIFS(Scoresheet!$C$2:$C$501,A145,Scoresheet!$U$2:$U$501,1,Scoresheet!$J$2:$J$501,"No")&gt;0,"🚩 No one on camera",""))))</f>
        <v/>
      </c>
      <c r="T145" s="17"/>
      <c r="U145" s="17"/>
      <c r="V145" s="40"/>
      <c r="W145" s="17"/>
      <c r="X145" s="45" t="str">
        <f aca="false">IF(OR(E145="",V145="",OR(U145="Contract signed + paid",U145="Closed – No response",U145="Lost"),N(W145)&gt;=Settings!$S$3),"",V145+Settings!$S$2)</f>
        <v/>
      </c>
      <c r="Y145" s="40"/>
      <c r="Z145" s="41"/>
      <c r="AA145" s="17"/>
      <c r="AB145" s="17"/>
      <c r="AC145" s="17"/>
      <c r="AD145" s="46" t="str">
        <f aca="true">IF(OR(E145="",B145=""),"",INT(TODAY()-B145))</f>
        <v/>
      </c>
      <c r="AE145" s="44" t="str">
        <f aca="true">IF(E145="","",IF(OR(COUNTIFS(Clients!$C$2:$C$501,E145,Clients!$S$2:$S$501,"Paid")&gt;0,AND(I145&lt;&gt;"",COUNTIFS(Clients!$E$2:$E$501,I145,Clients!$S$2:$S$501,"Paid")&gt;0)),"⚠ Refunded before – no free video",IF(OR(U145="Contract signed + paid",U145="Closed – No response",U145="Lost"),"",IF(U145="","Set a stage",IF(AND(U145="Proposal sent",SUMIFS(Scoresheet!$N$2:$N$501,Scoresheet!$C$2:$C$501,A145,Scoresheet!$U$2:$U$501,1)&lt;6),"Score this lead – fill the call scoresheet",IF(N(W145)&gt;=Settings!$S$3,"Close – 4 follow-ups sent",IF(X145="",IF(V145="","Make first contact",""),IF(TODAY()&gt;X145,"OVERDUE follow-up",IF(TODAY()=X145,"Follow up today","")))))))))</f>
        <v/>
      </c>
    </row>
    <row r="146" customFormat="false" ht="15" hidden="false" customHeight="false" outlineLevel="0" collapsed="false">
      <c r="A146" s="17"/>
      <c r="B146" s="40"/>
      <c r="C146" s="41"/>
      <c r="D146" s="17"/>
      <c r="E146" s="17"/>
      <c r="F146" s="17"/>
      <c r="G146" s="17"/>
      <c r="H146" s="17"/>
      <c r="I146" s="42"/>
      <c r="J146" s="17"/>
      <c r="K146" s="17"/>
      <c r="L146" s="17"/>
      <c r="M146" s="17"/>
      <c r="N146" s="40"/>
      <c r="O146" s="41"/>
      <c r="P146" s="43" t="str">
        <f aca="false">IF(OR(B146="",N146=""),"",ROUND(((N146+N(O146))-(B146+N(C146)))*24,1))</f>
        <v/>
      </c>
      <c r="Q146" s="44" t="str">
        <f aca="false">IF(OR(E146="",A146="",COUNTIFS(Scoresheet!$C$2:$C$501,A146,Scoresheet!$U$2:$U$501,1)=0),"",SUMIFS(Scoresheet!$O$2:$O$501,Scoresheet!$C$2:$C$501,A146,Scoresheet!$U$2:$U$501,1))</f>
        <v/>
      </c>
      <c r="R146" s="44" t="str">
        <f aca="false">IF(E146="","",IF(OR(A146="",COUNTIFS(Scoresheet!$C$2:$C$501,A146,Scoresheet!$U$2:$U$501,1)=0),"No scoresheet yet",IF(SUMIFS(Scoresheet!$N$2:$N$501,Scoresheet!$C$2:$C$501,A146,Scoresheet!$U$2:$U$501,1)&lt;6,"Partly scored ("&amp;SUMIFS(Scoresheet!$N$2:$N$501,Scoresheet!$C$2:$C$501,A146,Scoresheet!$U$2:$U$501,1)&amp;"/6)",IF(Q146&gt;=Settings!$S$8,"Hot",IF(Q146&gt;=Settings!$S$9,"Warm","Cold")))))</f>
        <v/>
      </c>
      <c r="S146" s="44" t="str">
        <f aca="false">IF(OR(E146="",A146=""),"",IF(AND(COUNTIFS(Scoresheet!$C$2:$C$501,A146,Scoresheet!$U$2:$U$501,1,Scoresheet!$H$2:$H$501,"No")&gt;0,COUNTIFS(Scoresheet!$C$2:$C$501,A146,Scoresheet!$U$2:$U$501,1,Scoresheet!$J$2:$J$501,"No")&gt;0),"🚩 Budget  ·  🚩 No one on camera",IF(COUNTIFS(Scoresheet!$C$2:$C$501,A146,Scoresheet!$U$2:$U$501,1,Scoresheet!$H$2:$H$501,"No")&gt;0,"🚩 Budget under AED 5k",IF(COUNTIFS(Scoresheet!$C$2:$C$501,A146,Scoresheet!$U$2:$U$501,1,Scoresheet!$J$2:$J$501,"No")&gt;0,"🚩 No one on camera",""))))</f>
        <v/>
      </c>
      <c r="T146" s="17"/>
      <c r="U146" s="17"/>
      <c r="V146" s="40"/>
      <c r="W146" s="17"/>
      <c r="X146" s="45" t="str">
        <f aca="false">IF(OR(E146="",V146="",OR(U146="Contract signed + paid",U146="Closed – No response",U146="Lost"),N(W146)&gt;=Settings!$S$3),"",V146+Settings!$S$2)</f>
        <v/>
      </c>
      <c r="Y146" s="40"/>
      <c r="Z146" s="41"/>
      <c r="AA146" s="17"/>
      <c r="AB146" s="17"/>
      <c r="AC146" s="17"/>
      <c r="AD146" s="46" t="str">
        <f aca="true">IF(OR(E146="",B146=""),"",INT(TODAY()-B146))</f>
        <v/>
      </c>
      <c r="AE146" s="44" t="str">
        <f aca="true">IF(E146="","",IF(OR(COUNTIFS(Clients!$C$2:$C$501,E146,Clients!$S$2:$S$501,"Paid")&gt;0,AND(I146&lt;&gt;"",COUNTIFS(Clients!$E$2:$E$501,I146,Clients!$S$2:$S$501,"Paid")&gt;0)),"⚠ Refunded before – no free video",IF(OR(U146="Contract signed + paid",U146="Closed – No response",U146="Lost"),"",IF(U146="","Set a stage",IF(AND(U146="Proposal sent",SUMIFS(Scoresheet!$N$2:$N$501,Scoresheet!$C$2:$C$501,A146,Scoresheet!$U$2:$U$501,1)&lt;6),"Score this lead – fill the call scoresheet",IF(N(W146)&gt;=Settings!$S$3,"Close – 4 follow-ups sent",IF(X146="",IF(V146="","Make first contact",""),IF(TODAY()&gt;X146,"OVERDUE follow-up",IF(TODAY()=X146,"Follow up today","")))))))))</f>
        <v/>
      </c>
    </row>
    <row r="147" customFormat="false" ht="15" hidden="false" customHeight="false" outlineLevel="0" collapsed="false">
      <c r="A147" s="17"/>
      <c r="B147" s="40"/>
      <c r="C147" s="41"/>
      <c r="D147" s="17"/>
      <c r="E147" s="17"/>
      <c r="F147" s="17"/>
      <c r="G147" s="17"/>
      <c r="H147" s="17"/>
      <c r="I147" s="42"/>
      <c r="J147" s="17"/>
      <c r="K147" s="17"/>
      <c r="L147" s="17"/>
      <c r="M147" s="17"/>
      <c r="N147" s="40"/>
      <c r="O147" s="41"/>
      <c r="P147" s="43" t="str">
        <f aca="false">IF(OR(B147="",N147=""),"",ROUND(((N147+N(O147))-(B147+N(C147)))*24,1))</f>
        <v/>
      </c>
      <c r="Q147" s="44" t="str">
        <f aca="false">IF(OR(E147="",A147="",COUNTIFS(Scoresheet!$C$2:$C$501,A147,Scoresheet!$U$2:$U$501,1)=0),"",SUMIFS(Scoresheet!$O$2:$O$501,Scoresheet!$C$2:$C$501,A147,Scoresheet!$U$2:$U$501,1))</f>
        <v/>
      </c>
      <c r="R147" s="44" t="str">
        <f aca="false">IF(E147="","",IF(OR(A147="",COUNTIFS(Scoresheet!$C$2:$C$501,A147,Scoresheet!$U$2:$U$501,1)=0),"No scoresheet yet",IF(SUMIFS(Scoresheet!$N$2:$N$501,Scoresheet!$C$2:$C$501,A147,Scoresheet!$U$2:$U$501,1)&lt;6,"Partly scored ("&amp;SUMIFS(Scoresheet!$N$2:$N$501,Scoresheet!$C$2:$C$501,A147,Scoresheet!$U$2:$U$501,1)&amp;"/6)",IF(Q147&gt;=Settings!$S$8,"Hot",IF(Q147&gt;=Settings!$S$9,"Warm","Cold")))))</f>
        <v/>
      </c>
      <c r="S147" s="44" t="str">
        <f aca="false">IF(OR(E147="",A147=""),"",IF(AND(COUNTIFS(Scoresheet!$C$2:$C$501,A147,Scoresheet!$U$2:$U$501,1,Scoresheet!$H$2:$H$501,"No")&gt;0,COUNTIFS(Scoresheet!$C$2:$C$501,A147,Scoresheet!$U$2:$U$501,1,Scoresheet!$J$2:$J$501,"No")&gt;0),"🚩 Budget  ·  🚩 No one on camera",IF(COUNTIFS(Scoresheet!$C$2:$C$501,A147,Scoresheet!$U$2:$U$501,1,Scoresheet!$H$2:$H$501,"No")&gt;0,"🚩 Budget under AED 5k",IF(COUNTIFS(Scoresheet!$C$2:$C$501,A147,Scoresheet!$U$2:$U$501,1,Scoresheet!$J$2:$J$501,"No")&gt;0,"🚩 No one on camera",""))))</f>
        <v/>
      </c>
      <c r="T147" s="17"/>
      <c r="U147" s="17"/>
      <c r="V147" s="40"/>
      <c r="W147" s="17"/>
      <c r="X147" s="45" t="str">
        <f aca="false">IF(OR(E147="",V147="",OR(U147="Contract signed + paid",U147="Closed – No response",U147="Lost"),N(W147)&gt;=Settings!$S$3),"",V147+Settings!$S$2)</f>
        <v/>
      </c>
      <c r="Y147" s="40"/>
      <c r="Z147" s="41"/>
      <c r="AA147" s="17"/>
      <c r="AB147" s="17"/>
      <c r="AC147" s="17"/>
      <c r="AD147" s="46" t="str">
        <f aca="true">IF(OR(E147="",B147=""),"",INT(TODAY()-B147))</f>
        <v/>
      </c>
      <c r="AE147" s="44" t="str">
        <f aca="true">IF(E147="","",IF(OR(COUNTIFS(Clients!$C$2:$C$501,E147,Clients!$S$2:$S$501,"Paid")&gt;0,AND(I147&lt;&gt;"",COUNTIFS(Clients!$E$2:$E$501,I147,Clients!$S$2:$S$501,"Paid")&gt;0)),"⚠ Refunded before – no free video",IF(OR(U147="Contract signed + paid",U147="Closed – No response",U147="Lost"),"",IF(U147="","Set a stage",IF(AND(U147="Proposal sent",SUMIFS(Scoresheet!$N$2:$N$501,Scoresheet!$C$2:$C$501,A147,Scoresheet!$U$2:$U$501,1)&lt;6),"Score this lead – fill the call scoresheet",IF(N(W147)&gt;=Settings!$S$3,"Close – 4 follow-ups sent",IF(X147="",IF(V147="","Make first contact",""),IF(TODAY()&gt;X147,"OVERDUE follow-up",IF(TODAY()=X147,"Follow up today","")))))))))</f>
        <v/>
      </c>
    </row>
    <row r="148" customFormat="false" ht="15" hidden="false" customHeight="false" outlineLevel="0" collapsed="false">
      <c r="A148" s="17"/>
      <c r="B148" s="40"/>
      <c r="C148" s="41"/>
      <c r="D148" s="17"/>
      <c r="E148" s="17"/>
      <c r="F148" s="17"/>
      <c r="G148" s="17"/>
      <c r="H148" s="17"/>
      <c r="I148" s="42"/>
      <c r="J148" s="17"/>
      <c r="K148" s="17"/>
      <c r="L148" s="17"/>
      <c r="M148" s="17"/>
      <c r="N148" s="40"/>
      <c r="O148" s="41"/>
      <c r="P148" s="43" t="str">
        <f aca="false">IF(OR(B148="",N148=""),"",ROUND(((N148+N(O148))-(B148+N(C148)))*24,1))</f>
        <v/>
      </c>
      <c r="Q148" s="44" t="str">
        <f aca="false">IF(OR(E148="",A148="",COUNTIFS(Scoresheet!$C$2:$C$501,A148,Scoresheet!$U$2:$U$501,1)=0),"",SUMIFS(Scoresheet!$O$2:$O$501,Scoresheet!$C$2:$C$501,A148,Scoresheet!$U$2:$U$501,1))</f>
        <v/>
      </c>
      <c r="R148" s="44" t="str">
        <f aca="false">IF(E148="","",IF(OR(A148="",COUNTIFS(Scoresheet!$C$2:$C$501,A148,Scoresheet!$U$2:$U$501,1)=0),"No scoresheet yet",IF(SUMIFS(Scoresheet!$N$2:$N$501,Scoresheet!$C$2:$C$501,A148,Scoresheet!$U$2:$U$501,1)&lt;6,"Partly scored ("&amp;SUMIFS(Scoresheet!$N$2:$N$501,Scoresheet!$C$2:$C$501,A148,Scoresheet!$U$2:$U$501,1)&amp;"/6)",IF(Q148&gt;=Settings!$S$8,"Hot",IF(Q148&gt;=Settings!$S$9,"Warm","Cold")))))</f>
        <v/>
      </c>
      <c r="S148" s="44" t="str">
        <f aca="false">IF(OR(E148="",A148=""),"",IF(AND(COUNTIFS(Scoresheet!$C$2:$C$501,A148,Scoresheet!$U$2:$U$501,1,Scoresheet!$H$2:$H$501,"No")&gt;0,COUNTIFS(Scoresheet!$C$2:$C$501,A148,Scoresheet!$U$2:$U$501,1,Scoresheet!$J$2:$J$501,"No")&gt;0),"🚩 Budget  ·  🚩 No one on camera",IF(COUNTIFS(Scoresheet!$C$2:$C$501,A148,Scoresheet!$U$2:$U$501,1,Scoresheet!$H$2:$H$501,"No")&gt;0,"🚩 Budget under AED 5k",IF(COUNTIFS(Scoresheet!$C$2:$C$501,A148,Scoresheet!$U$2:$U$501,1,Scoresheet!$J$2:$J$501,"No")&gt;0,"🚩 No one on camera",""))))</f>
        <v/>
      </c>
      <c r="T148" s="17"/>
      <c r="U148" s="17"/>
      <c r="V148" s="40"/>
      <c r="W148" s="17"/>
      <c r="X148" s="45" t="str">
        <f aca="false">IF(OR(E148="",V148="",OR(U148="Contract signed + paid",U148="Closed – No response",U148="Lost"),N(W148)&gt;=Settings!$S$3),"",V148+Settings!$S$2)</f>
        <v/>
      </c>
      <c r="Y148" s="40"/>
      <c r="Z148" s="41"/>
      <c r="AA148" s="17"/>
      <c r="AB148" s="17"/>
      <c r="AC148" s="17"/>
      <c r="AD148" s="46" t="str">
        <f aca="true">IF(OR(E148="",B148=""),"",INT(TODAY()-B148))</f>
        <v/>
      </c>
      <c r="AE148" s="44" t="str">
        <f aca="true">IF(E148="","",IF(OR(COUNTIFS(Clients!$C$2:$C$501,E148,Clients!$S$2:$S$501,"Paid")&gt;0,AND(I148&lt;&gt;"",COUNTIFS(Clients!$E$2:$E$501,I148,Clients!$S$2:$S$501,"Paid")&gt;0)),"⚠ Refunded before – no free video",IF(OR(U148="Contract signed + paid",U148="Closed – No response",U148="Lost"),"",IF(U148="","Set a stage",IF(AND(U148="Proposal sent",SUMIFS(Scoresheet!$N$2:$N$501,Scoresheet!$C$2:$C$501,A148,Scoresheet!$U$2:$U$501,1)&lt;6),"Score this lead – fill the call scoresheet",IF(N(W148)&gt;=Settings!$S$3,"Close – 4 follow-ups sent",IF(X148="",IF(V148="","Make first contact",""),IF(TODAY()&gt;X148,"OVERDUE follow-up",IF(TODAY()=X148,"Follow up today","")))))))))</f>
        <v/>
      </c>
    </row>
    <row r="149" customFormat="false" ht="15" hidden="false" customHeight="false" outlineLevel="0" collapsed="false">
      <c r="A149" s="17"/>
      <c r="B149" s="40"/>
      <c r="C149" s="41"/>
      <c r="D149" s="17"/>
      <c r="E149" s="17"/>
      <c r="F149" s="17"/>
      <c r="G149" s="17"/>
      <c r="H149" s="17"/>
      <c r="I149" s="42"/>
      <c r="J149" s="17"/>
      <c r="K149" s="17"/>
      <c r="L149" s="17"/>
      <c r="M149" s="17"/>
      <c r="N149" s="40"/>
      <c r="O149" s="41"/>
      <c r="P149" s="43" t="str">
        <f aca="false">IF(OR(B149="",N149=""),"",ROUND(((N149+N(O149))-(B149+N(C149)))*24,1))</f>
        <v/>
      </c>
      <c r="Q149" s="44" t="str">
        <f aca="false">IF(OR(E149="",A149="",COUNTIFS(Scoresheet!$C$2:$C$501,A149,Scoresheet!$U$2:$U$501,1)=0),"",SUMIFS(Scoresheet!$O$2:$O$501,Scoresheet!$C$2:$C$501,A149,Scoresheet!$U$2:$U$501,1))</f>
        <v/>
      </c>
      <c r="R149" s="44" t="str">
        <f aca="false">IF(E149="","",IF(OR(A149="",COUNTIFS(Scoresheet!$C$2:$C$501,A149,Scoresheet!$U$2:$U$501,1)=0),"No scoresheet yet",IF(SUMIFS(Scoresheet!$N$2:$N$501,Scoresheet!$C$2:$C$501,A149,Scoresheet!$U$2:$U$501,1)&lt;6,"Partly scored ("&amp;SUMIFS(Scoresheet!$N$2:$N$501,Scoresheet!$C$2:$C$501,A149,Scoresheet!$U$2:$U$501,1)&amp;"/6)",IF(Q149&gt;=Settings!$S$8,"Hot",IF(Q149&gt;=Settings!$S$9,"Warm","Cold")))))</f>
        <v/>
      </c>
      <c r="S149" s="44" t="str">
        <f aca="false">IF(OR(E149="",A149=""),"",IF(AND(COUNTIFS(Scoresheet!$C$2:$C$501,A149,Scoresheet!$U$2:$U$501,1,Scoresheet!$H$2:$H$501,"No")&gt;0,COUNTIFS(Scoresheet!$C$2:$C$501,A149,Scoresheet!$U$2:$U$501,1,Scoresheet!$J$2:$J$501,"No")&gt;0),"🚩 Budget  ·  🚩 No one on camera",IF(COUNTIFS(Scoresheet!$C$2:$C$501,A149,Scoresheet!$U$2:$U$501,1,Scoresheet!$H$2:$H$501,"No")&gt;0,"🚩 Budget under AED 5k",IF(COUNTIFS(Scoresheet!$C$2:$C$501,A149,Scoresheet!$U$2:$U$501,1,Scoresheet!$J$2:$J$501,"No")&gt;0,"🚩 No one on camera",""))))</f>
        <v/>
      </c>
      <c r="T149" s="17"/>
      <c r="U149" s="17"/>
      <c r="V149" s="40"/>
      <c r="W149" s="17"/>
      <c r="X149" s="45" t="str">
        <f aca="false">IF(OR(E149="",V149="",OR(U149="Contract signed + paid",U149="Closed – No response",U149="Lost"),N(W149)&gt;=Settings!$S$3),"",V149+Settings!$S$2)</f>
        <v/>
      </c>
      <c r="Y149" s="40"/>
      <c r="Z149" s="41"/>
      <c r="AA149" s="17"/>
      <c r="AB149" s="17"/>
      <c r="AC149" s="17"/>
      <c r="AD149" s="46" t="str">
        <f aca="true">IF(OR(E149="",B149=""),"",INT(TODAY()-B149))</f>
        <v/>
      </c>
      <c r="AE149" s="44" t="str">
        <f aca="true">IF(E149="","",IF(OR(COUNTIFS(Clients!$C$2:$C$501,E149,Clients!$S$2:$S$501,"Paid")&gt;0,AND(I149&lt;&gt;"",COUNTIFS(Clients!$E$2:$E$501,I149,Clients!$S$2:$S$501,"Paid")&gt;0)),"⚠ Refunded before – no free video",IF(OR(U149="Contract signed + paid",U149="Closed – No response",U149="Lost"),"",IF(U149="","Set a stage",IF(AND(U149="Proposal sent",SUMIFS(Scoresheet!$N$2:$N$501,Scoresheet!$C$2:$C$501,A149,Scoresheet!$U$2:$U$501,1)&lt;6),"Score this lead – fill the call scoresheet",IF(N(W149)&gt;=Settings!$S$3,"Close – 4 follow-ups sent",IF(X149="",IF(V149="","Make first contact",""),IF(TODAY()&gt;X149,"OVERDUE follow-up",IF(TODAY()=X149,"Follow up today","")))))))))</f>
        <v/>
      </c>
    </row>
    <row r="150" customFormat="false" ht="15" hidden="false" customHeight="false" outlineLevel="0" collapsed="false">
      <c r="A150" s="17"/>
      <c r="B150" s="40"/>
      <c r="C150" s="41"/>
      <c r="D150" s="17"/>
      <c r="E150" s="17"/>
      <c r="F150" s="17"/>
      <c r="G150" s="17"/>
      <c r="H150" s="17"/>
      <c r="I150" s="42"/>
      <c r="J150" s="17"/>
      <c r="K150" s="17"/>
      <c r="L150" s="17"/>
      <c r="M150" s="17"/>
      <c r="N150" s="40"/>
      <c r="O150" s="41"/>
      <c r="P150" s="43" t="str">
        <f aca="false">IF(OR(B150="",N150=""),"",ROUND(((N150+N(O150))-(B150+N(C150)))*24,1))</f>
        <v/>
      </c>
      <c r="Q150" s="44" t="str">
        <f aca="false">IF(OR(E150="",A150="",COUNTIFS(Scoresheet!$C$2:$C$501,A150,Scoresheet!$U$2:$U$501,1)=0),"",SUMIFS(Scoresheet!$O$2:$O$501,Scoresheet!$C$2:$C$501,A150,Scoresheet!$U$2:$U$501,1))</f>
        <v/>
      </c>
      <c r="R150" s="44" t="str">
        <f aca="false">IF(E150="","",IF(OR(A150="",COUNTIFS(Scoresheet!$C$2:$C$501,A150,Scoresheet!$U$2:$U$501,1)=0),"No scoresheet yet",IF(SUMIFS(Scoresheet!$N$2:$N$501,Scoresheet!$C$2:$C$501,A150,Scoresheet!$U$2:$U$501,1)&lt;6,"Partly scored ("&amp;SUMIFS(Scoresheet!$N$2:$N$501,Scoresheet!$C$2:$C$501,A150,Scoresheet!$U$2:$U$501,1)&amp;"/6)",IF(Q150&gt;=Settings!$S$8,"Hot",IF(Q150&gt;=Settings!$S$9,"Warm","Cold")))))</f>
        <v/>
      </c>
      <c r="S150" s="44" t="str">
        <f aca="false">IF(OR(E150="",A150=""),"",IF(AND(COUNTIFS(Scoresheet!$C$2:$C$501,A150,Scoresheet!$U$2:$U$501,1,Scoresheet!$H$2:$H$501,"No")&gt;0,COUNTIFS(Scoresheet!$C$2:$C$501,A150,Scoresheet!$U$2:$U$501,1,Scoresheet!$J$2:$J$501,"No")&gt;0),"🚩 Budget  ·  🚩 No one on camera",IF(COUNTIFS(Scoresheet!$C$2:$C$501,A150,Scoresheet!$U$2:$U$501,1,Scoresheet!$H$2:$H$501,"No")&gt;0,"🚩 Budget under AED 5k",IF(COUNTIFS(Scoresheet!$C$2:$C$501,A150,Scoresheet!$U$2:$U$501,1,Scoresheet!$J$2:$J$501,"No")&gt;0,"🚩 No one on camera",""))))</f>
        <v/>
      </c>
      <c r="T150" s="17"/>
      <c r="U150" s="17"/>
      <c r="V150" s="40"/>
      <c r="W150" s="17"/>
      <c r="X150" s="45" t="str">
        <f aca="false">IF(OR(E150="",V150="",OR(U150="Contract signed + paid",U150="Closed – No response",U150="Lost"),N(W150)&gt;=Settings!$S$3),"",V150+Settings!$S$2)</f>
        <v/>
      </c>
      <c r="Y150" s="40"/>
      <c r="Z150" s="41"/>
      <c r="AA150" s="17"/>
      <c r="AB150" s="17"/>
      <c r="AC150" s="17"/>
      <c r="AD150" s="46" t="str">
        <f aca="true">IF(OR(E150="",B150=""),"",INT(TODAY()-B150))</f>
        <v/>
      </c>
      <c r="AE150" s="44" t="str">
        <f aca="true">IF(E150="","",IF(OR(COUNTIFS(Clients!$C$2:$C$501,E150,Clients!$S$2:$S$501,"Paid")&gt;0,AND(I150&lt;&gt;"",COUNTIFS(Clients!$E$2:$E$501,I150,Clients!$S$2:$S$501,"Paid")&gt;0)),"⚠ Refunded before – no free video",IF(OR(U150="Contract signed + paid",U150="Closed – No response",U150="Lost"),"",IF(U150="","Set a stage",IF(AND(U150="Proposal sent",SUMIFS(Scoresheet!$N$2:$N$501,Scoresheet!$C$2:$C$501,A150,Scoresheet!$U$2:$U$501,1)&lt;6),"Score this lead – fill the call scoresheet",IF(N(W150)&gt;=Settings!$S$3,"Close – 4 follow-ups sent",IF(X150="",IF(V150="","Make first contact",""),IF(TODAY()&gt;X150,"OVERDUE follow-up",IF(TODAY()=X150,"Follow up today","")))))))))</f>
        <v/>
      </c>
    </row>
    <row r="151" customFormat="false" ht="15" hidden="false" customHeight="false" outlineLevel="0" collapsed="false">
      <c r="A151" s="17"/>
      <c r="B151" s="40"/>
      <c r="C151" s="41"/>
      <c r="D151" s="17"/>
      <c r="E151" s="17"/>
      <c r="F151" s="17"/>
      <c r="G151" s="17"/>
      <c r="H151" s="17"/>
      <c r="I151" s="42"/>
      <c r="J151" s="17"/>
      <c r="K151" s="17"/>
      <c r="L151" s="17"/>
      <c r="M151" s="17"/>
      <c r="N151" s="40"/>
      <c r="O151" s="41"/>
      <c r="P151" s="43" t="str">
        <f aca="false">IF(OR(B151="",N151=""),"",ROUND(((N151+N(O151))-(B151+N(C151)))*24,1))</f>
        <v/>
      </c>
      <c r="Q151" s="44" t="str">
        <f aca="false">IF(OR(E151="",A151="",COUNTIFS(Scoresheet!$C$2:$C$501,A151,Scoresheet!$U$2:$U$501,1)=0),"",SUMIFS(Scoresheet!$O$2:$O$501,Scoresheet!$C$2:$C$501,A151,Scoresheet!$U$2:$U$501,1))</f>
        <v/>
      </c>
      <c r="R151" s="44" t="str">
        <f aca="false">IF(E151="","",IF(OR(A151="",COUNTIFS(Scoresheet!$C$2:$C$501,A151,Scoresheet!$U$2:$U$501,1)=0),"No scoresheet yet",IF(SUMIFS(Scoresheet!$N$2:$N$501,Scoresheet!$C$2:$C$501,A151,Scoresheet!$U$2:$U$501,1)&lt;6,"Partly scored ("&amp;SUMIFS(Scoresheet!$N$2:$N$501,Scoresheet!$C$2:$C$501,A151,Scoresheet!$U$2:$U$501,1)&amp;"/6)",IF(Q151&gt;=Settings!$S$8,"Hot",IF(Q151&gt;=Settings!$S$9,"Warm","Cold")))))</f>
        <v/>
      </c>
      <c r="S151" s="44" t="str">
        <f aca="false">IF(OR(E151="",A151=""),"",IF(AND(COUNTIFS(Scoresheet!$C$2:$C$501,A151,Scoresheet!$U$2:$U$501,1,Scoresheet!$H$2:$H$501,"No")&gt;0,COUNTIFS(Scoresheet!$C$2:$C$501,A151,Scoresheet!$U$2:$U$501,1,Scoresheet!$J$2:$J$501,"No")&gt;0),"🚩 Budget  ·  🚩 No one on camera",IF(COUNTIFS(Scoresheet!$C$2:$C$501,A151,Scoresheet!$U$2:$U$501,1,Scoresheet!$H$2:$H$501,"No")&gt;0,"🚩 Budget under AED 5k",IF(COUNTIFS(Scoresheet!$C$2:$C$501,A151,Scoresheet!$U$2:$U$501,1,Scoresheet!$J$2:$J$501,"No")&gt;0,"🚩 No one on camera",""))))</f>
        <v/>
      </c>
      <c r="T151" s="17"/>
      <c r="U151" s="17"/>
      <c r="V151" s="40"/>
      <c r="W151" s="17"/>
      <c r="X151" s="45" t="str">
        <f aca="false">IF(OR(E151="",V151="",OR(U151="Contract signed + paid",U151="Closed – No response",U151="Lost"),N(W151)&gt;=Settings!$S$3),"",V151+Settings!$S$2)</f>
        <v/>
      </c>
      <c r="Y151" s="40"/>
      <c r="Z151" s="41"/>
      <c r="AA151" s="17"/>
      <c r="AB151" s="17"/>
      <c r="AC151" s="17"/>
      <c r="AD151" s="46" t="str">
        <f aca="true">IF(OR(E151="",B151=""),"",INT(TODAY()-B151))</f>
        <v/>
      </c>
      <c r="AE151" s="44" t="str">
        <f aca="true">IF(E151="","",IF(OR(COUNTIFS(Clients!$C$2:$C$501,E151,Clients!$S$2:$S$501,"Paid")&gt;0,AND(I151&lt;&gt;"",COUNTIFS(Clients!$E$2:$E$501,I151,Clients!$S$2:$S$501,"Paid")&gt;0)),"⚠ Refunded before – no free video",IF(OR(U151="Contract signed + paid",U151="Closed – No response",U151="Lost"),"",IF(U151="","Set a stage",IF(AND(U151="Proposal sent",SUMIFS(Scoresheet!$N$2:$N$501,Scoresheet!$C$2:$C$501,A151,Scoresheet!$U$2:$U$501,1)&lt;6),"Score this lead – fill the call scoresheet",IF(N(W151)&gt;=Settings!$S$3,"Close – 4 follow-ups sent",IF(X151="",IF(V151="","Make first contact",""),IF(TODAY()&gt;X151,"OVERDUE follow-up",IF(TODAY()=X151,"Follow up today","")))))))))</f>
        <v/>
      </c>
    </row>
    <row r="152" customFormat="false" ht="15" hidden="false" customHeight="false" outlineLevel="0" collapsed="false">
      <c r="A152" s="17"/>
      <c r="B152" s="40"/>
      <c r="C152" s="41"/>
      <c r="D152" s="17"/>
      <c r="E152" s="17"/>
      <c r="F152" s="17"/>
      <c r="G152" s="17"/>
      <c r="H152" s="17"/>
      <c r="I152" s="42"/>
      <c r="J152" s="17"/>
      <c r="K152" s="17"/>
      <c r="L152" s="17"/>
      <c r="M152" s="17"/>
      <c r="N152" s="40"/>
      <c r="O152" s="41"/>
      <c r="P152" s="43" t="str">
        <f aca="false">IF(OR(B152="",N152=""),"",ROUND(((N152+N(O152))-(B152+N(C152)))*24,1))</f>
        <v/>
      </c>
      <c r="Q152" s="44" t="str">
        <f aca="false">IF(OR(E152="",A152="",COUNTIFS(Scoresheet!$C$2:$C$501,A152,Scoresheet!$U$2:$U$501,1)=0),"",SUMIFS(Scoresheet!$O$2:$O$501,Scoresheet!$C$2:$C$501,A152,Scoresheet!$U$2:$U$501,1))</f>
        <v/>
      </c>
      <c r="R152" s="44" t="str">
        <f aca="false">IF(E152="","",IF(OR(A152="",COUNTIFS(Scoresheet!$C$2:$C$501,A152,Scoresheet!$U$2:$U$501,1)=0),"No scoresheet yet",IF(SUMIFS(Scoresheet!$N$2:$N$501,Scoresheet!$C$2:$C$501,A152,Scoresheet!$U$2:$U$501,1)&lt;6,"Partly scored ("&amp;SUMIFS(Scoresheet!$N$2:$N$501,Scoresheet!$C$2:$C$501,A152,Scoresheet!$U$2:$U$501,1)&amp;"/6)",IF(Q152&gt;=Settings!$S$8,"Hot",IF(Q152&gt;=Settings!$S$9,"Warm","Cold")))))</f>
        <v/>
      </c>
      <c r="S152" s="44" t="str">
        <f aca="false">IF(OR(E152="",A152=""),"",IF(AND(COUNTIFS(Scoresheet!$C$2:$C$501,A152,Scoresheet!$U$2:$U$501,1,Scoresheet!$H$2:$H$501,"No")&gt;0,COUNTIFS(Scoresheet!$C$2:$C$501,A152,Scoresheet!$U$2:$U$501,1,Scoresheet!$J$2:$J$501,"No")&gt;0),"🚩 Budget  ·  🚩 No one on camera",IF(COUNTIFS(Scoresheet!$C$2:$C$501,A152,Scoresheet!$U$2:$U$501,1,Scoresheet!$H$2:$H$501,"No")&gt;0,"🚩 Budget under AED 5k",IF(COUNTIFS(Scoresheet!$C$2:$C$501,A152,Scoresheet!$U$2:$U$501,1,Scoresheet!$J$2:$J$501,"No")&gt;0,"🚩 No one on camera",""))))</f>
        <v/>
      </c>
      <c r="T152" s="17"/>
      <c r="U152" s="17"/>
      <c r="V152" s="40"/>
      <c r="W152" s="17"/>
      <c r="X152" s="45" t="str">
        <f aca="false">IF(OR(E152="",V152="",OR(U152="Contract signed + paid",U152="Closed – No response",U152="Lost"),N(W152)&gt;=Settings!$S$3),"",V152+Settings!$S$2)</f>
        <v/>
      </c>
      <c r="Y152" s="40"/>
      <c r="Z152" s="41"/>
      <c r="AA152" s="17"/>
      <c r="AB152" s="17"/>
      <c r="AC152" s="17"/>
      <c r="AD152" s="46" t="str">
        <f aca="true">IF(OR(E152="",B152=""),"",INT(TODAY()-B152))</f>
        <v/>
      </c>
      <c r="AE152" s="44" t="str">
        <f aca="true">IF(E152="","",IF(OR(COUNTIFS(Clients!$C$2:$C$501,E152,Clients!$S$2:$S$501,"Paid")&gt;0,AND(I152&lt;&gt;"",COUNTIFS(Clients!$E$2:$E$501,I152,Clients!$S$2:$S$501,"Paid")&gt;0)),"⚠ Refunded before – no free video",IF(OR(U152="Contract signed + paid",U152="Closed – No response",U152="Lost"),"",IF(U152="","Set a stage",IF(AND(U152="Proposal sent",SUMIFS(Scoresheet!$N$2:$N$501,Scoresheet!$C$2:$C$501,A152,Scoresheet!$U$2:$U$501,1)&lt;6),"Score this lead – fill the call scoresheet",IF(N(W152)&gt;=Settings!$S$3,"Close – 4 follow-ups sent",IF(X152="",IF(V152="","Make first contact",""),IF(TODAY()&gt;X152,"OVERDUE follow-up",IF(TODAY()=X152,"Follow up today","")))))))))</f>
        <v/>
      </c>
    </row>
    <row r="153" customFormat="false" ht="15" hidden="false" customHeight="false" outlineLevel="0" collapsed="false">
      <c r="A153" s="17"/>
      <c r="B153" s="40"/>
      <c r="C153" s="41"/>
      <c r="D153" s="17"/>
      <c r="E153" s="17"/>
      <c r="F153" s="17"/>
      <c r="G153" s="17"/>
      <c r="H153" s="17"/>
      <c r="I153" s="42"/>
      <c r="J153" s="17"/>
      <c r="K153" s="17"/>
      <c r="L153" s="17"/>
      <c r="M153" s="17"/>
      <c r="N153" s="40"/>
      <c r="O153" s="41"/>
      <c r="P153" s="43" t="str">
        <f aca="false">IF(OR(B153="",N153=""),"",ROUND(((N153+N(O153))-(B153+N(C153)))*24,1))</f>
        <v/>
      </c>
      <c r="Q153" s="44" t="str">
        <f aca="false">IF(OR(E153="",A153="",COUNTIFS(Scoresheet!$C$2:$C$501,A153,Scoresheet!$U$2:$U$501,1)=0),"",SUMIFS(Scoresheet!$O$2:$O$501,Scoresheet!$C$2:$C$501,A153,Scoresheet!$U$2:$U$501,1))</f>
        <v/>
      </c>
      <c r="R153" s="44" t="str">
        <f aca="false">IF(E153="","",IF(OR(A153="",COUNTIFS(Scoresheet!$C$2:$C$501,A153,Scoresheet!$U$2:$U$501,1)=0),"No scoresheet yet",IF(SUMIFS(Scoresheet!$N$2:$N$501,Scoresheet!$C$2:$C$501,A153,Scoresheet!$U$2:$U$501,1)&lt;6,"Partly scored ("&amp;SUMIFS(Scoresheet!$N$2:$N$501,Scoresheet!$C$2:$C$501,A153,Scoresheet!$U$2:$U$501,1)&amp;"/6)",IF(Q153&gt;=Settings!$S$8,"Hot",IF(Q153&gt;=Settings!$S$9,"Warm","Cold")))))</f>
        <v/>
      </c>
      <c r="S153" s="44" t="str">
        <f aca="false">IF(OR(E153="",A153=""),"",IF(AND(COUNTIFS(Scoresheet!$C$2:$C$501,A153,Scoresheet!$U$2:$U$501,1,Scoresheet!$H$2:$H$501,"No")&gt;0,COUNTIFS(Scoresheet!$C$2:$C$501,A153,Scoresheet!$U$2:$U$501,1,Scoresheet!$J$2:$J$501,"No")&gt;0),"🚩 Budget  ·  🚩 No one on camera",IF(COUNTIFS(Scoresheet!$C$2:$C$501,A153,Scoresheet!$U$2:$U$501,1,Scoresheet!$H$2:$H$501,"No")&gt;0,"🚩 Budget under AED 5k",IF(COUNTIFS(Scoresheet!$C$2:$C$501,A153,Scoresheet!$U$2:$U$501,1,Scoresheet!$J$2:$J$501,"No")&gt;0,"🚩 No one on camera",""))))</f>
        <v/>
      </c>
      <c r="T153" s="17"/>
      <c r="U153" s="17"/>
      <c r="V153" s="40"/>
      <c r="W153" s="17"/>
      <c r="X153" s="45" t="str">
        <f aca="false">IF(OR(E153="",V153="",OR(U153="Contract signed + paid",U153="Closed – No response",U153="Lost"),N(W153)&gt;=Settings!$S$3),"",V153+Settings!$S$2)</f>
        <v/>
      </c>
      <c r="Y153" s="40"/>
      <c r="Z153" s="41"/>
      <c r="AA153" s="17"/>
      <c r="AB153" s="17"/>
      <c r="AC153" s="17"/>
      <c r="AD153" s="46" t="str">
        <f aca="true">IF(OR(E153="",B153=""),"",INT(TODAY()-B153))</f>
        <v/>
      </c>
      <c r="AE153" s="44" t="str">
        <f aca="true">IF(E153="","",IF(OR(COUNTIFS(Clients!$C$2:$C$501,E153,Clients!$S$2:$S$501,"Paid")&gt;0,AND(I153&lt;&gt;"",COUNTIFS(Clients!$E$2:$E$501,I153,Clients!$S$2:$S$501,"Paid")&gt;0)),"⚠ Refunded before – no free video",IF(OR(U153="Contract signed + paid",U153="Closed – No response",U153="Lost"),"",IF(U153="","Set a stage",IF(AND(U153="Proposal sent",SUMIFS(Scoresheet!$N$2:$N$501,Scoresheet!$C$2:$C$501,A153,Scoresheet!$U$2:$U$501,1)&lt;6),"Score this lead – fill the call scoresheet",IF(N(W153)&gt;=Settings!$S$3,"Close – 4 follow-ups sent",IF(X153="",IF(V153="","Make first contact",""),IF(TODAY()&gt;X153,"OVERDUE follow-up",IF(TODAY()=X153,"Follow up today","")))))))))</f>
        <v/>
      </c>
    </row>
    <row r="154" customFormat="false" ht="15" hidden="false" customHeight="false" outlineLevel="0" collapsed="false">
      <c r="A154" s="17"/>
      <c r="B154" s="40"/>
      <c r="C154" s="41"/>
      <c r="D154" s="17"/>
      <c r="E154" s="17"/>
      <c r="F154" s="17"/>
      <c r="G154" s="17"/>
      <c r="H154" s="17"/>
      <c r="I154" s="42"/>
      <c r="J154" s="17"/>
      <c r="K154" s="17"/>
      <c r="L154" s="17"/>
      <c r="M154" s="17"/>
      <c r="N154" s="40"/>
      <c r="O154" s="41"/>
      <c r="P154" s="43" t="str">
        <f aca="false">IF(OR(B154="",N154=""),"",ROUND(((N154+N(O154))-(B154+N(C154)))*24,1))</f>
        <v/>
      </c>
      <c r="Q154" s="44" t="str">
        <f aca="false">IF(OR(E154="",A154="",COUNTIFS(Scoresheet!$C$2:$C$501,A154,Scoresheet!$U$2:$U$501,1)=0),"",SUMIFS(Scoresheet!$O$2:$O$501,Scoresheet!$C$2:$C$501,A154,Scoresheet!$U$2:$U$501,1))</f>
        <v/>
      </c>
      <c r="R154" s="44" t="str">
        <f aca="false">IF(E154="","",IF(OR(A154="",COUNTIFS(Scoresheet!$C$2:$C$501,A154,Scoresheet!$U$2:$U$501,1)=0),"No scoresheet yet",IF(SUMIFS(Scoresheet!$N$2:$N$501,Scoresheet!$C$2:$C$501,A154,Scoresheet!$U$2:$U$501,1)&lt;6,"Partly scored ("&amp;SUMIFS(Scoresheet!$N$2:$N$501,Scoresheet!$C$2:$C$501,A154,Scoresheet!$U$2:$U$501,1)&amp;"/6)",IF(Q154&gt;=Settings!$S$8,"Hot",IF(Q154&gt;=Settings!$S$9,"Warm","Cold")))))</f>
        <v/>
      </c>
      <c r="S154" s="44" t="str">
        <f aca="false">IF(OR(E154="",A154=""),"",IF(AND(COUNTIFS(Scoresheet!$C$2:$C$501,A154,Scoresheet!$U$2:$U$501,1,Scoresheet!$H$2:$H$501,"No")&gt;0,COUNTIFS(Scoresheet!$C$2:$C$501,A154,Scoresheet!$U$2:$U$501,1,Scoresheet!$J$2:$J$501,"No")&gt;0),"🚩 Budget  ·  🚩 No one on camera",IF(COUNTIFS(Scoresheet!$C$2:$C$501,A154,Scoresheet!$U$2:$U$501,1,Scoresheet!$H$2:$H$501,"No")&gt;0,"🚩 Budget under AED 5k",IF(COUNTIFS(Scoresheet!$C$2:$C$501,A154,Scoresheet!$U$2:$U$501,1,Scoresheet!$J$2:$J$501,"No")&gt;0,"🚩 No one on camera",""))))</f>
        <v/>
      </c>
      <c r="T154" s="17"/>
      <c r="U154" s="17"/>
      <c r="V154" s="40"/>
      <c r="W154" s="17"/>
      <c r="X154" s="45" t="str">
        <f aca="false">IF(OR(E154="",V154="",OR(U154="Contract signed + paid",U154="Closed – No response",U154="Lost"),N(W154)&gt;=Settings!$S$3),"",V154+Settings!$S$2)</f>
        <v/>
      </c>
      <c r="Y154" s="40"/>
      <c r="Z154" s="41"/>
      <c r="AA154" s="17"/>
      <c r="AB154" s="17"/>
      <c r="AC154" s="17"/>
      <c r="AD154" s="46" t="str">
        <f aca="true">IF(OR(E154="",B154=""),"",INT(TODAY()-B154))</f>
        <v/>
      </c>
      <c r="AE154" s="44" t="str">
        <f aca="true">IF(E154="","",IF(OR(COUNTIFS(Clients!$C$2:$C$501,E154,Clients!$S$2:$S$501,"Paid")&gt;0,AND(I154&lt;&gt;"",COUNTIFS(Clients!$E$2:$E$501,I154,Clients!$S$2:$S$501,"Paid")&gt;0)),"⚠ Refunded before – no free video",IF(OR(U154="Contract signed + paid",U154="Closed – No response",U154="Lost"),"",IF(U154="","Set a stage",IF(AND(U154="Proposal sent",SUMIFS(Scoresheet!$N$2:$N$501,Scoresheet!$C$2:$C$501,A154,Scoresheet!$U$2:$U$501,1)&lt;6),"Score this lead – fill the call scoresheet",IF(N(W154)&gt;=Settings!$S$3,"Close – 4 follow-ups sent",IF(X154="",IF(V154="","Make first contact",""),IF(TODAY()&gt;X154,"OVERDUE follow-up",IF(TODAY()=X154,"Follow up today","")))))))))</f>
        <v/>
      </c>
    </row>
    <row r="155" customFormat="false" ht="15" hidden="false" customHeight="false" outlineLevel="0" collapsed="false">
      <c r="A155" s="17"/>
      <c r="B155" s="40"/>
      <c r="C155" s="41"/>
      <c r="D155" s="17"/>
      <c r="E155" s="17"/>
      <c r="F155" s="17"/>
      <c r="G155" s="17"/>
      <c r="H155" s="17"/>
      <c r="I155" s="42"/>
      <c r="J155" s="17"/>
      <c r="K155" s="17"/>
      <c r="L155" s="17"/>
      <c r="M155" s="17"/>
      <c r="N155" s="40"/>
      <c r="O155" s="41"/>
      <c r="P155" s="43" t="str">
        <f aca="false">IF(OR(B155="",N155=""),"",ROUND(((N155+N(O155))-(B155+N(C155)))*24,1))</f>
        <v/>
      </c>
      <c r="Q155" s="44" t="str">
        <f aca="false">IF(OR(E155="",A155="",COUNTIFS(Scoresheet!$C$2:$C$501,A155,Scoresheet!$U$2:$U$501,1)=0),"",SUMIFS(Scoresheet!$O$2:$O$501,Scoresheet!$C$2:$C$501,A155,Scoresheet!$U$2:$U$501,1))</f>
        <v/>
      </c>
      <c r="R155" s="44" t="str">
        <f aca="false">IF(E155="","",IF(OR(A155="",COUNTIFS(Scoresheet!$C$2:$C$501,A155,Scoresheet!$U$2:$U$501,1)=0),"No scoresheet yet",IF(SUMIFS(Scoresheet!$N$2:$N$501,Scoresheet!$C$2:$C$501,A155,Scoresheet!$U$2:$U$501,1)&lt;6,"Partly scored ("&amp;SUMIFS(Scoresheet!$N$2:$N$501,Scoresheet!$C$2:$C$501,A155,Scoresheet!$U$2:$U$501,1)&amp;"/6)",IF(Q155&gt;=Settings!$S$8,"Hot",IF(Q155&gt;=Settings!$S$9,"Warm","Cold")))))</f>
        <v/>
      </c>
      <c r="S155" s="44" t="str">
        <f aca="false">IF(OR(E155="",A155=""),"",IF(AND(COUNTIFS(Scoresheet!$C$2:$C$501,A155,Scoresheet!$U$2:$U$501,1,Scoresheet!$H$2:$H$501,"No")&gt;0,COUNTIFS(Scoresheet!$C$2:$C$501,A155,Scoresheet!$U$2:$U$501,1,Scoresheet!$J$2:$J$501,"No")&gt;0),"🚩 Budget  ·  🚩 No one on camera",IF(COUNTIFS(Scoresheet!$C$2:$C$501,A155,Scoresheet!$U$2:$U$501,1,Scoresheet!$H$2:$H$501,"No")&gt;0,"🚩 Budget under AED 5k",IF(COUNTIFS(Scoresheet!$C$2:$C$501,A155,Scoresheet!$U$2:$U$501,1,Scoresheet!$J$2:$J$501,"No")&gt;0,"🚩 No one on camera",""))))</f>
        <v/>
      </c>
      <c r="T155" s="17"/>
      <c r="U155" s="17"/>
      <c r="V155" s="40"/>
      <c r="W155" s="17"/>
      <c r="X155" s="45" t="str">
        <f aca="false">IF(OR(E155="",V155="",OR(U155="Contract signed + paid",U155="Closed – No response",U155="Lost"),N(W155)&gt;=Settings!$S$3),"",V155+Settings!$S$2)</f>
        <v/>
      </c>
      <c r="Y155" s="40"/>
      <c r="Z155" s="41"/>
      <c r="AA155" s="17"/>
      <c r="AB155" s="17"/>
      <c r="AC155" s="17"/>
      <c r="AD155" s="46" t="str">
        <f aca="true">IF(OR(E155="",B155=""),"",INT(TODAY()-B155))</f>
        <v/>
      </c>
      <c r="AE155" s="44" t="str">
        <f aca="true">IF(E155="","",IF(OR(COUNTIFS(Clients!$C$2:$C$501,E155,Clients!$S$2:$S$501,"Paid")&gt;0,AND(I155&lt;&gt;"",COUNTIFS(Clients!$E$2:$E$501,I155,Clients!$S$2:$S$501,"Paid")&gt;0)),"⚠ Refunded before – no free video",IF(OR(U155="Contract signed + paid",U155="Closed – No response",U155="Lost"),"",IF(U155="","Set a stage",IF(AND(U155="Proposal sent",SUMIFS(Scoresheet!$N$2:$N$501,Scoresheet!$C$2:$C$501,A155,Scoresheet!$U$2:$U$501,1)&lt;6),"Score this lead – fill the call scoresheet",IF(N(W155)&gt;=Settings!$S$3,"Close – 4 follow-ups sent",IF(X155="",IF(V155="","Make first contact",""),IF(TODAY()&gt;X155,"OVERDUE follow-up",IF(TODAY()=X155,"Follow up today","")))))))))</f>
        <v/>
      </c>
    </row>
    <row r="156" customFormat="false" ht="15" hidden="false" customHeight="false" outlineLevel="0" collapsed="false">
      <c r="A156" s="17"/>
      <c r="B156" s="40"/>
      <c r="C156" s="41"/>
      <c r="D156" s="17"/>
      <c r="E156" s="17"/>
      <c r="F156" s="17"/>
      <c r="G156" s="17"/>
      <c r="H156" s="17"/>
      <c r="I156" s="42"/>
      <c r="J156" s="17"/>
      <c r="K156" s="17"/>
      <c r="L156" s="17"/>
      <c r="M156" s="17"/>
      <c r="N156" s="40"/>
      <c r="O156" s="41"/>
      <c r="P156" s="43" t="str">
        <f aca="false">IF(OR(B156="",N156=""),"",ROUND(((N156+N(O156))-(B156+N(C156)))*24,1))</f>
        <v/>
      </c>
      <c r="Q156" s="44" t="str">
        <f aca="false">IF(OR(E156="",A156="",COUNTIFS(Scoresheet!$C$2:$C$501,A156,Scoresheet!$U$2:$U$501,1)=0),"",SUMIFS(Scoresheet!$O$2:$O$501,Scoresheet!$C$2:$C$501,A156,Scoresheet!$U$2:$U$501,1))</f>
        <v/>
      </c>
      <c r="R156" s="44" t="str">
        <f aca="false">IF(E156="","",IF(OR(A156="",COUNTIFS(Scoresheet!$C$2:$C$501,A156,Scoresheet!$U$2:$U$501,1)=0),"No scoresheet yet",IF(SUMIFS(Scoresheet!$N$2:$N$501,Scoresheet!$C$2:$C$501,A156,Scoresheet!$U$2:$U$501,1)&lt;6,"Partly scored ("&amp;SUMIFS(Scoresheet!$N$2:$N$501,Scoresheet!$C$2:$C$501,A156,Scoresheet!$U$2:$U$501,1)&amp;"/6)",IF(Q156&gt;=Settings!$S$8,"Hot",IF(Q156&gt;=Settings!$S$9,"Warm","Cold")))))</f>
        <v/>
      </c>
      <c r="S156" s="44" t="str">
        <f aca="false">IF(OR(E156="",A156=""),"",IF(AND(COUNTIFS(Scoresheet!$C$2:$C$501,A156,Scoresheet!$U$2:$U$501,1,Scoresheet!$H$2:$H$501,"No")&gt;0,COUNTIFS(Scoresheet!$C$2:$C$501,A156,Scoresheet!$U$2:$U$501,1,Scoresheet!$J$2:$J$501,"No")&gt;0),"🚩 Budget  ·  🚩 No one on camera",IF(COUNTIFS(Scoresheet!$C$2:$C$501,A156,Scoresheet!$U$2:$U$501,1,Scoresheet!$H$2:$H$501,"No")&gt;0,"🚩 Budget under AED 5k",IF(COUNTIFS(Scoresheet!$C$2:$C$501,A156,Scoresheet!$U$2:$U$501,1,Scoresheet!$J$2:$J$501,"No")&gt;0,"🚩 No one on camera",""))))</f>
        <v/>
      </c>
      <c r="T156" s="17"/>
      <c r="U156" s="17"/>
      <c r="V156" s="40"/>
      <c r="W156" s="17"/>
      <c r="X156" s="45" t="str">
        <f aca="false">IF(OR(E156="",V156="",OR(U156="Contract signed + paid",U156="Closed – No response",U156="Lost"),N(W156)&gt;=Settings!$S$3),"",V156+Settings!$S$2)</f>
        <v/>
      </c>
      <c r="Y156" s="40"/>
      <c r="Z156" s="41"/>
      <c r="AA156" s="17"/>
      <c r="AB156" s="17"/>
      <c r="AC156" s="17"/>
      <c r="AD156" s="46" t="str">
        <f aca="true">IF(OR(E156="",B156=""),"",INT(TODAY()-B156))</f>
        <v/>
      </c>
      <c r="AE156" s="44" t="str">
        <f aca="true">IF(E156="","",IF(OR(COUNTIFS(Clients!$C$2:$C$501,E156,Clients!$S$2:$S$501,"Paid")&gt;0,AND(I156&lt;&gt;"",COUNTIFS(Clients!$E$2:$E$501,I156,Clients!$S$2:$S$501,"Paid")&gt;0)),"⚠ Refunded before – no free video",IF(OR(U156="Contract signed + paid",U156="Closed – No response",U156="Lost"),"",IF(U156="","Set a stage",IF(AND(U156="Proposal sent",SUMIFS(Scoresheet!$N$2:$N$501,Scoresheet!$C$2:$C$501,A156,Scoresheet!$U$2:$U$501,1)&lt;6),"Score this lead – fill the call scoresheet",IF(N(W156)&gt;=Settings!$S$3,"Close – 4 follow-ups sent",IF(X156="",IF(V156="","Make first contact",""),IF(TODAY()&gt;X156,"OVERDUE follow-up",IF(TODAY()=X156,"Follow up today","")))))))))</f>
        <v/>
      </c>
    </row>
    <row r="157" customFormat="false" ht="15" hidden="false" customHeight="false" outlineLevel="0" collapsed="false">
      <c r="A157" s="17"/>
      <c r="B157" s="40"/>
      <c r="C157" s="41"/>
      <c r="D157" s="17"/>
      <c r="E157" s="17"/>
      <c r="F157" s="17"/>
      <c r="G157" s="17"/>
      <c r="H157" s="17"/>
      <c r="I157" s="42"/>
      <c r="J157" s="17"/>
      <c r="K157" s="17"/>
      <c r="L157" s="17"/>
      <c r="M157" s="17"/>
      <c r="N157" s="40"/>
      <c r="O157" s="41"/>
      <c r="P157" s="43" t="str">
        <f aca="false">IF(OR(B157="",N157=""),"",ROUND(((N157+N(O157))-(B157+N(C157)))*24,1))</f>
        <v/>
      </c>
      <c r="Q157" s="44" t="str">
        <f aca="false">IF(OR(E157="",A157="",COUNTIFS(Scoresheet!$C$2:$C$501,A157,Scoresheet!$U$2:$U$501,1)=0),"",SUMIFS(Scoresheet!$O$2:$O$501,Scoresheet!$C$2:$C$501,A157,Scoresheet!$U$2:$U$501,1))</f>
        <v/>
      </c>
      <c r="R157" s="44" t="str">
        <f aca="false">IF(E157="","",IF(OR(A157="",COUNTIFS(Scoresheet!$C$2:$C$501,A157,Scoresheet!$U$2:$U$501,1)=0),"No scoresheet yet",IF(SUMIFS(Scoresheet!$N$2:$N$501,Scoresheet!$C$2:$C$501,A157,Scoresheet!$U$2:$U$501,1)&lt;6,"Partly scored ("&amp;SUMIFS(Scoresheet!$N$2:$N$501,Scoresheet!$C$2:$C$501,A157,Scoresheet!$U$2:$U$501,1)&amp;"/6)",IF(Q157&gt;=Settings!$S$8,"Hot",IF(Q157&gt;=Settings!$S$9,"Warm","Cold")))))</f>
        <v/>
      </c>
      <c r="S157" s="44" t="str">
        <f aca="false">IF(OR(E157="",A157=""),"",IF(AND(COUNTIFS(Scoresheet!$C$2:$C$501,A157,Scoresheet!$U$2:$U$501,1,Scoresheet!$H$2:$H$501,"No")&gt;0,COUNTIFS(Scoresheet!$C$2:$C$501,A157,Scoresheet!$U$2:$U$501,1,Scoresheet!$J$2:$J$501,"No")&gt;0),"🚩 Budget  ·  🚩 No one on camera",IF(COUNTIFS(Scoresheet!$C$2:$C$501,A157,Scoresheet!$U$2:$U$501,1,Scoresheet!$H$2:$H$501,"No")&gt;0,"🚩 Budget under AED 5k",IF(COUNTIFS(Scoresheet!$C$2:$C$501,A157,Scoresheet!$U$2:$U$501,1,Scoresheet!$J$2:$J$501,"No")&gt;0,"🚩 No one on camera",""))))</f>
        <v/>
      </c>
      <c r="T157" s="17"/>
      <c r="U157" s="17"/>
      <c r="V157" s="40"/>
      <c r="W157" s="17"/>
      <c r="X157" s="45" t="str">
        <f aca="false">IF(OR(E157="",V157="",OR(U157="Contract signed + paid",U157="Closed – No response",U157="Lost"),N(W157)&gt;=Settings!$S$3),"",V157+Settings!$S$2)</f>
        <v/>
      </c>
      <c r="Y157" s="40"/>
      <c r="Z157" s="41"/>
      <c r="AA157" s="17"/>
      <c r="AB157" s="17"/>
      <c r="AC157" s="17"/>
      <c r="AD157" s="46" t="str">
        <f aca="true">IF(OR(E157="",B157=""),"",INT(TODAY()-B157))</f>
        <v/>
      </c>
      <c r="AE157" s="44" t="str">
        <f aca="true">IF(E157="","",IF(OR(COUNTIFS(Clients!$C$2:$C$501,E157,Clients!$S$2:$S$501,"Paid")&gt;0,AND(I157&lt;&gt;"",COUNTIFS(Clients!$E$2:$E$501,I157,Clients!$S$2:$S$501,"Paid")&gt;0)),"⚠ Refunded before – no free video",IF(OR(U157="Contract signed + paid",U157="Closed – No response",U157="Lost"),"",IF(U157="","Set a stage",IF(AND(U157="Proposal sent",SUMIFS(Scoresheet!$N$2:$N$501,Scoresheet!$C$2:$C$501,A157,Scoresheet!$U$2:$U$501,1)&lt;6),"Score this lead – fill the call scoresheet",IF(N(W157)&gt;=Settings!$S$3,"Close – 4 follow-ups sent",IF(X157="",IF(V157="","Make first contact",""),IF(TODAY()&gt;X157,"OVERDUE follow-up",IF(TODAY()=X157,"Follow up today","")))))))))</f>
        <v/>
      </c>
    </row>
    <row r="158" customFormat="false" ht="15" hidden="false" customHeight="false" outlineLevel="0" collapsed="false">
      <c r="A158" s="17"/>
      <c r="B158" s="40"/>
      <c r="C158" s="41"/>
      <c r="D158" s="17"/>
      <c r="E158" s="17"/>
      <c r="F158" s="17"/>
      <c r="G158" s="17"/>
      <c r="H158" s="17"/>
      <c r="I158" s="42"/>
      <c r="J158" s="17"/>
      <c r="K158" s="17"/>
      <c r="L158" s="17"/>
      <c r="M158" s="17"/>
      <c r="N158" s="40"/>
      <c r="O158" s="41"/>
      <c r="P158" s="43" t="str">
        <f aca="false">IF(OR(B158="",N158=""),"",ROUND(((N158+N(O158))-(B158+N(C158)))*24,1))</f>
        <v/>
      </c>
      <c r="Q158" s="44" t="str">
        <f aca="false">IF(OR(E158="",A158="",COUNTIFS(Scoresheet!$C$2:$C$501,A158,Scoresheet!$U$2:$U$501,1)=0),"",SUMIFS(Scoresheet!$O$2:$O$501,Scoresheet!$C$2:$C$501,A158,Scoresheet!$U$2:$U$501,1))</f>
        <v/>
      </c>
      <c r="R158" s="44" t="str">
        <f aca="false">IF(E158="","",IF(OR(A158="",COUNTIFS(Scoresheet!$C$2:$C$501,A158,Scoresheet!$U$2:$U$501,1)=0),"No scoresheet yet",IF(SUMIFS(Scoresheet!$N$2:$N$501,Scoresheet!$C$2:$C$501,A158,Scoresheet!$U$2:$U$501,1)&lt;6,"Partly scored ("&amp;SUMIFS(Scoresheet!$N$2:$N$501,Scoresheet!$C$2:$C$501,A158,Scoresheet!$U$2:$U$501,1)&amp;"/6)",IF(Q158&gt;=Settings!$S$8,"Hot",IF(Q158&gt;=Settings!$S$9,"Warm","Cold")))))</f>
        <v/>
      </c>
      <c r="S158" s="44" t="str">
        <f aca="false">IF(OR(E158="",A158=""),"",IF(AND(COUNTIFS(Scoresheet!$C$2:$C$501,A158,Scoresheet!$U$2:$U$501,1,Scoresheet!$H$2:$H$501,"No")&gt;0,COUNTIFS(Scoresheet!$C$2:$C$501,A158,Scoresheet!$U$2:$U$501,1,Scoresheet!$J$2:$J$501,"No")&gt;0),"🚩 Budget  ·  🚩 No one on camera",IF(COUNTIFS(Scoresheet!$C$2:$C$501,A158,Scoresheet!$U$2:$U$501,1,Scoresheet!$H$2:$H$501,"No")&gt;0,"🚩 Budget under AED 5k",IF(COUNTIFS(Scoresheet!$C$2:$C$501,A158,Scoresheet!$U$2:$U$501,1,Scoresheet!$J$2:$J$501,"No")&gt;0,"🚩 No one on camera",""))))</f>
        <v/>
      </c>
      <c r="T158" s="17"/>
      <c r="U158" s="17"/>
      <c r="V158" s="40"/>
      <c r="W158" s="17"/>
      <c r="X158" s="45" t="str">
        <f aca="false">IF(OR(E158="",V158="",OR(U158="Contract signed + paid",U158="Closed – No response",U158="Lost"),N(W158)&gt;=Settings!$S$3),"",V158+Settings!$S$2)</f>
        <v/>
      </c>
      <c r="Y158" s="40"/>
      <c r="Z158" s="41"/>
      <c r="AA158" s="17"/>
      <c r="AB158" s="17"/>
      <c r="AC158" s="17"/>
      <c r="AD158" s="46" t="str">
        <f aca="true">IF(OR(E158="",B158=""),"",INT(TODAY()-B158))</f>
        <v/>
      </c>
      <c r="AE158" s="44" t="str">
        <f aca="true">IF(E158="","",IF(OR(COUNTIFS(Clients!$C$2:$C$501,E158,Clients!$S$2:$S$501,"Paid")&gt;0,AND(I158&lt;&gt;"",COUNTIFS(Clients!$E$2:$E$501,I158,Clients!$S$2:$S$501,"Paid")&gt;0)),"⚠ Refunded before – no free video",IF(OR(U158="Contract signed + paid",U158="Closed – No response",U158="Lost"),"",IF(U158="","Set a stage",IF(AND(U158="Proposal sent",SUMIFS(Scoresheet!$N$2:$N$501,Scoresheet!$C$2:$C$501,A158,Scoresheet!$U$2:$U$501,1)&lt;6),"Score this lead – fill the call scoresheet",IF(N(W158)&gt;=Settings!$S$3,"Close – 4 follow-ups sent",IF(X158="",IF(V158="","Make first contact",""),IF(TODAY()&gt;X158,"OVERDUE follow-up",IF(TODAY()=X158,"Follow up today","")))))))))</f>
        <v/>
      </c>
    </row>
    <row r="159" customFormat="false" ht="15" hidden="false" customHeight="false" outlineLevel="0" collapsed="false">
      <c r="A159" s="17"/>
      <c r="B159" s="40"/>
      <c r="C159" s="41"/>
      <c r="D159" s="17"/>
      <c r="E159" s="17"/>
      <c r="F159" s="17"/>
      <c r="G159" s="17"/>
      <c r="H159" s="17"/>
      <c r="I159" s="42"/>
      <c r="J159" s="17"/>
      <c r="K159" s="17"/>
      <c r="L159" s="17"/>
      <c r="M159" s="17"/>
      <c r="N159" s="40"/>
      <c r="O159" s="41"/>
      <c r="P159" s="43" t="str">
        <f aca="false">IF(OR(B159="",N159=""),"",ROUND(((N159+N(O159))-(B159+N(C159)))*24,1))</f>
        <v/>
      </c>
      <c r="Q159" s="44" t="str">
        <f aca="false">IF(OR(E159="",A159="",COUNTIFS(Scoresheet!$C$2:$C$501,A159,Scoresheet!$U$2:$U$501,1)=0),"",SUMIFS(Scoresheet!$O$2:$O$501,Scoresheet!$C$2:$C$501,A159,Scoresheet!$U$2:$U$501,1))</f>
        <v/>
      </c>
      <c r="R159" s="44" t="str">
        <f aca="false">IF(E159="","",IF(OR(A159="",COUNTIFS(Scoresheet!$C$2:$C$501,A159,Scoresheet!$U$2:$U$501,1)=0),"No scoresheet yet",IF(SUMIFS(Scoresheet!$N$2:$N$501,Scoresheet!$C$2:$C$501,A159,Scoresheet!$U$2:$U$501,1)&lt;6,"Partly scored ("&amp;SUMIFS(Scoresheet!$N$2:$N$501,Scoresheet!$C$2:$C$501,A159,Scoresheet!$U$2:$U$501,1)&amp;"/6)",IF(Q159&gt;=Settings!$S$8,"Hot",IF(Q159&gt;=Settings!$S$9,"Warm","Cold")))))</f>
        <v/>
      </c>
      <c r="S159" s="44" t="str">
        <f aca="false">IF(OR(E159="",A159=""),"",IF(AND(COUNTIFS(Scoresheet!$C$2:$C$501,A159,Scoresheet!$U$2:$U$501,1,Scoresheet!$H$2:$H$501,"No")&gt;0,COUNTIFS(Scoresheet!$C$2:$C$501,A159,Scoresheet!$U$2:$U$501,1,Scoresheet!$J$2:$J$501,"No")&gt;0),"🚩 Budget  ·  🚩 No one on camera",IF(COUNTIFS(Scoresheet!$C$2:$C$501,A159,Scoresheet!$U$2:$U$501,1,Scoresheet!$H$2:$H$501,"No")&gt;0,"🚩 Budget under AED 5k",IF(COUNTIFS(Scoresheet!$C$2:$C$501,A159,Scoresheet!$U$2:$U$501,1,Scoresheet!$J$2:$J$501,"No")&gt;0,"🚩 No one on camera",""))))</f>
        <v/>
      </c>
      <c r="T159" s="17"/>
      <c r="U159" s="17"/>
      <c r="V159" s="40"/>
      <c r="W159" s="17"/>
      <c r="X159" s="45" t="str">
        <f aca="false">IF(OR(E159="",V159="",OR(U159="Contract signed + paid",U159="Closed – No response",U159="Lost"),N(W159)&gt;=Settings!$S$3),"",V159+Settings!$S$2)</f>
        <v/>
      </c>
      <c r="Y159" s="40"/>
      <c r="Z159" s="41"/>
      <c r="AA159" s="17"/>
      <c r="AB159" s="17"/>
      <c r="AC159" s="17"/>
      <c r="AD159" s="46" t="str">
        <f aca="true">IF(OR(E159="",B159=""),"",INT(TODAY()-B159))</f>
        <v/>
      </c>
      <c r="AE159" s="44" t="str">
        <f aca="true">IF(E159="","",IF(OR(COUNTIFS(Clients!$C$2:$C$501,E159,Clients!$S$2:$S$501,"Paid")&gt;0,AND(I159&lt;&gt;"",COUNTIFS(Clients!$E$2:$E$501,I159,Clients!$S$2:$S$501,"Paid")&gt;0)),"⚠ Refunded before – no free video",IF(OR(U159="Contract signed + paid",U159="Closed – No response",U159="Lost"),"",IF(U159="","Set a stage",IF(AND(U159="Proposal sent",SUMIFS(Scoresheet!$N$2:$N$501,Scoresheet!$C$2:$C$501,A159,Scoresheet!$U$2:$U$501,1)&lt;6),"Score this lead – fill the call scoresheet",IF(N(W159)&gt;=Settings!$S$3,"Close – 4 follow-ups sent",IF(X159="",IF(V159="","Make first contact",""),IF(TODAY()&gt;X159,"OVERDUE follow-up",IF(TODAY()=X159,"Follow up today","")))))))))</f>
        <v/>
      </c>
    </row>
    <row r="160" customFormat="false" ht="15" hidden="false" customHeight="false" outlineLevel="0" collapsed="false">
      <c r="A160" s="17"/>
      <c r="B160" s="40"/>
      <c r="C160" s="41"/>
      <c r="D160" s="17"/>
      <c r="E160" s="17"/>
      <c r="F160" s="17"/>
      <c r="G160" s="17"/>
      <c r="H160" s="17"/>
      <c r="I160" s="42"/>
      <c r="J160" s="17"/>
      <c r="K160" s="17"/>
      <c r="L160" s="17"/>
      <c r="M160" s="17"/>
      <c r="N160" s="40"/>
      <c r="O160" s="41"/>
      <c r="P160" s="43" t="str">
        <f aca="false">IF(OR(B160="",N160=""),"",ROUND(((N160+N(O160))-(B160+N(C160)))*24,1))</f>
        <v/>
      </c>
      <c r="Q160" s="44" t="str">
        <f aca="false">IF(OR(E160="",A160="",COUNTIFS(Scoresheet!$C$2:$C$501,A160,Scoresheet!$U$2:$U$501,1)=0),"",SUMIFS(Scoresheet!$O$2:$O$501,Scoresheet!$C$2:$C$501,A160,Scoresheet!$U$2:$U$501,1))</f>
        <v/>
      </c>
      <c r="R160" s="44" t="str">
        <f aca="false">IF(E160="","",IF(OR(A160="",COUNTIFS(Scoresheet!$C$2:$C$501,A160,Scoresheet!$U$2:$U$501,1)=0),"No scoresheet yet",IF(SUMIFS(Scoresheet!$N$2:$N$501,Scoresheet!$C$2:$C$501,A160,Scoresheet!$U$2:$U$501,1)&lt;6,"Partly scored ("&amp;SUMIFS(Scoresheet!$N$2:$N$501,Scoresheet!$C$2:$C$501,A160,Scoresheet!$U$2:$U$501,1)&amp;"/6)",IF(Q160&gt;=Settings!$S$8,"Hot",IF(Q160&gt;=Settings!$S$9,"Warm","Cold")))))</f>
        <v/>
      </c>
      <c r="S160" s="44" t="str">
        <f aca="false">IF(OR(E160="",A160=""),"",IF(AND(COUNTIFS(Scoresheet!$C$2:$C$501,A160,Scoresheet!$U$2:$U$501,1,Scoresheet!$H$2:$H$501,"No")&gt;0,COUNTIFS(Scoresheet!$C$2:$C$501,A160,Scoresheet!$U$2:$U$501,1,Scoresheet!$J$2:$J$501,"No")&gt;0),"🚩 Budget  ·  🚩 No one on camera",IF(COUNTIFS(Scoresheet!$C$2:$C$501,A160,Scoresheet!$U$2:$U$501,1,Scoresheet!$H$2:$H$501,"No")&gt;0,"🚩 Budget under AED 5k",IF(COUNTIFS(Scoresheet!$C$2:$C$501,A160,Scoresheet!$U$2:$U$501,1,Scoresheet!$J$2:$J$501,"No")&gt;0,"🚩 No one on camera",""))))</f>
        <v/>
      </c>
      <c r="T160" s="17"/>
      <c r="U160" s="17"/>
      <c r="V160" s="40"/>
      <c r="W160" s="17"/>
      <c r="X160" s="45" t="str">
        <f aca="false">IF(OR(E160="",V160="",OR(U160="Contract signed + paid",U160="Closed – No response",U160="Lost"),N(W160)&gt;=Settings!$S$3),"",V160+Settings!$S$2)</f>
        <v/>
      </c>
      <c r="Y160" s="40"/>
      <c r="Z160" s="41"/>
      <c r="AA160" s="17"/>
      <c r="AB160" s="17"/>
      <c r="AC160" s="17"/>
      <c r="AD160" s="46" t="str">
        <f aca="true">IF(OR(E160="",B160=""),"",INT(TODAY()-B160))</f>
        <v/>
      </c>
      <c r="AE160" s="44" t="str">
        <f aca="true">IF(E160="","",IF(OR(COUNTIFS(Clients!$C$2:$C$501,E160,Clients!$S$2:$S$501,"Paid")&gt;0,AND(I160&lt;&gt;"",COUNTIFS(Clients!$E$2:$E$501,I160,Clients!$S$2:$S$501,"Paid")&gt;0)),"⚠ Refunded before – no free video",IF(OR(U160="Contract signed + paid",U160="Closed – No response",U160="Lost"),"",IF(U160="","Set a stage",IF(AND(U160="Proposal sent",SUMIFS(Scoresheet!$N$2:$N$501,Scoresheet!$C$2:$C$501,A160,Scoresheet!$U$2:$U$501,1)&lt;6),"Score this lead – fill the call scoresheet",IF(N(W160)&gt;=Settings!$S$3,"Close – 4 follow-ups sent",IF(X160="",IF(V160="","Make first contact",""),IF(TODAY()&gt;X160,"OVERDUE follow-up",IF(TODAY()=X160,"Follow up today","")))))))))</f>
        <v/>
      </c>
    </row>
    <row r="161" customFormat="false" ht="15" hidden="false" customHeight="false" outlineLevel="0" collapsed="false">
      <c r="A161" s="17"/>
      <c r="B161" s="40"/>
      <c r="C161" s="41"/>
      <c r="D161" s="17"/>
      <c r="E161" s="17"/>
      <c r="F161" s="17"/>
      <c r="G161" s="17"/>
      <c r="H161" s="17"/>
      <c r="I161" s="42"/>
      <c r="J161" s="17"/>
      <c r="K161" s="17"/>
      <c r="L161" s="17"/>
      <c r="M161" s="17"/>
      <c r="N161" s="40"/>
      <c r="O161" s="41"/>
      <c r="P161" s="43" t="str">
        <f aca="false">IF(OR(B161="",N161=""),"",ROUND(((N161+N(O161))-(B161+N(C161)))*24,1))</f>
        <v/>
      </c>
      <c r="Q161" s="44" t="str">
        <f aca="false">IF(OR(E161="",A161="",COUNTIFS(Scoresheet!$C$2:$C$501,A161,Scoresheet!$U$2:$U$501,1)=0),"",SUMIFS(Scoresheet!$O$2:$O$501,Scoresheet!$C$2:$C$501,A161,Scoresheet!$U$2:$U$501,1))</f>
        <v/>
      </c>
      <c r="R161" s="44" t="str">
        <f aca="false">IF(E161="","",IF(OR(A161="",COUNTIFS(Scoresheet!$C$2:$C$501,A161,Scoresheet!$U$2:$U$501,1)=0),"No scoresheet yet",IF(SUMIFS(Scoresheet!$N$2:$N$501,Scoresheet!$C$2:$C$501,A161,Scoresheet!$U$2:$U$501,1)&lt;6,"Partly scored ("&amp;SUMIFS(Scoresheet!$N$2:$N$501,Scoresheet!$C$2:$C$501,A161,Scoresheet!$U$2:$U$501,1)&amp;"/6)",IF(Q161&gt;=Settings!$S$8,"Hot",IF(Q161&gt;=Settings!$S$9,"Warm","Cold")))))</f>
        <v/>
      </c>
      <c r="S161" s="44" t="str">
        <f aca="false">IF(OR(E161="",A161=""),"",IF(AND(COUNTIFS(Scoresheet!$C$2:$C$501,A161,Scoresheet!$U$2:$U$501,1,Scoresheet!$H$2:$H$501,"No")&gt;0,COUNTIFS(Scoresheet!$C$2:$C$501,A161,Scoresheet!$U$2:$U$501,1,Scoresheet!$J$2:$J$501,"No")&gt;0),"🚩 Budget  ·  🚩 No one on camera",IF(COUNTIFS(Scoresheet!$C$2:$C$501,A161,Scoresheet!$U$2:$U$501,1,Scoresheet!$H$2:$H$501,"No")&gt;0,"🚩 Budget under AED 5k",IF(COUNTIFS(Scoresheet!$C$2:$C$501,A161,Scoresheet!$U$2:$U$501,1,Scoresheet!$J$2:$J$501,"No")&gt;0,"🚩 No one on camera",""))))</f>
        <v/>
      </c>
      <c r="T161" s="17"/>
      <c r="U161" s="17"/>
      <c r="V161" s="40"/>
      <c r="W161" s="17"/>
      <c r="X161" s="45" t="str">
        <f aca="false">IF(OR(E161="",V161="",OR(U161="Contract signed + paid",U161="Closed – No response",U161="Lost"),N(W161)&gt;=Settings!$S$3),"",V161+Settings!$S$2)</f>
        <v/>
      </c>
      <c r="Y161" s="40"/>
      <c r="Z161" s="41"/>
      <c r="AA161" s="17"/>
      <c r="AB161" s="17"/>
      <c r="AC161" s="17"/>
      <c r="AD161" s="46" t="str">
        <f aca="true">IF(OR(E161="",B161=""),"",INT(TODAY()-B161))</f>
        <v/>
      </c>
      <c r="AE161" s="44" t="str">
        <f aca="true">IF(E161="","",IF(OR(COUNTIFS(Clients!$C$2:$C$501,E161,Clients!$S$2:$S$501,"Paid")&gt;0,AND(I161&lt;&gt;"",COUNTIFS(Clients!$E$2:$E$501,I161,Clients!$S$2:$S$501,"Paid")&gt;0)),"⚠ Refunded before – no free video",IF(OR(U161="Contract signed + paid",U161="Closed – No response",U161="Lost"),"",IF(U161="","Set a stage",IF(AND(U161="Proposal sent",SUMIFS(Scoresheet!$N$2:$N$501,Scoresheet!$C$2:$C$501,A161,Scoresheet!$U$2:$U$501,1)&lt;6),"Score this lead – fill the call scoresheet",IF(N(W161)&gt;=Settings!$S$3,"Close – 4 follow-ups sent",IF(X161="",IF(V161="","Make first contact",""),IF(TODAY()&gt;X161,"OVERDUE follow-up",IF(TODAY()=X161,"Follow up today","")))))))))</f>
        <v/>
      </c>
    </row>
    <row r="162" customFormat="false" ht="15" hidden="false" customHeight="false" outlineLevel="0" collapsed="false">
      <c r="A162" s="17"/>
      <c r="B162" s="40"/>
      <c r="C162" s="41"/>
      <c r="D162" s="17"/>
      <c r="E162" s="17"/>
      <c r="F162" s="17"/>
      <c r="G162" s="17"/>
      <c r="H162" s="17"/>
      <c r="I162" s="42"/>
      <c r="J162" s="17"/>
      <c r="K162" s="17"/>
      <c r="L162" s="17"/>
      <c r="M162" s="17"/>
      <c r="N162" s="40"/>
      <c r="O162" s="41"/>
      <c r="P162" s="43" t="str">
        <f aca="false">IF(OR(B162="",N162=""),"",ROUND(((N162+N(O162))-(B162+N(C162)))*24,1))</f>
        <v/>
      </c>
      <c r="Q162" s="44" t="str">
        <f aca="false">IF(OR(E162="",A162="",COUNTIFS(Scoresheet!$C$2:$C$501,A162,Scoresheet!$U$2:$U$501,1)=0),"",SUMIFS(Scoresheet!$O$2:$O$501,Scoresheet!$C$2:$C$501,A162,Scoresheet!$U$2:$U$501,1))</f>
        <v/>
      </c>
      <c r="R162" s="44" t="str">
        <f aca="false">IF(E162="","",IF(OR(A162="",COUNTIFS(Scoresheet!$C$2:$C$501,A162,Scoresheet!$U$2:$U$501,1)=0),"No scoresheet yet",IF(SUMIFS(Scoresheet!$N$2:$N$501,Scoresheet!$C$2:$C$501,A162,Scoresheet!$U$2:$U$501,1)&lt;6,"Partly scored ("&amp;SUMIFS(Scoresheet!$N$2:$N$501,Scoresheet!$C$2:$C$501,A162,Scoresheet!$U$2:$U$501,1)&amp;"/6)",IF(Q162&gt;=Settings!$S$8,"Hot",IF(Q162&gt;=Settings!$S$9,"Warm","Cold")))))</f>
        <v/>
      </c>
      <c r="S162" s="44" t="str">
        <f aca="false">IF(OR(E162="",A162=""),"",IF(AND(COUNTIFS(Scoresheet!$C$2:$C$501,A162,Scoresheet!$U$2:$U$501,1,Scoresheet!$H$2:$H$501,"No")&gt;0,COUNTIFS(Scoresheet!$C$2:$C$501,A162,Scoresheet!$U$2:$U$501,1,Scoresheet!$J$2:$J$501,"No")&gt;0),"🚩 Budget  ·  🚩 No one on camera",IF(COUNTIFS(Scoresheet!$C$2:$C$501,A162,Scoresheet!$U$2:$U$501,1,Scoresheet!$H$2:$H$501,"No")&gt;0,"🚩 Budget under AED 5k",IF(COUNTIFS(Scoresheet!$C$2:$C$501,A162,Scoresheet!$U$2:$U$501,1,Scoresheet!$J$2:$J$501,"No")&gt;0,"🚩 No one on camera",""))))</f>
        <v/>
      </c>
      <c r="T162" s="17"/>
      <c r="U162" s="17"/>
      <c r="V162" s="40"/>
      <c r="W162" s="17"/>
      <c r="X162" s="45" t="str">
        <f aca="false">IF(OR(E162="",V162="",OR(U162="Contract signed + paid",U162="Closed – No response",U162="Lost"),N(W162)&gt;=Settings!$S$3),"",V162+Settings!$S$2)</f>
        <v/>
      </c>
      <c r="Y162" s="40"/>
      <c r="Z162" s="41"/>
      <c r="AA162" s="17"/>
      <c r="AB162" s="17"/>
      <c r="AC162" s="17"/>
      <c r="AD162" s="46" t="str">
        <f aca="true">IF(OR(E162="",B162=""),"",INT(TODAY()-B162))</f>
        <v/>
      </c>
      <c r="AE162" s="44" t="str">
        <f aca="true">IF(E162="","",IF(OR(COUNTIFS(Clients!$C$2:$C$501,E162,Clients!$S$2:$S$501,"Paid")&gt;0,AND(I162&lt;&gt;"",COUNTIFS(Clients!$E$2:$E$501,I162,Clients!$S$2:$S$501,"Paid")&gt;0)),"⚠ Refunded before – no free video",IF(OR(U162="Contract signed + paid",U162="Closed – No response",U162="Lost"),"",IF(U162="","Set a stage",IF(AND(U162="Proposal sent",SUMIFS(Scoresheet!$N$2:$N$501,Scoresheet!$C$2:$C$501,A162,Scoresheet!$U$2:$U$501,1)&lt;6),"Score this lead – fill the call scoresheet",IF(N(W162)&gt;=Settings!$S$3,"Close – 4 follow-ups sent",IF(X162="",IF(V162="","Make first contact",""),IF(TODAY()&gt;X162,"OVERDUE follow-up",IF(TODAY()=X162,"Follow up today","")))))))))</f>
        <v/>
      </c>
    </row>
    <row r="163" customFormat="false" ht="15" hidden="false" customHeight="false" outlineLevel="0" collapsed="false">
      <c r="A163" s="17"/>
      <c r="B163" s="40"/>
      <c r="C163" s="41"/>
      <c r="D163" s="17"/>
      <c r="E163" s="17"/>
      <c r="F163" s="17"/>
      <c r="G163" s="17"/>
      <c r="H163" s="17"/>
      <c r="I163" s="42"/>
      <c r="J163" s="17"/>
      <c r="K163" s="17"/>
      <c r="L163" s="17"/>
      <c r="M163" s="17"/>
      <c r="N163" s="40"/>
      <c r="O163" s="41"/>
      <c r="P163" s="43" t="str">
        <f aca="false">IF(OR(B163="",N163=""),"",ROUND(((N163+N(O163))-(B163+N(C163)))*24,1))</f>
        <v/>
      </c>
      <c r="Q163" s="44" t="str">
        <f aca="false">IF(OR(E163="",A163="",COUNTIFS(Scoresheet!$C$2:$C$501,A163,Scoresheet!$U$2:$U$501,1)=0),"",SUMIFS(Scoresheet!$O$2:$O$501,Scoresheet!$C$2:$C$501,A163,Scoresheet!$U$2:$U$501,1))</f>
        <v/>
      </c>
      <c r="R163" s="44" t="str">
        <f aca="false">IF(E163="","",IF(OR(A163="",COUNTIFS(Scoresheet!$C$2:$C$501,A163,Scoresheet!$U$2:$U$501,1)=0),"No scoresheet yet",IF(SUMIFS(Scoresheet!$N$2:$N$501,Scoresheet!$C$2:$C$501,A163,Scoresheet!$U$2:$U$501,1)&lt;6,"Partly scored ("&amp;SUMIFS(Scoresheet!$N$2:$N$501,Scoresheet!$C$2:$C$501,A163,Scoresheet!$U$2:$U$501,1)&amp;"/6)",IF(Q163&gt;=Settings!$S$8,"Hot",IF(Q163&gt;=Settings!$S$9,"Warm","Cold")))))</f>
        <v/>
      </c>
      <c r="S163" s="44" t="str">
        <f aca="false">IF(OR(E163="",A163=""),"",IF(AND(COUNTIFS(Scoresheet!$C$2:$C$501,A163,Scoresheet!$U$2:$U$501,1,Scoresheet!$H$2:$H$501,"No")&gt;0,COUNTIFS(Scoresheet!$C$2:$C$501,A163,Scoresheet!$U$2:$U$501,1,Scoresheet!$J$2:$J$501,"No")&gt;0),"🚩 Budget  ·  🚩 No one on camera",IF(COUNTIFS(Scoresheet!$C$2:$C$501,A163,Scoresheet!$U$2:$U$501,1,Scoresheet!$H$2:$H$501,"No")&gt;0,"🚩 Budget under AED 5k",IF(COUNTIFS(Scoresheet!$C$2:$C$501,A163,Scoresheet!$U$2:$U$501,1,Scoresheet!$J$2:$J$501,"No")&gt;0,"🚩 No one on camera",""))))</f>
        <v/>
      </c>
      <c r="T163" s="17"/>
      <c r="U163" s="17"/>
      <c r="V163" s="40"/>
      <c r="W163" s="17"/>
      <c r="X163" s="45" t="str">
        <f aca="false">IF(OR(E163="",V163="",OR(U163="Contract signed + paid",U163="Closed – No response",U163="Lost"),N(W163)&gt;=Settings!$S$3),"",V163+Settings!$S$2)</f>
        <v/>
      </c>
      <c r="Y163" s="40"/>
      <c r="Z163" s="41"/>
      <c r="AA163" s="17"/>
      <c r="AB163" s="17"/>
      <c r="AC163" s="17"/>
      <c r="AD163" s="46" t="str">
        <f aca="true">IF(OR(E163="",B163=""),"",INT(TODAY()-B163))</f>
        <v/>
      </c>
      <c r="AE163" s="44" t="str">
        <f aca="true">IF(E163="","",IF(OR(COUNTIFS(Clients!$C$2:$C$501,E163,Clients!$S$2:$S$501,"Paid")&gt;0,AND(I163&lt;&gt;"",COUNTIFS(Clients!$E$2:$E$501,I163,Clients!$S$2:$S$501,"Paid")&gt;0)),"⚠ Refunded before – no free video",IF(OR(U163="Contract signed + paid",U163="Closed – No response",U163="Lost"),"",IF(U163="","Set a stage",IF(AND(U163="Proposal sent",SUMIFS(Scoresheet!$N$2:$N$501,Scoresheet!$C$2:$C$501,A163,Scoresheet!$U$2:$U$501,1)&lt;6),"Score this lead – fill the call scoresheet",IF(N(W163)&gt;=Settings!$S$3,"Close – 4 follow-ups sent",IF(X163="",IF(V163="","Make first contact",""),IF(TODAY()&gt;X163,"OVERDUE follow-up",IF(TODAY()=X163,"Follow up today","")))))))))</f>
        <v/>
      </c>
    </row>
    <row r="164" customFormat="false" ht="15" hidden="false" customHeight="false" outlineLevel="0" collapsed="false">
      <c r="A164" s="17"/>
      <c r="B164" s="40"/>
      <c r="C164" s="41"/>
      <c r="D164" s="17"/>
      <c r="E164" s="17"/>
      <c r="F164" s="17"/>
      <c r="G164" s="17"/>
      <c r="H164" s="17"/>
      <c r="I164" s="42"/>
      <c r="J164" s="17"/>
      <c r="K164" s="17"/>
      <c r="L164" s="17"/>
      <c r="M164" s="17"/>
      <c r="N164" s="40"/>
      <c r="O164" s="41"/>
      <c r="P164" s="43" t="str">
        <f aca="false">IF(OR(B164="",N164=""),"",ROUND(((N164+N(O164))-(B164+N(C164)))*24,1))</f>
        <v/>
      </c>
      <c r="Q164" s="44" t="str">
        <f aca="false">IF(OR(E164="",A164="",COUNTIFS(Scoresheet!$C$2:$C$501,A164,Scoresheet!$U$2:$U$501,1)=0),"",SUMIFS(Scoresheet!$O$2:$O$501,Scoresheet!$C$2:$C$501,A164,Scoresheet!$U$2:$U$501,1))</f>
        <v/>
      </c>
      <c r="R164" s="44" t="str">
        <f aca="false">IF(E164="","",IF(OR(A164="",COUNTIFS(Scoresheet!$C$2:$C$501,A164,Scoresheet!$U$2:$U$501,1)=0),"No scoresheet yet",IF(SUMIFS(Scoresheet!$N$2:$N$501,Scoresheet!$C$2:$C$501,A164,Scoresheet!$U$2:$U$501,1)&lt;6,"Partly scored ("&amp;SUMIFS(Scoresheet!$N$2:$N$501,Scoresheet!$C$2:$C$501,A164,Scoresheet!$U$2:$U$501,1)&amp;"/6)",IF(Q164&gt;=Settings!$S$8,"Hot",IF(Q164&gt;=Settings!$S$9,"Warm","Cold")))))</f>
        <v/>
      </c>
      <c r="S164" s="44" t="str">
        <f aca="false">IF(OR(E164="",A164=""),"",IF(AND(COUNTIFS(Scoresheet!$C$2:$C$501,A164,Scoresheet!$U$2:$U$501,1,Scoresheet!$H$2:$H$501,"No")&gt;0,COUNTIFS(Scoresheet!$C$2:$C$501,A164,Scoresheet!$U$2:$U$501,1,Scoresheet!$J$2:$J$501,"No")&gt;0),"🚩 Budget  ·  🚩 No one on camera",IF(COUNTIFS(Scoresheet!$C$2:$C$501,A164,Scoresheet!$U$2:$U$501,1,Scoresheet!$H$2:$H$501,"No")&gt;0,"🚩 Budget under AED 5k",IF(COUNTIFS(Scoresheet!$C$2:$C$501,A164,Scoresheet!$U$2:$U$501,1,Scoresheet!$J$2:$J$501,"No")&gt;0,"🚩 No one on camera",""))))</f>
        <v/>
      </c>
      <c r="T164" s="17"/>
      <c r="U164" s="17"/>
      <c r="V164" s="40"/>
      <c r="W164" s="17"/>
      <c r="X164" s="45" t="str">
        <f aca="false">IF(OR(E164="",V164="",OR(U164="Contract signed + paid",U164="Closed – No response",U164="Lost"),N(W164)&gt;=Settings!$S$3),"",V164+Settings!$S$2)</f>
        <v/>
      </c>
      <c r="Y164" s="40"/>
      <c r="Z164" s="41"/>
      <c r="AA164" s="17"/>
      <c r="AB164" s="17"/>
      <c r="AC164" s="17"/>
      <c r="AD164" s="46" t="str">
        <f aca="true">IF(OR(E164="",B164=""),"",INT(TODAY()-B164))</f>
        <v/>
      </c>
      <c r="AE164" s="44" t="str">
        <f aca="true">IF(E164="","",IF(OR(COUNTIFS(Clients!$C$2:$C$501,E164,Clients!$S$2:$S$501,"Paid")&gt;0,AND(I164&lt;&gt;"",COUNTIFS(Clients!$E$2:$E$501,I164,Clients!$S$2:$S$501,"Paid")&gt;0)),"⚠ Refunded before – no free video",IF(OR(U164="Contract signed + paid",U164="Closed – No response",U164="Lost"),"",IF(U164="","Set a stage",IF(AND(U164="Proposal sent",SUMIFS(Scoresheet!$N$2:$N$501,Scoresheet!$C$2:$C$501,A164,Scoresheet!$U$2:$U$501,1)&lt;6),"Score this lead – fill the call scoresheet",IF(N(W164)&gt;=Settings!$S$3,"Close – 4 follow-ups sent",IF(X164="",IF(V164="","Make first contact",""),IF(TODAY()&gt;X164,"OVERDUE follow-up",IF(TODAY()=X164,"Follow up today","")))))))))</f>
        <v/>
      </c>
    </row>
    <row r="165" customFormat="false" ht="15" hidden="false" customHeight="false" outlineLevel="0" collapsed="false">
      <c r="A165" s="17"/>
      <c r="B165" s="40"/>
      <c r="C165" s="41"/>
      <c r="D165" s="17"/>
      <c r="E165" s="17"/>
      <c r="F165" s="17"/>
      <c r="G165" s="17"/>
      <c r="H165" s="17"/>
      <c r="I165" s="42"/>
      <c r="J165" s="17"/>
      <c r="K165" s="17"/>
      <c r="L165" s="17"/>
      <c r="M165" s="17"/>
      <c r="N165" s="40"/>
      <c r="O165" s="41"/>
      <c r="P165" s="43" t="str">
        <f aca="false">IF(OR(B165="",N165=""),"",ROUND(((N165+N(O165))-(B165+N(C165)))*24,1))</f>
        <v/>
      </c>
      <c r="Q165" s="44" t="str">
        <f aca="false">IF(OR(E165="",A165="",COUNTIFS(Scoresheet!$C$2:$C$501,A165,Scoresheet!$U$2:$U$501,1)=0),"",SUMIFS(Scoresheet!$O$2:$O$501,Scoresheet!$C$2:$C$501,A165,Scoresheet!$U$2:$U$501,1))</f>
        <v/>
      </c>
      <c r="R165" s="44" t="str">
        <f aca="false">IF(E165="","",IF(OR(A165="",COUNTIFS(Scoresheet!$C$2:$C$501,A165,Scoresheet!$U$2:$U$501,1)=0),"No scoresheet yet",IF(SUMIFS(Scoresheet!$N$2:$N$501,Scoresheet!$C$2:$C$501,A165,Scoresheet!$U$2:$U$501,1)&lt;6,"Partly scored ("&amp;SUMIFS(Scoresheet!$N$2:$N$501,Scoresheet!$C$2:$C$501,A165,Scoresheet!$U$2:$U$501,1)&amp;"/6)",IF(Q165&gt;=Settings!$S$8,"Hot",IF(Q165&gt;=Settings!$S$9,"Warm","Cold")))))</f>
        <v/>
      </c>
      <c r="S165" s="44" t="str">
        <f aca="false">IF(OR(E165="",A165=""),"",IF(AND(COUNTIFS(Scoresheet!$C$2:$C$501,A165,Scoresheet!$U$2:$U$501,1,Scoresheet!$H$2:$H$501,"No")&gt;0,COUNTIFS(Scoresheet!$C$2:$C$501,A165,Scoresheet!$U$2:$U$501,1,Scoresheet!$J$2:$J$501,"No")&gt;0),"🚩 Budget  ·  🚩 No one on camera",IF(COUNTIFS(Scoresheet!$C$2:$C$501,A165,Scoresheet!$U$2:$U$501,1,Scoresheet!$H$2:$H$501,"No")&gt;0,"🚩 Budget under AED 5k",IF(COUNTIFS(Scoresheet!$C$2:$C$501,A165,Scoresheet!$U$2:$U$501,1,Scoresheet!$J$2:$J$501,"No")&gt;0,"🚩 No one on camera",""))))</f>
        <v/>
      </c>
      <c r="T165" s="17"/>
      <c r="U165" s="17"/>
      <c r="V165" s="40"/>
      <c r="W165" s="17"/>
      <c r="X165" s="45" t="str">
        <f aca="false">IF(OR(E165="",V165="",OR(U165="Contract signed + paid",U165="Closed – No response",U165="Lost"),N(W165)&gt;=Settings!$S$3),"",V165+Settings!$S$2)</f>
        <v/>
      </c>
      <c r="Y165" s="40"/>
      <c r="Z165" s="41"/>
      <c r="AA165" s="17"/>
      <c r="AB165" s="17"/>
      <c r="AC165" s="17"/>
      <c r="AD165" s="46" t="str">
        <f aca="true">IF(OR(E165="",B165=""),"",INT(TODAY()-B165))</f>
        <v/>
      </c>
      <c r="AE165" s="44" t="str">
        <f aca="true">IF(E165="","",IF(OR(COUNTIFS(Clients!$C$2:$C$501,E165,Clients!$S$2:$S$501,"Paid")&gt;0,AND(I165&lt;&gt;"",COUNTIFS(Clients!$E$2:$E$501,I165,Clients!$S$2:$S$501,"Paid")&gt;0)),"⚠ Refunded before – no free video",IF(OR(U165="Contract signed + paid",U165="Closed – No response",U165="Lost"),"",IF(U165="","Set a stage",IF(AND(U165="Proposal sent",SUMIFS(Scoresheet!$N$2:$N$501,Scoresheet!$C$2:$C$501,A165,Scoresheet!$U$2:$U$501,1)&lt;6),"Score this lead – fill the call scoresheet",IF(N(W165)&gt;=Settings!$S$3,"Close – 4 follow-ups sent",IF(X165="",IF(V165="","Make first contact",""),IF(TODAY()&gt;X165,"OVERDUE follow-up",IF(TODAY()=X165,"Follow up today","")))))))))</f>
        <v/>
      </c>
    </row>
    <row r="166" customFormat="false" ht="15" hidden="false" customHeight="false" outlineLevel="0" collapsed="false">
      <c r="A166" s="17"/>
      <c r="B166" s="40"/>
      <c r="C166" s="41"/>
      <c r="D166" s="17"/>
      <c r="E166" s="17"/>
      <c r="F166" s="17"/>
      <c r="G166" s="17"/>
      <c r="H166" s="17"/>
      <c r="I166" s="42"/>
      <c r="J166" s="17"/>
      <c r="K166" s="17"/>
      <c r="L166" s="17"/>
      <c r="M166" s="17"/>
      <c r="N166" s="40"/>
      <c r="O166" s="41"/>
      <c r="P166" s="43" t="str">
        <f aca="false">IF(OR(B166="",N166=""),"",ROUND(((N166+N(O166))-(B166+N(C166)))*24,1))</f>
        <v/>
      </c>
      <c r="Q166" s="44" t="str">
        <f aca="false">IF(OR(E166="",A166="",COUNTIFS(Scoresheet!$C$2:$C$501,A166,Scoresheet!$U$2:$U$501,1)=0),"",SUMIFS(Scoresheet!$O$2:$O$501,Scoresheet!$C$2:$C$501,A166,Scoresheet!$U$2:$U$501,1))</f>
        <v/>
      </c>
      <c r="R166" s="44" t="str">
        <f aca="false">IF(E166="","",IF(OR(A166="",COUNTIFS(Scoresheet!$C$2:$C$501,A166,Scoresheet!$U$2:$U$501,1)=0),"No scoresheet yet",IF(SUMIFS(Scoresheet!$N$2:$N$501,Scoresheet!$C$2:$C$501,A166,Scoresheet!$U$2:$U$501,1)&lt;6,"Partly scored ("&amp;SUMIFS(Scoresheet!$N$2:$N$501,Scoresheet!$C$2:$C$501,A166,Scoresheet!$U$2:$U$501,1)&amp;"/6)",IF(Q166&gt;=Settings!$S$8,"Hot",IF(Q166&gt;=Settings!$S$9,"Warm","Cold")))))</f>
        <v/>
      </c>
      <c r="S166" s="44" t="str">
        <f aca="false">IF(OR(E166="",A166=""),"",IF(AND(COUNTIFS(Scoresheet!$C$2:$C$501,A166,Scoresheet!$U$2:$U$501,1,Scoresheet!$H$2:$H$501,"No")&gt;0,COUNTIFS(Scoresheet!$C$2:$C$501,A166,Scoresheet!$U$2:$U$501,1,Scoresheet!$J$2:$J$501,"No")&gt;0),"🚩 Budget  ·  🚩 No one on camera",IF(COUNTIFS(Scoresheet!$C$2:$C$501,A166,Scoresheet!$U$2:$U$501,1,Scoresheet!$H$2:$H$501,"No")&gt;0,"🚩 Budget under AED 5k",IF(COUNTIFS(Scoresheet!$C$2:$C$501,A166,Scoresheet!$U$2:$U$501,1,Scoresheet!$J$2:$J$501,"No")&gt;0,"🚩 No one on camera",""))))</f>
        <v/>
      </c>
      <c r="T166" s="17"/>
      <c r="U166" s="17"/>
      <c r="V166" s="40"/>
      <c r="W166" s="17"/>
      <c r="X166" s="45" t="str">
        <f aca="false">IF(OR(E166="",V166="",OR(U166="Contract signed + paid",U166="Closed – No response",U166="Lost"),N(W166)&gt;=Settings!$S$3),"",V166+Settings!$S$2)</f>
        <v/>
      </c>
      <c r="Y166" s="40"/>
      <c r="Z166" s="41"/>
      <c r="AA166" s="17"/>
      <c r="AB166" s="17"/>
      <c r="AC166" s="17"/>
      <c r="AD166" s="46" t="str">
        <f aca="true">IF(OR(E166="",B166=""),"",INT(TODAY()-B166))</f>
        <v/>
      </c>
      <c r="AE166" s="44" t="str">
        <f aca="true">IF(E166="","",IF(OR(COUNTIFS(Clients!$C$2:$C$501,E166,Clients!$S$2:$S$501,"Paid")&gt;0,AND(I166&lt;&gt;"",COUNTIFS(Clients!$E$2:$E$501,I166,Clients!$S$2:$S$501,"Paid")&gt;0)),"⚠ Refunded before – no free video",IF(OR(U166="Contract signed + paid",U166="Closed – No response",U166="Lost"),"",IF(U166="","Set a stage",IF(AND(U166="Proposal sent",SUMIFS(Scoresheet!$N$2:$N$501,Scoresheet!$C$2:$C$501,A166,Scoresheet!$U$2:$U$501,1)&lt;6),"Score this lead – fill the call scoresheet",IF(N(W166)&gt;=Settings!$S$3,"Close – 4 follow-ups sent",IF(X166="",IF(V166="","Make first contact",""),IF(TODAY()&gt;X166,"OVERDUE follow-up",IF(TODAY()=X166,"Follow up today","")))))))))</f>
        <v/>
      </c>
    </row>
    <row r="167" customFormat="false" ht="15" hidden="false" customHeight="false" outlineLevel="0" collapsed="false">
      <c r="A167" s="17"/>
      <c r="B167" s="40"/>
      <c r="C167" s="41"/>
      <c r="D167" s="17"/>
      <c r="E167" s="17"/>
      <c r="F167" s="17"/>
      <c r="G167" s="17"/>
      <c r="H167" s="17"/>
      <c r="I167" s="42"/>
      <c r="J167" s="17"/>
      <c r="K167" s="17"/>
      <c r="L167" s="17"/>
      <c r="M167" s="17"/>
      <c r="N167" s="40"/>
      <c r="O167" s="41"/>
      <c r="P167" s="43" t="str">
        <f aca="false">IF(OR(B167="",N167=""),"",ROUND(((N167+N(O167))-(B167+N(C167)))*24,1))</f>
        <v/>
      </c>
      <c r="Q167" s="44" t="str">
        <f aca="false">IF(OR(E167="",A167="",COUNTIFS(Scoresheet!$C$2:$C$501,A167,Scoresheet!$U$2:$U$501,1)=0),"",SUMIFS(Scoresheet!$O$2:$O$501,Scoresheet!$C$2:$C$501,A167,Scoresheet!$U$2:$U$501,1))</f>
        <v/>
      </c>
      <c r="R167" s="44" t="str">
        <f aca="false">IF(E167="","",IF(OR(A167="",COUNTIFS(Scoresheet!$C$2:$C$501,A167,Scoresheet!$U$2:$U$501,1)=0),"No scoresheet yet",IF(SUMIFS(Scoresheet!$N$2:$N$501,Scoresheet!$C$2:$C$501,A167,Scoresheet!$U$2:$U$501,1)&lt;6,"Partly scored ("&amp;SUMIFS(Scoresheet!$N$2:$N$501,Scoresheet!$C$2:$C$501,A167,Scoresheet!$U$2:$U$501,1)&amp;"/6)",IF(Q167&gt;=Settings!$S$8,"Hot",IF(Q167&gt;=Settings!$S$9,"Warm","Cold")))))</f>
        <v/>
      </c>
      <c r="S167" s="44" t="str">
        <f aca="false">IF(OR(E167="",A167=""),"",IF(AND(COUNTIFS(Scoresheet!$C$2:$C$501,A167,Scoresheet!$U$2:$U$501,1,Scoresheet!$H$2:$H$501,"No")&gt;0,COUNTIFS(Scoresheet!$C$2:$C$501,A167,Scoresheet!$U$2:$U$501,1,Scoresheet!$J$2:$J$501,"No")&gt;0),"🚩 Budget  ·  🚩 No one on camera",IF(COUNTIFS(Scoresheet!$C$2:$C$501,A167,Scoresheet!$U$2:$U$501,1,Scoresheet!$H$2:$H$501,"No")&gt;0,"🚩 Budget under AED 5k",IF(COUNTIFS(Scoresheet!$C$2:$C$501,A167,Scoresheet!$U$2:$U$501,1,Scoresheet!$J$2:$J$501,"No")&gt;0,"🚩 No one on camera",""))))</f>
        <v/>
      </c>
      <c r="T167" s="17"/>
      <c r="U167" s="17"/>
      <c r="V167" s="40"/>
      <c r="W167" s="17"/>
      <c r="X167" s="45" t="str">
        <f aca="false">IF(OR(E167="",V167="",OR(U167="Contract signed + paid",U167="Closed – No response",U167="Lost"),N(W167)&gt;=Settings!$S$3),"",V167+Settings!$S$2)</f>
        <v/>
      </c>
      <c r="Y167" s="40"/>
      <c r="Z167" s="41"/>
      <c r="AA167" s="17"/>
      <c r="AB167" s="17"/>
      <c r="AC167" s="17"/>
      <c r="AD167" s="46" t="str">
        <f aca="true">IF(OR(E167="",B167=""),"",INT(TODAY()-B167))</f>
        <v/>
      </c>
      <c r="AE167" s="44" t="str">
        <f aca="true">IF(E167="","",IF(OR(COUNTIFS(Clients!$C$2:$C$501,E167,Clients!$S$2:$S$501,"Paid")&gt;0,AND(I167&lt;&gt;"",COUNTIFS(Clients!$E$2:$E$501,I167,Clients!$S$2:$S$501,"Paid")&gt;0)),"⚠ Refunded before – no free video",IF(OR(U167="Contract signed + paid",U167="Closed – No response",U167="Lost"),"",IF(U167="","Set a stage",IF(AND(U167="Proposal sent",SUMIFS(Scoresheet!$N$2:$N$501,Scoresheet!$C$2:$C$501,A167,Scoresheet!$U$2:$U$501,1)&lt;6),"Score this lead – fill the call scoresheet",IF(N(W167)&gt;=Settings!$S$3,"Close – 4 follow-ups sent",IF(X167="",IF(V167="","Make first contact",""),IF(TODAY()&gt;X167,"OVERDUE follow-up",IF(TODAY()=X167,"Follow up today","")))))))))</f>
        <v/>
      </c>
    </row>
    <row r="168" customFormat="false" ht="15" hidden="false" customHeight="false" outlineLevel="0" collapsed="false">
      <c r="A168" s="17"/>
      <c r="B168" s="40"/>
      <c r="C168" s="41"/>
      <c r="D168" s="17"/>
      <c r="E168" s="17"/>
      <c r="F168" s="17"/>
      <c r="G168" s="17"/>
      <c r="H168" s="17"/>
      <c r="I168" s="42"/>
      <c r="J168" s="17"/>
      <c r="K168" s="17"/>
      <c r="L168" s="17"/>
      <c r="M168" s="17"/>
      <c r="N168" s="40"/>
      <c r="O168" s="41"/>
      <c r="P168" s="43" t="str">
        <f aca="false">IF(OR(B168="",N168=""),"",ROUND(((N168+N(O168))-(B168+N(C168)))*24,1))</f>
        <v/>
      </c>
      <c r="Q168" s="44" t="str">
        <f aca="false">IF(OR(E168="",A168="",COUNTIFS(Scoresheet!$C$2:$C$501,A168,Scoresheet!$U$2:$U$501,1)=0),"",SUMIFS(Scoresheet!$O$2:$O$501,Scoresheet!$C$2:$C$501,A168,Scoresheet!$U$2:$U$501,1))</f>
        <v/>
      </c>
      <c r="R168" s="44" t="str">
        <f aca="false">IF(E168="","",IF(OR(A168="",COUNTIFS(Scoresheet!$C$2:$C$501,A168,Scoresheet!$U$2:$U$501,1)=0),"No scoresheet yet",IF(SUMIFS(Scoresheet!$N$2:$N$501,Scoresheet!$C$2:$C$501,A168,Scoresheet!$U$2:$U$501,1)&lt;6,"Partly scored ("&amp;SUMIFS(Scoresheet!$N$2:$N$501,Scoresheet!$C$2:$C$501,A168,Scoresheet!$U$2:$U$501,1)&amp;"/6)",IF(Q168&gt;=Settings!$S$8,"Hot",IF(Q168&gt;=Settings!$S$9,"Warm","Cold")))))</f>
        <v/>
      </c>
      <c r="S168" s="44" t="str">
        <f aca="false">IF(OR(E168="",A168=""),"",IF(AND(COUNTIFS(Scoresheet!$C$2:$C$501,A168,Scoresheet!$U$2:$U$501,1,Scoresheet!$H$2:$H$501,"No")&gt;0,COUNTIFS(Scoresheet!$C$2:$C$501,A168,Scoresheet!$U$2:$U$501,1,Scoresheet!$J$2:$J$501,"No")&gt;0),"🚩 Budget  ·  🚩 No one on camera",IF(COUNTIFS(Scoresheet!$C$2:$C$501,A168,Scoresheet!$U$2:$U$501,1,Scoresheet!$H$2:$H$501,"No")&gt;0,"🚩 Budget under AED 5k",IF(COUNTIFS(Scoresheet!$C$2:$C$501,A168,Scoresheet!$U$2:$U$501,1,Scoresheet!$J$2:$J$501,"No")&gt;0,"🚩 No one on camera",""))))</f>
        <v/>
      </c>
      <c r="T168" s="17"/>
      <c r="U168" s="17"/>
      <c r="V168" s="40"/>
      <c r="W168" s="17"/>
      <c r="X168" s="45" t="str">
        <f aca="false">IF(OR(E168="",V168="",OR(U168="Contract signed + paid",U168="Closed – No response",U168="Lost"),N(W168)&gt;=Settings!$S$3),"",V168+Settings!$S$2)</f>
        <v/>
      </c>
      <c r="Y168" s="40"/>
      <c r="Z168" s="41"/>
      <c r="AA168" s="17"/>
      <c r="AB168" s="17"/>
      <c r="AC168" s="17"/>
      <c r="AD168" s="46" t="str">
        <f aca="true">IF(OR(E168="",B168=""),"",INT(TODAY()-B168))</f>
        <v/>
      </c>
      <c r="AE168" s="44" t="str">
        <f aca="true">IF(E168="","",IF(OR(COUNTIFS(Clients!$C$2:$C$501,E168,Clients!$S$2:$S$501,"Paid")&gt;0,AND(I168&lt;&gt;"",COUNTIFS(Clients!$E$2:$E$501,I168,Clients!$S$2:$S$501,"Paid")&gt;0)),"⚠ Refunded before – no free video",IF(OR(U168="Contract signed + paid",U168="Closed – No response",U168="Lost"),"",IF(U168="","Set a stage",IF(AND(U168="Proposal sent",SUMIFS(Scoresheet!$N$2:$N$501,Scoresheet!$C$2:$C$501,A168,Scoresheet!$U$2:$U$501,1)&lt;6),"Score this lead – fill the call scoresheet",IF(N(W168)&gt;=Settings!$S$3,"Close – 4 follow-ups sent",IF(X168="",IF(V168="","Make first contact",""),IF(TODAY()&gt;X168,"OVERDUE follow-up",IF(TODAY()=X168,"Follow up today","")))))))))</f>
        <v/>
      </c>
    </row>
    <row r="169" customFormat="false" ht="15" hidden="false" customHeight="false" outlineLevel="0" collapsed="false">
      <c r="A169" s="17"/>
      <c r="B169" s="40"/>
      <c r="C169" s="41"/>
      <c r="D169" s="17"/>
      <c r="E169" s="17"/>
      <c r="F169" s="17"/>
      <c r="G169" s="17"/>
      <c r="H169" s="17"/>
      <c r="I169" s="42"/>
      <c r="J169" s="17"/>
      <c r="K169" s="17"/>
      <c r="L169" s="17"/>
      <c r="M169" s="17"/>
      <c r="N169" s="40"/>
      <c r="O169" s="41"/>
      <c r="P169" s="43" t="str">
        <f aca="false">IF(OR(B169="",N169=""),"",ROUND(((N169+N(O169))-(B169+N(C169)))*24,1))</f>
        <v/>
      </c>
      <c r="Q169" s="44" t="str">
        <f aca="false">IF(OR(E169="",A169="",COUNTIFS(Scoresheet!$C$2:$C$501,A169,Scoresheet!$U$2:$U$501,1)=0),"",SUMIFS(Scoresheet!$O$2:$O$501,Scoresheet!$C$2:$C$501,A169,Scoresheet!$U$2:$U$501,1))</f>
        <v/>
      </c>
      <c r="R169" s="44" t="str">
        <f aca="false">IF(E169="","",IF(OR(A169="",COUNTIFS(Scoresheet!$C$2:$C$501,A169,Scoresheet!$U$2:$U$501,1)=0),"No scoresheet yet",IF(SUMIFS(Scoresheet!$N$2:$N$501,Scoresheet!$C$2:$C$501,A169,Scoresheet!$U$2:$U$501,1)&lt;6,"Partly scored ("&amp;SUMIFS(Scoresheet!$N$2:$N$501,Scoresheet!$C$2:$C$501,A169,Scoresheet!$U$2:$U$501,1)&amp;"/6)",IF(Q169&gt;=Settings!$S$8,"Hot",IF(Q169&gt;=Settings!$S$9,"Warm","Cold")))))</f>
        <v/>
      </c>
      <c r="S169" s="44" t="str">
        <f aca="false">IF(OR(E169="",A169=""),"",IF(AND(COUNTIFS(Scoresheet!$C$2:$C$501,A169,Scoresheet!$U$2:$U$501,1,Scoresheet!$H$2:$H$501,"No")&gt;0,COUNTIFS(Scoresheet!$C$2:$C$501,A169,Scoresheet!$U$2:$U$501,1,Scoresheet!$J$2:$J$501,"No")&gt;0),"🚩 Budget  ·  🚩 No one on camera",IF(COUNTIFS(Scoresheet!$C$2:$C$501,A169,Scoresheet!$U$2:$U$501,1,Scoresheet!$H$2:$H$501,"No")&gt;0,"🚩 Budget under AED 5k",IF(COUNTIFS(Scoresheet!$C$2:$C$501,A169,Scoresheet!$U$2:$U$501,1,Scoresheet!$J$2:$J$501,"No")&gt;0,"🚩 No one on camera",""))))</f>
        <v/>
      </c>
      <c r="T169" s="17"/>
      <c r="U169" s="17"/>
      <c r="V169" s="40"/>
      <c r="W169" s="17"/>
      <c r="X169" s="45" t="str">
        <f aca="false">IF(OR(E169="",V169="",OR(U169="Contract signed + paid",U169="Closed – No response",U169="Lost"),N(W169)&gt;=Settings!$S$3),"",V169+Settings!$S$2)</f>
        <v/>
      </c>
      <c r="Y169" s="40"/>
      <c r="Z169" s="41"/>
      <c r="AA169" s="17"/>
      <c r="AB169" s="17"/>
      <c r="AC169" s="17"/>
      <c r="AD169" s="46" t="str">
        <f aca="true">IF(OR(E169="",B169=""),"",INT(TODAY()-B169))</f>
        <v/>
      </c>
      <c r="AE169" s="44" t="str">
        <f aca="true">IF(E169="","",IF(OR(COUNTIFS(Clients!$C$2:$C$501,E169,Clients!$S$2:$S$501,"Paid")&gt;0,AND(I169&lt;&gt;"",COUNTIFS(Clients!$E$2:$E$501,I169,Clients!$S$2:$S$501,"Paid")&gt;0)),"⚠ Refunded before – no free video",IF(OR(U169="Contract signed + paid",U169="Closed – No response",U169="Lost"),"",IF(U169="","Set a stage",IF(AND(U169="Proposal sent",SUMIFS(Scoresheet!$N$2:$N$501,Scoresheet!$C$2:$C$501,A169,Scoresheet!$U$2:$U$501,1)&lt;6),"Score this lead – fill the call scoresheet",IF(N(W169)&gt;=Settings!$S$3,"Close – 4 follow-ups sent",IF(X169="",IF(V169="","Make first contact",""),IF(TODAY()&gt;X169,"OVERDUE follow-up",IF(TODAY()=X169,"Follow up today","")))))))))</f>
        <v/>
      </c>
    </row>
    <row r="170" customFormat="false" ht="15" hidden="false" customHeight="false" outlineLevel="0" collapsed="false">
      <c r="A170" s="17"/>
      <c r="B170" s="40"/>
      <c r="C170" s="41"/>
      <c r="D170" s="17"/>
      <c r="E170" s="17"/>
      <c r="F170" s="17"/>
      <c r="G170" s="17"/>
      <c r="H170" s="17"/>
      <c r="I170" s="42"/>
      <c r="J170" s="17"/>
      <c r="K170" s="17"/>
      <c r="L170" s="17"/>
      <c r="M170" s="17"/>
      <c r="N170" s="40"/>
      <c r="O170" s="41"/>
      <c r="P170" s="43" t="str">
        <f aca="false">IF(OR(B170="",N170=""),"",ROUND(((N170+N(O170))-(B170+N(C170)))*24,1))</f>
        <v/>
      </c>
      <c r="Q170" s="44" t="str">
        <f aca="false">IF(OR(E170="",A170="",COUNTIFS(Scoresheet!$C$2:$C$501,A170,Scoresheet!$U$2:$U$501,1)=0),"",SUMIFS(Scoresheet!$O$2:$O$501,Scoresheet!$C$2:$C$501,A170,Scoresheet!$U$2:$U$501,1))</f>
        <v/>
      </c>
      <c r="R170" s="44" t="str">
        <f aca="false">IF(E170="","",IF(OR(A170="",COUNTIFS(Scoresheet!$C$2:$C$501,A170,Scoresheet!$U$2:$U$501,1)=0),"No scoresheet yet",IF(SUMIFS(Scoresheet!$N$2:$N$501,Scoresheet!$C$2:$C$501,A170,Scoresheet!$U$2:$U$501,1)&lt;6,"Partly scored ("&amp;SUMIFS(Scoresheet!$N$2:$N$501,Scoresheet!$C$2:$C$501,A170,Scoresheet!$U$2:$U$501,1)&amp;"/6)",IF(Q170&gt;=Settings!$S$8,"Hot",IF(Q170&gt;=Settings!$S$9,"Warm","Cold")))))</f>
        <v/>
      </c>
      <c r="S170" s="44" t="str">
        <f aca="false">IF(OR(E170="",A170=""),"",IF(AND(COUNTIFS(Scoresheet!$C$2:$C$501,A170,Scoresheet!$U$2:$U$501,1,Scoresheet!$H$2:$H$501,"No")&gt;0,COUNTIFS(Scoresheet!$C$2:$C$501,A170,Scoresheet!$U$2:$U$501,1,Scoresheet!$J$2:$J$501,"No")&gt;0),"🚩 Budget  ·  🚩 No one on camera",IF(COUNTIFS(Scoresheet!$C$2:$C$501,A170,Scoresheet!$U$2:$U$501,1,Scoresheet!$H$2:$H$501,"No")&gt;0,"🚩 Budget under AED 5k",IF(COUNTIFS(Scoresheet!$C$2:$C$501,A170,Scoresheet!$U$2:$U$501,1,Scoresheet!$J$2:$J$501,"No")&gt;0,"🚩 No one on camera",""))))</f>
        <v/>
      </c>
      <c r="T170" s="17"/>
      <c r="U170" s="17"/>
      <c r="V170" s="40"/>
      <c r="W170" s="17"/>
      <c r="X170" s="45" t="str">
        <f aca="false">IF(OR(E170="",V170="",OR(U170="Contract signed + paid",U170="Closed – No response",U170="Lost"),N(W170)&gt;=Settings!$S$3),"",V170+Settings!$S$2)</f>
        <v/>
      </c>
      <c r="Y170" s="40"/>
      <c r="Z170" s="41"/>
      <c r="AA170" s="17"/>
      <c r="AB170" s="17"/>
      <c r="AC170" s="17"/>
      <c r="AD170" s="46" t="str">
        <f aca="true">IF(OR(E170="",B170=""),"",INT(TODAY()-B170))</f>
        <v/>
      </c>
      <c r="AE170" s="44" t="str">
        <f aca="true">IF(E170="","",IF(OR(COUNTIFS(Clients!$C$2:$C$501,E170,Clients!$S$2:$S$501,"Paid")&gt;0,AND(I170&lt;&gt;"",COUNTIFS(Clients!$E$2:$E$501,I170,Clients!$S$2:$S$501,"Paid")&gt;0)),"⚠ Refunded before – no free video",IF(OR(U170="Contract signed + paid",U170="Closed – No response",U170="Lost"),"",IF(U170="","Set a stage",IF(AND(U170="Proposal sent",SUMIFS(Scoresheet!$N$2:$N$501,Scoresheet!$C$2:$C$501,A170,Scoresheet!$U$2:$U$501,1)&lt;6),"Score this lead – fill the call scoresheet",IF(N(W170)&gt;=Settings!$S$3,"Close – 4 follow-ups sent",IF(X170="",IF(V170="","Make first contact",""),IF(TODAY()&gt;X170,"OVERDUE follow-up",IF(TODAY()=X170,"Follow up today","")))))))))</f>
        <v/>
      </c>
    </row>
    <row r="171" customFormat="false" ht="15" hidden="false" customHeight="false" outlineLevel="0" collapsed="false">
      <c r="A171" s="17"/>
      <c r="B171" s="40"/>
      <c r="C171" s="41"/>
      <c r="D171" s="17"/>
      <c r="E171" s="17"/>
      <c r="F171" s="17"/>
      <c r="G171" s="17"/>
      <c r="H171" s="17"/>
      <c r="I171" s="42"/>
      <c r="J171" s="17"/>
      <c r="K171" s="17"/>
      <c r="L171" s="17"/>
      <c r="M171" s="17"/>
      <c r="N171" s="40"/>
      <c r="O171" s="41"/>
      <c r="P171" s="43" t="str">
        <f aca="false">IF(OR(B171="",N171=""),"",ROUND(((N171+N(O171))-(B171+N(C171)))*24,1))</f>
        <v/>
      </c>
      <c r="Q171" s="44" t="str">
        <f aca="false">IF(OR(E171="",A171="",COUNTIFS(Scoresheet!$C$2:$C$501,A171,Scoresheet!$U$2:$U$501,1)=0),"",SUMIFS(Scoresheet!$O$2:$O$501,Scoresheet!$C$2:$C$501,A171,Scoresheet!$U$2:$U$501,1))</f>
        <v/>
      </c>
      <c r="R171" s="44" t="str">
        <f aca="false">IF(E171="","",IF(OR(A171="",COUNTIFS(Scoresheet!$C$2:$C$501,A171,Scoresheet!$U$2:$U$501,1)=0),"No scoresheet yet",IF(SUMIFS(Scoresheet!$N$2:$N$501,Scoresheet!$C$2:$C$501,A171,Scoresheet!$U$2:$U$501,1)&lt;6,"Partly scored ("&amp;SUMIFS(Scoresheet!$N$2:$N$501,Scoresheet!$C$2:$C$501,A171,Scoresheet!$U$2:$U$501,1)&amp;"/6)",IF(Q171&gt;=Settings!$S$8,"Hot",IF(Q171&gt;=Settings!$S$9,"Warm","Cold")))))</f>
        <v/>
      </c>
      <c r="S171" s="44" t="str">
        <f aca="false">IF(OR(E171="",A171=""),"",IF(AND(COUNTIFS(Scoresheet!$C$2:$C$501,A171,Scoresheet!$U$2:$U$501,1,Scoresheet!$H$2:$H$501,"No")&gt;0,COUNTIFS(Scoresheet!$C$2:$C$501,A171,Scoresheet!$U$2:$U$501,1,Scoresheet!$J$2:$J$501,"No")&gt;0),"🚩 Budget  ·  🚩 No one on camera",IF(COUNTIFS(Scoresheet!$C$2:$C$501,A171,Scoresheet!$U$2:$U$501,1,Scoresheet!$H$2:$H$501,"No")&gt;0,"🚩 Budget under AED 5k",IF(COUNTIFS(Scoresheet!$C$2:$C$501,A171,Scoresheet!$U$2:$U$501,1,Scoresheet!$J$2:$J$501,"No")&gt;0,"🚩 No one on camera",""))))</f>
        <v/>
      </c>
      <c r="T171" s="17"/>
      <c r="U171" s="17"/>
      <c r="V171" s="40"/>
      <c r="W171" s="17"/>
      <c r="X171" s="45" t="str">
        <f aca="false">IF(OR(E171="",V171="",OR(U171="Contract signed + paid",U171="Closed – No response",U171="Lost"),N(W171)&gt;=Settings!$S$3),"",V171+Settings!$S$2)</f>
        <v/>
      </c>
      <c r="Y171" s="40"/>
      <c r="Z171" s="41"/>
      <c r="AA171" s="17"/>
      <c r="AB171" s="17"/>
      <c r="AC171" s="17"/>
      <c r="AD171" s="46" t="str">
        <f aca="true">IF(OR(E171="",B171=""),"",INT(TODAY()-B171))</f>
        <v/>
      </c>
      <c r="AE171" s="44" t="str">
        <f aca="true">IF(E171="","",IF(OR(COUNTIFS(Clients!$C$2:$C$501,E171,Clients!$S$2:$S$501,"Paid")&gt;0,AND(I171&lt;&gt;"",COUNTIFS(Clients!$E$2:$E$501,I171,Clients!$S$2:$S$501,"Paid")&gt;0)),"⚠ Refunded before – no free video",IF(OR(U171="Contract signed + paid",U171="Closed – No response",U171="Lost"),"",IF(U171="","Set a stage",IF(AND(U171="Proposal sent",SUMIFS(Scoresheet!$N$2:$N$501,Scoresheet!$C$2:$C$501,A171,Scoresheet!$U$2:$U$501,1)&lt;6),"Score this lead – fill the call scoresheet",IF(N(W171)&gt;=Settings!$S$3,"Close – 4 follow-ups sent",IF(X171="",IF(V171="","Make first contact",""),IF(TODAY()&gt;X171,"OVERDUE follow-up",IF(TODAY()=X171,"Follow up today","")))))))))</f>
        <v/>
      </c>
    </row>
    <row r="172" customFormat="false" ht="15" hidden="false" customHeight="false" outlineLevel="0" collapsed="false">
      <c r="A172" s="17"/>
      <c r="B172" s="40"/>
      <c r="C172" s="41"/>
      <c r="D172" s="17"/>
      <c r="E172" s="17"/>
      <c r="F172" s="17"/>
      <c r="G172" s="17"/>
      <c r="H172" s="17"/>
      <c r="I172" s="42"/>
      <c r="J172" s="17"/>
      <c r="K172" s="17"/>
      <c r="L172" s="17"/>
      <c r="M172" s="17"/>
      <c r="N172" s="40"/>
      <c r="O172" s="41"/>
      <c r="P172" s="43" t="str">
        <f aca="false">IF(OR(B172="",N172=""),"",ROUND(((N172+N(O172))-(B172+N(C172)))*24,1))</f>
        <v/>
      </c>
      <c r="Q172" s="44" t="str">
        <f aca="false">IF(OR(E172="",A172="",COUNTIFS(Scoresheet!$C$2:$C$501,A172,Scoresheet!$U$2:$U$501,1)=0),"",SUMIFS(Scoresheet!$O$2:$O$501,Scoresheet!$C$2:$C$501,A172,Scoresheet!$U$2:$U$501,1))</f>
        <v/>
      </c>
      <c r="R172" s="44" t="str">
        <f aca="false">IF(E172="","",IF(OR(A172="",COUNTIFS(Scoresheet!$C$2:$C$501,A172,Scoresheet!$U$2:$U$501,1)=0),"No scoresheet yet",IF(SUMIFS(Scoresheet!$N$2:$N$501,Scoresheet!$C$2:$C$501,A172,Scoresheet!$U$2:$U$501,1)&lt;6,"Partly scored ("&amp;SUMIFS(Scoresheet!$N$2:$N$501,Scoresheet!$C$2:$C$501,A172,Scoresheet!$U$2:$U$501,1)&amp;"/6)",IF(Q172&gt;=Settings!$S$8,"Hot",IF(Q172&gt;=Settings!$S$9,"Warm","Cold")))))</f>
        <v/>
      </c>
      <c r="S172" s="44" t="str">
        <f aca="false">IF(OR(E172="",A172=""),"",IF(AND(COUNTIFS(Scoresheet!$C$2:$C$501,A172,Scoresheet!$U$2:$U$501,1,Scoresheet!$H$2:$H$501,"No")&gt;0,COUNTIFS(Scoresheet!$C$2:$C$501,A172,Scoresheet!$U$2:$U$501,1,Scoresheet!$J$2:$J$501,"No")&gt;0),"🚩 Budget  ·  🚩 No one on camera",IF(COUNTIFS(Scoresheet!$C$2:$C$501,A172,Scoresheet!$U$2:$U$501,1,Scoresheet!$H$2:$H$501,"No")&gt;0,"🚩 Budget under AED 5k",IF(COUNTIFS(Scoresheet!$C$2:$C$501,A172,Scoresheet!$U$2:$U$501,1,Scoresheet!$J$2:$J$501,"No")&gt;0,"🚩 No one on camera",""))))</f>
        <v/>
      </c>
      <c r="T172" s="17"/>
      <c r="U172" s="17"/>
      <c r="V172" s="40"/>
      <c r="W172" s="17"/>
      <c r="X172" s="45" t="str">
        <f aca="false">IF(OR(E172="",V172="",OR(U172="Contract signed + paid",U172="Closed – No response",U172="Lost"),N(W172)&gt;=Settings!$S$3),"",V172+Settings!$S$2)</f>
        <v/>
      </c>
      <c r="Y172" s="40"/>
      <c r="Z172" s="41"/>
      <c r="AA172" s="17"/>
      <c r="AB172" s="17"/>
      <c r="AC172" s="17"/>
      <c r="AD172" s="46" t="str">
        <f aca="true">IF(OR(E172="",B172=""),"",INT(TODAY()-B172))</f>
        <v/>
      </c>
      <c r="AE172" s="44" t="str">
        <f aca="true">IF(E172="","",IF(OR(COUNTIFS(Clients!$C$2:$C$501,E172,Clients!$S$2:$S$501,"Paid")&gt;0,AND(I172&lt;&gt;"",COUNTIFS(Clients!$E$2:$E$501,I172,Clients!$S$2:$S$501,"Paid")&gt;0)),"⚠ Refunded before – no free video",IF(OR(U172="Contract signed + paid",U172="Closed – No response",U172="Lost"),"",IF(U172="","Set a stage",IF(AND(U172="Proposal sent",SUMIFS(Scoresheet!$N$2:$N$501,Scoresheet!$C$2:$C$501,A172,Scoresheet!$U$2:$U$501,1)&lt;6),"Score this lead – fill the call scoresheet",IF(N(W172)&gt;=Settings!$S$3,"Close – 4 follow-ups sent",IF(X172="",IF(V172="","Make first contact",""),IF(TODAY()&gt;X172,"OVERDUE follow-up",IF(TODAY()=X172,"Follow up today","")))))))))</f>
        <v/>
      </c>
    </row>
    <row r="173" customFormat="false" ht="15" hidden="false" customHeight="false" outlineLevel="0" collapsed="false">
      <c r="A173" s="17"/>
      <c r="B173" s="40"/>
      <c r="C173" s="41"/>
      <c r="D173" s="17"/>
      <c r="E173" s="17"/>
      <c r="F173" s="17"/>
      <c r="G173" s="17"/>
      <c r="H173" s="17"/>
      <c r="I173" s="42"/>
      <c r="J173" s="17"/>
      <c r="K173" s="17"/>
      <c r="L173" s="17"/>
      <c r="M173" s="17"/>
      <c r="N173" s="40"/>
      <c r="O173" s="41"/>
      <c r="P173" s="43" t="str">
        <f aca="false">IF(OR(B173="",N173=""),"",ROUND(((N173+N(O173))-(B173+N(C173)))*24,1))</f>
        <v/>
      </c>
      <c r="Q173" s="44" t="str">
        <f aca="false">IF(OR(E173="",A173="",COUNTIFS(Scoresheet!$C$2:$C$501,A173,Scoresheet!$U$2:$U$501,1)=0),"",SUMIFS(Scoresheet!$O$2:$O$501,Scoresheet!$C$2:$C$501,A173,Scoresheet!$U$2:$U$501,1))</f>
        <v/>
      </c>
      <c r="R173" s="44" t="str">
        <f aca="false">IF(E173="","",IF(OR(A173="",COUNTIFS(Scoresheet!$C$2:$C$501,A173,Scoresheet!$U$2:$U$501,1)=0),"No scoresheet yet",IF(SUMIFS(Scoresheet!$N$2:$N$501,Scoresheet!$C$2:$C$501,A173,Scoresheet!$U$2:$U$501,1)&lt;6,"Partly scored ("&amp;SUMIFS(Scoresheet!$N$2:$N$501,Scoresheet!$C$2:$C$501,A173,Scoresheet!$U$2:$U$501,1)&amp;"/6)",IF(Q173&gt;=Settings!$S$8,"Hot",IF(Q173&gt;=Settings!$S$9,"Warm","Cold")))))</f>
        <v/>
      </c>
      <c r="S173" s="44" t="str">
        <f aca="false">IF(OR(E173="",A173=""),"",IF(AND(COUNTIFS(Scoresheet!$C$2:$C$501,A173,Scoresheet!$U$2:$U$501,1,Scoresheet!$H$2:$H$501,"No")&gt;0,COUNTIFS(Scoresheet!$C$2:$C$501,A173,Scoresheet!$U$2:$U$501,1,Scoresheet!$J$2:$J$501,"No")&gt;0),"🚩 Budget  ·  🚩 No one on camera",IF(COUNTIFS(Scoresheet!$C$2:$C$501,A173,Scoresheet!$U$2:$U$501,1,Scoresheet!$H$2:$H$501,"No")&gt;0,"🚩 Budget under AED 5k",IF(COUNTIFS(Scoresheet!$C$2:$C$501,A173,Scoresheet!$U$2:$U$501,1,Scoresheet!$J$2:$J$501,"No")&gt;0,"🚩 No one on camera",""))))</f>
        <v/>
      </c>
      <c r="T173" s="17"/>
      <c r="U173" s="17"/>
      <c r="V173" s="40"/>
      <c r="W173" s="17"/>
      <c r="X173" s="45" t="str">
        <f aca="false">IF(OR(E173="",V173="",OR(U173="Contract signed + paid",U173="Closed – No response",U173="Lost"),N(W173)&gt;=Settings!$S$3),"",V173+Settings!$S$2)</f>
        <v/>
      </c>
      <c r="Y173" s="40"/>
      <c r="Z173" s="41"/>
      <c r="AA173" s="17"/>
      <c r="AB173" s="17"/>
      <c r="AC173" s="17"/>
      <c r="AD173" s="46" t="str">
        <f aca="true">IF(OR(E173="",B173=""),"",INT(TODAY()-B173))</f>
        <v/>
      </c>
      <c r="AE173" s="44" t="str">
        <f aca="true">IF(E173="","",IF(OR(COUNTIFS(Clients!$C$2:$C$501,E173,Clients!$S$2:$S$501,"Paid")&gt;0,AND(I173&lt;&gt;"",COUNTIFS(Clients!$E$2:$E$501,I173,Clients!$S$2:$S$501,"Paid")&gt;0)),"⚠ Refunded before – no free video",IF(OR(U173="Contract signed + paid",U173="Closed – No response",U173="Lost"),"",IF(U173="","Set a stage",IF(AND(U173="Proposal sent",SUMIFS(Scoresheet!$N$2:$N$501,Scoresheet!$C$2:$C$501,A173,Scoresheet!$U$2:$U$501,1)&lt;6),"Score this lead – fill the call scoresheet",IF(N(W173)&gt;=Settings!$S$3,"Close – 4 follow-ups sent",IF(X173="",IF(V173="","Make first contact",""),IF(TODAY()&gt;X173,"OVERDUE follow-up",IF(TODAY()=X173,"Follow up today","")))))))))</f>
        <v/>
      </c>
    </row>
    <row r="174" customFormat="false" ht="15" hidden="false" customHeight="false" outlineLevel="0" collapsed="false">
      <c r="A174" s="17"/>
      <c r="B174" s="40"/>
      <c r="C174" s="41"/>
      <c r="D174" s="17"/>
      <c r="E174" s="17"/>
      <c r="F174" s="17"/>
      <c r="G174" s="17"/>
      <c r="H174" s="17"/>
      <c r="I174" s="42"/>
      <c r="J174" s="17"/>
      <c r="K174" s="17"/>
      <c r="L174" s="17"/>
      <c r="M174" s="17"/>
      <c r="N174" s="40"/>
      <c r="O174" s="41"/>
      <c r="P174" s="43" t="str">
        <f aca="false">IF(OR(B174="",N174=""),"",ROUND(((N174+N(O174))-(B174+N(C174)))*24,1))</f>
        <v/>
      </c>
      <c r="Q174" s="44" t="str">
        <f aca="false">IF(OR(E174="",A174="",COUNTIFS(Scoresheet!$C$2:$C$501,A174,Scoresheet!$U$2:$U$501,1)=0),"",SUMIFS(Scoresheet!$O$2:$O$501,Scoresheet!$C$2:$C$501,A174,Scoresheet!$U$2:$U$501,1))</f>
        <v/>
      </c>
      <c r="R174" s="44" t="str">
        <f aca="false">IF(E174="","",IF(OR(A174="",COUNTIFS(Scoresheet!$C$2:$C$501,A174,Scoresheet!$U$2:$U$501,1)=0),"No scoresheet yet",IF(SUMIFS(Scoresheet!$N$2:$N$501,Scoresheet!$C$2:$C$501,A174,Scoresheet!$U$2:$U$501,1)&lt;6,"Partly scored ("&amp;SUMIFS(Scoresheet!$N$2:$N$501,Scoresheet!$C$2:$C$501,A174,Scoresheet!$U$2:$U$501,1)&amp;"/6)",IF(Q174&gt;=Settings!$S$8,"Hot",IF(Q174&gt;=Settings!$S$9,"Warm","Cold")))))</f>
        <v/>
      </c>
      <c r="S174" s="44" t="str">
        <f aca="false">IF(OR(E174="",A174=""),"",IF(AND(COUNTIFS(Scoresheet!$C$2:$C$501,A174,Scoresheet!$U$2:$U$501,1,Scoresheet!$H$2:$H$501,"No")&gt;0,COUNTIFS(Scoresheet!$C$2:$C$501,A174,Scoresheet!$U$2:$U$501,1,Scoresheet!$J$2:$J$501,"No")&gt;0),"🚩 Budget  ·  🚩 No one on camera",IF(COUNTIFS(Scoresheet!$C$2:$C$501,A174,Scoresheet!$U$2:$U$501,1,Scoresheet!$H$2:$H$501,"No")&gt;0,"🚩 Budget under AED 5k",IF(COUNTIFS(Scoresheet!$C$2:$C$501,A174,Scoresheet!$U$2:$U$501,1,Scoresheet!$J$2:$J$501,"No")&gt;0,"🚩 No one on camera",""))))</f>
        <v/>
      </c>
      <c r="T174" s="17"/>
      <c r="U174" s="17"/>
      <c r="V174" s="40"/>
      <c r="W174" s="17"/>
      <c r="X174" s="45" t="str">
        <f aca="false">IF(OR(E174="",V174="",OR(U174="Contract signed + paid",U174="Closed – No response",U174="Lost"),N(W174)&gt;=Settings!$S$3),"",V174+Settings!$S$2)</f>
        <v/>
      </c>
      <c r="Y174" s="40"/>
      <c r="Z174" s="41"/>
      <c r="AA174" s="17"/>
      <c r="AB174" s="17"/>
      <c r="AC174" s="17"/>
      <c r="AD174" s="46" t="str">
        <f aca="true">IF(OR(E174="",B174=""),"",INT(TODAY()-B174))</f>
        <v/>
      </c>
      <c r="AE174" s="44" t="str">
        <f aca="true">IF(E174="","",IF(OR(COUNTIFS(Clients!$C$2:$C$501,E174,Clients!$S$2:$S$501,"Paid")&gt;0,AND(I174&lt;&gt;"",COUNTIFS(Clients!$E$2:$E$501,I174,Clients!$S$2:$S$501,"Paid")&gt;0)),"⚠ Refunded before – no free video",IF(OR(U174="Contract signed + paid",U174="Closed – No response",U174="Lost"),"",IF(U174="","Set a stage",IF(AND(U174="Proposal sent",SUMIFS(Scoresheet!$N$2:$N$501,Scoresheet!$C$2:$C$501,A174,Scoresheet!$U$2:$U$501,1)&lt;6),"Score this lead – fill the call scoresheet",IF(N(W174)&gt;=Settings!$S$3,"Close – 4 follow-ups sent",IF(X174="",IF(V174="","Make first contact",""),IF(TODAY()&gt;X174,"OVERDUE follow-up",IF(TODAY()=X174,"Follow up today","")))))))))</f>
        <v/>
      </c>
    </row>
    <row r="175" customFormat="false" ht="15" hidden="false" customHeight="false" outlineLevel="0" collapsed="false">
      <c r="A175" s="17"/>
      <c r="B175" s="40"/>
      <c r="C175" s="41"/>
      <c r="D175" s="17"/>
      <c r="E175" s="17"/>
      <c r="F175" s="17"/>
      <c r="G175" s="17"/>
      <c r="H175" s="17"/>
      <c r="I175" s="42"/>
      <c r="J175" s="17"/>
      <c r="K175" s="17"/>
      <c r="L175" s="17"/>
      <c r="M175" s="17"/>
      <c r="N175" s="40"/>
      <c r="O175" s="41"/>
      <c r="P175" s="43" t="str">
        <f aca="false">IF(OR(B175="",N175=""),"",ROUND(((N175+N(O175))-(B175+N(C175)))*24,1))</f>
        <v/>
      </c>
      <c r="Q175" s="44" t="str">
        <f aca="false">IF(OR(E175="",A175="",COUNTIFS(Scoresheet!$C$2:$C$501,A175,Scoresheet!$U$2:$U$501,1)=0),"",SUMIFS(Scoresheet!$O$2:$O$501,Scoresheet!$C$2:$C$501,A175,Scoresheet!$U$2:$U$501,1))</f>
        <v/>
      </c>
      <c r="R175" s="44" t="str">
        <f aca="false">IF(E175="","",IF(OR(A175="",COUNTIFS(Scoresheet!$C$2:$C$501,A175,Scoresheet!$U$2:$U$501,1)=0),"No scoresheet yet",IF(SUMIFS(Scoresheet!$N$2:$N$501,Scoresheet!$C$2:$C$501,A175,Scoresheet!$U$2:$U$501,1)&lt;6,"Partly scored ("&amp;SUMIFS(Scoresheet!$N$2:$N$501,Scoresheet!$C$2:$C$501,A175,Scoresheet!$U$2:$U$501,1)&amp;"/6)",IF(Q175&gt;=Settings!$S$8,"Hot",IF(Q175&gt;=Settings!$S$9,"Warm","Cold")))))</f>
        <v/>
      </c>
      <c r="S175" s="44" t="str">
        <f aca="false">IF(OR(E175="",A175=""),"",IF(AND(COUNTIFS(Scoresheet!$C$2:$C$501,A175,Scoresheet!$U$2:$U$501,1,Scoresheet!$H$2:$H$501,"No")&gt;0,COUNTIFS(Scoresheet!$C$2:$C$501,A175,Scoresheet!$U$2:$U$501,1,Scoresheet!$J$2:$J$501,"No")&gt;0),"🚩 Budget  ·  🚩 No one on camera",IF(COUNTIFS(Scoresheet!$C$2:$C$501,A175,Scoresheet!$U$2:$U$501,1,Scoresheet!$H$2:$H$501,"No")&gt;0,"🚩 Budget under AED 5k",IF(COUNTIFS(Scoresheet!$C$2:$C$501,A175,Scoresheet!$U$2:$U$501,1,Scoresheet!$J$2:$J$501,"No")&gt;0,"🚩 No one on camera",""))))</f>
        <v/>
      </c>
      <c r="T175" s="17"/>
      <c r="U175" s="17"/>
      <c r="V175" s="40"/>
      <c r="W175" s="17"/>
      <c r="X175" s="45" t="str">
        <f aca="false">IF(OR(E175="",V175="",OR(U175="Contract signed + paid",U175="Closed – No response",U175="Lost"),N(W175)&gt;=Settings!$S$3),"",V175+Settings!$S$2)</f>
        <v/>
      </c>
      <c r="Y175" s="40"/>
      <c r="Z175" s="41"/>
      <c r="AA175" s="17"/>
      <c r="AB175" s="17"/>
      <c r="AC175" s="17"/>
      <c r="AD175" s="46" t="str">
        <f aca="true">IF(OR(E175="",B175=""),"",INT(TODAY()-B175))</f>
        <v/>
      </c>
      <c r="AE175" s="44" t="str">
        <f aca="true">IF(E175="","",IF(OR(COUNTIFS(Clients!$C$2:$C$501,E175,Clients!$S$2:$S$501,"Paid")&gt;0,AND(I175&lt;&gt;"",COUNTIFS(Clients!$E$2:$E$501,I175,Clients!$S$2:$S$501,"Paid")&gt;0)),"⚠ Refunded before – no free video",IF(OR(U175="Contract signed + paid",U175="Closed – No response",U175="Lost"),"",IF(U175="","Set a stage",IF(AND(U175="Proposal sent",SUMIFS(Scoresheet!$N$2:$N$501,Scoresheet!$C$2:$C$501,A175,Scoresheet!$U$2:$U$501,1)&lt;6),"Score this lead – fill the call scoresheet",IF(N(W175)&gt;=Settings!$S$3,"Close – 4 follow-ups sent",IF(X175="",IF(V175="","Make first contact",""),IF(TODAY()&gt;X175,"OVERDUE follow-up",IF(TODAY()=X175,"Follow up today","")))))))))</f>
        <v/>
      </c>
    </row>
    <row r="176" customFormat="false" ht="15" hidden="false" customHeight="false" outlineLevel="0" collapsed="false">
      <c r="A176" s="17"/>
      <c r="B176" s="40"/>
      <c r="C176" s="41"/>
      <c r="D176" s="17"/>
      <c r="E176" s="17"/>
      <c r="F176" s="17"/>
      <c r="G176" s="17"/>
      <c r="H176" s="17"/>
      <c r="I176" s="42"/>
      <c r="J176" s="17"/>
      <c r="K176" s="17"/>
      <c r="L176" s="17"/>
      <c r="M176" s="17"/>
      <c r="N176" s="40"/>
      <c r="O176" s="41"/>
      <c r="P176" s="43" t="str">
        <f aca="false">IF(OR(B176="",N176=""),"",ROUND(((N176+N(O176))-(B176+N(C176)))*24,1))</f>
        <v/>
      </c>
      <c r="Q176" s="44" t="str">
        <f aca="false">IF(OR(E176="",A176="",COUNTIFS(Scoresheet!$C$2:$C$501,A176,Scoresheet!$U$2:$U$501,1)=0),"",SUMIFS(Scoresheet!$O$2:$O$501,Scoresheet!$C$2:$C$501,A176,Scoresheet!$U$2:$U$501,1))</f>
        <v/>
      </c>
      <c r="R176" s="44" t="str">
        <f aca="false">IF(E176="","",IF(OR(A176="",COUNTIFS(Scoresheet!$C$2:$C$501,A176,Scoresheet!$U$2:$U$501,1)=0),"No scoresheet yet",IF(SUMIFS(Scoresheet!$N$2:$N$501,Scoresheet!$C$2:$C$501,A176,Scoresheet!$U$2:$U$501,1)&lt;6,"Partly scored ("&amp;SUMIFS(Scoresheet!$N$2:$N$501,Scoresheet!$C$2:$C$501,A176,Scoresheet!$U$2:$U$501,1)&amp;"/6)",IF(Q176&gt;=Settings!$S$8,"Hot",IF(Q176&gt;=Settings!$S$9,"Warm","Cold")))))</f>
        <v/>
      </c>
      <c r="S176" s="44" t="str">
        <f aca="false">IF(OR(E176="",A176=""),"",IF(AND(COUNTIFS(Scoresheet!$C$2:$C$501,A176,Scoresheet!$U$2:$U$501,1,Scoresheet!$H$2:$H$501,"No")&gt;0,COUNTIFS(Scoresheet!$C$2:$C$501,A176,Scoresheet!$U$2:$U$501,1,Scoresheet!$J$2:$J$501,"No")&gt;0),"🚩 Budget  ·  🚩 No one on camera",IF(COUNTIFS(Scoresheet!$C$2:$C$501,A176,Scoresheet!$U$2:$U$501,1,Scoresheet!$H$2:$H$501,"No")&gt;0,"🚩 Budget under AED 5k",IF(COUNTIFS(Scoresheet!$C$2:$C$501,A176,Scoresheet!$U$2:$U$501,1,Scoresheet!$J$2:$J$501,"No")&gt;0,"🚩 No one on camera",""))))</f>
        <v/>
      </c>
      <c r="T176" s="17"/>
      <c r="U176" s="17"/>
      <c r="V176" s="40"/>
      <c r="W176" s="17"/>
      <c r="X176" s="45" t="str">
        <f aca="false">IF(OR(E176="",V176="",OR(U176="Contract signed + paid",U176="Closed – No response",U176="Lost"),N(W176)&gt;=Settings!$S$3),"",V176+Settings!$S$2)</f>
        <v/>
      </c>
      <c r="Y176" s="40"/>
      <c r="Z176" s="41"/>
      <c r="AA176" s="17"/>
      <c r="AB176" s="17"/>
      <c r="AC176" s="17"/>
      <c r="AD176" s="46" t="str">
        <f aca="true">IF(OR(E176="",B176=""),"",INT(TODAY()-B176))</f>
        <v/>
      </c>
      <c r="AE176" s="44" t="str">
        <f aca="true">IF(E176="","",IF(OR(COUNTIFS(Clients!$C$2:$C$501,E176,Clients!$S$2:$S$501,"Paid")&gt;0,AND(I176&lt;&gt;"",COUNTIFS(Clients!$E$2:$E$501,I176,Clients!$S$2:$S$501,"Paid")&gt;0)),"⚠ Refunded before – no free video",IF(OR(U176="Contract signed + paid",U176="Closed – No response",U176="Lost"),"",IF(U176="","Set a stage",IF(AND(U176="Proposal sent",SUMIFS(Scoresheet!$N$2:$N$501,Scoresheet!$C$2:$C$501,A176,Scoresheet!$U$2:$U$501,1)&lt;6),"Score this lead – fill the call scoresheet",IF(N(W176)&gt;=Settings!$S$3,"Close – 4 follow-ups sent",IF(X176="",IF(V176="","Make first contact",""),IF(TODAY()&gt;X176,"OVERDUE follow-up",IF(TODAY()=X176,"Follow up today","")))))))))</f>
        <v/>
      </c>
    </row>
    <row r="177" customFormat="false" ht="15" hidden="false" customHeight="false" outlineLevel="0" collapsed="false">
      <c r="A177" s="17"/>
      <c r="B177" s="40"/>
      <c r="C177" s="41"/>
      <c r="D177" s="17"/>
      <c r="E177" s="17"/>
      <c r="F177" s="17"/>
      <c r="G177" s="17"/>
      <c r="H177" s="17"/>
      <c r="I177" s="42"/>
      <c r="J177" s="17"/>
      <c r="K177" s="17"/>
      <c r="L177" s="17"/>
      <c r="M177" s="17"/>
      <c r="N177" s="40"/>
      <c r="O177" s="41"/>
      <c r="P177" s="43" t="str">
        <f aca="false">IF(OR(B177="",N177=""),"",ROUND(((N177+N(O177))-(B177+N(C177)))*24,1))</f>
        <v/>
      </c>
      <c r="Q177" s="44" t="str">
        <f aca="false">IF(OR(E177="",A177="",COUNTIFS(Scoresheet!$C$2:$C$501,A177,Scoresheet!$U$2:$U$501,1)=0),"",SUMIFS(Scoresheet!$O$2:$O$501,Scoresheet!$C$2:$C$501,A177,Scoresheet!$U$2:$U$501,1))</f>
        <v/>
      </c>
      <c r="R177" s="44" t="str">
        <f aca="false">IF(E177="","",IF(OR(A177="",COUNTIFS(Scoresheet!$C$2:$C$501,A177,Scoresheet!$U$2:$U$501,1)=0),"No scoresheet yet",IF(SUMIFS(Scoresheet!$N$2:$N$501,Scoresheet!$C$2:$C$501,A177,Scoresheet!$U$2:$U$501,1)&lt;6,"Partly scored ("&amp;SUMIFS(Scoresheet!$N$2:$N$501,Scoresheet!$C$2:$C$501,A177,Scoresheet!$U$2:$U$501,1)&amp;"/6)",IF(Q177&gt;=Settings!$S$8,"Hot",IF(Q177&gt;=Settings!$S$9,"Warm","Cold")))))</f>
        <v/>
      </c>
      <c r="S177" s="44" t="str">
        <f aca="false">IF(OR(E177="",A177=""),"",IF(AND(COUNTIFS(Scoresheet!$C$2:$C$501,A177,Scoresheet!$U$2:$U$501,1,Scoresheet!$H$2:$H$501,"No")&gt;0,COUNTIFS(Scoresheet!$C$2:$C$501,A177,Scoresheet!$U$2:$U$501,1,Scoresheet!$J$2:$J$501,"No")&gt;0),"🚩 Budget  ·  🚩 No one on camera",IF(COUNTIFS(Scoresheet!$C$2:$C$501,A177,Scoresheet!$U$2:$U$501,1,Scoresheet!$H$2:$H$501,"No")&gt;0,"🚩 Budget under AED 5k",IF(COUNTIFS(Scoresheet!$C$2:$C$501,A177,Scoresheet!$U$2:$U$501,1,Scoresheet!$J$2:$J$501,"No")&gt;0,"🚩 No one on camera",""))))</f>
        <v/>
      </c>
      <c r="T177" s="17"/>
      <c r="U177" s="17"/>
      <c r="V177" s="40"/>
      <c r="W177" s="17"/>
      <c r="X177" s="45" t="str">
        <f aca="false">IF(OR(E177="",V177="",OR(U177="Contract signed + paid",U177="Closed – No response",U177="Lost"),N(W177)&gt;=Settings!$S$3),"",V177+Settings!$S$2)</f>
        <v/>
      </c>
      <c r="Y177" s="40"/>
      <c r="Z177" s="41"/>
      <c r="AA177" s="17"/>
      <c r="AB177" s="17"/>
      <c r="AC177" s="17"/>
      <c r="AD177" s="46" t="str">
        <f aca="true">IF(OR(E177="",B177=""),"",INT(TODAY()-B177))</f>
        <v/>
      </c>
      <c r="AE177" s="44" t="str">
        <f aca="true">IF(E177="","",IF(OR(COUNTIFS(Clients!$C$2:$C$501,E177,Clients!$S$2:$S$501,"Paid")&gt;0,AND(I177&lt;&gt;"",COUNTIFS(Clients!$E$2:$E$501,I177,Clients!$S$2:$S$501,"Paid")&gt;0)),"⚠ Refunded before – no free video",IF(OR(U177="Contract signed + paid",U177="Closed – No response",U177="Lost"),"",IF(U177="","Set a stage",IF(AND(U177="Proposal sent",SUMIFS(Scoresheet!$N$2:$N$501,Scoresheet!$C$2:$C$501,A177,Scoresheet!$U$2:$U$501,1)&lt;6),"Score this lead – fill the call scoresheet",IF(N(W177)&gt;=Settings!$S$3,"Close – 4 follow-ups sent",IF(X177="",IF(V177="","Make first contact",""),IF(TODAY()&gt;X177,"OVERDUE follow-up",IF(TODAY()=X177,"Follow up today","")))))))))</f>
        <v/>
      </c>
    </row>
    <row r="178" customFormat="false" ht="15" hidden="false" customHeight="false" outlineLevel="0" collapsed="false">
      <c r="A178" s="17"/>
      <c r="B178" s="40"/>
      <c r="C178" s="41"/>
      <c r="D178" s="17"/>
      <c r="E178" s="17"/>
      <c r="F178" s="17"/>
      <c r="G178" s="17"/>
      <c r="H178" s="17"/>
      <c r="I178" s="42"/>
      <c r="J178" s="17"/>
      <c r="K178" s="17"/>
      <c r="L178" s="17"/>
      <c r="M178" s="17"/>
      <c r="N178" s="40"/>
      <c r="O178" s="41"/>
      <c r="P178" s="43" t="str">
        <f aca="false">IF(OR(B178="",N178=""),"",ROUND(((N178+N(O178))-(B178+N(C178)))*24,1))</f>
        <v/>
      </c>
      <c r="Q178" s="44" t="str">
        <f aca="false">IF(OR(E178="",A178="",COUNTIFS(Scoresheet!$C$2:$C$501,A178,Scoresheet!$U$2:$U$501,1)=0),"",SUMIFS(Scoresheet!$O$2:$O$501,Scoresheet!$C$2:$C$501,A178,Scoresheet!$U$2:$U$501,1))</f>
        <v/>
      </c>
      <c r="R178" s="44" t="str">
        <f aca="false">IF(E178="","",IF(OR(A178="",COUNTIFS(Scoresheet!$C$2:$C$501,A178,Scoresheet!$U$2:$U$501,1)=0),"No scoresheet yet",IF(SUMIFS(Scoresheet!$N$2:$N$501,Scoresheet!$C$2:$C$501,A178,Scoresheet!$U$2:$U$501,1)&lt;6,"Partly scored ("&amp;SUMIFS(Scoresheet!$N$2:$N$501,Scoresheet!$C$2:$C$501,A178,Scoresheet!$U$2:$U$501,1)&amp;"/6)",IF(Q178&gt;=Settings!$S$8,"Hot",IF(Q178&gt;=Settings!$S$9,"Warm","Cold")))))</f>
        <v/>
      </c>
      <c r="S178" s="44" t="str">
        <f aca="false">IF(OR(E178="",A178=""),"",IF(AND(COUNTIFS(Scoresheet!$C$2:$C$501,A178,Scoresheet!$U$2:$U$501,1,Scoresheet!$H$2:$H$501,"No")&gt;0,COUNTIFS(Scoresheet!$C$2:$C$501,A178,Scoresheet!$U$2:$U$501,1,Scoresheet!$J$2:$J$501,"No")&gt;0),"🚩 Budget  ·  🚩 No one on camera",IF(COUNTIFS(Scoresheet!$C$2:$C$501,A178,Scoresheet!$U$2:$U$501,1,Scoresheet!$H$2:$H$501,"No")&gt;0,"🚩 Budget under AED 5k",IF(COUNTIFS(Scoresheet!$C$2:$C$501,A178,Scoresheet!$U$2:$U$501,1,Scoresheet!$J$2:$J$501,"No")&gt;0,"🚩 No one on camera",""))))</f>
        <v/>
      </c>
      <c r="T178" s="17"/>
      <c r="U178" s="17"/>
      <c r="V178" s="40"/>
      <c r="W178" s="17"/>
      <c r="X178" s="45" t="str">
        <f aca="false">IF(OR(E178="",V178="",OR(U178="Contract signed + paid",U178="Closed – No response",U178="Lost"),N(W178)&gt;=Settings!$S$3),"",V178+Settings!$S$2)</f>
        <v/>
      </c>
      <c r="Y178" s="40"/>
      <c r="Z178" s="41"/>
      <c r="AA178" s="17"/>
      <c r="AB178" s="17"/>
      <c r="AC178" s="17"/>
      <c r="AD178" s="46" t="str">
        <f aca="true">IF(OR(E178="",B178=""),"",INT(TODAY()-B178))</f>
        <v/>
      </c>
      <c r="AE178" s="44" t="str">
        <f aca="true">IF(E178="","",IF(OR(COUNTIFS(Clients!$C$2:$C$501,E178,Clients!$S$2:$S$501,"Paid")&gt;0,AND(I178&lt;&gt;"",COUNTIFS(Clients!$E$2:$E$501,I178,Clients!$S$2:$S$501,"Paid")&gt;0)),"⚠ Refunded before – no free video",IF(OR(U178="Contract signed + paid",U178="Closed – No response",U178="Lost"),"",IF(U178="","Set a stage",IF(AND(U178="Proposal sent",SUMIFS(Scoresheet!$N$2:$N$501,Scoresheet!$C$2:$C$501,A178,Scoresheet!$U$2:$U$501,1)&lt;6),"Score this lead – fill the call scoresheet",IF(N(W178)&gt;=Settings!$S$3,"Close – 4 follow-ups sent",IF(X178="",IF(V178="","Make first contact",""),IF(TODAY()&gt;X178,"OVERDUE follow-up",IF(TODAY()=X178,"Follow up today","")))))))))</f>
        <v/>
      </c>
    </row>
    <row r="179" customFormat="false" ht="15" hidden="false" customHeight="false" outlineLevel="0" collapsed="false">
      <c r="A179" s="17"/>
      <c r="B179" s="40"/>
      <c r="C179" s="41"/>
      <c r="D179" s="17"/>
      <c r="E179" s="17"/>
      <c r="F179" s="17"/>
      <c r="G179" s="17"/>
      <c r="H179" s="17"/>
      <c r="I179" s="42"/>
      <c r="J179" s="17"/>
      <c r="K179" s="17"/>
      <c r="L179" s="17"/>
      <c r="M179" s="17"/>
      <c r="N179" s="40"/>
      <c r="O179" s="41"/>
      <c r="P179" s="43" t="str">
        <f aca="false">IF(OR(B179="",N179=""),"",ROUND(((N179+N(O179))-(B179+N(C179)))*24,1))</f>
        <v/>
      </c>
      <c r="Q179" s="44" t="str">
        <f aca="false">IF(OR(E179="",A179="",COUNTIFS(Scoresheet!$C$2:$C$501,A179,Scoresheet!$U$2:$U$501,1)=0),"",SUMIFS(Scoresheet!$O$2:$O$501,Scoresheet!$C$2:$C$501,A179,Scoresheet!$U$2:$U$501,1))</f>
        <v/>
      </c>
      <c r="R179" s="44" t="str">
        <f aca="false">IF(E179="","",IF(OR(A179="",COUNTIFS(Scoresheet!$C$2:$C$501,A179,Scoresheet!$U$2:$U$501,1)=0),"No scoresheet yet",IF(SUMIFS(Scoresheet!$N$2:$N$501,Scoresheet!$C$2:$C$501,A179,Scoresheet!$U$2:$U$501,1)&lt;6,"Partly scored ("&amp;SUMIFS(Scoresheet!$N$2:$N$501,Scoresheet!$C$2:$C$501,A179,Scoresheet!$U$2:$U$501,1)&amp;"/6)",IF(Q179&gt;=Settings!$S$8,"Hot",IF(Q179&gt;=Settings!$S$9,"Warm","Cold")))))</f>
        <v/>
      </c>
      <c r="S179" s="44" t="str">
        <f aca="false">IF(OR(E179="",A179=""),"",IF(AND(COUNTIFS(Scoresheet!$C$2:$C$501,A179,Scoresheet!$U$2:$U$501,1,Scoresheet!$H$2:$H$501,"No")&gt;0,COUNTIFS(Scoresheet!$C$2:$C$501,A179,Scoresheet!$U$2:$U$501,1,Scoresheet!$J$2:$J$501,"No")&gt;0),"🚩 Budget  ·  🚩 No one on camera",IF(COUNTIFS(Scoresheet!$C$2:$C$501,A179,Scoresheet!$U$2:$U$501,1,Scoresheet!$H$2:$H$501,"No")&gt;0,"🚩 Budget under AED 5k",IF(COUNTIFS(Scoresheet!$C$2:$C$501,A179,Scoresheet!$U$2:$U$501,1,Scoresheet!$J$2:$J$501,"No")&gt;0,"🚩 No one on camera",""))))</f>
        <v/>
      </c>
      <c r="T179" s="17"/>
      <c r="U179" s="17"/>
      <c r="V179" s="40"/>
      <c r="W179" s="17"/>
      <c r="X179" s="45" t="str">
        <f aca="false">IF(OR(E179="",V179="",OR(U179="Contract signed + paid",U179="Closed – No response",U179="Lost"),N(W179)&gt;=Settings!$S$3),"",V179+Settings!$S$2)</f>
        <v/>
      </c>
      <c r="Y179" s="40"/>
      <c r="Z179" s="41"/>
      <c r="AA179" s="17"/>
      <c r="AB179" s="17"/>
      <c r="AC179" s="17"/>
      <c r="AD179" s="46" t="str">
        <f aca="true">IF(OR(E179="",B179=""),"",INT(TODAY()-B179))</f>
        <v/>
      </c>
      <c r="AE179" s="44" t="str">
        <f aca="true">IF(E179="","",IF(OR(COUNTIFS(Clients!$C$2:$C$501,E179,Clients!$S$2:$S$501,"Paid")&gt;0,AND(I179&lt;&gt;"",COUNTIFS(Clients!$E$2:$E$501,I179,Clients!$S$2:$S$501,"Paid")&gt;0)),"⚠ Refunded before – no free video",IF(OR(U179="Contract signed + paid",U179="Closed – No response",U179="Lost"),"",IF(U179="","Set a stage",IF(AND(U179="Proposal sent",SUMIFS(Scoresheet!$N$2:$N$501,Scoresheet!$C$2:$C$501,A179,Scoresheet!$U$2:$U$501,1)&lt;6),"Score this lead – fill the call scoresheet",IF(N(W179)&gt;=Settings!$S$3,"Close – 4 follow-ups sent",IF(X179="",IF(V179="","Make first contact",""),IF(TODAY()&gt;X179,"OVERDUE follow-up",IF(TODAY()=X179,"Follow up today","")))))))))</f>
        <v/>
      </c>
    </row>
    <row r="180" customFormat="false" ht="15" hidden="false" customHeight="false" outlineLevel="0" collapsed="false">
      <c r="A180" s="17"/>
      <c r="B180" s="40"/>
      <c r="C180" s="41"/>
      <c r="D180" s="17"/>
      <c r="E180" s="17"/>
      <c r="F180" s="17"/>
      <c r="G180" s="17"/>
      <c r="H180" s="17"/>
      <c r="I180" s="42"/>
      <c r="J180" s="17"/>
      <c r="K180" s="17"/>
      <c r="L180" s="17"/>
      <c r="M180" s="17"/>
      <c r="N180" s="40"/>
      <c r="O180" s="41"/>
      <c r="P180" s="43" t="str">
        <f aca="false">IF(OR(B180="",N180=""),"",ROUND(((N180+N(O180))-(B180+N(C180)))*24,1))</f>
        <v/>
      </c>
      <c r="Q180" s="44" t="str">
        <f aca="false">IF(OR(E180="",A180="",COUNTIFS(Scoresheet!$C$2:$C$501,A180,Scoresheet!$U$2:$U$501,1)=0),"",SUMIFS(Scoresheet!$O$2:$O$501,Scoresheet!$C$2:$C$501,A180,Scoresheet!$U$2:$U$501,1))</f>
        <v/>
      </c>
      <c r="R180" s="44" t="str">
        <f aca="false">IF(E180="","",IF(OR(A180="",COUNTIFS(Scoresheet!$C$2:$C$501,A180,Scoresheet!$U$2:$U$501,1)=0),"No scoresheet yet",IF(SUMIFS(Scoresheet!$N$2:$N$501,Scoresheet!$C$2:$C$501,A180,Scoresheet!$U$2:$U$501,1)&lt;6,"Partly scored ("&amp;SUMIFS(Scoresheet!$N$2:$N$501,Scoresheet!$C$2:$C$501,A180,Scoresheet!$U$2:$U$501,1)&amp;"/6)",IF(Q180&gt;=Settings!$S$8,"Hot",IF(Q180&gt;=Settings!$S$9,"Warm","Cold")))))</f>
        <v/>
      </c>
      <c r="S180" s="44" t="str">
        <f aca="false">IF(OR(E180="",A180=""),"",IF(AND(COUNTIFS(Scoresheet!$C$2:$C$501,A180,Scoresheet!$U$2:$U$501,1,Scoresheet!$H$2:$H$501,"No")&gt;0,COUNTIFS(Scoresheet!$C$2:$C$501,A180,Scoresheet!$U$2:$U$501,1,Scoresheet!$J$2:$J$501,"No")&gt;0),"🚩 Budget  ·  🚩 No one on camera",IF(COUNTIFS(Scoresheet!$C$2:$C$501,A180,Scoresheet!$U$2:$U$501,1,Scoresheet!$H$2:$H$501,"No")&gt;0,"🚩 Budget under AED 5k",IF(COUNTIFS(Scoresheet!$C$2:$C$501,A180,Scoresheet!$U$2:$U$501,1,Scoresheet!$J$2:$J$501,"No")&gt;0,"🚩 No one on camera",""))))</f>
        <v/>
      </c>
      <c r="T180" s="17"/>
      <c r="U180" s="17"/>
      <c r="V180" s="40"/>
      <c r="W180" s="17"/>
      <c r="X180" s="45" t="str">
        <f aca="false">IF(OR(E180="",V180="",OR(U180="Contract signed + paid",U180="Closed – No response",U180="Lost"),N(W180)&gt;=Settings!$S$3),"",V180+Settings!$S$2)</f>
        <v/>
      </c>
      <c r="Y180" s="40"/>
      <c r="Z180" s="41"/>
      <c r="AA180" s="17"/>
      <c r="AB180" s="17"/>
      <c r="AC180" s="17"/>
      <c r="AD180" s="46" t="str">
        <f aca="true">IF(OR(E180="",B180=""),"",INT(TODAY()-B180))</f>
        <v/>
      </c>
      <c r="AE180" s="44" t="str">
        <f aca="true">IF(E180="","",IF(OR(COUNTIFS(Clients!$C$2:$C$501,E180,Clients!$S$2:$S$501,"Paid")&gt;0,AND(I180&lt;&gt;"",COUNTIFS(Clients!$E$2:$E$501,I180,Clients!$S$2:$S$501,"Paid")&gt;0)),"⚠ Refunded before – no free video",IF(OR(U180="Contract signed + paid",U180="Closed – No response",U180="Lost"),"",IF(U180="","Set a stage",IF(AND(U180="Proposal sent",SUMIFS(Scoresheet!$N$2:$N$501,Scoresheet!$C$2:$C$501,A180,Scoresheet!$U$2:$U$501,1)&lt;6),"Score this lead – fill the call scoresheet",IF(N(W180)&gt;=Settings!$S$3,"Close – 4 follow-ups sent",IF(X180="",IF(V180="","Make first contact",""),IF(TODAY()&gt;X180,"OVERDUE follow-up",IF(TODAY()=X180,"Follow up today","")))))))))</f>
        <v/>
      </c>
    </row>
    <row r="181" customFormat="false" ht="15" hidden="false" customHeight="false" outlineLevel="0" collapsed="false">
      <c r="A181" s="17"/>
      <c r="B181" s="40"/>
      <c r="C181" s="41"/>
      <c r="D181" s="17"/>
      <c r="E181" s="17"/>
      <c r="F181" s="17"/>
      <c r="G181" s="17"/>
      <c r="H181" s="17"/>
      <c r="I181" s="42"/>
      <c r="J181" s="17"/>
      <c r="K181" s="17"/>
      <c r="L181" s="17"/>
      <c r="M181" s="17"/>
      <c r="N181" s="40"/>
      <c r="O181" s="41"/>
      <c r="P181" s="43" t="str">
        <f aca="false">IF(OR(B181="",N181=""),"",ROUND(((N181+N(O181))-(B181+N(C181)))*24,1))</f>
        <v/>
      </c>
      <c r="Q181" s="44" t="str">
        <f aca="false">IF(OR(E181="",A181="",COUNTIFS(Scoresheet!$C$2:$C$501,A181,Scoresheet!$U$2:$U$501,1)=0),"",SUMIFS(Scoresheet!$O$2:$O$501,Scoresheet!$C$2:$C$501,A181,Scoresheet!$U$2:$U$501,1))</f>
        <v/>
      </c>
      <c r="R181" s="44" t="str">
        <f aca="false">IF(E181="","",IF(OR(A181="",COUNTIFS(Scoresheet!$C$2:$C$501,A181,Scoresheet!$U$2:$U$501,1)=0),"No scoresheet yet",IF(SUMIFS(Scoresheet!$N$2:$N$501,Scoresheet!$C$2:$C$501,A181,Scoresheet!$U$2:$U$501,1)&lt;6,"Partly scored ("&amp;SUMIFS(Scoresheet!$N$2:$N$501,Scoresheet!$C$2:$C$501,A181,Scoresheet!$U$2:$U$501,1)&amp;"/6)",IF(Q181&gt;=Settings!$S$8,"Hot",IF(Q181&gt;=Settings!$S$9,"Warm","Cold")))))</f>
        <v/>
      </c>
      <c r="S181" s="44" t="str">
        <f aca="false">IF(OR(E181="",A181=""),"",IF(AND(COUNTIFS(Scoresheet!$C$2:$C$501,A181,Scoresheet!$U$2:$U$501,1,Scoresheet!$H$2:$H$501,"No")&gt;0,COUNTIFS(Scoresheet!$C$2:$C$501,A181,Scoresheet!$U$2:$U$501,1,Scoresheet!$J$2:$J$501,"No")&gt;0),"🚩 Budget  ·  🚩 No one on camera",IF(COUNTIFS(Scoresheet!$C$2:$C$501,A181,Scoresheet!$U$2:$U$501,1,Scoresheet!$H$2:$H$501,"No")&gt;0,"🚩 Budget under AED 5k",IF(COUNTIFS(Scoresheet!$C$2:$C$501,A181,Scoresheet!$U$2:$U$501,1,Scoresheet!$J$2:$J$501,"No")&gt;0,"🚩 No one on camera",""))))</f>
        <v/>
      </c>
      <c r="T181" s="17"/>
      <c r="U181" s="17"/>
      <c r="V181" s="40"/>
      <c r="W181" s="17"/>
      <c r="X181" s="45" t="str">
        <f aca="false">IF(OR(E181="",V181="",OR(U181="Contract signed + paid",U181="Closed – No response",U181="Lost"),N(W181)&gt;=Settings!$S$3),"",V181+Settings!$S$2)</f>
        <v/>
      </c>
      <c r="Y181" s="40"/>
      <c r="Z181" s="41"/>
      <c r="AA181" s="17"/>
      <c r="AB181" s="17"/>
      <c r="AC181" s="17"/>
      <c r="AD181" s="46" t="str">
        <f aca="true">IF(OR(E181="",B181=""),"",INT(TODAY()-B181))</f>
        <v/>
      </c>
      <c r="AE181" s="44" t="str">
        <f aca="true">IF(E181="","",IF(OR(COUNTIFS(Clients!$C$2:$C$501,E181,Clients!$S$2:$S$501,"Paid")&gt;0,AND(I181&lt;&gt;"",COUNTIFS(Clients!$E$2:$E$501,I181,Clients!$S$2:$S$501,"Paid")&gt;0)),"⚠ Refunded before – no free video",IF(OR(U181="Contract signed + paid",U181="Closed – No response",U181="Lost"),"",IF(U181="","Set a stage",IF(AND(U181="Proposal sent",SUMIFS(Scoresheet!$N$2:$N$501,Scoresheet!$C$2:$C$501,A181,Scoresheet!$U$2:$U$501,1)&lt;6),"Score this lead – fill the call scoresheet",IF(N(W181)&gt;=Settings!$S$3,"Close – 4 follow-ups sent",IF(X181="",IF(V181="","Make first contact",""),IF(TODAY()&gt;X181,"OVERDUE follow-up",IF(TODAY()=X181,"Follow up today","")))))))))</f>
        <v/>
      </c>
    </row>
    <row r="182" customFormat="false" ht="15" hidden="false" customHeight="false" outlineLevel="0" collapsed="false">
      <c r="A182" s="17"/>
      <c r="B182" s="40"/>
      <c r="C182" s="41"/>
      <c r="D182" s="17"/>
      <c r="E182" s="17"/>
      <c r="F182" s="17"/>
      <c r="G182" s="17"/>
      <c r="H182" s="17"/>
      <c r="I182" s="42"/>
      <c r="J182" s="17"/>
      <c r="K182" s="17"/>
      <c r="L182" s="17"/>
      <c r="M182" s="17"/>
      <c r="N182" s="40"/>
      <c r="O182" s="41"/>
      <c r="P182" s="43" t="str">
        <f aca="false">IF(OR(B182="",N182=""),"",ROUND(((N182+N(O182))-(B182+N(C182)))*24,1))</f>
        <v/>
      </c>
      <c r="Q182" s="44" t="str">
        <f aca="false">IF(OR(E182="",A182="",COUNTIFS(Scoresheet!$C$2:$C$501,A182,Scoresheet!$U$2:$U$501,1)=0),"",SUMIFS(Scoresheet!$O$2:$O$501,Scoresheet!$C$2:$C$501,A182,Scoresheet!$U$2:$U$501,1))</f>
        <v/>
      </c>
      <c r="R182" s="44" t="str">
        <f aca="false">IF(E182="","",IF(OR(A182="",COUNTIFS(Scoresheet!$C$2:$C$501,A182,Scoresheet!$U$2:$U$501,1)=0),"No scoresheet yet",IF(SUMIFS(Scoresheet!$N$2:$N$501,Scoresheet!$C$2:$C$501,A182,Scoresheet!$U$2:$U$501,1)&lt;6,"Partly scored ("&amp;SUMIFS(Scoresheet!$N$2:$N$501,Scoresheet!$C$2:$C$501,A182,Scoresheet!$U$2:$U$501,1)&amp;"/6)",IF(Q182&gt;=Settings!$S$8,"Hot",IF(Q182&gt;=Settings!$S$9,"Warm","Cold")))))</f>
        <v/>
      </c>
      <c r="S182" s="44" t="str">
        <f aca="false">IF(OR(E182="",A182=""),"",IF(AND(COUNTIFS(Scoresheet!$C$2:$C$501,A182,Scoresheet!$U$2:$U$501,1,Scoresheet!$H$2:$H$501,"No")&gt;0,COUNTIFS(Scoresheet!$C$2:$C$501,A182,Scoresheet!$U$2:$U$501,1,Scoresheet!$J$2:$J$501,"No")&gt;0),"🚩 Budget  ·  🚩 No one on camera",IF(COUNTIFS(Scoresheet!$C$2:$C$501,A182,Scoresheet!$U$2:$U$501,1,Scoresheet!$H$2:$H$501,"No")&gt;0,"🚩 Budget under AED 5k",IF(COUNTIFS(Scoresheet!$C$2:$C$501,A182,Scoresheet!$U$2:$U$501,1,Scoresheet!$J$2:$J$501,"No")&gt;0,"🚩 No one on camera",""))))</f>
        <v/>
      </c>
      <c r="T182" s="17"/>
      <c r="U182" s="17"/>
      <c r="V182" s="40"/>
      <c r="W182" s="17"/>
      <c r="X182" s="45" t="str">
        <f aca="false">IF(OR(E182="",V182="",OR(U182="Contract signed + paid",U182="Closed – No response",U182="Lost"),N(W182)&gt;=Settings!$S$3),"",V182+Settings!$S$2)</f>
        <v/>
      </c>
      <c r="Y182" s="40"/>
      <c r="Z182" s="41"/>
      <c r="AA182" s="17"/>
      <c r="AB182" s="17"/>
      <c r="AC182" s="17"/>
      <c r="AD182" s="46" t="str">
        <f aca="true">IF(OR(E182="",B182=""),"",INT(TODAY()-B182))</f>
        <v/>
      </c>
      <c r="AE182" s="44" t="str">
        <f aca="true">IF(E182="","",IF(OR(COUNTIFS(Clients!$C$2:$C$501,E182,Clients!$S$2:$S$501,"Paid")&gt;0,AND(I182&lt;&gt;"",COUNTIFS(Clients!$E$2:$E$501,I182,Clients!$S$2:$S$501,"Paid")&gt;0)),"⚠ Refunded before – no free video",IF(OR(U182="Contract signed + paid",U182="Closed – No response",U182="Lost"),"",IF(U182="","Set a stage",IF(AND(U182="Proposal sent",SUMIFS(Scoresheet!$N$2:$N$501,Scoresheet!$C$2:$C$501,A182,Scoresheet!$U$2:$U$501,1)&lt;6),"Score this lead – fill the call scoresheet",IF(N(W182)&gt;=Settings!$S$3,"Close – 4 follow-ups sent",IF(X182="",IF(V182="","Make first contact",""),IF(TODAY()&gt;X182,"OVERDUE follow-up",IF(TODAY()=X182,"Follow up today","")))))))))</f>
        <v/>
      </c>
    </row>
    <row r="183" customFormat="false" ht="15" hidden="false" customHeight="false" outlineLevel="0" collapsed="false">
      <c r="A183" s="17"/>
      <c r="B183" s="40"/>
      <c r="C183" s="41"/>
      <c r="D183" s="17"/>
      <c r="E183" s="17"/>
      <c r="F183" s="17"/>
      <c r="G183" s="17"/>
      <c r="H183" s="17"/>
      <c r="I183" s="42"/>
      <c r="J183" s="17"/>
      <c r="K183" s="17"/>
      <c r="L183" s="17"/>
      <c r="M183" s="17"/>
      <c r="N183" s="40"/>
      <c r="O183" s="41"/>
      <c r="P183" s="43" t="str">
        <f aca="false">IF(OR(B183="",N183=""),"",ROUND(((N183+N(O183))-(B183+N(C183)))*24,1))</f>
        <v/>
      </c>
      <c r="Q183" s="44" t="str">
        <f aca="false">IF(OR(E183="",A183="",COUNTIFS(Scoresheet!$C$2:$C$501,A183,Scoresheet!$U$2:$U$501,1)=0),"",SUMIFS(Scoresheet!$O$2:$O$501,Scoresheet!$C$2:$C$501,A183,Scoresheet!$U$2:$U$501,1))</f>
        <v/>
      </c>
      <c r="R183" s="44" t="str">
        <f aca="false">IF(E183="","",IF(OR(A183="",COUNTIFS(Scoresheet!$C$2:$C$501,A183,Scoresheet!$U$2:$U$501,1)=0),"No scoresheet yet",IF(SUMIFS(Scoresheet!$N$2:$N$501,Scoresheet!$C$2:$C$501,A183,Scoresheet!$U$2:$U$501,1)&lt;6,"Partly scored ("&amp;SUMIFS(Scoresheet!$N$2:$N$501,Scoresheet!$C$2:$C$501,A183,Scoresheet!$U$2:$U$501,1)&amp;"/6)",IF(Q183&gt;=Settings!$S$8,"Hot",IF(Q183&gt;=Settings!$S$9,"Warm","Cold")))))</f>
        <v/>
      </c>
      <c r="S183" s="44" t="str">
        <f aca="false">IF(OR(E183="",A183=""),"",IF(AND(COUNTIFS(Scoresheet!$C$2:$C$501,A183,Scoresheet!$U$2:$U$501,1,Scoresheet!$H$2:$H$501,"No")&gt;0,COUNTIFS(Scoresheet!$C$2:$C$501,A183,Scoresheet!$U$2:$U$501,1,Scoresheet!$J$2:$J$501,"No")&gt;0),"🚩 Budget  ·  🚩 No one on camera",IF(COUNTIFS(Scoresheet!$C$2:$C$501,A183,Scoresheet!$U$2:$U$501,1,Scoresheet!$H$2:$H$501,"No")&gt;0,"🚩 Budget under AED 5k",IF(COUNTIFS(Scoresheet!$C$2:$C$501,A183,Scoresheet!$U$2:$U$501,1,Scoresheet!$J$2:$J$501,"No")&gt;0,"🚩 No one on camera",""))))</f>
        <v/>
      </c>
      <c r="T183" s="17"/>
      <c r="U183" s="17"/>
      <c r="V183" s="40"/>
      <c r="W183" s="17"/>
      <c r="X183" s="45" t="str">
        <f aca="false">IF(OR(E183="",V183="",OR(U183="Contract signed + paid",U183="Closed – No response",U183="Lost"),N(W183)&gt;=Settings!$S$3),"",V183+Settings!$S$2)</f>
        <v/>
      </c>
      <c r="Y183" s="40"/>
      <c r="Z183" s="41"/>
      <c r="AA183" s="17"/>
      <c r="AB183" s="17"/>
      <c r="AC183" s="17"/>
      <c r="AD183" s="46" t="str">
        <f aca="true">IF(OR(E183="",B183=""),"",INT(TODAY()-B183))</f>
        <v/>
      </c>
      <c r="AE183" s="44" t="str">
        <f aca="true">IF(E183="","",IF(OR(COUNTIFS(Clients!$C$2:$C$501,E183,Clients!$S$2:$S$501,"Paid")&gt;0,AND(I183&lt;&gt;"",COUNTIFS(Clients!$E$2:$E$501,I183,Clients!$S$2:$S$501,"Paid")&gt;0)),"⚠ Refunded before – no free video",IF(OR(U183="Contract signed + paid",U183="Closed – No response",U183="Lost"),"",IF(U183="","Set a stage",IF(AND(U183="Proposal sent",SUMIFS(Scoresheet!$N$2:$N$501,Scoresheet!$C$2:$C$501,A183,Scoresheet!$U$2:$U$501,1)&lt;6),"Score this lead – fill the call scoresheet",IF(N(W183)&gt;=Settings!$S$3,"Close – 4 follow-ups sent",IF(X183="",IF(V183="","Make first contact",""),IF(TODAY()&gt;X183,"OVERDUE follow-up",IF(TODAY()=X183,"Follow up today","")))))))))</f>
        <v/>
      </c>
    </row>
    <row r="184" customFormat="false" ht="15" hidden="false" customHeight="false" outlineLevel="0" collapsed="false">
      <c r="A184" s="17"/>
      <c r="B184" s="40"/>
      <c r="C184" s="41"/>
      <c r="D184" s="17"/>
      <c r="E184" s="17"/>
      <c r="F184" s="17"/>
      <c r="G184" s="17"/>
      <c r="H184" s="17"/>
      <c r="I184" s="42"/>
      <c r="J184" s="17"/>
      <c r="K184" s="17"/>
      <c r="L184" s="17"/>
      <c r="M184" s="17"/>
      <c r="N184" s="40"/>
      <c r="O184" s="41"/>
      <c r="P184" s="43" t="str">
        <f aca="false">IF(OR(B184="",N184=""),"",ROUND(((N184+N(O184))-(B184+N(C184)))*24,1))</f>
        <v/>
      </c>
      <c r="Q184" s="44" t="str">
        <f aca="false">IF(OR(E184="",A184="",COUNTIFS(Scoresheet!$C$2:$C$501,A184,Scoresheet!$U$2:$U$501,1)=0),"",SUMIFS(Scoresheet!$O$2:$O$501,Scoresheet!$C$2:$C$501,A184,Scoresheet!$U$2:$U$501,1))</f>
        <v/>
      </c>
      <c r="R184" s="44" t="str">
        <f aca="false">IF(E184="","",IF(OR(A184="",COUNTIFS(Scoresheet!$C$2:$C$501,A184,Scoresheet!$U$2:$U$501,1)=0),"No scoresheet yet",IF(SUMIFS(Scoresheet!$N$2:$N$501,Scoresheet!$C$2:$C$501,A184,Scoresheet!$U$2:$U$501,1)&lt;6,"Partly scored ("&amp;SUMIFS(Scoresheet!$N$2:$N$501,Scoresheet!$C$2:$C$501,A184,Scoresheet!$U$2:$U$501,1)&amp;"/6)",IF(Q184&gt;=Settings!$S$8,"Hot",IF(Q184&gt;=Settings!$S$9,"Warm","Cold")))))</f>
        <v/>
      </c>
      <c r="S184" s="44" t="str">
        <f aca="false">IF(OR(E184="",A184=""),"",IF(AND(COUNTIFS(Scoresheet!$C$2:$C$501,A184,Scoresheet!$U$2:$U$501,1,Scoresheet!$H$2:$H$501,"No")&gt;0,COUNTIFS(Scoresheet!$C$2:$C$501,A184,Scoresheet!$U$2:$U$501,1,Scoresheet!$J$2:$J$501,"No")&gt;0),"🚩 Budget  ·  🚩 No one on camera",IF(COUNTIFS(Scoresheet!$C$2:$C$501,A184,Scoresheet!$U$2:$U$501,1,Scoresheet!$H$2:$H$501,"No")&gt;0,"🚩 Budget under AED 5k",IF(COUNTIFS(Scoresheet!$C$2:$C$501,A184,Scoresheet!$U$2:$U$501,1,Scoresheet!$J$2:$J$501,"No")&gt;0,"🚩 No one on camera",""))))</f>
        <v/>
      </c>
      <c r="T184" s="17"/>
      <c r="U184" s="17"/>
      <c r="V184" s="40"/>
      <c r="W184" s="17"/>
      <c r="X184" s="45" t="str">
        <f aca="false">IF(OR(E184="",V184="",OR(U184="Contract signed + paid",U184="Closed – No response",U184="Lost"),N(W184)&gt;=Settings!$S$3),"",V184+Settings!$S$2)</f>
        <v/>
      </c>
      <c r="Y184" s="40"/>
      <c r="Z184" s="41"/>
      <c r="AA184" s="17"/>
      <c r="AB184" s="17"/>
      <c r="AC184" s="17"/>
      <c r="AD184" s="46" t="str">
        <f aca="true">IF(OR(E184="",B184=""),"",INT(TODAY()-B184))</f>
        <v/>
      </c>
      <c r="AE184" s="44" t="str">
        <f aca="true">IF(E184="","",IF(OR(COUNTIFS(Clients!$C$2:$C$501,E184,Clients!$S$2:$S$501,"Paid")&gt;0,AND(I184&lt;&gt;"",COUNTIFS(Clients!$E$2:$E$501,I184,Clients!$S$2:$S$501,"Paid")&gt;0)),"⚠ Refunded before – no free video",IF(OR(U184="Contract signed + paid",U184="Closed – No response",U184="Lost"),"",IF(U184="","Set a stage",IF(AND(U184="Proposal sent",SUMIFS(Scoresheet!$N$2:$N$501,Scoresheet!$C$2:$C$501,A184,Scoresheet!$U$2:$U$501,1)&lt;6),"Score this lead – fill the call scoresheet",IF(N(W184)&gt;=Settings!$S$3,"Close – 4 follow-ups sent",IF(X184="",IF(V184="","Make first contact",""),IF(TODAY()&gt;X184,"OVERDUE follow-up",IF(TODAY()=X184,"Follow up today","")))))))))</f>
        <v/>
      </c>
    </row>
    <row r="185" customFormat="false" ht="15" hidden="false" customHeight="false" outlineLevel="0" collapsed="false">
      <c r="A185" s="17"/>
      <c r="B185" s="40"/>
      <c r="C185" s="41"/>
      <c r="D185" s="17"/>
      <c r="E185" s="17"/>
      <c r="F185" s="17"/>
      <c r="G185" s="17"/>
      <c r="H185" s="17"/>
      <c r="I185" s="42"/>
      <c r="J185" s="17"/>
      <c r="K185" s="17"/>
      <c r="L185" s="17"/>
      <c r="M185" s="17"/>
      <c r="N185" s="40"/>
      <c r="O185" s="41"/>
      <c r="P185" s="43" t="str">
        <f aca="false">IF(OR(B185="",N185=""),"",ROUND(((N185+N(O185))-(B185+N(C185)))*24,1))</f>
        <v/>
      </c>
      <c r="Q185" s="44" t="str">
        <f aca="false">IF(OR(E185="",A185="",COUNTIFS(Scoresheet!$C$2:$C$501,A185,Scoresheet!$U$2:$U$501,1)=0),"",SUMIFS(Scoresheet!$O$2:$O$501,Scoresheet!$C$2:$C$501,A185,Scoresheet!$U$2:$U$501,1))</f>
        <v/>
      </c>
      <c r="R185" s="44" t="str">
        <f aca="false">IF(E185="","",IF(OR(A185="",COUNTIFS(Scoresheet!$C$2:$C$501,A185,Scoresheet!$U$2:$U$501,1)=0),"No scoresheet yet",IF(SUMIFS(Scoresheet!$N$2:$N$501,Scoresheet!$C$2:$C$501,A185,Scoresheet!$U$2:$U$501,1)&lt;6,"Partly scored ("&amp;SUMIFS(Scoresheet!$N$2:$N$501,Scoresheet!$C$2:$C$501,A185,Scoresheet!$U$2:$U$501,1)&amp;"/6)",IF(Q185&gt;=Settings!$S$8,"Hot",IF(Q185&gt;=Settings!$S$9,"Warm","Cold")))))</f>
        <v/>
      </c>
      <c r="S185" s="44" t="str">
        <f aca="false">IF(OR(E185="",A185=""),"",IF(AND(COUNTIFS(Scoresheet!$C$2:$C$501,A185,Scoresheet!$U$2:$U$501,1,Scoresheet!$H$2:$H$501,"No")&gt;0,COUNTIFS(Scoresheet!$C$2:$C$501,A185,Scoresheet!$U$2:$U$501,1,Scoresheet!$J$2:$J$501,"No")&gt;0),"🚩 Budget  ·  🚩 No one on camera",IF(COUNTIFS(Scoresheet!$C$2:$C$501,A185,Scoresheet!$U$2:$U$501,1,Scoresheet!$H$2:$H$501,"No")&gt;0,"🚩 Budget under AED 5k",IF(COUNTIFS(Scoresheet!$C$2:$C$501,A185,Scoresheet!$U$2:$U$501,1,Scoresheet!$J$2:$J$501,"No")&gt;0,"🚩 No one on camera",""))))</f>
        <v/>
      </c>
      <c r="T185" s="17"/>
      <c r="U185" s="17"/>
      <c r="V185" s="40"/>
      <c r="W185" s="17"/>
      <c r="X185" s="45" t="str">
        <f aca="false">IF(OR(E185="",V185="",OR(U185="Contract signed + paid",U185="Closed – No response",U185="Lost"),N(W185)&gt;=Settings!$S$3),"",V185+Settings!$S$2)</f>
        <v/>
      </c>
      <c r="Y185" s="40"/>
      <c r="Z185" s="41"/>
      <c r="AA185" s="17"/>
      <c r="AB185" s="17"/>
      <c r="AC185" s="17"/>
      <c r="AD185" s="46" t="str">
        <f aca="true">IF(OR(E185="",B185=""),"",INT(TODAY()-B185))</f>
        <v/>
      </c>
      <c r="AE185" s="44" t="str">
        <f aca="true">IF(E185="","",IF(OR(COUNTIFS(Clients!$C$2:$C$501,E185,Clients!$S$2:$S$501,"Paid")&gt;0,AND(I185&lt;&gt;"",COUNTIFS(Clients!$E$2:$E$501,I185,Clients!$S$2:$S$501,"Paid")&gt;0)),"⚠ Refunded before – no free video",IF(OR(U185="Contract signed + paid",U185="Closed – No response",U185="Lost"),"",IF(U185="","Set a stage",IF(AND(U185="Proposal sent",SUMIFS(Scoresheet!$N$2:$N$501,Scoresheet!$C$2:$C$501,A185,Scoresheet!$U$2:$U$501,1)&lt;6),"Score this lead – fill the call scoresheet",IF(N(W185)&gt;=Settings!$S$3,"Close – 4 follow-ups sent",IF(X185="",IF(V185="","Make first contact",""),IF(TODAY()&gt;X185,"OVERDUE follow-up",IF(TODAY()=X185,"Follow up today","")))))))))</f>
        <v/>
      </c>
    </row>
    <row r="186" customFormat="false" ht="15" hidden="false" customHeight="false" outlineLevel="0" collapsed="false">
      <c r="A186" s="17"/>
      <c r="B186" s="40"/>
      <c r="C186" s="41"/>
      <c r="D186" s="17"/>
      <c r="E186" s="17"/>
      <c r="F186" s="17"/>
      <c r="G186" s="17"/>
      <c r="H186" s="17"/>
      <c r="I186" s="42"/>
      <c r="J186" s="17"/>
      <c r="K186" s="17"/>
      <c r="L186" s="17"/>
      <c r="M186" s="17"/>
      <c r="N186" s="40"/>
      <c r="O186" s="41"/>
      <c r="P186" s="43" t="str">
        <f aca="false">IF(OR(B186="",N186=""),"",ROUND(((N186+N(O186))-(B186+N(C186)))*24,1))</f>
        <v/>
      </c>
      <c r="Q186" s="44" t="str">
        <f aca="false">IF(OR(E186="",A186="",COUNTIFS(Scoresheet!$C$2:$C$501,A186,Scoresheet!$U$2:$U$501,1)=0),"",SUMIFS(Scoresheet!$O$2:$O$501,Scoresheet!$C$2:$C$501,A186,Scoresheet!$U$2:$U$501,1))</f>
        <v/>
      </c>
      <c r="R186" s="44" t="str">
        <f aca="false">IF(E186="","",IF(OR(A186="",COUNTIFS(Scoresheet!$C$2:$C$501,A186,Scoresheet!$U$2:$U$501,1)=0),"No scoresheet yet",IF(SUMIFS(Scoresheet!$N$2:$N$501,Scoresheet!$C$2:$C$501,A186,Scoresheet!$U$2:$U$501,1)&lt;6,"Partly scored ("&amp;SUMIFS(Scoresheet!$N$2:$N$501,Scoresheet!$C$2:$C$501,A186,Scoresheet!$U$2:$U$501,1)&amp;"/6)",IF(Q186&gt;=Settings!$S$8,"Hot",IF(Q186&gt;=Settings!$S$9,"Warm","Cold")))))</f>
        <v/>
      </c>
      <c r="S186" s="44" t="str">
        <f aca="false">IF(OR(E186="",A186=""),"",IF(AND(COUNTIFS(Scoresheet!$C$2:$C$501,A186,Scoresheet!$U$2:$U$501,1,Scoresheet!$H$2:$H$501,"No")&gt;0,COUNTIFS(Scoresheet!$C$2:$C$501,A186,Scoresheet!$U$2:$U$501,1,Scoresheet!$J$2:$J$501,"No")&gt;0),"🚩 Budget  ·  🚩 No one on camera",IF(COUNTIFS(Scoresheet!$C$2:$C$501,A186,Scoresheet!$U$2:$U$501,1,Scoresheet!$H$2:$H$501,"No")&gt;0,"🚩 Budget under AED 5k",IF(COUNTIFS(Scoresheet!$C$2:$C$501,A186,Scoresheet!$U$2:$U$501,1,Scoresheet!$J$2:$J$501,"No")&gt;0,"🚩 No one on camera",""))))</f>
        <v/>
      </c>
      <c r="T186" s="17"/>
      <c r="U186" s="17"/>
      <c r="V186" s="40"/>
      <c r="W186" s="17"/>
      <c r="X186" s="45" t="str">
        <f aca="false">IF(OR(E186="",V186="",OR(U186="Contract signed + paid",U186="Closed – No response",U186="Lost"),N(W186)&gt;=Settings!$S$3),"",V186+Settings!$S$2)</f>
        <v/>
      </c>
      <c r="Y186" s="40"/>
      <c r="Z186" s="41"/>
      <c r="AA186" s="17"/>
      <c r="AB186" s="17"/>
      <c r="AC186" s="17"/>
      <c r="AD186" s="46" t="str">
        <f aca="true">IF(OR(E186="",B186=""),"",INT(TODAY()-B186))</f>
        <v/>
      </c>
      <c r="AE186" s="44" t="str">
        <f aca="true">IF(E186="","",IF(OR(COUNTIFS(Clients!$C$2:$C$501,E186,Clients!$S$2:$S$501,"Paid")&gt;0,AND(I186&lt;&gt;"",COUNTIFS(Clients!$E$2:$E$501,I186,Clients!$S$2:$S$501,"Paid")&gt;0)),"⚠ Refunded before – no free video",IF(OR(U186="Contract signed + paid",U186="Closed – No response",U186="Lost"),"",IF(U186="","Set a stage",IF(AND(U186="Proposal sent",SUMIFS(Scoresheet!$N$2:$N$501,Scoresheet!$C$2:$C$501,A186,Scoresheet!$U$2:$U$501,1)&lt;6),"Score this lead – fill the call scoresheet",IF(N(W186)&gt;=Settings!$S$3,"Close – 4 follow-ups sent",IF(X186="",IF(V186="","Make first contact",""),IF(TODAY()&gt;X186,"OVERDUE follow-up",IF(TODAY()=X186,"Follow up today","")))))))))</f>
        <v/>
      </c>
    </row>
    <row r="187" customFormat="false" ht="15" hidden="false" customHeight="false" outlineLevel="0" collapsed="false">
      <c r="A187" s="17"/>
      <c r="B187" s="40"/>
      <c r="C187" s="41"/>
      <c r="D187" s="17"/>
      <c r="E187" s="17"/>
      <c r="F187" s="17"/>
      <c r="G187" s="17"/>
      <c r="H187" s="17"/>
      <c r="I187" s="42"/>
      <c r="J187" s="17"/>
      <c r="K187" s="17"/>
      <c r="L187" s="17"/>
      <c r="M187" s="17"/>
      <c r="N187" s="40"/>
      <c r="O187" s="41"/>
      <c r="P187" s="43" t="str">
        <f aca="false">IF(OR(B187="",N187=""),"",ROUND(((N187+N(O187))-(B187+N(C187)))*24,1))</f>
        <v/>
      </c>
      <c r="Q187" s="44" t="str">
        <f aca="false">IF(OR(E187="",A187="",COUNTIFS(Scoresheet!$C$2:$C$501,A187,Scoresheet!$U$2:$U$501,1)=0),"",SUMIFS(Scoresheet!$O$2:$O$501,Scoresheet!$C$2:$C$501,A187,Scoresheet!$U$2:$U$501,1))</f>
        <v/>
      </c>
      <c r="R187" s="44" t="str">
        <f aca="false">IF(E187="","",IF(OR(A187="",COUNTIFS(Scoresheet!$C$2:$C$501,A187,Scoresheet!$U$2:$U$501,1)=0),"No scoresheet yet",IF(SUMIFS(Scoresheet!$N$2:$N$501,Scoresheet!$C$2:$C$501,A187,Scoresheet!$U$2:$U$501,1)&lt;6,"Partly scored ("&amp;SUMIFS(Scoresheet!$N$2:$N$501,Scoresheet!$C$2:$C$501,A187,Scoresheet!$U$2:$U$501,1)&amp;"/6)",IF(Q187&gt;=Settings!$S$8,"Hot",IF(Q187&gt;=Settings!$S$9,"Warm","Cold")))))</f>
        <v/>
      </c>
      <c r="S187" s="44" t="str">
        <f aca="false">IF(OR(E187="",A187=""),"",IF(AND(COUNTIFS(Scoresheet!$C$2:$C$501,A187,Scoresheet!$U$2:$U$501,1,Scoresheet!$H$2:$H$501,"No")&gt;0,COUNTIFS(Scoresheet!$C$2:$C$501,A187,Scoresheet!$U$2:$U$501,1,Scoresheet!$J$2:$J$501,"No")&gt;0),"🚩 Budget  ·  🚩 No one on camera",IF(COUNTIFS(Scoresheet!$C$2:$C$501,A187,Scoresheet!$U$2:$U$501,1,Scoresheet!$H$2:$H$501,"No")&gt;0,"🚩 Budget under AED 5k",IF(COUNTIFS(Scoresheet!$C$2:$C$501,A187,Scoresheet!$U$2:$U$501,1,Scoresheet!$J$2:$J$501,"No")&gt;0,"🚩 No one on camera",""))))</f>
        <v/>
      </c>
      <c r="T187" s="17"/>
      <c r="U187" s="17"/>
      <c r="V187" s="40"/>
      <c r="W187" s="17"/>
      <c r="X187" s="45" t="str">
        <f aca="false">IF(OR(E187="",V187="",OR(U187="Contract signed + paid",U187="Closed – No response",U187="Lost"),N(W187)&gt;=Settings!$S$3),"",V187+Settings!$S$2)</f>
        <v/>
      </c>
      <c r="Y187" s="40"/>
      <c r="Z187" s="41"/>
      <c r="AA187" s="17"/>
      <c r="AB187" s="17"/>
      <c r="AC187" s="17"/>
      <c r="AD187" s="46" t="str">
        <f aca="true">IF(OR(E187="",B187=""),"",INT(TODAY()-B187))</f>
        <v/>
      </c>
      <c r="AE187" s="44" t="str">
        <f aca="true">IF(E187="","",IF(OR(COUNTIFS(Clients!$C$2:$C$501,E187,Clients!$S$2:$S$501,"Paid")&gt;0,AND(I187&lt;&gt;"",COUNTIFS(Clients!$E$2:$E$501,I187,Clients!$S$2:$S$501,"Paid")&gt;0)),"⚠ Refunded before – no free video",IF(OR(U187="Contract signed + paid",U187="Closed – No response",U187="Lost"),"",IF(U187="","Set a stage",IF(AND(U187="Proposal sent",SUMIFS(Scoresheet!$N$2:$N$501,Scoresheet!$C$2:$C$501,A187,Scoresheet!$U$2:$U$501,1)&lt;6),"Score this lead – fill the call scoresheet",IF(N(W187)&gt;=Settings!$S$3,"Close – 4 follow-ups sent",IF(X187="",IF(V187="","Make first contact",""),IF(TODAY()&gt;X187,"OVERDUE follow-up",IF(TODAY()=X187,"Follow up today","")))))))))</f>
        <v/>
      </c>
    </row>
    <row r="188" customFormat="false" ht="15" hidden="false" customHeight="false" outlineLevel="0" collapsed="false">
      <c r="A188" s="17"/>
      <c r="B188" s="40"/>
      <c r="C188" s="41"/>
      <c r="D188" s="17"/>
      <c r="E188" s="17"/>
      <c r="F188" s="17"/>
      <c r="G188" s="17"/>
      <c r="H188" s="17"/>
      <c r="I188" s="42"/>
      <c r="J188" s="17"/>
      <c r="K188" s="17"/>
      <c r="L188" s="17"/>
      <c r="M188" s="17"/>
      <c r="N188" s="40"/>
      <c r="O188" s="41"/>
      <c r="P188" s="43" t="str">
        <f aca="false">IF(OR(B188="",N188=""),"",ROUND(((N188+N(O188))-(B188+N(C188)))*24,1))</f>
        <v/>
      </c>
      <c r="Q188" s="44" t="str">
        <f aca="false">IF(OR(E188="",A188="",COUNTIFS(Scoresheet!$C$2:$C$501,A188,Scoresheet!$U$2:$U$501,1)=0),"",SUMIFS(Scoresheet!$O$2:$O$501,Scoresheet!$C$2:$C$501,A188,Scoresheet!$U$2:$U$501,1))</f>
        <v/>
      </c>
      <c r="R188" s="44" t="str">
        <f aca="false">IF(E188="","",IF(OR(A188="",COUNTIFS(Scoresheet!$C$2:$C$501,A188,Scoresheet!$U$2:$U$501,1)=0),"No scoresheet yet",IF(SUMIFS(Scoresheet!$N$2:$N$501,Scoresheet!$C$2:$C$501,A188,Scoresheet!$U$2:$U$501,1)&lt;6,"Partly scored ("&amp;SUMIFS(Scoresheet!$N$2:$N$501,Scoresheet!$C$2:$C$501,A188,Scoresheet!$U$2:$U$501,1)&amp;"/6)",IF(Q188&gt;=Settings!$S$8,"Hot",IF(Q188&gt;=Settings!$S$9,"Warm","Cold")))))</f>
        <v/>
      </c>
      <c r="S188" s="44" t="str">
        <f aca="false">IF(OR(E188="",A188=""),"",IF(AND(COUNTIFS(Scoresheet!$C$2:$C$501,A188,Scoresheet!$U$2:$U$501,1,Scoresheet!$H$2:$H$501,"No")&gt;0,COUNTIFS(Scoresheet!$C$2:$C$501,A188,Scoresheet!$U$2:$U$501,1,Scoresheet!$J$2:$J$501,"No")&gt;0),"🚩 Budget  ·  🚩 No one on camera",IF(COUNTIFS(Scoresheet!$C$2:$C$501,A188,Scoresheet!$U$2:$U$501,1,Scoresheet!$H$2:$H$501,"No")&gt;0,"🚩 Budget under AED 5k",IF(COUNTIFS(Scoresheet!$C$2:$C$501,A188,Scoresheet!$U$2:$U$501,1,Scoresheet!$J$2:$J$501,"No")&gt;0,"🚩 No one on camera",""))))</f>
        <v/>
      </c>
      <c r="T188" s="17"/>
      <c r="U188" s="17"/>
      <c r="V188" s="40"/>
      <c r="W188" s="17"/>
      <c r="X188" s="45" t="str">
        <f aca="false">IF(OR(E188="",V188="",OR(U188="Contract signed + paid",U188="Closed – No response",U188="Lost"),N(W188)&gt;=Settings!$S$3),"",V188+Settings!$S$2)</f>
        <v/>
      </c>
      <c r="Y188" s="40"/>
      <c r="Z188" s="41"/>
      <c r="AA188" s="17"/>
      <c r="AB188" s="17"/>
      <c r="AC188" s="17"/>
      <c r="AD188" s="46" t="str">
        <f aca="true">IF(OR(E188="",B188=""),"",INT(TODAY()-B188))</f>
        <v/>
      </c>
      <c r="AE188" s="44" t="str">
        <f aca="true">IF(E188="","",IF(OR(COUNTIFS(Clients!$C$2:$C$501,E188,Clients!$S$2:$S$501,"Paid")&gt;0,AND(I188&lt;&gt;"",COUNTIFS(Clients!$E$2:$E$501,I188,Clients!$S$2:$S$501,"Paid")&gt;0)),"⚠ Refunded before – no free video",IF(OR(U188="Contract signed + paid",U188="Closed – No response",U188="Lost"),"",IF(U188="","Set a stage",IF(AND(U188="Proposal sent",SUMIFS(Scoresheet!$N$2:$N$501,Scoresheet!$C$2:$C$501,A188,Scoresheet!$U$2:$U$501,1)&lt;6),"Score this lead – fill the call scoresheet",IF(N(W188)&gt;=Settings!$S$3,"Close – 4 follow-ups sent",IF(X188="",IF(V188="","Make first contact",""),IF(TODAY()&gt;X188,"OVERDUE follow-up",IF(TODAY()=X188,"Follow up today","")))))))))</f>
        <v/>
      </c>
    </row>
    <row r="189" customFormat="false" ht="15" hidden="false" customHeight="false" outlineLevel="0" collapsed="false">
      <c r="A189" s="17"/>
      <c r="B189" s="40"/>
      <c r="C189" s="41"/>
      <c r="D189" s="17"/>
      <c r="E189" s="17"/>
      <c r="F189" s="17"/>
      <c r="G189" s="17"/>
      <c r="H189" s="17"/>
      <c r="I189" s="42"/>
      <c r="J189" s="17"/>
      <c r="K189" s="17"/>
      <c r="L189" s="17"/>
      <c r="M189" s="17"/>
      <c r="N189" s="40"/>
      <c r="O189" s="41"/>
      <c r="P189" s="43" t="str">
        <f aca="false">IF(OR(B189="",N189=""),"",ROUND(((N189+N(O189))-(B189+N(C189)))*24,1))</f>
        <v/>
      </c>
      <c r="Q189" s="44" t="str">
        <f aca="false">IF(OR(E189="",A189="",COUNTIFS(Scoresheet!$C$2:$C$501,A189,Scoresheet!$U$2:$U$501,1)=0),"",SUMIFS(Scoresheet!$O$2:$O$501,Scoresheet!$C$2:$C$501,A189,Scoresheet!$U$2:$U$501,1))</f>
        <v/>
      </c>
      <c r="R189" s="44" t="str">
        <f aca="false">IF(E189="","",IF(OR(A189="",COUNTIFS(Scoresheet!$C$2:$C$501,A189,Scoresheet!$U$2:$U$501,1)=0),"No scoresheet yet",IF(SUMIFS(Scoresheet!$N$2:$N$501,Scoresheet!$C$2:$C$501,A189,Scoresheet!$U$2:$U$501,1)&lt;6,"Partly scored ("&amp;SUMIFS(Scoresheet!$N$2:$N$501,Scoresheet!$C$2:$C$501,A189,Scoresheet!$U$2:$U$501,1)&amp;"/6)",IF(Q189&gt;=Settings!$S$8,"Hot",IF(Q189&gt;=Settings!$S$9,"Warm","Cold")))))</f>
        <v/>
      </c>
      <c r="S189" s="44" t="str">
        <f aca="false">IF(OR(E189="",A189=""),"",IF(AND(COUNTIFS(Scoresheet!$C$2:$C$501,A189,Scoresheet!$U$2:$U$501,1,Scoresheet!$H$2:$H$501,"No")&gt;0,COUNTIFS(Scoresheet!$C$2:$C$501,A189,Scoresheet!$U$2:$U$501,1,Scoresheet!$J$2:$J$501,"No")&gt;0),"🚩 Budget  ·  🚩 No one on camera",IF(COUNTIFS(Scoresheet!$C$2:$C$501,A189,Scoresheet!$U$2:$U$501,1,Scoresheet!$H$2:$H$501,"No")&gt;0,"🚩 Budget under AED 5k",IF(COUNTIFS(Scoresheet!$C$2:$C$501,A189,Scoresheet!$U$2:$U$501,1,Scoresheet!$J$2:$J$501,"No")&gt;0,"🚩 No one on camera",""))))</f>
        <v/>
      </c>
      <c r="T189" s="17"/>
      <c r="U189" s="17"/>
      <c r="V189" s="40"/>
      <c r="W189" s="17"/>
      <c r="X189" s="45" t="str">
        <f aca="false">IF(OR(E189="",V189="",OR(U189="Contract signed + paid",U189="Closed – No response",U189="Lost"),N(W189)&gt;=Settings!$S$3),"",V189+Settings!$S$2)</f>
        <v/>
      </c>
      <c r="Y189" s="40"/>
      <c r="Z189" s="41"/>
      <c r="AA189" s="17"/>
      <c r="AB189" s="17"/>
      <c r="AC189" s="17"/>
      <c r="AD189" s="46" t="str">
        <f aca="true">IF(OR(E189="",B189=""),"",INT(TODAY()-B189))</f>
        <v/>
      </c>
      <c r="AE189" s="44" t="str">
        <f aca="true">IF(E189="","",IF(OR(COUNTIFS(Clients!$C$2:$C$501,E189,Clients!$S$2:$S$501,"Paid")&gt;0,AND(I189&lt;&gt;"",COUNTIFS(Clients!$E$2:$E$501,I189,Clients!$S$2:$S$501,"Paid")&gt;0)),"⚠ Refunded before – no free video",IF(OR(U189="Contract signed + paid",U189="Closed – No response",U189="Lost"),"",IF(U189="","Set a stage",IF(AND(U189="Proposal sent",SUMIFS(Scoresheet!$N$2:$N$501,Scoresheet!$C$2:$C$501,A189,Scoresheet!$U$2:$U$501,1)&lt;6),"Score this lead – fill the call scoresheet",IF(N(W189)&gt;=Settings!$S$3,"Close – 4 follow-ups sent",IF(X189="",IF(V189="","Make first contact",""),IF(TODAY()&gt;X189,"OVERDUE follow-up",IF(TODAY()=X189,"Follow up today","")))))))))</f>
        <v/>
      </c>
    </row>
    <row r="190" customFormat="false" ht="15" hidden="false" customHeight="false" outlineLevel="0" collapsed="false">
      <c r="A190" s="17"/>
      <c r="B190" s="40"/>
      <c r="C190" s="41"/>
      <c r="D190" s="17"/>
      <c r="E190" s="17"/>
      <c r="F190" s="17"/>
      <c r="G190" s="17"/>
      <c r="H190" s="17"/>
      <c r="I190" s="42"/>
      <c r="J190" s="17"/>
      <c r="K190" s="17"/>
      <c r="L190" s="17"/>
      <c r="M190" s="17"/>
      <c r="N190" s="40"/>
      <c r="O190" s="41"/>
      <c r="P190" s="43" t="str">
        <f aca="false">IF(OR(B190="",N190=""),"",ROUND(((N190+N(O190))-(B190+N(C190)))*24,1))</f>
        <v/>
      </c>
      <c r="Q190" s="44" t="str">
        <f aca="false">IF(OR(E190="",A190="",COUNTIFS(Scoresheet!$C$2:$C$501,A190,Scoresheet!$U$2:$U$501,1)=0),"",SUMIFS(Scoresheet!$O$2:$O$501,Scoresheet!$C$2:$C$501,A190,Scoresheet!$U$2:$U$501,1))</f>
        <v/>
      </c>
      <c r="R190" s="44" t="str">
        <f aca="false">IF(E190="","",IF(OR(A190="",COUNTIFS(Scoresheet!$C$2:$C$501,A190,Scoresheet!$U$2:$U$501,1)=0),"No scoresheet yet",IF(SUMIFS(Scoresheet!$N$2:$N$501,Scoresheet!$C$2:$C$501,A190,Scoresheet!$U$2:$U$501,1)&lt;6,"Partly scored ("&amp;SUMIFS(Scoresheet!$N$2:$N$501,Scoresheet!$C$2:$C$501,A190,Scoresheet!$U$2:$U$501,1)&amp;"/6)",IF(Q190&gt;=Settings!$S$8,"Hot",IF(Q190&gt;=Settings!$S$9,"Warm","Cold")))))</f>
        <v/>
      </c>
      <c r="S190" s="44" t="str">
        <f aca="false">IF(OR(E190="",A190=""),"",IF(AND(COUNTIFS(Scoresheet!$C$2:$C$501,A190,Scoresheet!$U$2:$U$501,1,Scoresheet!$H$2:$H$501,"No")&gt;0,COUNTIFS(Scoresheet!$C$2:$C$501,A190,Scoresheet!$U$2:$U$501,1,Scoresheet!$J$2:$J$501,"No")&gt;0),"🚩 Budget  ·  🚩 No one on camera",IF(COUNTIFS(Scoresheet!$C$2:$C$501,A190,Scoresheet!$U$2:$U$501,1,Scoresheet!$H$2:$H$501,"No")&gt;0,"🚩 Budget under AED 5k",IF(COUNTIFS(Scoresheet!$C$2:$C$501,A190,Scoresheet!$U$2:$U$501,1,Scoresheet!$J$2:$J$501,"No")&gt;0,"🚩 No one on camera",""))))</f>
        <v/>
      </c>
      <c r="T190" s="17"/>
      <c r="U190" s="17"/>
      <c r="V190" s="40"/>
      <c r="W190" s="17"/>
      <c r="X190" s="45" t="str">
        <f aca="false">IF(OR(E190="",V190="",OR(U190="Contract signed + paid",U190="Closed – No response",U190="Lost"),N(W190)&gt;=Settings!$S$3),"",V190+Settings!$S$2)</f>
        <v/>
      </c>
      <c r="Y190" s="40"/>
      <c r="Z190" s="41"/>
      <c r="AA190" s="17"/>
      <c r="AB190" s="17"/>
      <c r="AC190" s="17"/>
      <c r="AD190" s="46" t="str">
        <f aca="true">IF(OR(E190="",B190=""),"",INT(TODAY()-B190))</f>
        <v/>
      </c>
      <c r="AE190" s="44" t="str">
        <f aca="true">IF(E190="","",IF(OR(COUNTIFS(Clients!$C$2:$C$501,E190,Clients!$S$2:$S$501,"Paid")&gt;0,AND(I190&lt;&gt;"",COUNTIFS(Clients!$E$2:$E$501,I190,Clients!$S$2:$S$501,"Paid")&gt;0)),"⚠ Refunded before – no free video",IF(OR(U190="Contract signed + paid",U190="Closed – No response",U190="Lost"),"",IF(U190="","Set a stage",IF(AND(U190="Proposal sent",SUMIFS(Scoresheet!$N$2:$N$501,Scoresheet!$C$2:$C$501,A190,Scoresheet!$U$2:$U$501,1)&lt;6),"Score this lead – fill the call scoresheet",IF(N(W190)&gt;=Settings!$S$3,"Close – 4 follow-ups sent",IF(X190="",IF(V190="","Make first contact",""),IF(TODAY()&gt;X190,"OVERDUE follow-up",IF(TODAY()=X190,"Follow up today","")))))))))</f>
        <v/>
      </c>
    </row>
    <row r="191" customFormat="false" ht="15" hidden="false" customHeight="false" outlineLevel="0" collapsed="false">
      <c r="A191" s="17"/>
      <c r="B191" s="40"/>
      <c r="C191" s="41"/>
      <c r="D191" s="17"/>
      <c r="E191" s="17"/>
      <c r="F191" s="17"/>
      <c r="G191" s="17"/>
      <c r="H191" s="17"/>
      <c r="I191" s="42"/>
      <c r="J191" s="17"/>
      <c r="K191" s="17"/>
      <c r="L191" s="17"/>
      <c r="M191" s="17"/>
      <c r="N191" s="40"/>
      <c r="O191" s="41"/>
      <c r="P191" s="43" t="str">
        <f aca="false">IF(OR(B191="",N191=""),"",ROUND(((N191+N(O191))-(B191+N(C191)))*24,1))</f>
        <v/>
      </c>
      <c r="Q191" s="44" t="str">
        <f aca="false">IF(OR(E191="",A191="",COUNTIFS(Scoresheet!$C$2:$C$501,A191,Scoresheet!$U$2:$U$501,1)=0),"",SUMIFS(Scoresheet!$O$2:$O$501,Scoresheet!$C$2:$C$501,A191,Scoresheet!$U$2:$U$501,1))</f>
        <v/>
      </c>
      <c r="R191" s="44" t="str">
        <f aca="false">IF(E191="","",IF(OR(A191="",COUNTIFS(Scoresheet!$C$2:$C$501,A191,Scoresheet!$U$2:$U$501,1)=0),"No scoresheet yet",IF(SUMIFS(Scoresheet!$N$2:$N$501,Scoresheet!$C$2:$C$501,A191,Scoresheet!$U$2:$U$501,1)&lt;6,"Partly scored ("&amp;SUMIFS(Scoresheet!$N$2:$N$501,Scoresheet!$C$2:$C$501,A191,Scoresheet!$U$2:$U$501,1)&amp;"/6)",IF(Q191&gt;=Settings!$S$8,"Hot",IF(Q191&gt;=Settings!$S$9,"Warm","Cold")))))</f>
        <v/>
      </c>
      <c r="S191" s="44" t="str">
        <f aca="false">IF(OR(E191="",A191=""),"",IF(AND(COUNTIFS(Scoresheet!$C$2:$C$501,A191,Scoresheet!$U$2:$U$501,1,Scoresheet!$H$2:$H$501,"No")&gt;0,COUNTIFS(Scoresheet!$C$2:$C$501,A191,Scoresheet!$U$2:$U$501,1,Scoresheet!$J$2:$J$501,"No")&gt;0),"🚩 Budget  ·  🚩 No one on camera",IF(COUNTIFS(Scoresheet!$C$2:$C$501,A191,Scoresheet!$U$2:$U$501,1,Scoresheet!$H$2:$H$501,"No")&gt;0,"🚩 Budget under AED 5k",IF(COUNTIFS(Scoresheet!$C$2:$C$501,A191,Scoresheet!$U$2:$U$501,1,Scoresheet!$J$2:$J$501,"No")&gt;0,"🚩 No one on camera",""))))</f>
        <v/>
      </c>
      <c r="T191" s="17"/>
      <c r="U191" s="17"/>
      <c r="V191" s="40"/>
      <c r="W191" s="17"/>
      <c r="X191" s="45" t="str">
        <f aca="false">IF(OR(E191="",V191="",OR(U191="Contract signed + paid",U191="Closed – No response",U191="Lost"),N(W191)&gt;=Settings!$S$3),"",V191+Settings!$S$2)</f>
        <v/>
      </c>
      <c r="Y191" s="40"/>
      <c r="Z191" s="41"/>
      <c r="AA191" s="17"/>
      <c r="AB191" s="17"/>
      <c r="AC191" s="17"/>
      <c r="AD191" s="46" t="str">
        <f aca="true">IF(OR(E191="",B191=""),"",INT(TODAY()-B191))</f>
        <v/>
      </c>
      <c r="AE191" s="44" t="str">
        <f aca="true">IF(E191="","",IF(OR(COUNTIFS(Clients!$C$2:$C$501,E191,Clients!$S$2:$S$501,"Paid")&gt;0,AND(I191&lt;&gt;"",COUNTIFS(Clients!$E$2:$E$501,I191,Clients!$S$2:$S$501,"Paid")&gt;0)),"⚠ Refunded before – no free video",IF(OR(U191="Contract signed + paid",U191="Closed – No response",U191="Lost"),"",IF(U191="","Set a stage",IF(AND(U191="Proposal sent",SUMIFS(Scoresheet!$N$2:$N$501,Scoresheet!$C$2:$C$501,A191,Scoresheet!$U$2:$U$501,1)&lt;6),"Score this lead – fill the call scoresheet",IF(N(W191)&gt;=Settings!$S$3,"Close – 4 follow-ups sent",IF(X191="",IF(V191="","Make first contact",""),IF(TODAY()&gt;X191,"OVERDUE follow-up",IF(TODAY()=X191,"Follow up today","")))))))))</f>
        <v/>
      </c>
    </row>
    <row r="192" customFormat="false" ht="15" hidden="false" customHeight="false" outlineLevel="0" collapsed="false">
      <c r="A192" s="17"/>
      <c r="B192" s="40"/>
      <c r="C192" s="41"/>
      <c r="D192" s="17"/>
      <c r="E192" s="17"/>
      <c r="F192" s="17"/>
      <c r="G192" s="17"/>
      <c r="H192" s="17"/>
      <c r="I192" s="42"/>
      <c r="J192" s="17"/>
      <c r="K192" s="17"/>
      <c r="L192" s="17"/>
      <c r="M192" s="17"/>
      <c r="N192" s="40"/>
      <c r="O192" s="41"/>
      <c r="P192" s="43" t="str">
        <f aca="false">IF(OR(B192="",N192=""),"",ROUND(((N192+N(O192))-(B192+N(C192)))*24,1))</f>
        <v/>
      </c>
      <c r="Q192" s="44" t="str">
        <f aca="false">IF(OR(E192="",A192="",COUNTIFS(Scoresheet!$C$2:$C$501,A192,Scoresheet!$U$2:$U$501,1)=0),"",SUMIFS(Scoresheet!$O$2:$O$501,Scoresheet!$C$2:$C$501,A192,Scoresheet!$U$2:$U$501,1))</f>
        <v/>
      </c>
      <c r="R192" s="44" t="str">
        <f aca="false">IF(E192="","",IF(OR(A192="",COUNTIFS(Scoresheet!$C$2:$C$501,A192,Scoresheet!$U$2:$U$501,1)=0),"No scoresheet yet",IF(SUMIFS(Scoresheet!$N$2:$N$501,Scoresheet!$C$2:$C$501,A192,Scoresheet!$U$2:$U$501,1)&lt;6,"Partly scored ("&amp;SUMIFS(Scoresheet!$N$2:$N$501,Scoresheet!$C$2:$C$501,A192,Scoresheet!$U$2:$U$501,1)&amp;"/6)",IF(Q192&gt;=Settings!$S$8,"Hot",IF(Q192&gt;=Settings!$S$9,"Warm","Cold")))))</f>
        <v/>
      </c>
      <c r="S192" s="44" t="str">
        <f aca="false">IF(OR(E192="",A192=""),"",IF(AND(COUNTIFS(Scoresheet!$C$2:$C$501,A192,Scoresheet!$U$2:$U$501,1,Scoresheet!$H$2:$H$501,"No")&gt;0,COUNTIFS(Scoresheet!$C$2:$C$501,A192,Scoresheet!$U$2:$U$501,1,Scoresheet!$J$2:$J$501,"No")&gt;0),"🚩 Budget  ·  🚩 No one on camera",IF(COUNTIFS(Scoresheet!$C$2:$C$501,A192,Scoresheet!$U$2:$U$501,1,Scoresheet!$H$2:$H$501,"No")&gt;0,"🚩 Budget under AED 5k",IF(COUNTIFS(Scoresheet!$C$2:$C$501,A192,Scoresheet!$U$2:$U$501,1,Scoresheet!$J$2:$J$501,"No")&gt;0,"🚩 No one on camera",""))))</f>
        <v/>
      </c>
      <c r="T192" s="17"/>
      <c r="U192" s="17"/>
      <c r="V192" s="40"/>
      <c r="W192" s="17"/>
      <c r="X192" s="45" t="str">
        <f aca="false">IF(OR(E192="",V192="",OR(U192="Contract signed + paid",U192="Closed – No response",U192="Lost"),N(W192)&gt;=Settings!$S$3),"",V192+Settings!$S$2)</f>
        <v/>
      </c>
      <c r="Y192" s="40"/>
      <c r="Z192" s="41"/>
      <c r="AA192" s="17"/>
      <c r="AB192" s="17"/>
      <c r="AC192" s="17"/>
      <c r="AD192" s="46" t="str">
        <f aca="true">IF(OR(E192="",B192=""),"",INT(TODAY()-B192))</f>
        <v/>
      </c>
      <c r="AE192" s="44" t="str">
        <f aca="true">IF(E192="","",IF(OR(COUNTIFS(Clients!$C$2:$C$501,E192,Clients!$S$2:$S$501,"Paid")&gt;0,AND(I192&lt;&gt;"",COUNTIFS(Clients!$E$2:$E$501,I192,Clients!$S$2:$S$501,"Paid")&gt;0)),"⚠ Refunded before – no free video",IF(OR(U192="Contract signed + paid",U192="Closed – No response",U192="Lost"),"",IF(U192="","Set a stage",IF(AND(U192="Proposal sent",SUMIFS(Scoresheet!$N$2:$N$501,Scoresheet!$C$2:$C$501,A192,Scoresheet!$U$2:$U$501,1)&lt;6),"Score this lead – fill the call scoresheet",IF(N(W192)&gt;=Settings!$S$3,"Close – 4 follow-ups sent",IF(X192="",IF(V192="","Make first contact",""),IF(TODAY()&gt;X192,"OVERDUE follow-up",IF(TODAY()=X192,"Follow up today","")))))))))</f>
        <v/>
      </c>
    </row>
    <row r="193" customFormat="false" ht="15" hidden="false" customHeight="false" outlineLevel="0" collapsed="false">
      <c r="A193" s="17"/>
      <c r="B193" s="40"/>
      <c r="C193" s="41"/>
      <c r="D193" s="17"/>
      <c r="E193" s="17"/>
      <c r="F193" s="17"/>
      <c r="G193" s="17"/>
      <c r="H193" s="17"/>
      <c r="I193" s="42"/>
      <c r="J193" s="17"/>
      <c r="K193" s="17"/>
      <c r="L193" s="17"/>
      <c r="M193" s="17"/>
      <c r="N193" s="40"/>
      <c r="O193" s="41"/>
      <c r="P193" s="43" t="str">
        <f aca="false">IF(OR(B193="",N193=""),"",ROUND(((N193+N(O193))-(B193+N(C193)))*24,1))</f>
        <v/>
      </c>
      <c r="Q193" s="44" t="str">
        <f aca="false">IF(OR(E193="",A193="",COUNTIFS(Scoresheet!$C$2:$C$501,A193,Scoresheet!$U$2:$U$501,1)=0),"",SUMIFS(Scoresheet!$O$2:$O$501,Scoresheet!$C$2:$C$501,A193,Scoresheet!$U$2:$U$501,1))</f>
        <v/>
      </c>
      <c r="R193" s="44" t="str">
        <f aca="false">IF(E193="","",IF(OR(A193="",COUNTIFS(Scoresheet!$C$2:$C$501,A193,Scoresheet!$U$2:$U$501,1)=0),"No scoresheet yet",IF(SUMIFS(Scoresheet!$N$2:$N$501,Scoresheet!$C$2:$C$501,A193,Scoresheet!$U$2:$U$501,1)&lt;6,"Partly scored ("&amp;SUMIFS(Scoresheet!$N$2:$N$501,Scoresheet!$C$2:$C$501,A193,Scoresheet!$U$2:$U$501,1)&amp;"/6)",IF(Q193&gt;=Settings!$S$8,"Hot",IF(Q193&gt;=Settings!$S$9,"Warm","Cold")))))</f>
        <v/>
      </c>
      <c r="S193" s="44" t="str">
        <f aca="false">IF(OR(E193="",A193=""),"",IF(AND(COUNTIFS(Scoresheet!$C$2:$C$501,A193,Scoresheet!$U$2:$U$501,1,Scoresheet!$H$2:$H$501,"No")&gt;0,COUNTIFS(Scoresheet!$C$2:$C$501,A193,Scoresheet!$U$2:$U$501,1,Scoresheet!$J$2:$J$501,"No")&gt;0),"🚩 Budget  ·  🚩 No one on camera",IF(COUNTIFS(Scoresheet!$C$2:$C$501,A193,Scoresheet!$U$2:$U$501,1,Scoresheet!$H$2:$H$501,"No")&gt;0,"🚩 Budget under AED 5k",IF(COUNTIFS(Scoresheet!$C$2:$C$501,A193,Scoresheet!$U$2:$U$501,1,Scoresheet!$J$2:$J$501,"No")&gt;0,"🚩 No one on camera",""))))</f>
        <v/>
      </c>
      <c r="T193" s="17"/>
      <c r="U193" s="17"/>
      <c r="V193" s="40"/>
      <c r="W193" s="17"/>
      <c r="X193" s="45" t="str">
        <f aca="false">IF(OR(E193="",V193="",OR(U193="Contract signed + paid",U193="Closed – No response",U193="Lost"),N(W193)&gt;=Settings!$S$3),"",V193+Settings!$S$2)</f>
        <v/>
      </c>
      <c r="Y193" s="40"/>
      <c r="Z193" s="41"/>
      <c r="AA193" s="17"/>
      <c r="AB193" s="17"/>
      <c r="AC193" s="17"/>
      <c r="AD193" s="46" t="str">
        <f aca="true">IF(OR(E193="",B193=""),"",INT(TODAY()-B193))</f>
        <v/>
      </c>
      <c r="AE193" s="44" t="str">
        <f aca="true">IF(E193="","",IF(OR(COUNTIFS(Clients!$C$2:$C$501,E193,Clients!$S$2:$S$501,"Paid")&gt;0,AND(I193&lt;&gt;"",COUNTIFS(Clients!$E$2:$E$501,I193,Clients!$S$2:$S$501,"Paid")&gt;0)),"⚠ Refunded before – no free video",IF(OR(U193="Contract signed + paid",U193="Closed – No response",U193="Lost"),"",IF(U193="","Set a stage",IF(AND(U193="Proposal sent",SUMIFS(Scoresheet!$N$2:$N$501,Scoresheet!$C$2:$C$501,A193,Scoresheet!$U$2:$U$501,1)&lt;6),"Score this lead – fill the call scoresheet",IF(N(W193)&gt;=Settings!$S$3,"Close – 4 follow-ups sent",IF(X193="",IF(V193="","Make first contact",""),IF(TODAY()&gt;X193,"OVERDUE follow-up",IF(TODAY()=X193,"Follow up today","")))))))))</f>
        <v/>
      </c>
    </row>
    <row r="194" customFormat="false" ht="15" hidden="false" customHeight="false" outlineLevel="0" collapsed="false">
      <c r="A194" s="17"/>
      <c r="B194" s="40"/>
      <c r="C194" s="41"/>
      <c r="D194" s="17"/>
      <c r="E194" s="17"/>
      <c r="F194" s="17"/>
      <c r="G194" s="17"/>
      <c r="H194" s="17"/>
      <c r="I194" s="42"/>
      <c r="J194" s="17"/>
      <c r="K194" s="17"/>
      <c r="L194" s="17"/>
      <c r="M194" s="17"/>
      <c r="N194" s="40"/>
      <c r="O194" s="41"/>
      <c r="P194" s="43" t="str">
        <f aca="false">IF(OR(B194="",N194=""),"",ROUND(((N194+N(O194))-(B194+N(C194)))*24,1))</f>
        <v/>
      </c>
      <c r="Q194" s="44" t="str">
        <f aca="false">IF(OR(E194="",A194="",COUNTIFS(Scoresheet!$C$2:$C$501,A194,Scoresheet!$U$2:$U$501,1)=0),"",SUMIFS(Scoresheet!$O$2:$O$501,Scoresheet!$C$2:$C$501,A194,Scoresheet!$U$2:$U$501,1))</f>
        <v/>
      </c>
      <c r="R194" s="44" t="str">
        <f aca="false">IF(E194="","",IF(OR(A194="",COUNTIFS(Scoresheet!$C$2:$C$501,A194,Scoresheet!$U$2:$U$501,1)=0),"No scoresheet yet",IF(SUMIFS(Scoresheet!$N$2:$N$501,Scoresheet!$C$2:$C$501,A194,Scoresheet!$U$2:$U$501,1)&lt;6,"Partly scored ("&amp;SUMIFS(Scoresheet!$N$2:$N$501,Scoresheet!$C$2:$C$501,A194,Scoresheet!$U$2:$U$501,1)&amp;"/6)",IF(Q194&gt;=Settings!$S$8,"Hot",IF(Q194&gt;=Settings!$S$9,"Warm","Cold")))))</f>
        <v/>
      </c>
      <c r="S194" s="44" t="str">
        <f aca="false">IF(OR(E194="",A194=""),"",IF(AND(COUNTIFS(Scoresheet!$C$2:$C$501,A194,Scoresheet!$U$2:$U$501,1,Scoresheet!$H$2:$H$501,"No")&gt;0,COUNTIFS(Scoresheet!$C$2:$C$501,A194,Scoresheet!$U$2:$U$501,1,Scoresheet!$J$2:$J$501,"No")&gt;0),"🚩 Budget  ·  🚩 No one on camera",IF(COUNTIFS(Scoresheet!$C$2:$C$501,A194,Scoresheet!$U$2:$U$501,1,Scoresheet!$H$2:$H$501,"No")&gt;0,"🚩 Budget under AED 5k",IF(COUNTIFS(Scoresheet!$C$2:$C$501,A194,Scoresheet!$U$2:$U$501,1,Scoresheet!$J$2:$J$501,"No")&gt;0,"🚩 No one on camera",""))))</f>
        <v/>
      </c>
      <c r="T194" s="17"/>
      <c r="U194" s="17"/>
      <c r="V194" s="40"/>
      <c r="W194" s="17"/>
      <c r="X194" s="45" t="str">
        <f aca="false">IF(OR(E194="",V194="",OR(U194="Contract signed + paid",U194="Closed – No response",U194="Lost"),N(W194)&gt;=Settings!$S$3),"",V194+Settings!$S$2)</f>
        <v/>
      </c>
      <c r="Y194" s="40"/>
      <c r="Z194" s="41"/>
      <c r="AA194" s="17"/>
      <c r="AB194" s="17"/>
      <c r="AC194" s="17"/>
      <c r="AD194" s="46" t="str">
        <f aca="true">IF(OR(E194="",B194=""),"",INT(TODAY()-B194))</f>
        <v/>
      </c>
      <c r="AE194" s="44" t="str">
        <f aca="true">IF(E194="","",IF(OR(COUNTIFS(Clients!$C$2:$C$501,E194,Clients!$S$2:$S$501,"Paid")&gt;0,AND(I194&lt;&gt;"",COUNTIFS(Clients!$E$2:$E$501,I194,Clients!$S$2:$S$501,"Paid")&gt;0)),"⚠ Refunded before – no free video",IF(OR(U194="Contract signed + paid",U194="Closed – No response",U194="Lost"),"",IF(U194="","Set a stage",IF(AND(U194="Proposal sent",SUMIFS(Scoresheet!$N$2:$N$501,Scoresheet!$C$2:$C$501,A194,Scoresheet!$U$2:$U$501,1)&lt;6),"Score this lead – fill the call scoresheet",IF(N(W194)&gt;=Settings!$S$3,"Close – 4 follow-ups sent",IF(X194="",IF(V194="","Make first contact",""),IF(TODAY()&gt;X194,"OVERDUE follow-up",IF(TODAY()=X194,"Follow up today","")))))))))</f>
        <v/>
      </c>
    </row>
    <row r="195" customFormat="false" ht="15" hidden="false" customHeight="false" outlineLevel="0" collapsed="false">
      <c r="A195" s="17"/>
      <c r="B195" s="40"/>
      <c r="C195" s="41"/>
      <c r="D195" s="17"/>
      <c r="E195" s="17"/>
      <c r="F195" s="17"/>
      <c r="G195" s="17"/>
      <c r="H195" s="17"/>
      <c r="I195" s="42"/>
      <c r="J195" s="17"/>
      <c r="K195" s="17"/>
      <c r="L195" s="17"/>
      <c r="M195" s="17"/>
      <c r="N195" s="40"/>
      <c r="O195" s="41"/>
      <c r="P195" s="43" t="str">
        <f aca="false">IF(OR(B195="",N195=""),"",ROUND(((N195+N(O195))-(B195+N(C195)))*24,1))</f>
        <v/>
      </c>
      <c r="Q195" s="44" t="str">
        <f aca="false">IF(OR(E195="",A195="",COUNTIFS(Scoresheet!$C$2:$C$501,A195,Scoresheet!$U$2:$U$501,1)=0),"",SUMIFS(Scoresheet!$O$2:$O$501,Scoresheet!$C$2:$C$501,A195,Scoresheet!$U$2:$U$501,1))</f>
        <v/>
      </c>
      <c r="R195" s="44" t="str">
        <f aca="false">IF(E195="","",IF(OR(A195="",COUNTIFS(Scoresheet!$C$2:$C$501,A195,Scoresheet!$U$2:$U$501,1)=0),"No scoresheet yet",IF(SUMIFS(Scoresheet!$N$2:$N$501,Scoresheet!$C$2:$C$501,A195,Scoresheet!$U$2:$U$501,1)&lt;6,"Partly scored ("&amp;SUMIFS(Scoresheet!$N$2:$N$501,Scoresheet!$C$2:$C$501,A195,Scoresheet!$U$2:$U$501,1)&amp;"/6)",IF(Q195&gt;=Settings!$S$8,"Hot",IF(Q195&gt;=Settings!$S$9,"Warm","Cold")))))</f>
        <v/>
      </c>
      <c r="S195" s="44" t="str">
        <f aca="false">IF(OR(E195="",A195=""),"",IF(AND(COUNTIFS(Scoresheet!$C$2:$C$501,A195,Scoresheet!$U$2:$U$501,1,Scoresheet!$H$2:$H$501,"No")&gt;0,COUNTIFS(Scoresheet!$C$2:$C$501,A195,Scoresheet!$U$2:$U$501,1,Scoresheet!$J$2:$J$501,"No")&gt;0),"🚩 Budget  ·  🚩 No one on camera",IF(COUNTIFS(Scoresheet!$C$2:$C$501,A195,Scoresheet!$U$2:$U$501,1,Scoresheet!$H$2:$H$501,"No")&gt;0,"🚩 Budget under AED 5k",IF(COUNTIFS(Scoresheet!$C$2:$C$501,A195,Scoresheet!$U$2:$U$501,1,Scoresheet!$J$2:$J$501,"No")&gt;0,"🚩 No one on camera",""))))</f>
        <v/>
      </c>
      <c r="T195" s="17"/>
      <c r="U195" s="17"/>
      <c r="V195" s="40"/>
      <c r="W195" s="17"/>
      <c r="X195" s="45" t="str">
        <f aca="false">IF(OR(E195="",V195="",OR(U195="Contract signed + paid",U195="Closed – No response",U195="Lost"),N(W195)&gt;=Settings!$S$3),"",V195+Settings!$S$2)</f>
        <v/>
      </c>
      <c r="Y195" s="40"/>
      <c r="Z195" s="41"/>
      <c r="AA195" s="17"/>
      <c r="AB195" s="17"/>
      <c r="AC195" s="17"/>
      <c r="AD195" s="46" t="str">
        <f aca="true">IF(OR(E195="",B195=""),"",INT(TODAY()-B195))</f>
        <v/>
      </c>
      <c r="AE195" s="44" t="str">
        <f aca="true">IF(E195="","",IF(OR(COUNTIFS(Clients!$C$2:$C$501,E195,Clients!$S$2:$S$501,"Paid")&gt;0,AND(I195&lt;&gt;"",COUNTIFS(Clients!$E$2:$E$501,I195,Clients!$S$2:$S$501,"Paid")&gt;0)),"⚠ Refunded before – no free video",IF(OR(U195="Contract signed + paid",U195="Closed – No response",U195="Lost"),"",IF(U195="","Set a stage",IF(AND(U195="Proposal sent",SUMIFS(Scoresheet!$N$2:$N$501,Scoresheet!$C$2:$C$501,A195,Scoresheet!$U$2:$U$501,1)&lt;6),"Score this lead – fill the call scoresheet",IF(N(W195)&gt;=Settings!$S$3,"Close – 4 follow-ups sent",IF(X195="",IF(V195="","Make first contact",""),IF(TODAY()&gt;X195,"OVERDUE follow-up",IF(TODAY()=X195,"Follow up today","")))))))))</f>
        <v/>
      </c>
    </row>
    <row r="196" customFormat="false" ht="15" hidden="false" customHeight="false" outlineLevel="0" collapsed="false">
      <c r="A196" s="17"/>
      <c r="B196" s="40"/>
      <c r="C196" s="41"/>
      <c r="D196" s="17"/>
      <c r="E196" s="17"/>
      <c r="F196" s="17"/>
      <c r="G196" s="17"/>
      <c r="H196" s="17"/>
      <c r="I196" s="42"/>
      <c r="J196" s="17"/>
      <c r="K196" s="17"/>
      <c r="L196" s="17"/>
      <c r="M196" s="17"/>
      <c r="N196" s="40"/>
      <c r="O196" s="41"/>
      <c r="P196" s="43" t="str">
        <f aca="false">IF(OR(B196="",N196=""),"",ROUND(((N196+N(O196))-(B196+N(C196)))*24,1))</f>
        <v/>
      </c>
      <c r="Q196" s="44" t="str">
        <f aca="false">IF(OR(E196="",A196="",COUNTIFS(Scoresheet!$C$2:$C$501,A196,Scoresheet!$U$2:$U$501,1)=0),"",SUMIFS(Scoresheet!$O$2:$O$501,Scoresheet!$C$2:$C$501,A196,Scoresheet!$U$2:$U$501,1))</f>
        <v/>
      </c>
      <c r="R196" s="44" t="str">
        <f aca="false">IF(E196="","",IF(OR(A196="",COUNTIFS(Scoresheet!$C$2:$C$501,A196,Scoresheet!$U$2:$U$501,1)=0),"No scoresheet yet",IF(SUMIFS(Scoresheet!$N$2:$N$501,Scoresheet!$C$2:$C$501,A196,Scoresheet!$U$2:$U$501,1)&lt;6,"Partly scored ("&amp;SUMIFS(Scoresheet!$N$2:$N$501,Scoresheet!$C$2:$C$501,A196,Scoresheet!$U$2:$U$501,1)&amp;"/6)",IF(Q196&gt;=Settings!$S$8,"Hot",IF(Q196&gt;=Settings!$S$9,"Warm","Cold")))))</f>
        <v/>
      </c>
      <c r="S196" s="44" t="str">
        <f aca="false">IF(OR(E196="",A196=""),"",IF(AND(COUNTIFS(Scoresheet!$C$2:$C$501,A196,Scoresheet!$U$2:$U$501,1,Scoresheet!$H$2:$H$501,"No")&gt;0,COUNTIFS(Scoresheet!$C$2:$C$501,A196,Scoresheet!$U$2:$U$501,1,Scoresheet!$J$2:$J$501,"No")&gt;0),"🚩 Budget  ·  🚩 No one on camera",IF(COUNTIFS(Scoresheet!$C$2:$C$501,A196,Scoresheet!$U$2:$U$501,1,Scoresheet!$H$2:$H$501,"No")&gt;0,"🚩 Budget under AED 5k",IF(COUNTIFS(Scoresheet!$C$2:$C$501,A196,Scoresheet!$U$2:$U$501,1,Scoresheet!$J$2:$J$501,"No")&gt;0,"🚩 No one on camera",""))))</f>
        <v/>
      </c>
      <c r="T196" s="17"/>
      <c r="U196" s="17"/>
      <c r="V196" s="40"/>
      <c r="W196" s="17"/>
      <c r="X196" s="45" t="str">
        <f aca="false">IF(OR(E196="",V196="",OR(U196="Contract signed + paid",U196="Closed – No response",U196="Lost"),N(W196)&gt;=Settings!$S$3),"",V196+Settings!$S$2)</f>
        <v/>
      </c>
      <c r="Y196" s="40"/>
      <c r="Z196" s="41"/>
      <c r="AA196" s="17"/>
      <c r="AB196" s="17"/>
      <c r="AC196" s="17"/>
      <c r="AD196" s="46" t="str">
        <f aca="true">IF(OR(E196="",B196=""),"",INT(TODAY()-B196))</f>
        <v/>
      </c>
      <c r="AE196" s="44" t="str">
        <f aca="true">IF(E196="","",IF(OR(COUNTIFS(Clients!$C$2:$C$501,E196,Clients!$S$2:$S$501,"Paid")&gt;0,AND(I196&lt;&gt;"",COUNTIFS(Clients!$E$2:$E$501,I196,Clients!$S$2:$S$501,"Paid")&gt;0)),"⚠ Refunded before – no free video",IF(OR(U196="Contract signed + paid",U196="Closed – No response",U196="Lost"),"",IF(U196="","Set a stage",IF(AND(U196="Proposal sent",SUMIFS(Scoresheet!$N$2:$N$501,Scoresheet!$C$2:$C$501,A196,Scoresheet!$U$2:$U$501,1)&lt;6),"Score this lead – fill the call scoresheet",IF(N(W196)&gt;=Settings!$S$3,"Close – 4 follow-ups sent",IF(X196="",IF(V196="","Make first contact",""),IF(TODAY()&gt;X196,"OVERDUE follow-up",IF(TODAY()=X196,"Follow up today","")))))))))</f>
        <v/>
      </c>
    </row>
    <row r="197" customFormat="false" ht="15" hidden="false" customHeight="false" outlineLevel="0" collapsed="false">
      <c r="A197" s="17"/>
      <c r="B197" s="40"/>
      <c r="C197" s="41"/>
      <c r="D197" s="17"/>
      <c r="E197" s="17"/>
      <c r="F197" s="17"/>
      <c r="G197" s="17"/>
      <c r="H197" s="17"/>
      <c r="I197" s="42"/>
      <c r="J197" s="17"/>
      <c r="K197" s="17"/>
      <c r="L197" s="17"/>
      <c r="M197" s="17"/>
      <c r="N197" s="40"/>
      <c r="O197" s="41"/>
      <c r="P197" s="43" t="str">
        <f aca="false">IF(OR(B197="",N197=""),"",ROUND(((N197+N(O197))-(B197+N(C197)))*24,1))</f>
        <v/>
      </c>
      <c r="Q197" s="44" t="str">
        <f aca="false">IF(OR(E197="",A197="",COUNTIFS(Scoresheet!$C$2:$C$501,A197,Scoresheet!$U$2:$U$501,1)=0),"",SUMIFS(Scoresheet!$O$2:$O$501,Scoresheet!$C$2:$C$501,A197,Scoresheet!$U$2:$U$501,1))</f>
        <v/>
      </c>
      <c r="R197" s="44" t="str">
        <f aca="false">IF(E197="","",IF(OR(A197="",COUNTIFS(Scoresheet!$C$2:$C$501,A197,Scoresheet!$U$2:$U$501,1)=0),"No scoresheet yet",IF(SUMIFS(Scoresheet!$N$2:$N$501,Scoresheet!$C$2:$C$501,A197,Scoresheet!$U$2:$U$501,1)&lt;6,"Partly scored ("&amp;SUMIFS(Scoresheet!$N$2:$N$501,Scoresheet!$C$2:$C$501,A197,Scoresheet!$U$2:$U$501,1)&amp;"/6)",IF(Q197&gt;=Settings!$S$8,"Hot",IF(Q197&gt;=Settings!$S$9,"Warm","Cold")))))</f>
        <v/>
      </c>
      <c r="S197" s="44" t="str">
        <f aca="false">IF(OR(E197="",A197=""),"",IF(AND(COUNTIFS(Scoresheet!$C$2:$C$501,A197,Scoresheet!$U$2:$U$501,1,Scoresheet!$H$2:$H$501,"No")&gt;0,COUNTIFS(Scoresheet!$C$2:$C$501,A197,Scoresheet!$U$2:$U$501,1,Scoresheet!$J$2:$J$501,"No")&gt;0),"🚩 Budget  ·  🚩 No one on camera",IF(COUNTIFS(Scoresheet!$C$2:$C$501,A197,Scoresheet!$U$2:$U$501,1,Scoresheet!$H$2:$H$501,"No")&gt;0,"🚩 Budget under AED 5k",IF(COUNTIFS(Scoresheet!$C$2:$C$501,A197,Scoresheet!$U$2:$U$501,1,Scoresheet!$J$2:$J$501,"No")&gt;0,"🚩 No one on camera",""))))</f>
        <v/>
      </c>
      <c r="T197" s="17"/>
      <c r="U197" s="17"/>
      <c r="V197" s="40"/>
      <c r="W197" s="17"/>
      <c r="X197" s="45" t="str">
        <f aca="false">IF(OR(E197="",V197="",OR(U197="Contract signed + paid",U197="Closed – No response",U197="Lost"),N(W197)&gt;=Settings!$S$3),"",V197+Settings!$S$2)</f>
        <v/>
      </c>
      <c r="Y197" s="40"/>
      <c r="Z197" s="41"/>
      <c r="AA197" s="17"/>
      <c r="AB197" s="17"/>
      <c r="AC197" s="17"/>
      <c r="AD197" s="46" t="str">
        <f aca="true">IF(OR(E197="",B197=""),"",INT(TODAY()-B197))</f>
        <v/>
      </c>
      <c r="AE197" s="44" t="str">
        <f aca="true">IF(E197="","",IF(OR(COUNTIFS(Clients!$C$2:$C$501,E197,Clients!$S$2:$S$501,"Paid")&gt;0,AND(I197&lt;&gt;"",COUNTIFS(Clients!$E$2:$E$501,I197,Clients!$S$2:$S$501,"Paid")&gt;0)),"⚠ Refunded before – no free video",IF(OR(U197="Contract signed + paid",U197="Closed – No response",U197="Lost"),"",IF(U197="","Set a stage",IF(AND(U197="Proposal sent",SUMIFS(Scoresheet!$N$2:$N$501,Scoresheet!$C$2:$C$501,A197,Scoresheet!$U$2:$U$501,1)&lt;6),"Score this lead – fill the call scoresheet",IF(N(W197)&gt;=Settings!$S$3,"Close – 4 follow-ups sent",IF(X197="",IF(V197="","Make first contact",""),IF(TODAY()&gt;X197,"OVERDUE follow-up",IF(TODAY()=X197,"Follow up today","")))))))))</f>
        <v/>
      </c>
    </row>
    <row r="198" customFormat="false" ht="15" hidden="false" customHeight="false" outlineLevel="0" collapsed="false">
      <c r="A198" s="17"/>
      <c r="B198" s="40"/>
      <c r="C198" s="41"/>
      <c r="D198" s="17"/>
      <c r="E198" s="17"/>
      <c r="F198" s="17"/>
      <c r="G198" s="17"/>
      <c r="H198" s="17"/>
      <c r="I198" s="42"/>
      <c r="J198" s="17"/>
      <c r="K198" s="17"/>
      <c r="L198" s="17"/>
      <c r="M198" s="17"/>
      <c r="N198" s="40"/>
      <c r="O198" s="41"/>
      <c r="P198" s="43" t="str">
        <f aca="false">IF(OR(B198="",N198=""),"",ROUND(((N198+N(O198))-(B198+N(C198)))*24,1))</f>
        <v/>
      </c>
      <c r="Q198" s="44" t="str">
        <f aca="false">IF(OR(E198="",A198="",COUNTIFS(Scoresheet!$C$2:$C$501,A198,Scoresheet!$U$2:$U$501,1)=0),"",SUMIFS(Scoresheet!$O$2:$O$501,Scoresheet!$C$2:$C$501,A198,Scoresheet!$U$2:$U$501,1))</f>
        <v/>
      </c>
      <c r="R198" s="44" t="str">
        <f aca="false">IF(E198="","",IF(OR(A198="",COUNTIFS(Scoresheet!$C$2:$C$501,A198,Scoresheet!$U$2:$U$501,1)=0),"No scoresheet yet",IF(SUMIFS(Scoresheet!$N$2:$N$501,Scoresheet!$C$2:$C$501,A198,Scoresheet!$U$2:$U$501,1)&lt;6,"Partly scored ("&amp;SUMIFS(Scoresheet!$N$2:$N$501,Scoresheet!$C$2:$C$501,A198,Scoresheet!$U$2:$U$501,1)&amp;"/6)",IF(Q198&gt;=Settings!$S$8,"Hot",IF(Q198&gt;=Settings!$S$9,"Warm","Cold")))))</f>
        <v/>
      </c>
      <c r="S198" s="44" t="str">
        <f aca="false">IF(OR(E198="",A198=""),"",IF(AND(COUNTIFS(Scoresheet!$C$2:$C$501,A198,Scoresheet!$U$2:$U$501,1,Scoresheet!$H$2:$H$501,"No")&gt;0,COUNTIFS(Scoresheet!$C$2:$C$501,A198,Scoresheet!$U$2:$U$501,1,Scoresheet!$J$2:$J$501,"No")&gt;0),"🚩 Budget  ·  🚩 No one on camera",IF(COUNTIFS(Scoresheet!$C$2:$C$501,A198,Scoresheet!$U$2:$U$501,1,Scoresheet!$H$2:$H$501,"No")&gt;0,"🚩 Budget under AED 5k",IF(COUNTIFS(Scoresheet!$C$2:$C$501,A198,Scoresheet!$U$2:$U$501,1,Scoresheet!$J$2:$J$501,"No")&gt;0,"🚩 No one on camera",""))))</f>
        <v/>
      </c>
      <c r="T198" s="17"/>
      <c r="U198" s="17"/>
      <c r="V198" s="40"/>
      <c r="W198" s="17"/>
      <c r="X198" s="45" t="str">
        <f aca="false">IF(OR(E198="",V198="",OR(U198="Contract signed + paid",U198="Closed – No response",U198="Lost"),N(W198)&gt;=Settings!$S$3),"",V198+Settings!$S$2)</f>
        <v/>
      </c>
      <c r="Y198" s="40"/>
      <c r="Z198" s="41"/>
      <c r="AA198" s="17"/>
      <c r="AB198" s="17"/>
      <c r="AC198" s="17"/>
      <c r="AD198" s="46" t="str">
        <f aca="true">IF(OR(E198="",B198=""),"",INT(TODAY()-B198))</f>
        <v/>
      </c>
      <c r="AE198" s="44" t="str">
        <f aca="true">IF(E198="","",IF(OR(COUNTIFS(Clients!$C$2:$C$501,E198,Clients!$S$2:$S$501,"Paid")&gt;0,AND(I198&lt;&gt;"",COUNTIFS(Clients!$E$2:$E$501,I198,Clients!$S$2:$S$501,"Paid")&gt;0)),"⚠ Refunded before – no free video",IF(OR(U198="Contract signed + paid",U198="Closed – No response",U198="Lost"),"",IF(U198="","Set a stage",IF(AND(U198="Proposal sent",SUMIFS(Scoresheet!$N$2:$N$501,Scoresheet!$C$2:$C$501,A198,Scoresheet!$U$2:$U$501,1)&lt;6),"Score this lead – fill the call scoresheet",IF(N(W198)&gt;=Settings!$S$3,"Close – 4 follow-ups sent",IF(X198="",IF(V198="","Make first contact",""),IF(TODAY()&gt;X198,"OVERDUE follow-up",IF(TODAY()=X198,"Follow up today","")))))))))</f>
        <v/>
      </c>
    </row>
    <row r="199" customFormat="false" ht="15" hidden="false" customHeight="false" outlineLevel="0" collapsed="false">
      <c r="A199" s="17"/>
      <c r="B199" s="40"/>
      <c r="C199" s="41"/>
      <c r="D199" s="17"/>
      <c r="E199" s="17"/>
      <c r="F199" s="17"/>
      <c r="G199" s="17"/>
      <c r="H199" s="17"/>
      <c r="I199" s="42"/>
      <c r="J199" s="17"/>
      <c r="K199" s="17"/>
      <c r="L199" s="17"/>
      <c r="M199" s="17"/>
      <c r="N199" s="40"/>
      <c r="O199" s="41"/>
      <c r="P199" s="43" t="str">
        <f aca="false">IF(OR(B199="",N199=""),"",ROUND(((N199+N(O199))-(B199+N(C199)))*24,1))</f>
        <v/>
      </c>
      <c r="Q199" s="44" t="str">
        <f aca="false">IF(OR(E199="",A199="",COUNTIFS(Scoresheet!$C$2:$C$501,A199,Scoresheet!$U$2:$U$501,1)=0),"",SUMIFS(Scoresheet!$O$2:$O$501,Scoresheet!$C$2:$C$501,A199,Scoresheet!$U$2:$U$501,1))</f>
        <v/>
      </c>
      <c r="R199" s="44" t="str">
        <f aca="false">IF(E199="","",IF(OR(A199="",COUNTIFS(Scoresheet!$C$2:$C$501,A199,Scoresheet!$U$2:$U$501,1)=0),"No scoresheet yet",IF(SUMIFS(Scoresheet!$N$2:$N$501,Scoresheet!$C$2:$C$501,A199,Scoresheet!$U$2:$U$501,1)&lt;6,"Partly scored ("&amp;SUMIFS(Scoresheet!$N$2:$N$501,Scoresheet!$C$2:$C$501,A199,Scoresheet!$U$2:$U$501,1)&amp;"/6)",IF(Q199&gt;=Settings!$S$8,"Hot",IF(Q199&gt;=Settings!$S$9,"Warm","Cold")))))</f>
        <v/>
      </c>
      <c r="S199" s="44" t="str">
        <f aca="false">IF(OR(E199="",A199=""),"",IF(AND(COUNTIFS(Scoresheet!$C$2:$C$501,A199,Scoresheet!$U$2:$U$501,1,Scoresheet!$H$2:$H$501,"No")&gt;0,COUNTIFS(Scoresheet!$C$2:$C$501,A199,Scoresheet!$U$2:$U$501,1,Scoresheet!$J$2:$J$501,"No")&gt;0),"🚩 Budget  ·  🚩 No one on camera",IF(COUNTIFS(Scoresheet!$C$2:$C$501,A199,Scoresheet!$U$2:$U$501,1,Scoresheet!$H$2:$H$501,"No")&gt;0,"🚩 Budget under AED 5k",IF(COUNTIFS(Scoresheet!$C$2:$C$501,A199,Scoresheet!$U$2:$U$501,1,Scoresheet!$J$2:$J$501,"No")&gt;0,"🚩 No one on camera",""))))</f>
        <v/>
      </c>
      <c r="T199" s="17"/>
      <c r="U199" s="17"/>
      <c r="V199" s="40"/>
      <c r="W199" s="17"/>
      <c r="X199" s="45" t="str">
        <f aca="false">IF(OR(E199="",V199="",OR(U199="Contract signed + paid",U199="Closed – No response",U199="Lost"),N(W199)&gt;=Settings!$S$3),"",V199+Settings!$S$2)</f>
        <v/>
      </c>
      <c r="Y199" s="40"/>
      <c r="Z199" s="41"/>
      <c r="AA199" s="17"/>
      <c r="AB199" s="17"/>
      <c r="AC199" s="17"/>
      <c r="AD199" s="46" t="str">
        <f aca="true">IF(OR(E199="",B199=""),"",INT(TODAY()-B199))</f>
        <v/>
      </c>
      <c r="AE199" s="44" t="str">
        <f aca="true">IF(E199="","",IF(OR(COUNTIFS(Clients!$C$2:$C$501,E199,Clients!$S$2:$S$501,"Paid")&gt;0,AND(I199&lt;&gt;"",COUNTIFS(Clients!$E$2:$E$501,I199,Clients!$S$2:$S$501,"Paid")&gt;0)),"⚠ Refunded before – no free video",IF(OR(U199="Contract signed + paid",U199="Closed – No response",U199="Lost"),"",IF(U199="","Set a stage",IF(AND(U199="Proposal sent",SUMIFS(Scoresheet!$N$2:$N$501,Scoresheet!$C$2:$C$501,A199,Scoresheet!$U$2:$U$501,1)&lt;6),"Score this lead – fill the call scoresheet",IF(N(W199)&gt;=Settings!$S$3,"Close – 4 follow-ups sent",IF(X199="",IF(V199="","Make first contact",""),IF(TODAY()&gt;X199,"OVERDUE follow-up",IF(TODAY()=X199,"Follow up today","")))))))))</f>
        <v/>
      </c>
    </row>
    <row r="200" customFormat="false" ht="15" hidden="false" customHeight="false" outlineLevel="0" collapsed="false">
      <c r="A200" s="17"/>
      <c r="B200" s="40"/>
      <c r="C200" s="41"/>
      <c r="D200" s="17"/>
      <c r="E200" s="17"/>
      <c r="F200" s="17"/>
      <c r="G200" s="17"/>
      <c r="H200" s="17"/>
      <c r="I200" s="42"/>
      <c r="J200" s="17"/>
      <c r="K200" s="17"/>
      <c r="L200" s="17"/>
      <c r="M200" s="17"/>
      <c r="N200" s="40"/>
      <c r="O200" s="41"/>
      <c r="P200" s="43" t="str">
        <f aca="false">IF(OR(B200="",N200=""),"",ROUND(((N200+N(O200))-(B200+N(C200)))*24,1))</f>
        <v/>
      </c>
      <c r="Q200" s="44" t="str">
        <f aca="false">IF(OR(E200="",A200="",COUNTIFS(Scoresheet!$C$2:$C$501,A200,Scoresheet!$U$2:$U$501,1)=0),"",SUMIFS(Scoresheet!$O$2:$O$501,Scoresheet!$C$2:$C$501,A200,Scoresheet!$U$2:$U$501,1))</f>
        <v/>
      </c>
      <c r="R200" s="44" t="str">
        <f aca="false">IF(E200="","",IF(OR(A200="",COUNTIFS(Scoresheet!$C$2:$C$501,A200,Scoresheet!$U$2:$U$501,1)=0),"No scoresheet yet",IF(SUMIFS(Scoresheet!$N$2:$N$501,Scoresheet!$C$2:$C$501,A200,Scoresheet!$U$2:$U$501,1)&lt;6,"Partly scored ("&amp;SUMIFS(Scoresheet!$N$2:$N$501,Scoresheet!$C$2:$C$501,A200,Scoresheet!$U$2:$U$501,1)&amp;"/6)",IF(Q200&gt;=Settings!$S$8,"Hot",IF(Q200&gt;=Settings!$S$9,"Warm","Cold")))))</f>
        <v/>
      </c>
      <c r="S200" s="44" t="str">
        <f aca="false">IF(OR(E200="",A200=""),"",IF(AND(COUNTIFS(Scoresheet!$C$2:$C$501,A200,Scoresheet!$U$2:$U$501,1,Scoresheet!$H$2:$H$501,"No")&gt;0,COUNTIFS(Scoresheet!$C$2:$C$501,A200,Scoresheet!$U$2:$U$501,1,Scoresheet!$J$2:$J$501,"No")&gt;0),"🚩 Budget  ·  🚩 No one on camera",IF(COUNTIFS(Scoresheet!$C$2:$C$501,A200,Scoresheet!$U$2:$U$501,1,Scoresheet!$H$2:$H$501,"No")&gt;0,"🚩 Budget under AED 5k",IF(COUNTIFS(Scoresheet!$C$2:$C$501,A200,Scoresheet!$U$2:$U$501,1,Scoresheet!$J$2:$J$501,"No")&gt;0,"🚩 No one on camera",""))))</f>
        <v/>
      </c>
      <c r="T200" s="17"/>
      <c r="U200" s="17"/>
      <c r="V200" s="40"/>
      <c r="W200" s="17"/>
      <c r="X200" s="45" t="str">
        <f aca="false">IF(OR(E200="",V200="",OR(U200="Contract signed + paid",U200="Closed – No response",U200="Lost"),N(W200)&gt;=Settings!$S$3),"",V200+Settings!$S$2)</f>
        <v/>
      </c>
      <c r="Y200" s="40"/>
      <c r="Z200" s="41"/>
      <c r="AA200" s="17"/>
      <c r="AB200" s="17"/>
      <c r="AC200" s="17"/>
      <c r="AD200" s="46" t="str">
        <f aca="true">IF(OR(E200="",B200=""),"",INT(TODAY()-B200))</f>
        <v/>
      </c>
      <c r="AE200" s="44" t="str">
        <f aca="true">IF(E200="","",IF(OR(COUNTIFS(Clients!$C$2:$C$501,E200,Clients!$S$2:$S$501,"Paid")&gt;0,AND(I200&lt;&gt;"",COUNTIFS(Clients!$E$2:$E$501,I200,Clients!$S$2:$S$501,"Paid")&gt;0)),"⚠ Refunded before – no free video",IF(OR(U200="Contract signed + paid",U200="Closed – No response",U200="Lost"),"",IF(U200="","Set a stage",IF(AND(U200="Proposal sent",SUMIFS(Scoresheet!$N$2:$N$501,Scoresheet!$C$2:$C$501,A200,Scoresheet!$U$2:$U$501,1)&lt;6),"Score this lead – fill the call scoresheet",IF(N(W200)&gt;=Settings!$S$3,"Close – 4 follow-ups sent",IF(X200="",IF(V200="","Make first contact",""),IF(TODAY()&gt;X200,"OVERDUE follow-up",IF(TODAY()=X200,"Follow up today","")))))))))</f>
        <v/>
      </c>
    </row>
    <row r="201" customFormat="false" ht="15" hidden="false" customHeight="false" outlineLevel="0" collapsed="false">
      <c r="A201" s="17"/>
      <c r="B201" s="40"/>
      <c r="C201" s="41"/>
      <c r="D201" s="17"/>
      <c r="E201" s="17"/>
      <c r="F201" s="17"/>
      <c r="G201" s="17"/>
      <c r="H201" s="17"/>
      <c r="I201" s="42"/>
      <c r="J201" s="17"/>
      <c r="K201" s="17"/>
      <c r="L201" s="17"/>
      <c r="M201" s="17"/>
      <c r="N201" s="40"/>
      <c r="O201" s="41"/>
      <c r="P201" s="43" t="str">
        <f aca="false">IF(OR(B201="",N201=""),"",ROUND(((N201+N(O201))-(B201+N(C201)))*24,1))</f>
        <v/>
      </c>
      <c r="Q201" s="44" t="str">
        <f aca="false">IF(OR(E201="",A201="",COUNTIFS(Scoresheet!$C$2:$C$501,A201,Scoresheet!$U$2:$U$501,1)=0),"",SUMIFS(Scoresheet!$O$2:$O$501,Scoresheet!$C$2:$C$501,A201,Scoresheet!$U$2:$U$501,1))</f>
        <v/>
      </c>
      <c r="R201" s="44" t="str">
        <f aca="false">IF(E201="","",IF(OR(A201="",COUNTIFS(Scoresheet!$C$2:$C$501,A201,Scoresheet!$U$2:$U$501,1)=0),"No scoresheet yet",IF(SUMIFS(Scoresheet!$N$2:$N$501,Scoresheet!$C$2:$C$501,A201,Scoresheet!$U$2:$U$501,1)&lt;6,"Partly scored ("&amp;SUMIFS(Scoresheet!$N$2:$N$501,Scoresheet!$C$2:$C$501,A201,Scoresheet!$U$2:$U$501,1)&amp;"/6)",IF(Q201&gt;=Settings!$S$8,"Hot",IF(Q201&gt;=Settings!$S$9,"Warm","Cold")))))</f>
        <v/>
      </c>
      <c r="S201" s="44" t="str">
        <f aca="false">IF(OR(E201="",A201=""),"",IF(AND(COUNTIFS(Scoresheet!$C$2:$C$501,A201,Scoresheet!$U$2:$U$501,1,Scoresheet!$H$2:$H$501,"No")&gt;0,COUNTIFS(Scoresheet!$C$2:$C$501,A201,Scoresheet!$U$2:$U$501,1,Scoresheet!$J$2:$J$501,"No")&gt;0),"🚩 Budget  ·  🚩 No one on camera",IF(COUNTIFS(Scoresheet!$C$2:$C$501,A201,Scoresheet!$U$2:$U$501,1,Scoresheet!$H$2:$H$501,"No")&gt;0,"🚩 Budget under AED 5k",IF(COUNTIFS(Scoresheet!$C$2:$C$501,A201,Scoresheet!$U$2:$U$501,1,Scoresheet!$J$2:$J$501,"No")&gt;0,"🚩 No one on camera",""))))</f>
        <v/>
      </c>
      <c r="T201" s="17"/>
      <c r="U201" s="17"/>
      <c r="V201" s="40"/>
      <c r="W201" s="17"/>
      <c r="X201" s="45" t="str">
        <f aca="false">IF(OR(E201="",V201="",OR(U201="Contract signed + paid",U201="Closed – No response",U201="Lost"),N(W201)&gt;=Settings!$S$3),"",V201+Settings!$S$2)</f>
        <v/>
      </c>
      <c r="Y201" s="40"/>
      <c r="Z201" s="41"/>
      <c r="AA201" s="17"/>
      <c r="AB201" s="17"/>
      <c r="AC201" s="17"/>
      <c r="AD201" s="46" t="str">
        <f aca="true">IF(OR(E201="",B201=""),"",INT(TODAY()-B201))</f>
        <v/>
      </c>
      <c r="AE201" s="44" t="str">
        <f aca="true">IF(E201="","",IF(OR(COUNTIFS(Clients!$C$2:$C$501,E201,Clients!$S$2:$S$501,"Paid")&gt;0,AND(I201&lt;&gt;"",COUNTIFS(Clients!$E$2:$E$501,I201,Clients!$S$2:$S$501,"Paid")&gt;0)),"⚠ Refunded before – no free video",IF(OR(U201="Contract signed + paid",U201="Closed – No response",U201="Lost"),"",IF(U201="","Set a stage",IF(AND(U201="Proposal sent",SUMIFS(Scoresheet!$N$2:$N$501,Scoresheet!$C$2:$C$501,A201,Scoresheet!$U$2:$U$501,1)&lt;6),"Score this lead – fill the call scoresheet",IF(N(W201)&gt;=Settings!$S$3,"Close – 4 follow-ups sent",IF(X201="",IF(V201="","Make first contact",""),IF(TODAY()&gt;X201,"OVERDUE follow-up",IF(TODAY()=X201,"Follow up today","")))))))))</f>
        <v/>
      </c>
    </row>
    <row r="202" customFormat="false" ht="15" hidden="false" customHeight="false" outlineLevel="0" collapsed="false">
      <c r="A202" s="17"/>
      <c r="B202" s="40"/>
      <c r="C202" s="41"/>
      <c r="D202" s="17"/>
      <c r="E202" s="17"/>
      <c r="F202" s="17"/>
      <c r="G202" s="17"/>
      <c r="H202" s="17"/>
      <c r="I202" s="42"/>
      <c r="J202" s="17"/>
      <c r="K202" s="17"/>
      <c r="L202" s="17"/>
      <c r="M202" s="17"/>
      <c r="N202" s="40"/>
      <c r="O202" s="41"/>
      <c r="P202" s="43" t="str">
        <f aca="false">IF(OR(B202="",N202=""),"",ROUND(((N202+N(O202))-(B202+N(C202)))*24,1))</f>
        <v/>
      </c>
      <c r="Q202" s="44" t="str">
        <f aca="false">IF(OR(E202="",A202="",COUNTIFS(Scoresheet!$C$2:$C$501,A202,Scoresheet!$U$2:$U$501,1)=0),"",SUMIFS(Scoresheet!$O$2:$O$501,Scoresheet!$C$2:$C$501,A202,Scoresheet!$U$2:$U$501,1))</f>
        <v/>
      </c>
      <c r="R202" s="44" t="str">
        <f aca="false">IF(E202="","",IF(OR(A202="",COUNTIFS(Scoresheet!$C$2:$C$501,A202,Scoresheet!$U$2:$U$501,1)=0),"No scoresheet yet",IF(SUMIFS(Scoresheet!$N$2:$N$501,Scoresheet!$C$2:$C$501,A202,Scoresheet!$U$2:$U$501,1)&lt;6,"Partly scored ("&amp;SUMIFS(Scoresheet!$N$2:$N$501,Scoresheet!$C$2:$C$501,A202,Scoresheet!$U$2:$U$501,1)&amp;"/6)",IF(Q202&gt;=Settings!$S$8,"Hot",IF(Q202&gt;=Settings!$S$9,"Warm","Cold")))))</f>
        <v/>
      </c>
      <c r="S202" s="44" t="str">
        <f aca="false">IF(OR(E202="",A202=""),"",IF(AND(COUNTIFS(Scoresheet!$C$2:$C$501,A202,Scoresheet!$U$2:$U$501,1,Scoresheet!$H$2:$H$501,"No")&gt;0,COUNTIFS(Scoresheet!$C$2:$C$501,A202,Scoresheet!$U$2:$U$501,1,Scoresheet!$J$2:$J$501,"No")&gt;0),"🚩 Budget  ·  🚩 No one on camera",IF(COUNTIFS(Scoresheet!$C$2:$C$501,A202,Scoresheet!$U$2:$U$501,1,Scoresheet!$H$2:$H$501,"No")&gt;0,"🚩 Budget under AED 5k",IF(COUNTIFS(Scoresheet!$C$2:$C$501,A202,Scoresheet!$U$2:$U$501,1,Scoresheet!$J$2:$J$501,"No")&gt;0,"🚩 No one on camera",""))))</f>
        <v/>
      </c>
      <c r="T202" s="17"/>
      <c r="U202" s="17"/>
      <c r="V202" s="40"/>
      <c r="W202" s="17"/>
      <c r="X202" s="45" t="str">
        <f aca="false">IF(OR(E202="",V202="",OR(U202="Contract signed + paid",U202="Closed – No response",U202="Lost"),N(W202)&gt;=Settings!$S$3),"",V202+Settings!$S$2)</f>
        <v/>
      </c>
      <c r="Y202" s="40"/>
      <c r="Z202" s="41"/>
      <c r="AA202" s="17"/>
      <c r="AB202" s="17"/>
      <c r="AC202" s="17"/>
      <c r="AD202" s="46" t="str">
        <f aca="true">IF(OR(E202="",B202=""),"",INT(TODAY()-B202))</f>
        <v/>
      </c>
      <c r="AE202" s="44" t="str">
        <f aca="true">IF(E202="","",IF(OR(COUNTIFS(Clients!$C$2:$C$501,E202,Clients!$S$2:$S$501,"Paid")&gt;0,AND(I202&lt;&gt;"",COUNTIFS(Clients!$E$2:$E$501,I202,Clients!$S$2:$S$501,"Paid")&gt;0)),"⚠ Refunded before – no free video",IF(OR(U202="Contract signed + paid",U202="Closed – No response",U202="Lost"),"",IF(U202="","Set a stage",IF(AND(U202="Proposal sent",SUMIFS(Scoresheet!$N$2:$N$501,Scoresheet!$C$2:$C$501,A202,Scoresheet!$U$2:$U$501,1)&lt;6),"Score this lead – fill the call scoresheet",IF(N(W202)&gt;=Settings!$S$3,"Close – 4 follow-ups sent",IF(X202="",IF(V202="","Make first contact",""),IF(TODAY()&gt;X202,"OVERDUE follow-up",IF(TODAY()=X202,"Follow up today","")))))))))</f>
        <v/>
      </c>
    </row>
    <row r="203" customFormat="false" ht="15" hidden="false" customHeight="false" outlineLevel="0" collapsed="false">
      <c r="A203" s="17"/>
      <c r="B203" s="40"/>
      <c r="C203" s="41"/>
      <c r="D203" s="17"/>
      <c r="E203" s="17"/>
      <c r="F203" s="17"/>
      <c r="G203" s="17"/>
      <c r="H203" s="17"/>
      <c r="I203" s="42"/>
      <c r="J203" s="17"/>
      <c r="K203" s="17"/>
      <c r="L203" s="17"/>
      <c r="M203" s="17"/>
      <c r="N203" s="40"/>
      <c r="O203" s="41"/>
      <c r="P203" s="43" t="str">
        <f aca="false">IF(OR(B203="",N203=""),"",ROUND(((N203+N(O203))-(B203+N(C203)))*24,1))</f>
        <v/>
      </c>
      <c r="Q203" s="44" t="str">
        <f aca="false">IF(OR(E203="",A203="",COUNTIFS(Scoresheet!$C$2:$C$501,A203,Scoresheet!$U$2:$U$501,1)=0),"",SUMIFS(Scoresheet!$O$2:$O$501,Scoresheet!$C$2:$C$501,A203,Scoresheet!$U$2:$U$501,1))</f>
        <v/>
      </c>
      <c r="R203" s="44" t="str">
        <f aca="false">IF(E203="","",IF(OR(A203="",COUNTIFS(Scoresheet!$C$2:$C$501,A203,Scoresheet!$U$2:$U$501,1)=0),"No scoresheet yet",IF(SUMIFS(Scoresheet!$N$2:$N$501,Scoresheet!$C$2:$C$501,A203,Scoresheet!$U$2:$U$501,1)&lt;6,"Partly scored ("&amp;SUMIFS(Scoresheet!$N$2:$N$501,Scoresheet!$C$2:$C$501,A203,Scoresheet!$U$2:$U$501,1)&amp;"/6)",IF(Q203&gt;=Settings!$S$8,"Hot",IF(Q203&gt;=Settings!$S$9,"Warm","Cold")))))</f>
        <v/>
      </c>
      <c r="S203" s="44" t="str">
        <f aca="false">IF(OR(E203="",A203=""),"",IF(AND(COUNTIFS(Scoresheet!$C$2:$C$501,A203,Scoresheet!$U$2:$U$501,1,Scoresheet!$H$2:$H$501,"No")&gt;0,COUNTIFS(Scoresheet!$C$2:$C$501,A203,Scoresheet!$U$2:$U$501,1,Scoresheet!$J$2:$J$501,"No")&gt;0),"🚩 Budget  ·  🚩 No one on camera",IF(COUNTIFS(Scoresheet!$C$2:$C$501,A203,Scoresheet!$U$2:$U$501,1,Scoresheet!$H$2:$H$501,"No")&gt;0,"🚩 Budget under AED 5k",IF(COUNTIFS(Scoresheet!$C$2:$C$501,A203,Scoresheet!$U$2:$U$501,1,Scoresheet!$J$2:$J$501,"No")&gt;0,"🚩 No one on camera",""))))</f>
        <v/>
      </c>
      <c r="T203" s="17"/>
      <c r="U203" s="17"/>
      <c r="V203" s="40"/>
      <c r="W203" s="17"/>
      <c r="X203" s="45" t="str">
        <f aca="false">IF(OR(E203="",V203="",OR(U203="Contract signed + paid",U203="Closed – No response",U203="Lost"),N(W203)&gt;=Settings!$S$3),"",V203+Settings!$S$2)</f>
        <v/>
      </c>
      <c r="Y203" s="40"/>
      <c r="Z203" s="41"/>
      <c r="AA203" s="17"/>
      <c r="AB203" s="17"/>
      <c r="AC203" s="17"/>
      <c r="AD203" s="46" t="str">
        <f aca="true">IF(OR(E203="",B203=""),"",INT(TODAY()-B203))</f>
        <v/>
      </c>
      <c r="AE203" s="44" t="str">
        <f aca="true">IF(E203="","",IF(OR(COUNTIFS(Clients!$C$2:$C$501,E203,Clients!$S$2:$S$501,"Paid")&gt;0,AND(I203&lt;&gt;"",COUNTIFS(Clients!$E$2:$E$501,I203,Clients!$S$2:$S$501,"Paid")&gt;0)),"⚠ Refunded before – no free video",IF(OR(U203="Contract signed + paid",U203="Closed – No response",U203="Lost"),"",IF(U203="","Set a stage",IF(AND(U203="Proposal sent",SUMIFS(Scoresheet!$N$2:$N$501,Scoresheet!$C$2:$C$501,A203,Scoresheet!$U$2:$U$501,1)&lt;6),"Score this lead – fill the call scoresheet",IF(N(W203)&gt;=Settings!$S$3,"Close – 4 follow-ups sent",IF(X203="",IF(V203="","Make first contact",""),IF(TODAY()&gt;X203,"OVERDUE follow-up",IF(TODAY()=X203,"Follow up today","")))))))))</f>
        <v/>
      </c>
    </row>
    <row r="204" customFormat="false" ht="15" hidden="false" customHeight="false" outlineLevel="0" collapsed="false">
      <c r="A204" s="17"/>
      <c r="B204" s="40"/>
      <c r="C204" s="41"/>
      <c r="D204" s="17"/>
      <c r="E204" s="17"/>
      <c r="F204" s="17"/>
      <c r="G204" s="17"/>
      <c r="H204" s="17"/>
      <c r="I204" s="42"/>
      <c r="J204" s="17"/>
      <c r="K204" s="17"/>
      <c r="L204" s="17"/>
      <c r="M204" s="17"/>
      <c r="N204" s="40"/>
      <c r="O204" s="41"/>
      <c r="P204" s="43" t="str">
        <f aca="false">IF(OR(B204="",N204=""),"",ROUND(((N204+N(O204))-(B204+N(C204)))*24,1))</f>
        <v/>
      </c>
      <c r="Q204" s="44" t="str">
        <f aca="false">IF(OR(E204="",A204="",COUNTIFS(Scoresheet!$C$2:$C$501,A204,Scoresheet!$U$2:$U$501,1)=0),"",SUMIFS(Scoresheet!$O$2:$O$501,Scoresheet!$C$2:$C$501,A204,Scoresheet!$U$2:$U$501,1))</f>
        <v/>
      </c>
      <c r="R204" s="44" t="str">
        <f aca="false">IF(E204="","",IF(OR(A204="",COUNTIFS(Scoresheet!$C$2:$C$501,A204,Scoresheet!$U$2:$U$501,1)=0),"No scoresheet yet",IF(SUMIFS(Scoresheet!$N$2:$N$501,Scoresheet!$C$2:$C$501,A204,Scoresheet!$U$2:$U$501,1)&lt;6,"Partly scored ("&amp;SUMIFS(Scoresheet!$N$2:$N$501,Scoresheet!$C$2:$C$501,A204,Scoresheet!$U$2:$U$501,1)&amp;"/6)",IF(Q204&gt;=Settings!$S$8,"Hot",IF(Q204&gt;=Settings!$S$9,"Warm","Cold")))))</f>
        <v/>
      </c>
      <c r="S204" s="44" t="str">
        <f aca="false">IF(OR(E204="",A204=""),"",IF(AND(COUNTIFS(Scoresheet!$C$2:$C$501,A204,Scoresheet!$U$2:$U$501,1,Scoresheet!$H$2:$H$501,"No")&gt;0,COUNTIFS(Scoresheet!$C$2:$C$501,A204,Scoresheet!$U$2:$U$501,1,Scoresheet!$J$2:$J$501,"No")&gt;0),"🚩 Budget  ·  🚩 No one on camera",IF(COUNTIFS(Scoresheet!$C$2:$C$501,A204,Scoresheet!$U$2:$U$501,1,Scoresheet!$H$2:$H$501,"No")&gt;0,"🚩 Budget under AED 5k",IF(COUNTIFS(Scoresheet!$C$2:$C$501,A204,Scoresheet!$U$2:$U$501,1,Scoresheet!$J$2:$J$501,"No")&gt;0,"🚩 No one on camera",""))))</f>
        <v/>
      </c>
      <c r="T204" s="17"/>
      <c r="U204" s="17"/>
      <c r="V204" s="40"/>
      <c r="W204" s="17"/>
      <c r="X204" s="45" t="str">
        <f aca="false">IF(OR(E204="",V204="",OR(U204="Contract signed + paid",U204="Closed – No response",U204="Lost"),N(W204)&gt;=Settings!$S$3),"",V204+Settings!$S$2)</f>
        <v/>
      </c>
      <c r="Y204" s="40"/>
      <c r="Z204" s="41"/>
      <c r="AA204" s="17"/>
      <c r="AB204" s="17"/>
      <c r="AC204" s="17"/>
      <c r="AD204" s="46" t="str">
        <f aca="true">IF(OR(E204="",B204=""),"",INT(TODAY()-B204))</f>
        <v/>
      </c>
      <c r="AE204" s="44" t="str">
        <f aca="true">IF(E204="","",IF(OR(COUNTIFS(Clients!$C$2:$C$501,E204,Clients!$S$2:$S$501,"Paid")&gt;0,AND(I204&lt;&gt;"",COUNTIFS(Clients!$E$2:$E$501,I204,Clients!$S$2:$S$501,"Paid")&gt;0)),"⚠ Refunded before – no free video",IF(OR(U204="Contract signed + paid",U204="Closed – No response",U204="Lost"),"",IF(U204="","Set a stage",IF(AND(U204="Proposal sent",SUMIFS(Scoresheet!$N$2:$N$501,Scoresheet!$C$2:$C$501,A204,Scoresheet!$U$2:$U$501,1)&lt;6),"Score this lead – fill the call scoresheet",IF(N(W204)&gt;=Settings!$S$3,"Close – 4 follow-ups sent",IF(X204="",IF(V204="","Make first contact",""),IF(TODAY()&gt;X204,"OVERDUE follow-up",IF(TODAY()=X204,"Follow up today","")))))))))</f>
        <v/>
      </c>
    </row>
    <row r="205" customFormat="false" ht="15" hidden="false" customHeight="false" outlineLevel="0" collapsed="false">
      <c r="A205" s="17"/>
      <c r="B205" s="40"/>
      <c r="C205" s="41"/>
      <c r="D205" s="17"/>
      <c r="E205" s="17"/>
      <c r="F205" s="17"/>
      <c r="G205" s="17"/>
      <c r="H205" s="17"/>
      <c r="I205" s="42"/>
      <c r="J205" s="17"/>
      <c r="K205" s="17"/>
      <c r="L205" s="17"/>
      <c r="M205" s="17"/>
      <c r="N205" s="40"/>
      <c r="O205" s="41"/>
      <c r="P205" s="43" t="str">
        <f aca="false">IF(OR(B205="",N205=""),"",ROUND(((N205+N(O205))-(B205+N(C205)))*24,1))</f>
        <v/>
      </c>
      <c r="Q205" s="44" t="str">
        <f aca="false">IF(OR(E205="",A205="",COUNTIFS(Scoresheet!$C$2:$C$501,A205,Scoresheet!$U$2:$U$501,1)=0),"",SUMIFS(Scoresheet!$O$2:$O$501,Scoresheet!$C$2:$C$501,A205,Scoresheet!$U$2:$U$501,1))</f>
        <v/>
      </c>
      <c r="R205" s="44" t="str">
        <f aca="false">IF(E205="","",IF(OR(A205="",COUNTIFS(Scoresheet!$C$2:$C$501,A205,Scoresheet!$U$2:$U$501,1)=0),"No scoresheet yet",IF(SUMIFS(Scoresheet!$N$2:$N$501,Scoresheet!$C$2:$C$501,A205,Scoresheet!$U$2:$U$501,1)&lt;6,"Partly scored ("&amp;SUMIFS(Scoresheet!$N$2:$N$501,Scoresheet!$C$2:$C$501,A205,Scoresheet!$U$2:$U$501,1)&amp;"/6)",IF(Q205&gt;=Settings!$S$8,"Hot",IF(Q205&gt;=Settings!$S$9,"Warm","Cold")))))</f>
        <v/>
      </c>
      <c r="S205" s="44" t="str">
        <f aca="false">IF(OR(E205="",A205=""),"",IF(AND(COUNTIFS(Scoresheet!$C$2:$C$501,A205,Scoresheet!$U$2:$U$501,1,Scoresheet!$H$2:$H$501,"No")&gt;0,COUNTIFS(Scoresheet!$C$2:$C$501,A205,Scoresheet!$U$2:$U$501,1,Scoresheet!$J$2:$J$501,"No")&gt;0),"🚩 Budget  ·  🚩 No one on camera",IF(COUNTIFS(Scoresheet!$C$2:$C$501,A205,Scoresheet!$U$2:$U$501,1,Scoresheet!$H$2:$H$501,"No")&gt;0,"🚩 Budget under AED 5k",IF(COUNTIFS(Scoresheet!$C$2:$C$501,A205,Scoresheet!$U$2:$U$501,1,Scoresheet!$J$2:$J$501,"No")&gt;0,"🚩 No one on camera",""))))</f>
        <v/>
      </c>
      <c r="T205" s="17"/>
      <c r="U205" s="17"/>
      <c r="V205" s="40"/>
      <c r="W205" s="17"/>
      <c r="X205" s="45" t="str">
        <f aca="false">IF(OR(E205="",V205="",OR(U205="Contract signed + paid",U205="Closed – No response",U205="Lost"),N(W205)&gt;=Settings!$S$3),"",V205+Settings!$S$2)</f>
        <v/>
      </c>
      <c r="Y205" s="40"/>
      <c r="Z205" s="41"/>
      <c r="AA205" s="17"/>
      <c r="AB205" s="17"/>
      <c r="AC205" s="17"/>
      <c r="AD205" s="46" t="str">
        <f aca="true">IF(OR(E205="",B205=""),"",INT(TODAY()-B205))</f>
        <v/>
      </c>
      <c r="AE205" s="44" t="str">
        <f aca="true">IF(E205="","",IF(OR(COUNTIFS(Clients!$C$2:$C$501,E205,Clients!$S$2:$S$501,"Paid")&gt;0,AND(I205&lt;&gt;"",COUNTIFS(Clients!$E$2:$E$501,I205,Clients!$S$2:$S$501,"Paid")&gt;0)),"⚠ Refunded before – no free video",IF(OR(U205="Contract signed + paid",U205="Closed – No response",U205="Lost"),"",IF(U205="","Set a stage",IF(AND(U205="Proposal sent",SUMIFS(Scoresheet!$N$2:$N$501,Scoresheet!$C$2:$C$501,A205,Scoresheet!$U$2:$U$501,1)&lt;6),"Score this lead – fill the call scoresheet",IF(N(W205)&gt;=Settings!$S$3,"Close – 4 follow-ups sent",IF(X205="",IF(V205="","Make first contact",""),IF(TODAY()&gt;X205,"OVERDUE follow-up",IF(TODAY()=X205,"Follow up today","")))))))))</f>
        <v/>
      </c>
    </row>
    <row r="206" customFormat="false" ht="15" hidden="false" customHeight="false" outlineLevel="0" collapsed="false">
      <c r="A206" s="17"/>
      <c r="B206" s="40"/>
      <c r="C206" s="41"/>
      <c r="D206" s="17"/>
      <c r="E206" s="17"/>
      <c r="F206" s="17"/>
      <c r="G206" s="17"/>
      <c r="H206" s="17"/>
      <c r="I206" s="42"/>
      <c r="J206" s="17"/>
      <c r="K206" s="17"/>
      <c r="L206" s="17"/>
      <c r="M206" s="17"/>
      <c r="N206" s="40"/>
      <c r="O206" s="41"/>
      <c r="P206" s="43" t="str">
        <f aca="false">IF(OR(B206="",N206=""),"",ROUND(((N206+N(O206))-(B206+N(C206)))*24,1))</f>
        <v/>
      </c>
      <c r="Q206" s="44" t="str">
        <f aca="false">IF(OR(E206="",A206="",COUNTIFS(Scoresheet!$C$2:$C$501,A206,Scoresheet!$U$2:$U$501,1)=0),"",SUMIFS(Scoresheet!$O$2:$O$501,Scoresheet!$C$2:$C$501,A206,Scoresheet!$U$2:$U$501,1))</f>
        <v/>
      </c>
      <c r="R206" s="44" t="str">
        <f aca="false">IF(E206="","",IF(OR(A206="",COUNTIFS(Scoresheet!$C$2:$C$501,A206,Scoresheet!$U$2:$U$501,1)=0),"No scoresheet yet",IF(SUMIFS(Scoresheet!$N$2:$N$501,Scoresheet!$C$2:$C$501,A206,Scoresheet!$U$2:$U$501,1)&lt;6,"Partly scored ("&amp;SUMIFS(Scoresheet!$N$2:$N$501,Scoresheet!$C$2:$C$501,A206,Scoresheet!$U$2:$U$501,1)&amp;"/6)",IF(Q206&gt;=Settings!$S$8,"Hot",IF(Q206&gt;=Settings!$S$9,"Warm","Cold")))))</f>
        <v/>
      </c>
      <c r="S206" s="44" t="str">
        <f aca="false">IF(OR(E206="",A206=""),"",IF(AND(COUNTIFS(Scoresheet!$C$2:$C$501,A206,Scoresheet!$U$2:$U$501,1,Scoresheet!$H$2:$H$501,"No")&gt;0,COUNTIFS(Scoresheet!$C$2:$C$501,A206,Scoresheet!$U$2:$U$501,1,Scoresheet!$J$2:$J$501,"No")&gt;0),"🚩 Budget  ·  🚩 No one on camera",IF(COUNTIFS(Scoresheet!$C$2:$C$501,A206,Scoresheet!$U$2:$U$501,1,Scoresheet!$H$2:$H$501,"No")&gt;0,"🚩 Budget under AED 5k",IF(COUNTIFS(Scoresheet!$C$2:$C$501,A206,Scoresheet!$U$2:$U$501,1,Scoresheet!$J$2:$J$501,"No")&gt;0,"🚩 No one on camera",""))))</f>
        <v/>
      </c>
      <c r="T206" s="17"/>
      <c r="U206" s="17"/>
      <c r="V206" s="40"/>
      <c r="W206" s="17"/>
      <c r="X206" s="45" t="str">
        <f aca="false">IF(OR(E206="",V206="",OR(U206="Contract signed + paid",U206="Closed – No response",U206="Lost"),N(W206)&gt;=Settings!$S$3),"",V206+Settings!$S$2)</f>
        <v/>
      </c>
      <c r="Y206" s="40"/>
      <c r="Z206" s="41"/>
      <c r="AA206" s="17"/>
      <c r="AB206" s="17"/>
      <c r="AC206" s="17"/>
      <c r="AD206" s="46" t="str">
        <f aca="true">IF(OR(E206="",B206=""),"",INT(TODAY()-B206))</f>
        <v/>
      </c>
      <c r="AE206" s="44" t="str">
        <f aca="true">IF(E206="","",IF(OR(COUNTIFS(Clients!$C$2:$C$501,E206,Clients!$S$2:$S$501,"Paid")&gt;0,AND(I206&lt;&gt;"",COUNTIFS(Clients!$E$2:$E$501,I206,Clients!$S$2:$S$501,"Paid")&gt;0)),"⚠ Refunded before – no free video",IF(OR(U206="Contract signed + paid",U206="Closed – No response",U206="Lost"),"",IF(U206="","Set a stage",IF(AND(U206="Proposal sent",SUMIFS(Scoresheet!$N$2:$N$501,Scoresheet!$C$2:$C$501,A206,Scoresheet!$U$2:$U$501,1)&lt;6),"Score this lead – fill the call scoresheet",IF(N(W206)&gt;=Settings!$S$3,"Close – 4 follow-ups sent",IF(X206="",IF(V206="","Make first contact",""),IF(TODAY()&gt;X206,"OVERDUE follow-up",IF(TODAY()=X206,"Follow up today","")))))))))</f>
        <v/>
      </c>
    </row>
    <row r="207" customFormat="false" ht="15" hidden="false" customHeight="false" outlineLevel="0" collapsed="false">
      <c r="A207" s="17"/>
      <c r="B207" s="40"/>
      <c r="C207" s="41"/>
      <c r="D207" s="17"/>
      <c r="E207" s="17"/>
      <c r="F207" s="17"/>
      <c r="G207" s="17"/>
      <c r="H207" s="17"/>
      <c r="I207" s="42"/>
      <c r="J207" s="17"/>
      <c r="K207" s="17"/>
      <c r="L207" s="17"/>
      <c r="M207" s="17"/>
      <c r="N207" s="40"/>
      <c r="O207" s="41"/>
      <c r="P207" s="43" t="str">
        <f aca="false">IF(OR(B207="",N207=""),"",ROUND(((N207+N(O207))-(B207+N(C207)))*24,1))</f>
        <v/>
      </c>
      <c r="Q207" s="44" t="str">
        <f aca="false">IF(OR(E207="",A207="",COUNTIFS(Scoresheet!$C$2:$C$501,A207,Scoresheet!$U$2:$U$501,1)=0),"",SUMIFS(Scoresheet!$O$2:$O$501,Scoresheet!$C$2:$C$501,A207,Scoresheet!$U$2:$U$501,1))</f>
        <v/>
      </c>
      <c r="R207" s="44" t="str">
        <f aca="false">IF(E207="","",IF(OR(A207="",COUNTIFS(Scoresheet!$C$2:$C$501,A207,Scoresheet!$U$2:$U$501,1)=0),"No scoresheet yet",IF(SUMIFS(Scoresheet!$N$2:$N$501,Scoresheet!$C$2:$C$501,A207,Scoresheet!$U$2:$U$501,1)&lt;6,"Partly scored ("&amp;SUMIFS(Scoresheet!$N$2:$N$501,Scoresheet!$C$2:$C$501,A207,Scoresheet!$U$2:$U$501,1)&amp;"/6)",IF(Q207&gt;=Settings!$S$8,"Hot",IF(Q207&gt;=Settings!$S$9,"Warm","Cold")))))</f>
        <v/>
      </c>
      <c r="S207" s="44" t="str">
        <f aca="false">IF(OR(E207="",A207=""),"",IF(AND(COUNTIFS(Scoresheet!$C$2:$C$501,A207,Scoresheet!$U$2:$U$501,1,Scoresheet!$H$2:$H$501,"No")&gt;0,COUNTIFS(Scoresheet!$C$2:$C$501,A207,Scoresheet!$U$2:$U$501,1,Scoresheet!$J$2:$J$501,"No")&gt;0),"🚩 Budget  ·  🚩 No one on camera",IF(COUNTIFS(Scoresheet!$C$2:$C$501,A207,Scoresheet!$U$2:$U$501,1,Scoresheet!$H$2:$H$501,"No")&gt;0,"🚩 Budget under AED 5k",IF(COUNTIFS(Scoresheet!$C$2:$C$501,A207,Scoresheet!$U$2:$U$501,1,Scoresheet!$J$2:$J$501,"No")&gt;0,"🚩 No one on camera",""))))</f>
        <v/>
      </c>
      <c r="T207" s="17"/>
      <c r="U207" s="17"/>
      <c r="V207" s="40"/>
      <c r="W207" s="17"/>
      <c r="X207" s="45" t="str">
        <f aca="false">IF(OR(E207="",V207="",OR(U207="Contract signed + paid",U207="Closed – No response",U207="Lost"),N(W207)&gt;=Settings!$S$3),"",V207+Settings!$S$2)</f>
        <v/>
      </c>
      <c r="Y207" s="40"/>
      <c r="Z207" s="41"/>
      <c r="AA207" s="17"/>
      <c r="AB207" s="17"/>
      <c r="AC207" s="17"/>
      <c r="AD207" s="46" t="str">
        <f aca="true">IF(OR(E207="",B207=""),"",INT(TODAY()-B207))</f>
        <v/>
      </c>
      <c r="AE207" s="44" t="str">
        <f aca="true">IF(E207="","",IF(OR(COUNTIFS(Clients!$C$2:$C$501,E207,Clients!$S$2:$S$501,"Paid")&gt;0,AND(I207&lt;&gt;"",COUNTIFS(Clients!$E$2:$E$501,I207,Clients!$S$2:$S$501,"Paid")&gt;0)),"⚠ Refunded before – no free video",IF(OR(U207="Contract signed + paid",U207="Closed – No response",U207="Lost"),"",IF(U207="","Set a stage",IF(AND(U207="Proposal sent",SUMIFS(Scoresheet!$N$2:$N$501,Scoresheet!$C$2:$C$501,A207,Scoresheet!$U$2:$U$501,1)&lt;6),"Score this lead – fill the call scoresheet",IF(N(W207)&gt;=Settings!$S$3,"Close – 4 follow-ups sent",IF(X207="",IF(V207="","Make first contact",""),IF(TODAY()&gt;X207,"OVERDUE follow-up",IF(TODAY()=X207,"Follow up today","")))))))))</f>
        <v/>
      </c>
    </row>
    <row r="208" customFormat="false" ht="15" hidden="false" customHeight="false" outlineLevel="0" collapsed="false">
      <c r="A208" s="17"/>
      <c r="B208" s="40"/>
      <c r="C208" s="41"/>
      <c r="D208" s="17"/>
      <c r="E208" s="17"/>
      <c r="F208" s="17"/>
      <c r="G208" s="17"/>
      <c r="H208" s="17"/>
      <c r="I208" s="42"/>
      <c r="J208" s="17"/>
      <c r="K208" s="17"/>
      <c r="L208" s="17"/>
      <c r="M208" s="17"/>
      <c r="N208" s="40"/>
      <c r="O208" s="41"/>
      <c r="P208" s="43" t="str">
        <f aca="false">IF(OR(B208="",N208=""),"",ROUND(((N208+N(O208))-(B208+N(C208)))*24,1))</f>
        <v/>
      </c>
      <c r="Q208" s="44" t="str">
        <f aca="false">IF(OR(E208="",A208="",COUNTIFS(Scoresheet!$C$2:$C$501,A208,Scoresheet!$U$2:$U$501,1)=0),"",SUMIFS(Scoresheet!$O$2:$O$501,Scoresheet!$C$2:$C$501,A208,Scoresheet!$U$2:$U$501,1))</f>
        <v/>
      </c>
      <c r="R208" s="44" t="str">
        <f aca="false">IF(E208="","",IF(OR(A208="",COUNTIFS(Scoresheet!$C$2:$C$501,A208,Scoresheet!$U$2:$U$501,1)=0),"No scoresheet yet",IF(SUMIFS(Scoresheet!$N$2:$N$501,Scoresheet!$C$2:$C$501,A208,Scoresheet!$U$2:$U$501,1)&lt;6,"Partly scored ("&amp;SUMIFS(Scoresheet!$N$2:$N$501,Scoresheet!$C$2:$C$501,A208,Scoresheet!$U$2:$U$501,1)&amp;"/6)",IF(Q208&gt;=Settings!$S$8,"Hot",IF(Q208&gt;=Settings!$S$9,"Warm","Cold")))))</f>
        <v/>
      </c>
      <c r="S208" s="44" t="str">
        <f aca="false">IF(OR(E208="",A208=""),"",IF(AND(COUNTIFS(Scoresheet!$C$2:$C$501,A208,Scoresheet!$U$2:$U$501,1,Scoresheet!$H$2:$H$501,"No")&gt;0,COUNTIFS(Scoresheet!$C$2:$C$501,A208,Scoresheet!$U$2:$U$501,1,Scoresheet!$J$2:$J$501,"No")&gt;0),"🚩 Budget  ·  🚩 No one on camera",IF(COUNTIFS(Scoresheet!$C$2:$C$501,A208,Scoresheet!$U$2:$U$501,1,Scoresheet!$H$2:$H$501,"No")&gt;0,"🚩 Budget under AED 5k",IF(COUNTIFS(Scoresheet!$C$2:$C$501,A208,Scoresheet!$U$2:$U$501,1,Scoresheet!$J$2:$J$501,"No")&gt;0,"🚩 No one on camera",""))))</f>
        <v/>
      </c>
      <c r="T208" s="17"/>
      <c r="U208" s="17"/>
      <c r="V208" s="40"/>
      <c r="W208" s="17"/>
      <c r="X208" s="45" t="str">
        <f aca="false">IF(OR(E208="",V208="",OR(U208="Contract signed + paid",U208="Closed – No response",U208="Lost"),N(W208)&gt;=Settings!$S$3),"",V208+Settings!$S$2)</f>
        <v/>
      </c>
      <c r="Y208" s="40"/>
      <c r="Z208" s="41"/>
      <c r="AA208" s="17"/>
      <c r="AB208" s="17"/>
      <c r="AC208" s="17"/>
      <c r="AD208" s="46" t="str">
        <f aca="true">IF(OR(E208="",B208=""),"",INT(TODAY()-B208))</f>
        <v/>
      </c>
      <c r="AE208" s="44" t="str">
        <f aca="true">IF(E208="","",IF(OR(COUNTIFS(Clients!$C$2:$C$501,E208,Clients!$S$2:$S$501,"Paid")&gt;0,AND(I208&lt;&gt;"",COUNTIFS(Clients!$E$2:$E$501,I208,Clients!$S$2:$S$501,"Paid")&gt;0)),"⚠ Refunded before – no free video",IF(OR(U208="Contract signed + paid",U208="Closed – No response",U208="Lost"),"",IF(U208="","Set a stage",IF(AND(U208="Proposal sent",SUMIFS(Scoresheet!$N$2:$N$501,Scoresheet!$C$2:$C$501,A208,Scoresheet!$U$2:$U$501,1)&lt;6),"Score this lead – fill the call scoresheet",IF(N(W208)&gt;=Settings!$S$3,"Close – 4 follow-ups sent",IF(X208="",IF(V208="","Make first contact",""),IF(TODAY()&gt;X208,"OVERDUE follow-up",IF(TODAY()=X208,"Follow up today","")))))))))</f>
        <v/>
      </c>
    </row>
    <row r="209" customFormat="false" ht="15" hidden="false" customHeight="false" outlineLevel="0" collapsed="false">
      <c r="A209" s="17"/>
      <c r="B209" s="40"/>
      <c r="C209" s="41"/>
      <c r="D209" s="17"/>
      <c r="E209" s="17"/>
      <c r="F209" s="17"/>
      <c r="G209" s="17"/>
      <c r="H209" s="17"/>
      <c r="I209" s="42"/>
      <c r="J209" s="17"/>
      <c r="K209" s="17"/>
      <c r="L209" s="17"/>
      <c r="M209" s="17"/>
      <c r="N209" s="40"/>
      <c r="O209" s="41"/>
      <c r="P209" s="43" t="str">
        <f aca="false">IF(OR(B209="",N209=""),"",ROUND(((N209+N(O209))-(B209+N(C209)))*24,1))</f>
        <v/>
      </c>
      <c r="Q209" s="44" t="str">
        <f aca="false">IF(OR(E209="",A209="",COUNTIFS(Scoresheet!$C$2:$C$501,A209,Scoresheet!$U$2:$U$501,1)=0),"",SUMIFS(Scoresheet!$O$2:$O$501,Scoresheet!$C$2:$C$501,A209,Scoresheet!$U$2:$U$501,1))</f>
        <v/>
      </c>
      <c r="R209" s="44" t="str">
        <f aca="false">IF(E209="","",IF(OR(A209="",COUNTIFS(Scoresheet!$C$2:$C$501,A209,Scoresheet!$U$2:$U$501,1)=0),"No scoresheet yet",IF(SUMIFS(Scoresheet!$N$2:$N$501,Scoresheet!$C$2:$C$501,A209,Scoresheet!$U$2:$U$501,1)&lt;6,"Partly scored ("&amp;SUMIFS(Scoresheet!$N$2:$N$501,Scoresheet!$C$2:$C$501,A209,Scoresheet!$U$2:$U$501,1)&amp;"/6)",IF(Q209&gt;=Settings!$S$8,"Hot",IF(Q209&gt;=Settings!$S$9,"Warm","Cold")))))</f>
        <v/>
      </c>
      <c r="S209" s="44" t="str">
        <f aca="false">IF(OR(E209="",A209=""),"",IF(AND(COUNTIFS(Scoresheet!$C$2:$C$501,A209,Scoresheet!$U$2:$U$501,1,Scoresheet!$H$2:$H$501,"No")&gt;0,COUNTIFS(Scoresheet!$C$2:$C$501,A209,Scoresheet!$U$2:$U$501,1,Scoresheet!$J$2:$J$501,"No")&gt;0),"🚩 Budget  ·  🚩 No one on camera",IF(COUNTIFS(Scoresheet!$C$2:$C$501,A209,Scoresheet!$U$2:$U$501,1,Scoresheet!$H$2:$H$501,"No")&gt;0,"🚩 Budget under AED 5k",IF(COUNTIFS(Scoresheet!$C$2:$C$501,A209,Scoresheet!$U$2:$U$501,1,Scoresheet!$J$2:$J$501,"No")&gt;0,"🚩 No one on camera",""))))</f>
        <v/>
      </c>
      <c r="T209" s="17"/>
      <c r="U209" s="17"/>
      <c r="V209" s="40"/>
      <c r="W209" s="17"/>
      <c r="X209" s="45" t="str">
        <f aca="false">IF(OR(E209="",V209="",OR(U209="Contract signed + paid",U209="Closed – No response",U209="Lost"),N(W209)&gt;=Settings!$S$3),"",V209+Settings!$S$2)</f>
        <v/>
      </c>
      <c r="Y209" s="40"/>
      <c r="Z209" s="41"/>
      <c r="AA209" s="17"/>
      <c r="AB209" s="17"/>
      <c r="AC209" s="17"/>
      <c r="AD209" s="46" t="str">
        <f aca="true">IF(OR(E209="",B209=""),"",INT(TODAY()-B209))</f>
        <v/>
      </c>
      <c r="AE209" s="44" t="str">
        <f aca="true">IF(E209="","",IF(OR(COUNTIFS(Clients!$C$2:$C$501,E209,Clients!$S$2:$S$501,"Paid")&gt;0,AND(I209&lt;&gt;"",COUNTIFS(Clients!$E$2:$E$501,I209,Clients!$S$2:$S$501,"Paid")&gt;0)),"⚠ Refunded before – no free video",IF(OR(U209="Contract signed + paid",U209="Closed – No response",U209="Lost"),"",IF(U209="","Set a stage",IF(AND(U209="Proposal sent",SUMIFS(Scoresheet!$N$2:$N$501,Scoresheet!$C$2:$C$501,A209,Scoresheet!$U$2:$U$501,1)&lt;6),"Score this lead – fill the call scoresheet",IF(N(W209)&gt;=Settings!$S$3,"Close – 4 follow-ups sent",IF(X209="",IF(V209="","Make first contact",""),IF(TODAY()&gt;X209,"OVERDUE follow-up",IF(TODAY()=X209,"Follow up today","")))))))))</f>
        <v/>
      </c>
    </row>
    <row r="210" customFormat="false" ht="15" hidden="false" customHeight="false" outlineLevel="0" collapsed="false">
      <c r="A210" s="17"/>
      <c r="B210" s="40"/>
      <c r="C210" s="41"/>
      <c r="D210" s="17"/>
      <c r="E210" s="17"/>
      <c r="F210" s="17"/>
      <c r="G210" s="17"/>
      <c r="H210" s="17"/>
      <c r="I210" s="42"/>
      <c r="J210" s="17"/>
      <c r="K210" s="17"/>
      <c r="L210" s="17"/>
      <c r="M210" s="17"/>
      <c r="N210" s="40"/>
      <c r="O210" s="41"/>
      <c r="P210" s="43" t="str">
        <f aca="false">IF(OR(B210="",N210=""),"",ROUND(((N210+N(O210))-(B210+N(C210)))*24,1))</f>
        <v/>
      </c>
      <c r="Q210" s="44" t="str">
        <f aca="false">IF(OR(E210="",A210="",COUNTIFS(Scoresheet!$C$2:$C$501,A210,Scoresheet!$U$2:$U$501,1)=0),"",SUMIFS(Scoresheet!$O$2:$O$501,Scoresheet!$C$2:$C$501,A210,Scoresheet!$U$2:$U$501,1))</f>
        <v/>
      </c>
      <c r="R210" s="44" t="str">
        <f aca="false">IF(E210="","",IF(OR(A210="",COUNTIFS(Scoresheet!$C$2:$C$501,A210,Scoresheet!$U$2:$U$501,1)=0),"No scoresheet yet",IF(SUMIFS(Scoresheet!$N$2:$N$501,Scoresheet!$C$2:$C$501,A210,Scoresheet!$U$2:$U$501,1)&lt;6,"Partly scored ("&amp;SUMIFS(Scoresheet!$N$2:$N$501,Scoresheet!$C$2:$C$501,A210,Scoresheet!$U$2:$U$501,1)&amp;"/6)",IF(Q210&gt;=Settings!$S$8,"Hot",IF(Q210&gt;=Settings!$S$9,"Warm","Cold")))))</f>
        <v/>
      </c>
      <c r="S210" s="44" t="str">
        <f aca="false">IF(OR(E210="",A210=""),"",IF(AND(COUNTIFS(Scoresheet!$C$2:$C$501,A210,Scoresheet!$U$2:$U$501,1,Scoresheet!$H$2:$H$501,"No")&gt;0,COUNTIFS(Scoresheet!$C$2:$C$501,A210,Scoresheet!$U$2:$U$501,1,Scoresheet!$J$2:$J$501,"No")&gt;0),"🚩 Budget  ·  🚩 No one on camera",IF(COUNTIFS(Scoresheet!$C$2:$C$501,A210,Scoresheet!$U$2:$U$501,1,Scoresheet!$H$2:$H$501,"No")&gt;0,"🚩 Budget under AED 5k",IF(COUNTIFS(Scoresheet!$C$2:$C$501,A210,Scoresheet!$U$2:$U$501,1,Scoresheet!$J$2:$J$501,"No")&gt;0,"🚩 No one on camera",""))))</f>
        <v/>
      </c>
      <c r="T210" s="17"/>
      <c r="U210" s="17"/>
      <c r="V210" s="40"/>
      <c r="W210" s="17"/>
      <c r="X210" s="45" t="str">
        <f aca="false">IF(OR(E210="",V210="",OR(U210="Contract signed + paid",U210="Closed – No response",U210="Lost"),N(W210)&gt;=Settings!$S$3),"",V210+Settings!$S$2)</f>
        <v/>
      </c>
      <c r="Y210" s="40"/>
      <c r="Z210" s="41"/>
      <c r="AA210" s="17"/>
      <c r="AB210" s="17"/>
      <c r="AC210" s="17"/>
      <c r="AD210" s="46" t="str">
        <f aca="true">IF(OR(E210="",B210=""),"",INT(TODAY()-B210))</f>
        <v/>
      </c>
      <c r="AE210" s="44" t="str">
        <f aca="true">IF(E210="","",IF(OR(COUNTIFS(Clients!$C$2:$C$501,E210,Clients!$S$2:$S$501,"Paid")&gt;0,AND(I210&lt;&gt;"",COUNTIFS(Clients!$E$2:$E$501,I210,Clients!$S$2:$S$501,"Paid")&gt;0)),"⚠ Refunded before – no free video",IF(OR(U210="Contract signed + paid",U210="Closed – No response",U210="Lost"),"",IF(U210="","Set a stage",IF(AND(U210="Proposal sent",SUMIFS(Scoresheet!$N$2:$N$501,Scoresheet!$C$2:$C$501,A210,Scoresheet!$U$2:$U$501,1)&lt;6),"Score this lead – fill the call scoresheet",IF(N(W210)&gt;=Settings!$S$3,"Close – 4 follow-ups sent",IF(X210="",IF(V210="","Make first contact",""),IF(TODAY()&gt;X210,"OVERDUE follow-up",IF(TODAY()=X210,"Follow up today","")))))))))</f>
        <v/>
      </c>
    </row>
    <row r="211" customFormat="false" ht="15" hidden="false" customHeight="false" outlineLevel="0" collapsed="false">
      <c r="A211" s="17"/>
      <c r="B211" s="40"/>
      <c r="C211" s="41"/>
      <c r="D211" s="17"/>
      <c r="E211" s="17"/>
      <c r="F211" s="17"/>
      <c r="G211" s="17"/>
      <c r="H211" s="17"/>
      <c r="I211" s="42"/>
      <c r="J211" s="17"/>
      <c r="K211" s="17"/>
      <c r="L211" s="17"/>
      <c r="M211" s="17"/>
      <c r="N211" s="40"/>
      <c r="O211" s="41"/>
      <c r="P211" s="43" t="str">
        <f aca="false">IF(OR(B211="",N211=""),"",ROUND(((N211+N(O211))-(B211+N(C211)))*24,1))</f>
        <v/>
      </c>
      <c r="Q211" s="44" t="str">
        <f aca="false">IF(OR(E211="",A211="",COUNTIFS(Scoresheet!$C$2:$C$501,A211,Scoresheet!$U$2:$U$501,1)=0),"",SUMIFS(Scoresheet!$O$2:$O$501,Scoresheet!$C$2:$C$501,A211,Scoresheet!$U$2:$U$501,1))</f>
        <v/>
      </c>
      <c r="R211" s="44" t="str">
        <f aca="false">IF(E211="","",IF(OR(A211="",COUNTIFS(Scoresheet!$C$2:$C$501,A211,Scoresheet!$U$2:$U$501,1)=0),"No scoresheet yet",IF(SUMIFS(Scoresheet!$N$2:$N$501,Scoresheet!$C$2:$C$501,A211,Scoresheet!$U$2:$U$501,1)&lt;6,"Partly scored ("&amp;SUMIFS(Scoresheet!$N$2:$N$501,Scoresheet!$C$2:$C$501,A211,Scoresheet!$U$2:$U$501,1)&amp;"/6)",IF(Q211&gt;=Settings!$S$8,"Hot",IF(Q211&gt;=Settings!$S$9,"Warm","Cold")))))</f>
        <v/>
      </c>
      <c r="S211" s="44" t="str">
        <f aca="false">IF(OR(E211="",A211=""),"",IF(AND(COUNTIFS(Scoresheet!$C$2:$C$501,A211,Scoresheet!$U$2:$U$501,1,Scoresheet!$H$2:$H$501,"No")&gt;0,COUNTIFS(Scoresheet!$C$2:$C$501,A211,Scoresheet!$U$2:$U$501,1,Scoresheet!$J$2:$J$501,"No")&gt;0),"🚩 Budget  ·  🚩 No one on camera",IF(COUNTIFS(Scoresheet!$C$2:$C$501,A211,Scoresheet!$U$2:$U$501,1,Scoresheet!$H$2:$H$501,"No")&gt;0,"🚩 Budget under AED 5k",IF(COUNTIFS(Scoresheet!$C$2:$C$501,A211,Scoresheet!$U$2:$U$501,1,Scoresheet!$J$2:$J$501,"No")&gt;0,"🚩 No one on camera",""))))</f>
        <v/>
      </c>
      <c r="T211" s="17"/>
      <c r="U211" s="17"/>
      <c r="V211" s="40"/>
      <c r="W211" s="17"/>
      <c r="X211" s="45" t="str">
        <f aca="false">IF(OR(E211="",V211="",OR(U211="Contract signed + paid",U211="Closed – No response",U211="Lost"),N(W211)&gt;=Settings!$S$3),"",V211+Settings!$S$2)</f>
        <v/>
      </c>
      <c r="Y211" s="40"/>
      <c r="Z211" s="41"/>
      <c r="AA211" s="17"/>
      <c r="AB211" s="17"/>
      <c r="AC211" s="17"/>
      <c r="AD211" s="46" t="str">
        <f aca="true">IF(OR(E211="",B211=""),"",INT(TODAY()-B211))</f>
        <v/>
      </c>
      <c r="AE211" s="44" t="str">
        <f aca="true">IF(E211="","",IF(OR(COUNTIFS(Clients!$C$2:$C$501,E211,Clients!$S$2:$S$501,"Paid")&gt;0,AND(I211&lt;&gt;"",COUNTIFS(Clients!$E$2:$E$501,I211,Clients!$S$2:$S$501,"Paid")&gt;0)),"⚠ Refunded before – no free video",IF(OR(U211="Contract signed + paid",U211="Closed – No response",U211="Lost"),"",IF(U211="","Set a stage",IF(AND(U211="Proposal sent",SUMIFS(Scoresheet!$N$2:$N$501,Scoresheet!$C$2:$C$501,A211,Scoresheet!$U$2:$U$501,1)&lt;6),"Score this lead – fill the call scoresheet",IF(N(W211)&gt;=Settings!$S$3,"Close – 4 follow-ups sent",IF(X211="",IF(V211="","Make first contact",""),IF(TODAY()&gt;X211,"OVERDUE follow-up",IF(TODAY()=X211,"Follow up today","")))))))))</f>
        <v/>
      </c>
    </row>
    <row r="212" customFormat="false" ht="15" hidden="false" customHeight="false" outlineLevel="0" collapsed="false">
      <c r="A212" s="17"/>
      <c r="B212" s="40"/>
      <c r="C212" s="41"/>
      <c r="D212" s="17"/>
      <c r="E212" s="17"/>
      <c r="F212" s="17"/>
      <c r="G212" s="17"/>
      <c r="H212" s="17"/>
      <c r="I212" s="42"/>
      <c r="J212" s="17"/>
      <c r="K212" s="17"/>
      <c r="L212" s="17"/>
      <c r="M212" s="17"/>
      <c r="N212" s="40"/>
      <c r="O212" s="41"/>
      <c r="P212" s="43" t="str">
        <f aca="false">IF(OR(B212="",N212=""),"",ROUND(((N212+N(O212))-(B212+N(C212)))*24,1))</f>
        <v/>
      </c>
      <c r="Q212" s="44" t="str">
        <f aca="false">IF(OR(E212="",A212="",COUNTIFS(Scoresheet!$C$2:$C$501,A212,Scoresheet!$U$2:$U$501,1)=0),"",SUMIFS(Scoresheet!$O$2:$O$501,Scoresheet!$C$2:$C$501,A212,Scoresheet!$U$2:$U$501,1))</f>
        <v/>
      </c>
      <c r="R212" s="44" t="str">
        <f aca="false">IF(E212="","",IF(OR(A212="",COUNTIFS(Scoresheet!$C$2:$C$501,A212,Scoresheet!$U$2:$U$501,1)=0),"No scoresheet yet",IF(SUMIFS(Scoresheet!$N$2:$N$501,Scoresheet!$C$2:$C$501,A212,Scoresheet!$U$2:$U$501,1)&lt;6,"Partly scored ("&amp;SUMIFS(Scoresheet!$N$2:$N$501,Scoresheet!$C$2:$C$501,A212,Scoresheet!$U$2:$U$501,1)&amp;"/6)",IF(Q212&gt;=Settings!$S$8,"Hot",IF(Q212&gt;=Settings!$S$9,"Warm","Cold")))))</f>
        <v/>
      </c>
      <c r="S212" s="44" t="str">
        <f aca="false">IF(OR(E212="",A212=""),"",IF(AND(COUNTIFS(Scoresheet!$C$2:$C$501,A212,Scoresheet!$U$2:$U$501,1,Scoresheet!$H$2:$H$501,"No")&gt;0,COUNTIFS(Scoresheet!$C$2:$C$501,A212,Scoresheet!$U$2:$U$501,1,Scoresheet!$J$2:$J$501,"No")&gt;0),"🚩 Budget  ·  🚩 No one on camera",IF(COUNTIFS(Scoresheet!$C$2:$C$501,A212,Scoresheet!$U$2:$U$501,1,Scoresheet!$H$2:$H$501,"No")&gt;0,"🚩 Budget under AED 5k",IF(COUNTIFS(Scoresheet!$C$2:$C$501,A212,Scoresheet!$U$2:$U$501,1,Scoresheet!$J$2:$J$501,"No")&gt;0,"🚩 No one on camera",""))))</f>
        <v/>
      </c>
      <c r="T212" s="17"/>
      <c r="U212" s="17"/>
      <c r="V212" s="40"/>
      <c r="W212" s="17"/>
      <c r="X212" s="45" t="str">
        <f aca="false">IF(OR(E212="",V212="",OR(U212="Contract signed + paid",U212="Closed – No response",U212="Lost"),N(W212)&gt;=Settings!$S$3),"",V212+Settings!$S$2)</f>
        <v/>
      </c>
      <c r="Y212" s="40"/>
      <c r="Z212" s="41"/>
      <c r="AA212" s="17"/>
      <c r="AB212" s="17"/>
      <c r="AC212" s="17"/>
      <c r="AD212" s="46" t="str">
        <f aca="true">IF(OR(E212="",B212=""),"",INT(TODAY()-B212))</f>
        <v/>
      </c>
      <c r="AE212" s="44" t="str">
        <f aca="true">IF(E212="","",IF(OR(COUNTIFS(Clients!$C$2:$C$501,E212,Clients!$S$2:$S$501,"Paid")&gt;0,AND(I212&lt;&gt;"",COUNTIFS(Clients!$E$2:$E$501,I212,Clients!$S$2:$S$501,"Paid")&gt;0)),"⚠ Refunded before – no free video",IF(OR(U212="Contract signed + paid",U212="Closed – No response",U212="Lost"),"",IF(U212="","Set a stage",IF(AND(U212="Proposal sent",SUMIFS(Scoresheet!$N$2:$N$501,Scoresheet!$C$2:$C$501,A212,Scoresheet!$U$2:$U$501,1)&lt;6),"Score this lead – fill the call scoresheet",IF(N(W212)&gt;=Settings!$S$3,"Close – 4 follow-ups sent",IF(X212="",IF(V212="","Make first contact",""),IF(TODAY()&gt;X212,"OVERDUE follow-up",IF(TODAY()=X212,"Follow up today","")))))))))</f>
        <v/>
      </c>
    </row>
    <row r="213" customFormat="false" ht="15" hidden="false" customHeight="false" outlineLevel="0" collapsed="false">
      <c r="A213" s="17"/>
      <c r="B213" s="40"/>
      <c r="C213" s="41"/>
      <c r="D213" s="17"/>
      <c r="E213" s="17"/>
      <c r="F213" s="17"/>
      <c r="G213" s="17"/>
      <c r="H213" s="17"/>
      <c r="I213" s="42"/>
      <c r="J213" s="17"/>
      <c r="K213" s="17"/>
      <c r="L213" s="17"/>
      <c r="M213" s="17"/>
      <c r="N213" s="40"/>
      <c r="O213" s="41"/>
      <c r="P213" s="43" t="str">
        <f aca="false">IF(OR(B213="",N213=""),"",ROUND(((N213+N(O213))-(B213+N(C213)))*24,1))</f>
        <v/>
      </c>
      <c r="Q213" s="44" t="str">
        <f aca="false">IF(OR(E213="",A213="",COUNTIFS(Scoresheet!$C$2:$C$501,A213,Scoresheet!$U$2:$U$501,1)=0),"",SUMIFS(Scoresheet!$O$2:$O$501,Scoresheet!$C$2:$C$501,A213,Scoresheet!$U$2:$U$501,1))</f>
        <v/>
      </c>
      <c r="R213" s="44" t="str">
        <f aca="false">IF(E213="","",IF(OR(A213="",COUNTIFS(Scoresheet!$C$2:$C$501,A213,Scoresheet!$U$2:$U$501,1)=0),"No scoresheet yet",IF(SUMIFS(Scoresheet!$N$2:$N$501,Scoresheet!$C$2:$C$501,A213,Scoresheet!$U$2:$U$501,1)&lt;6,"Partly scored ("&amp;SUMIFS(Scoresheet!$N$2:$N$501,Scoresheet!$C$2:$C$501,A213,Scoresheet!$U$2:$U$501,1)&amp;"/6)",IF(Q213&gt;=Settings!$S$8,"Hot",IF(Q213&gt;=Settings!$S$9,"Warm","Cold")))))</f>
        <v/>
      </c>
      <c r="S213" s="44" t="str">
        <f aca="false">IF(OR(E213="",A213=""),"",IF(AND(COUNTIFS(Scoresheet!$C$2:$C$501,A213,Scoresheet!$U$2:$U$501,1,Scoresheet!$H$2:$H$501,"No")&gt;0,COUNTIFS(Scoresheet!$C$2:$C$501,A213,Scoresheet!$U$2:$U$501,1,Scoresheet!$J$2:$J$501,"No")&gt;0),"🚩 Budget  ·  🚩 No one on camera",IF(COUNTIFS(Scoresheet!$C$2:$C$501,A213,Scoresheet!$U$2:$U$501,1,Scoresheet!$H$2:$H$501,"No")&gt;0,"🚩 Budget under AED 5k",IF(COUNTIFS(Scoresheet!$C$2:$C$501,A213,Scoresheet!$U$2:$U$501,1,Scoresheet!$J$2:$J$501,"No")&gt;0,"🚩 No one on camera",""))))</f>
        <v/>
      </c>
      <c r="T213" s="17"/>
      <c r="U213" s="17"/>
      <c r="V213" s="40"/>
      <c r="W213" s="17"/>
      <c r="X213" s="45" t="str">
        <f aca="false">IF(OR(E213="",V213="",OR(U213="Contract signed + paid",U213="Closed – No response",U213="Lost"),N(W213)&gt;=Settings!$S$3),"",V213+Settings!$S$2)</f>
        <v/>
      </c>
      <c r="Y213" s="40"/>
      <c r="Z213" s="41"/>
      <c r="AA213" s="17"/>
      <c r="AB213" s="17"/>
      <c r="AC213" s="17"/>
      <c r="AD213" s="46" t="str">
        <f aca="true">IF(OR(E213="",B213=""),"",INT(TODAY()-B213))</f>
        <v/>
      </c>
      <c r="AE213" s="44" t="str">
        <f aca="true">IF(E213="","",IF(OR(COUNTIFS(Clients!$C$2:$C$501,E213,Clients!$S$2:$S$501,"Paid")&gt;0,AND(I213&lt;&gt;"",COUNTIFS(Clients!$E$2:$E$501,I213,Clients!$S$2:$S$501,"Paid")&gt;0)),"⚠ Refunded before – no free video",IF(OR(U213="Contract signed + paid",U213="Closed – No response",U213="Lost"),"",IF(U213="","Set a stage",IF(AND(U213="Proposal sent",SUMIFS(Scoresheet!$N$2:$N$501,Scoresheet!$C$2:$C$501,A213,Scoresheet!$U$2:$U$501,1)&lt;6),"Score this lead – fill the call scoresheet",IF(N(W213)&gt;=Settings!$S$3,"Close – 4 follow-ups sent",IF(X213="",IF(V213="","Make first contact",""),IF(TODAY()&gt;X213,"OVERDUE follow-up",IF(TODAY()=X213,"Follow up today","")))))))))</f>
        <v/>
      </c>
    </row>
    <row r="214" customFormat="false" ht="15" hidden="false" customHeight="false" outlineLevel="0" collapsed="false">
      <c r="A214" s="17"/>
      <c r="B214" s="40"/>
      <c r="C214" s="41"/>
      <c r="D214" s="17"/>
      <c r="E214" s="17"/>
      <c r="F214" s="17"/>
      <c r="G214" s="17"/>
      <c r="H214" s="17"/>
      <c r="I214" s="42"/>
      <c r="J214" s="17"/>
      <c r="K214" s="17"/>
      <c r="L214" s="17"/>
      <c r="M214" s="17"/>
      <c r="N214" s="40"/>
      <c r="O214" s="41"/>
      <c r="P214" s="43" t="str">
        <f aca="false">IF(OR(B214="",N214=""),"",ROUND(((N214+N(O214))-(B214+N(C214)))*24,1))</f>
        <v/>
      </c>
      <c r="Q214" s="44" t="str">
        <f aca="false">IF(OR(E214="",A214="",COUNTIFS(Scoresheet!$C$2:$C$501,A214,Scoresheet!$U$2:$U$501,1)=0),"",SUMIFS(Scoresheet!$O$2:$O$501,Scoresheet!$C$2:$C$501,A214,Scoresheet!$U$2:$U$501,1))</f>
        <v/>
      </c>
      <c r="R214" s="44" t="str">
        <f aca="false">IF(E214="","",IF(OR(A214="",COUNTIFS(Scoresheet!$C$2:$C$501,A214,Scoresheet!$U$2:$U$501,1)=0),"No scoresheet yet",IF(SUMIFS(Scoresheet!$N$2:$N$501,Scoresheet!$C$2:$C$501,A214,Scoresheet!$U$2:$U$501,1)&lt;6,"Partly scored ("&amp;SUMIFS(Scoresheet!$N$2:$N$501,Scoresheet!$C$2:$C$501,A214,Scoresheet!$U$2:$U$501,1)&amp;"/6)",IF(Q214&gt;=Settings!$S$8,"Hot",IF(Q214&gt;=Settings!$S$9,"Warm","Cold")))))</f>
        <v/>
      </c>
      <c r="S214" s="44" t="str">
        <f aca="false">IF(OR(E214="",A214=""),"",IF(AND(COUNTIFS(Scoresheet!$C$2:$C$501,A214,Scoresheet!$U$2:$U$501,1,Scoresheet!$H$2:$H$501,"No")&gt;0,COUNTIFS(Scoresheet!$C$2:$C$501,A214,Scoresheet!$U$2:$U$501,1,Scoresheet!$J$2:$J$501,"No")&gt;0),"🚩 Budget  ·  🚩 No one on camera",IF(COUNTIFS(Scoresheet!$C$2:$C$501,A214,Scoresheet!$U$2:$U$501,1,Scoresheet!$H$2:$H$501,"No")&gt;0,"🚩 Budget under AED 5k",IF(COUNTIFS(Scoresheet!$C$2:$C$501,A214,Scoresheet!$U$2:$U$501,1,Scoresheet!$J$2:$J$501,"No")&gt;0,"🚩 No one on camera",""))))</f>
        <v/>
      </c>
      <c r="T214" s="17"/>
      <c r="U214" s="17"/>
      <c r="V214" s="40"/>
      <c r="W214" s="17"/>
      <c r="X214" s="45" t="str">
        <f aca="false">IF(OR(E214="",V214="",OR(U214="Contract signed + paid",U214="Closed – No response",U214="Lost"),N(W214)&gt;=Settings!$S$3),"",V214+Settings!$S$2)</f>
        <v/>
      </c>
      <c r="Y214" s="40"/>
      <c r="Z214" s="41"/>
      <c r="AA214" s="17"/>
      <c r="AB214" s="17"/>
      <c r="AC214" s="17"/>
      <c r="AD214" s="46" t="str">
        <f aca="true">IF(OR(E214="",B214=""),"",INT(TODAY()-B214))</f>
        <v/>
      </c>
      <c r="AE214" s="44" t="str">
        <f aca="true">IF(E214="","",IF(OR(COUNTIFS(Clients!$C$2:$C$501,E214,Clients!$S$2:$S$501,"Paid")&gt;0,AND(I214&lt;&gt;"",COUNTIFS(Clients!$E$2:$E$501,I214,Clients!$S$2:$S$501,"Paid")&gt;0)),"⚠ Refunded before – no free video",IF(OR(U214="Contract signed + paid",U214="Closed – No response",U214="Lost"),"",IF(U214="","Set a stage",IF(AND(U214="Proposal sent",SUMIFS(Scoresheet!$N$2:$N$501,Scoresheet!$C$2:$C$501,A214,Scoresheet!$U$2:$U$501,1)&lt;6),"Score this lead – fill the call scoresheet",IF(N(W214)&gt;=Settings!$S$3,"Close – 4 follow-ups sent",IF(X214="",IF(V214="","Make first contact",""),IF(TODAY()&gt;X214,"OVERDUE follow-up",IF(TODAY()=X214,"Follow up today","")))))))))</f>
        <v/>
      </c>
    </row>
    <row r="215" customFormat="false" ht="15" hidden="false" customHeight="false" outlineLevel="0" collapsed="false">
      <c r="A215" s="17"/>
      <c r="B215" s="40"/>
      <c r="C215" s="41"/>
      <c r="D215" s="17"/>
      <c r="E215" s="17"/>
      <c r="F215" s="17"/>
      <c r="G215" s="17"/>
      <c r="H215" s="17"/>
      <c r="I215" s="42"/>
      <c r="J215" s="17"/>
      <c r="K215" s="17"/>
      <c r="L215" s="17"/>
      <c r="M215" s="17"/>
      <c r="N215" s="40"/>
      <c r="O215" s="41"/>
      <c r="P215" s="43" t="str">
        <f aca="false">IF(OR(B215="",N215=""),"",ROUND(((N215+N(O215))-(B215+N(C215)))*24,1))</f>
        <v/>
      </c>
      <c r="Q215" s="44" t="str">
        <f aca="false">IF(OR(E215="",A215="",COUNTIFS(Scoresheet!$C$2:$C$501,A215,Scoresheet!$U$2:$U$501,1)=0),"",SUMIFS(Scoresheet!$O$2:$O$501,Scoresheet!$C$2:$C$501,A215,Scoresheet!$U$2:$U$501,1))</f>
        <v/>
      </c>
      <c r="R215" s="44" t="str">
        <f aca="false">IF(E215="","",IF(OR(A215="",COUNTIFS(Scoresheet!$C$2:$C$501,A215,Scoresheet!$U$2:$U$501,1)=0),"No scoresheet yet",IF(SUMIFS(Scoresheet!$N$2:$N$501,Scoresheet!$C$2:$C$501,A215,Scoresheet!$U$2:$U$501,1)&lt;6,"Partly scored ("&amp;SUMIFS(Scoresheet!$N$2:$N$501,Scoresheet!$C$2:$C$501,A215,Scoresheet!$U$2:$U$501,1)&amp;"/6)",IF(Q215&gt;=Settings!$S$8,"Hot",IF(Q215&gt;=Settings!$S$9,"Warm","Cold")))))</f>
        <v/>
      </c>
      <c r="S215" s="44" t="str">
        <f aca="false">IF(OR(E215="",A215=""),"",IF(AND(COUNTIFS(Scoresheet!$C$2:$C$501,A215,Scoresheet!$U$2:$U$501,1,Scoresheet!$H$2:$H$501,"No")&gt;0,COUNTIFS(Scoresheet!$C$2:$C$501,A215,Scoresheet!$U$2:$U$501,1,Scoresheet!$J$2:$J$501,"No")&gt;0),"🚩 Budget  ·  🚩 No one on camera",IF(COUNTIFS(Scoresheet!$C$2:$C$501,A215,Scoresheet!$U$2:$U$501,1,Scoresheet!$H$2:$H$501,"No")&gt;0,"🚩 Budget under AED 5k",IF(COUNTIFS(Scoresheet!$C$2:$C$501,A215,Scoresheet!$U$2:$U$501,1,Scoresheet!$J$2:$J$501,"No")&gt;0,"🚩 No one on camera",""))))</f>
        <v/>
      </c>
      <c r="T215" s="17"/>
      <c r="U215" s="17"/>
      <c r="V215" s="40"/>
      <c r="W215" s="17"/>
      <c r="X215" s="45" t="str">
        <f aca="false">IF(OR(E215="",V215="",OR(U215="Contract signed + paid",U215="Closed – No response",U215="Lost"),N(W215)&gt;=Settings!$S$3),"",V215+Settings!$S$2)</f>
        <v/>
      </c>
      <c r="Y215" s="40"/>
      <c r="Z215" s="41"/>
      <c r="AA215" s="17"/>
      <c r="AB215" s="17"/>
      <c r="AC215" s="17"/>
      <c r="AD215" s="46" t="str">
        <f aca="true">IF(OR(E215="",B215=""),"",INT(TODAY()-B215))</f>
        <v/>
      </c>
      <c r="AE215" s="44" t="str">
        <f aca="true">IF(E215="","",IF(OR(COUNTIFS(Clients!$C$2:$C$501,E215,Clients!$S$2:$S$501,"Paid")&gt;0,AND(I215&lt;&gt;"",COUNTIFS(Clients!$E$2:$E$501,I215,Clients!$S$2:$S$501,"Paid")&gt;0)),"⚠ Refunded before – no free video",IF(OR(U215="Contract signed + paid",U215="Closed – No response",U215="Lost"),"",IF(U215="","Set a stage",IF(AND(U215="Proposal sent",SUMIFS(Scoresheet!$N$2:$N$501,Scoresheet!$C$2:$C$501,A215,Scoresheet!$U$2:$U$501,1)&lt;6),"Score this lead – fill the call scoresheet",IF(N(W215)&gt;=Settings!$S$3,"Close – 4 follow-ups sent",IF(X215="",IF(V215="","Make first contact",""),IF(TODAY()&gt;X215,"OVERDUE follow-up",IF(TODAY()=X215,"Follow up today","")))))))))</f>
        <v/>
      </c>
    </row>
    <row r="216" customFormat="false" ht="15" hidden="false" customHeight="false" outlineLevel="0" collapsed="false">
      <c r="A216" s="17"/>
      <c r="B216" s="40"/>
      <c r="C216" s="41"/>
      <c r="D216" s="17"/>
      <c r="E216" s="17"/>
      <c r="F216" s="17"/>
      <c r="G216" s="17"/>
      <c r="H216" s="17"/>
      <c r="I216" s="42"/>
      <c r="J216" s="17"/>
      <c r="K216" s="17"/>
      <c r="L216" s="17"/>
      <c r="M216" s="17"/>
      <c r="N216" s="40"/>
      <c r="O216" s="41"/>
      <c r="P216" s="43" t="str">
        <f aca="false">IF(OR(B216="",N216=""),"",ROUND(((N216+N(O216))-(B216+N(C216)))*24,1))</f>
        <v/>
      </c>
      <c r="Q216" s="44" t="str">
        <f aca="false">IF(OR(E216="",A216="",COUNTIFS(Scoresheet!$C$2:$C$501,A216,Scoresheet!$U$2:$U$501,1)=0),"",SUMIFS(Scoresheet!$O$2:$O$501,Scoresheet!$C$2:$C$501,A216,Scoresheet!$U$2:$U$501,1))</f>
        <v/>
      </c>
      <c r="R216" s="44" t="str">
        <f aca="false">IF(E216="","",IF(OR(A216="",COUNTIFS(Scoresheet!$C$2:$C$501,A216,Scoresheet!$U$2:$U$501,1)=0),"No scoresheet yet",IF(SUMIFS(Scoresheet!$N$2:$N$501,Scoresheet!$C$2:$C$501,A216,Scoresheet!$U$2:$U$501,1)&lt;6,"Partly scored ("&amp;SUMIFS(Scoresheet!$N$2:$N$501,Scoresheet!$C$2:$C$501,A216,Scoresheet!$U$2:$U$501,1)&amp;"/6)",IF(Q216&gt;=Settings!$S$8,"Hot",IF(Q216&gt;=Settings!$S$9,"Warm","Cold")))))</f>
        <v/>
      </c>
      <c r="S216" s="44" t="str">
        <f aca="false">IF(OR(E216="",A216=""),"",IF(AND(COUNTIFS(Scoresheet!$C$2:$C$501,A216,Scoresheet!$U$2:$U$501,1,Scoresheet!$H$2:$H$501,"No")&gt;0,COUNTIFS(Scoresheet!$C$2:$C$501,A216,Scoresheet!$U$2:$U$501,1,Scoresheet!$J$2:$J$501,"No")&gt;0),"🚩 Budget  ·  🚩 No one on camera",IF(COUNTIFS(Scoresheet!$C$2:$C$501,A216,Scoresheet!$U$2:$U$501,1,Scoresheet!$H$2:$H$501,"No")&gt;0,"🚩 Budget under AED 5k",IF(COUNTIFS(Scoresheet!$C$2:$C$501,A216,Scoresheet!$U$2:$U$501,1,Scoresheet!$J$2:$J$501,"No")&gt;0,"🚩 No one on camera",""))))</f>
        <v/>
      </c>
      <c r="T216" s="17"/>
      <c r="U216" s="17"/>
      <c r="V216" s="40"/>
      <c r="W216" s="17"/>
      <c r="X216" s="45" t="str">
        <f aca="false">IF(OR(E216="",V216="",OR(U216="Contract signed + paid",U216="Closed – No response",U216="Lost"),N(W216)&gt;=Settings!$S$3),"",V216+Settings!$S$2)</f>
        <v/>
      </c>
      <c r="Y216" s="40"/>
      <c r="Z216" s="41"/>
      <c r="AA216" s="17"/>
      <c r="AB216" s="17"/>
      <c r="AC216" s="17"/>
      <c r="AD216" s="46" t="str">
        <f aca="true">IF(OR(E216="",B216=""),"",INT(TODAY()-B216))</f>
        <v/>
      </c>
      <c r="AE216" s="44" t="str">
        <f aca="true">IF(E216="","",IF(OR(COUNTIFS(Clients!$C$2:$C$501,E216,Clients!$S$2:$S$501,"Paid")&gt;0,AND(I216&lt;&gt;"",COUNTIFS(Clients!$E$2:$E$501,I216,Clients!$S$2:$S$501,"Paid")&gt;0)),"⚠ Refunded before – no free video",IF(OR(U216="Contract signed + paid",U216="Closed – No response",U216="Lost"),"",IF(U216="","Set a stage",IF(AND(U216="Proposal sent",SUMIFS(Scoresheet!$N$2:$N$501,Scoresheet!$C$2:$C$501,A216,Scoresheet!$U$2:$U$501,1)&lt;6),"Score this lead – fill the call scoresheet",IF(N(W216)&gt;=Settings!$S$3,"Close – 4 follow-ups sent",IF(X216="",IF(V216="","Make first contact",""),IF(TODAY()&gt;X216,"OVERDUE follow-up",IF(TODAY()=X216,"Follow up today","")))))))))</f>
        <v/>
      </c>
    </row>
    <row r="217" customFormat="false" ht="15" hidden="false" customHeight="false" outlineLevel="0" collapsed="false">
      <c r="A217" s="17"/>
      <c r="B217" s="40"/>
      <c r="C217" s="41"/>
      <c r="D217" s="17"/>
      <c r="E217" s="17"/>
      <c r="F217" s="17"/>
      <c r="G217" s="17"/>
      <c r="H217" s="17"/>
      <c r="I217" s="42"/>
      <c r="J217" s="17"/>
      <c r="K217" s="17"/>
      <c r="L217" s="17"/>
      <c r="M217" s="17"/>
      <c r="N217" s="40"/>
      <c r="O217" s="41"/>
      <c r="P217" s="43" t="str">
        <f aca="false">IF(OR(B217="",N217=""),"",ROUND(((N217+N(O217))-(B217+N(C217)))*24,1))</f>
        <v/>
      </c>
      <c r="Q217" s="44" t="str">
        <f aca="false">IF(OR(E217="",A217="",COUNTIFS(Scoresheet!$C$2:$C$501,A217,Scoresheet!$U$2:$U$501,1)=0),"",SUMIFS(Scoresheet!$O$2:$O$501,Scoresheet!$C$2:$C$501,A217,Scoresheet!$U$2:$U$501,1))</f>
        <v/>
      </c>
      <c r="R217" s="44" t="str">
        <f aca="false">IF(E217="","",IF(OR(A217="",COUNTIFS(Scoresheet!$C$2:$C$501,A217,Scoresheet!$U$2:$U$501,1)=0),"No scoresheet yet",IF(SUMIFS(Scoresheet!$N$2:$N$501,Scoresheet!$C$2:$C$501,A217,Scoresheet!$U$2:$U$501,1)&lt;6,"Partly scored ("&amp;SUMIFS(Scoresheet!$N$2:$N$501,Scoresheet!$C$2:$C$501,A217,Scoresheet!$U$2:$U$501,1)&amp;"/6)",IF(Q217&gt;=Settings!$S$8,"Hot",IF(Q217&gt;=Settings!$S$9,"Warm","Cold")))))</f>
        <v/>
      </c>
      <c r="S217" s="44" t="str">
        <f aca="false">IF(OR(E217="",A217=""),"",IF(AND(COUNTIFS(Scoresheet!$C$2:$C$501,A217,Scoresheet!$U$2:$U$501,1,Scoresheet!$H$2:$H$501,"No")&gt;0,COUNTIFS(Scoresheet!$C$2:$C$501,A217,Scoresheet!$U$2:$U$501,1,Scoresheet!$J$2:$J$501,"No")&gt;0),"🚩 Budget  ·  🚩 No one on camera",IF(COUNTIFS(Scoresheet!$C$2:$C$501,A217,Scoresheet!$U$2:$U$501,1,Scoresheet!$H$2:$H$501,"No")&gt;0,"🚩 Budget under AED 5k",IF(COUNTIFS(Scoresheet!$C$2:$C$501,A217,Scoresheet!$U$2:$U$501,1,Scoresheet!$J$2:$J$501,"No")&gt;0,"🚩 No one on camera",""))))</f>
        <v/>
      </c>
      <c r="T217" s="17"/>
      <c r="U217" s="17"/>
      <c r="V217" s="40"/>
      <c r="W217" s="17"/>
      <c r="X217" s="45" t="str">
        <f aca="false">IF(OR(E217="",V217="",OR(U217="Contract signed + paid",U217="Closed – No response",U217="Lost"),N(W217)&gt;=Settings!$S$3),"",V217+Settings!$S$2)</f>
        <v/>
      </c>
      <c r="Y217" s="40"/>
      <c r="Z217" s="41"/>
      <c r="AA217" s="17"/>
      <c r="AB217" s="17"/>
      <c r="AC217" s="17"/>
      <c r="AD217" s="46" t="str">
        <f aca="true">IF(OR(E217="",B217=""),"",INT(TODAY()-B217))</f>
        <v/>
      </c>
      <c r="AE217" s="44" t="str">
        <f aca="true">IF(E217="","",IF(OR(COUNTIFS(Clients!$C$2:$C$501,E217,Clients!$S$2:$S$501,"Paid")&gt;0,AND(I217&lt;&gt;"",COUNTIFS(Clients!$E$2:$E$501,I217,Clients!$S$2:$S$501,"Paid")&gt;0)),"⚠ Refunded before – no free video",IF(OR(U217="Contract signed + paid",U217="Closed – No response",U217="Lost"),"",IF(U217="","Set a stage",IF(AND(U217="Proposal sent",SUMIFS(Scoresheet!$N$2:$N$501,Scoresheet!$C$2:$C$501,A217,Scoresheet!$U$2:$U$501,1)&lt;6),"Score this lead – fill the call scoresheet",IF(N(W217)&gt;=Settings!$S$3,"Close – 4 follow-ups sent",IF(X217="",IF(V217="","Make first contact",""),IF(TODAY()&gt;X217,"OVERDUE follow-up",IF(TODAY()=X217,"Follow up today","")))))))))</f>
        <v/>
      </c>
    </row>
    <row r="218" customFormat="false" ht="15" hidden="false" customHeight="false" outlineLevel="0" collapsed="false">
      <c r="A218" s="17"/>
      <c r="B218" s="40"/>
      <c r="C218" s="41"/>
      <c r="D218" s="17"/>
      <c r="E218" s="17"/>
      <c r="F218" s="17"/>
      <c r="G218" s="17"/>
      <c r="H218" s="17"/>
      <c r="I218" s="42"/>
      <c r="J218" s="17"/>
      <c r="K218" s="17"/>
      <c r="L218" s="17"/>
      <c r="M218" s="17"/>
      <c r="N218" s="40"/>
      <c r="O218" s="41"/>
      <c r="P218" s="43" t="str">
        <f aca="false">IF(OR(B218="",N218=""),"",ROUND(((N218+N(O218))-(B218+N(C218)))*24,1))</f>
        <v/>
      </c>
      <c r="Q218" s="44" t="str">
        <f aca="false">IF(OR(E218="",A218="",COUNTIFS(Scoresheet!$C$2:$C$501,A218,Scoresheet!$U$2:$U$501,1)=0),"",SUMIFS(Scoresheet!$O$2:$O$501,Scoresheet!$C$2:$C$501,A218,Scoresheet!$U$2:$U$501,1))</f>
        <v/>
      </c>
      <c r="R218" s="44" t="str">
        <f aca="false">IF(E218="","",IF(OR(A218="",COUNTIFS(Scoresheet!$C$2:$C$501,A218,Scoresheet!$U$2:$U$501,1)=0),"No scoresheet yet",IF(SUMIFS(Scoresheet!$N$2:$N$501,Scoresheet!$C$2:$C$501,A218,Scoresheet!$U$2:$U$501,1)&lt;6,"Partly scored ("&amp;SUMIFS(Scoresheet!$N$2:$N$501,Scoresheet!$C$2:$C$501,A218,Scoresheet!$U$2:$U$501,1)&amp;"/6)",IF(Q218&gt;=Settings!$S$8,"Hot",IF(Q218&gt;=Settings!$S$9,"Warm","Cold")))))</f>
        <v/>
      </c>
      <c r="S218" s="44" t="str">
        <f aca="false">IF(OR(E218="",A218=""),"",IF(AND(COUNTIFS(Scoresheet!$C$2:$C$501,A218,Scoresheet!$U$2:$U$501,1,Scoresheet!$H$2:$H$501,"No")&gt;0,COUNTIFS(Scoresheet!$C$2:$C$501,A218,Scoresheet!$U$2:$U$501,1,Scoresheet!$J$2:$J$501,"No")&gt;0),"🚩 Budget  ·  🚩 No one on camera",IF(COUNTIFS(Scoresheet!$C$2:$C$501,A218,Scoresheet!$U$2:$U$501,1,Scoresheet!$H$2:$H$501,"No")&gt;0,"🚩 Budget under AED 5k",IF(COUNTIFS(Scoresheet!$C$2:$C$501,A218,Scoresheet!$U$2:$U$501,1,Scoresheet!$J$2:$J$501,"No")&gt;0,"🚩 No one on camera",""))))</f>
        <v/>
      </c>
      <c r="T218" s="17"/>
      <c r="U218" s="17"/>
      <c r="V218" s="40"/>
      <c r="W218" s="17"/>
      <c r="X218" s="45" t="str">
        <f aca="false">IF(OR(E218="",V218="",OR(U218="Contract signed + paid",U218="Closed – No response",U218="Lost"),N(W218)&gt;=Settings!$S$3),"",V218+Settings!$S$2)</f>
        <v/>
      </c>
      <c r="Y218" s="40"/>
      <c r="Z218" s="41"/>
      <c r="AA218" s="17"/>
      <c r="AB218" s="17"/>
      <c r="AC218" s="17"/>
      <c r="AD218" s="46" t="str">
        <f aca="true">IF(OR(E218="",B218=""),"",INT(TODAY()-B218))</f>
        <v/>
      </c>
      <c r="AE218" s="44" t="str">
        <f aca="true">IF(E218="","",IF(OR(COUNTIFS(Clients!$C$2:$C$501,E218,Clients!$S$2:$S$501,"Paid")&gt;0,AND(I218&lt;&gt;"",COUNTIFS(Clients!$E$2:$E$501,I218,Clients!$S$2:$S$501,"Paid")&gt;0)),"⚠ Refunded before – no free video",IF(OR(U218="Contract signed + paid",U218="Closed – No response",U218="Lost"),"",IF(U218="","Set a stage",IF(AND(U218="Proposal sent",SUMIFS(Scoresheet!$N$2:$N$501,Scoresheet!$C$2:$C$501,A218,Scoresheet!$U$2:$U$501,1)&lt;6),"Score this lead – fill the call scoresheet",IF(N(W218)&gt;=Settings!$S$3,"Close – 4 follow-ups sent",IF(X218="",IF(V218="","Make first contact",""),IF(TODAY()&gt;X218,"OVERDUE follow-up",IF(TODAY()=X218,"Follow up today","")))))))))</f>
        <v/>
      </c>
    </row>
    <row r="219" customFormat="false" ht="15" hidden="false" customHeight="false" outlineLevel="0" collapsed="false">
      <c r="A219" s="17"/>
      <c r="B219" s="40"/>
      <c r="C219" s="41"/>
      <c r="D219" s="17"/>
      <c r="E219" s="17"/>
      <c r="F219" s="17"/>
      <c r="G219" s="17"/>
      <c r="H219" s="17"/>
      <c r="I219" s="42"/>
      <c r="J219" s="17"/>
      <c r="K219" s="17"/>
      <c r="L219" s="17"/>
      <c r="M219" s="17"/>
      <c r="N219" s="40"/>
      <c r="O219" s="41"/>
      <c r="P219" s="43" t="str">
        <f aca="false">IF(OR(B219="",N219=""),"",ROUND(((N219+N(O219))-(B219+N(C219)))*24,1))</f>
        <v/>
      </c>
      <c r="Q219" s="44" t="str">
        <f aca="false">IF(OR(E219="",A219="",COUNTIFS(Scoresheet!$C$2:$C$501,A219,Scoresheet!$U$2:$U$501,1)=0),"",SUMIFS(Scoresheet!$O$2:$O$501,Scoresheet!$C$2:$C$501,A219,Scoresheet!$U$2:$U$501,1))</f>
        <v/>
      </c>
      <c r="R219" s="44" t="str">
        <f aca="false">IF(E219="","",IF(OR(A219="",COUNTIFS(Scoresheet!$C$2:$C$501,A219,Scoresheet!$U$2:$U$501,1)=0),"No scoresheet yet",IF(SUMIFS(Scoresheet!$N$2:$N$501,Scoresheet!$C$2:$C$501,A219,Scoresheet!$U$2:$U$501,1)&lt;6,"Partly scored ("&amp;SUMIFS(Scoresheet!$N$2:$N$501,Scoresheet!$C$2:$C$501,A219,Scoresheet!$U$2:$U$501,1)&amp;"/6)",IF(Q219&gt;=Settings!$S$8,"Hot",IF(Q219&gt;=Settings!$S$9,"Warm","Cold")))))</f>
        <v/>
      </c>
      <c r="S219" s="44" t="str">
        <f aca="false">IF(OR(E219="",A219=""),"",IF(AND(COUNTIFS(Scoresheet!$C$2:$C$501,A219,Scoresheet!$U$2:$U$501,1,Scoresheet!$H$2:$H$501,"No")&gt;0,COUNTIFS(Scoresheet!$C$2:$C$501,A219,Scoresheet!$U$2:$U$501,1,Scoresheet!$J$2:$J$501,"No")&gt;0),"🚩 Budget  ·  🚩 No one on camera",IF(COUNTIFS(Scoresheet!$C$2:$C$501,A219,Scoresheet!$U$2:$U$501,1,Scoresheet!$H$2:$H$501,"No")&gt;0,"🚩 Budget under AED 5k",IF(COUNTIFS(Scoresheet!$C$2:$C$501,A219,Scoresheet!$U$2:$U$501,1,Scoresheet!$J$2:$J$501,"No")&gt;0,"🚩 No one on camera",""))))</f>
        <v/>
      </c>
      <c r="T219" s="17"/>
      <c r="U219" s="17"/>
      <c r="V219" s="40"/>
      <c r="W219" s="17"/>
      <c r="X219" s="45" t="str">
        <f aca="false">IF(OR(E219="",V219="",OR(U219="Contract signed + paid",U219="Closed – No response",U219="Lost"),N(W219)&gt;=Settings!$S$3),"",V219+Settings!$S$2)</f>
        <v/>
      </c>
      <c r="Y219" s="40"/>
      <c r="Z219" s="41"/>
      <c r="AA219" s="17"/>
      <c r="AB219" s="17"/>
      <c r="AC219" s="17"/>
      <c r="AD219" s="46" t="str">
        <f aca="true">IF(OR(E219="",B219=""),"",INT(TODAY()-B219))</f>
        <v/>
      </c>
      <c r="AE219" s="44" t="str">
        <f aca="true">IF(E219="","",IF(OR(COUNTIFS(Clients!$C$2:$C$501,E219,Clients!$S$2:$S$501,"Paid")&gt;0,AND(I219&lt;&gt;"",COUNTIFS(Clients!$E$2:$E$501,I219,Clients!$S$2:$S$501,"Paid")&gt;0)),"⚠ Refunded before – no free video",IF(OR(U219="Contract signed + paid",U219="Closed – No response",U219="Lost"),"",IF(U219="","Set a stage",IF(AND(U219="Proposal sent",SUMIFS(Scoresheet!$N$2:$N$501,Scoresheet!$C$2:$C$501,A219,Scoresheet!$U$2:$U$501,1)&lt;6),"Score this lead – fill the call scoresheet",IF(N(W219)&gt;=Settings!$S$3,"Close – 4 follow-ups sent",IF(X219="",IF(V219="","Make first contact",""),IF(TODAY()&gt;X219,"OVERDUE follow-up",IF(TODAY()=X219,"Follow up today","")))))))))</f>
        <v/>
      </c>
    </row>
    <row r="220" customFormat="false" ht="15" hidden="false" customHeight="false" outlineLevel="0" collapsed="false">
      <c r="A220" s="17"/>
      <c r="B220" s="40"/>
      <c r="C220" s="41"/>
      <c r="D220" s="17"/>
      <c r="E220" s="17"/>
      <c r="F220" s="17"/>
      <c r="G220" s="17"/>
      <c r="H220" s="17"/>
      <c r="I220" s="42"/>
      <c r="J220" s="17"/>
      <c r="K220" s="17"/>
      <c r="L220" s="17"/>
      <c r="M220" s="17"/>
      <c r="N220" s="40"/>
      <c r="O220" s="41"/>
      <c r="P220" s="43" t="str">
        <f aca="false">IF(OR(B220="",N220=""),"",ROUND(((N220+N(O220))-(B220+N(C220)))*24,1))</f>
        <v/>
      </c>
      <c r="Q220" s="44" t="str">
        <f aca="false">IF(OR(E220="",A220="",COUNTIFS(Scoresheet!$C$2:$C$501,A220,Scoresheet!$U$2:$U$501,1)=0),"",SUMIFS(Scoresheet!$O$2:$O$501,Scoresheet!$C$2:$C$501,A220,Scoresheet!$U$2:$U$501,1))</f>
        <v/>
      </c>
      <c r="R220" s="44" t="str">
        <f aca="false">IF(E220="","",IF(OR(A220="",COUNTIFS(Scoresheet!$C$2:$C$501,A220,Scoresheet!$U$2:$U$501,1)=0),"No scoresheet yet",IF(SUMIFS(Scoresheet!$N$2:$N$501,Scoresheet!$C$2:$C$501,A220,Scoresheet!$U$2:$U$501,1)&lt;6,"Partly scored ("&amp;SUMIFS(Scoresheet!$N$2:$N$501,Scoresheet!$C$2:$C$501,A220,Scoresheet!$U$2:$U$501,1)&amp;"/6)",IF(Q220&gt;=Settings!$S$8,"Hot",IF(Q220&gt;=Settings!$S$9,"Warm","Cold")))))</f>
        <v/>
      </c>
      <c r="S220" s="44" t="str">
        <f aca="false">IF(OR(E220="",A220=""),"",IF(AND(COUNTIFS(Scoresheet!$C$2:$C$501,A220,Scoresheet!$U$2:$U$501,1,Scoresheet!$H$2:$H$501,"No")&gt;0,COUNTIFS(Scoresheet!$C$2:$C$501,A220,Scoresheet!$U$2:$U$501,1,Scoresheet!$J$2:$J$501,"No")&gt;0),"🚩 Budget  ·  🚩 No one on camera",IF(COUNTIFS(Scoresheet!$C$2:$C$501,A220,Scoresheet!$U$2:$U$501,1,Scoresheet!$H$2:$H$501,"No")&gt;0,"🚩 Budget under AED 5k",IF(COUNTIFS(Scoresheet!$C$2:$C$501,A220,Scoresheet!$U$2:$U$501,1,Scoresheet!$J$2:$J$501,"No")&gt;0,"🚩 No one on camera",""))))</f>
        <v/>
      </c>
      <c r="T220" s="17"/>
      <c r="U220" s="17"/>
      <c r="V220" s="40"/>
      <c r="W220" s="17"/>
      <c r="X220" s="45" t="str">
        <f aca="false">IF(OR(E220="",V220="",OR(U220="Contract signed + paid",U220="Closed – No response",U220="Lost"),N(W220)&gt;=Settings!$S$3),"",V220+Settings!$S$2)</f>
        <v/>
      </c>
      <c r="Y220" s="40"/>
      <c r="Z220" s="41"/>
      <c r="AA220" s="17"/>
      <c r="AB220" s="17"/>
      <c r="AC220" s="17"/>
      <c r="AD220" s="46" t="str">
        <f aca="true">IF(OR(E220="",B220=""),"",INT(TODAY()-B220))</f>
        <v/>
      </c>
      <c r="AE220" s="44" t="str">
        <f aca="true">IF(E220="","",IF(OR(COUNTIFS(Clients!$C$2:$C$501,E220,Clients!$S$2:$S$501,"Paid")&gt;0,AND(I220&lt;&gt;"",COUNTIFS(Clients!$E$2:$E$501,I220,Clients!$S$2:$S$501,"Paid")&gt;0)),"⚠ Refunded before – no free video",IF(OR(U220="Contract signed + paid",U220="Closed – No response",U220="Lost"),"",IF(U220="","Set a stage",IF(AND(U220="Proposal sent",SUMIFS(Scoresheet!$N$2:$N$501,Scoresheet!$C$2:$C$501,A220,Scoresheet!$U$2:$U$501,1)&lt;6),"Score this lead – fill the call scoresheet",IF(N(W220)&gt;=Settings!$S$3,"Close – 4 follow-ups sent",IF(X220="",IF(V220="","Make first contact",""),IF(TODAY()&gt;X220,"OVERDUE follow-up",IF(TODAY()=X220,"Follow up today","")))))))))</f>
        <v/>
      </c>
    </row>
    <row r="221" customFormat="false" ht="15" hidden="false" customHeight="false" outlineLevel="0" collapsed="false">
      <c r="A221" s="17"/>
      <c r="B221" s="40"/>
      <c r="C221" s="41"/>
      <c r="D221" s="17"/>
      <c r="E221" s="17"/>
      <c r="F221" s="17"/>
      <c r="G221" s="17"/>
      <c r="H221" s="17"/>
      <c r="I221" s="42"/>
      <c r="J221" s="17"/>
      <c r="K221" s="17"/>
      <c r="L221" s="17"/>
      <c r="M221" s="17"/>
      <c r="N221" s="40"/>
      <c r="O221" s="41"/>
      <c r="P221" s="43" t="str">
        <f aca="false">IF(OR(B221="",N221=""),"",ROUND(((N221+N(O221))-(B221+N(C221)))*24,1))</f>
        <v/>
      </c>
      <c r="Q221" s="44" t="str">
        <f aca="false">IF(OR(E221="",A221="",COUNTIFS(Scoresheet!$C$2:$C$501,A221,Scoresheet!$U$2:$U$501,1)=0),"",SUMIFS(Scoresheet!$O$2:$O$501,Scoresheet!$C$2:$C$501,A221,Scoresheet!$U$2:$U$501,1))</f>
        <v/>
      </c>
      <c r="R221" s="44" t="str">
        <f aca="false">IF(E221="","",IF(OR(A221="",COUNTIFS(Scoresheet!$C$2:$C$501,A221,Scoresheet!$U$2:$U$501,1)=0),"No scoresheet yet",IF(SUMIFS(Scoresheet!$N$2:$N$501,Scoresheet!$C$2:$C$501,A221,Scoresheet!$U$2:$U$501,1)&lt;6,"Partly scored ("&amp;SUMIFS(Scoresheet!$N$2:$N$501,Scoresheet!$C$2:$C$501,A221,Scoresheet!$U$2:$U$501,1)&amp;"/6)",IF(Q221&gt;=Settings!$S$8,"Hot",IF(Q221&gt;=Settings!$S$9,"Warm","Cold")))))</f>
        <v/>
      </c>
      <c r="S221" s="44" t="str">
        <f aca="false">IF(OR(E221="",A221=""),"",IF(AND(COUNTIFS(Scoresheet!$C$2:$C$501,A221,Scoresheet!$U$2:$U$501,1,Scoresheet!$H$2:$H$501,"No")&gt;0,COUNTIFS(Scoresheet!$C$2:$C$501,A221,Scoresheet!$U$2:$U$501,1,Scoresheet!$J$2:$J$501,"No")&gt;0),"🚩 Budget  ·  🚩 No one on camera",IF(COUNTIFS(Scoresheet!$C$2:$C$501,A221,Scoresheet!$U$2:$U$501,1,Scoresheet!$H$2:$H$501,"No")&gt;0,"🚩 Budget under AED 5k",IF(COUNTIFS(Scoresheet!$C$2:$C$501,A221,Scoresheet!$U$2:$U$501,1,Scoresheet!$J$2:$J$501,"No")&gt;0,"🚩 No one on camera",""))))</f>
        <v/>
      </c>
      <c r="T221" s="17"/>
      <c r="U221" s="17"/>
      <c r="V221" s="40"/>
      <c r="W221" s="17"/>
      <c r="X221" s="45" t="str">
        <f aca="false">IF(OR(E221="",V221="",OR(U221="Contract signed + paid",U221="Closed – No response",U221="Lost"),N(W221)&gt;=Settings!$S$3),"",V221+Settings!$S$2)</f>
        <v/>
      </c>
      <c r="Y221" s="40"/>
      <c r="Z221" s="41"/>
      <c r="AA221" s="17"/>
      <c r="AB221" s="17"/>
      <c r="AC221" s="17"/>
      <c r="AD221" s="46" t="str">
        <f aca="true">IF(OR(E221="",B221=""),"",INT(TODAY()-B221))</f>
        <v/>
      </c>
      <c r="AE221" s="44" t="str">
        <f aca="true">IF(E221="","",IF(OR(COUNTIFS(Clients!$C$2:$C$501,E221,Clients!$S$2:$S$501,"Paid")&gt;0,AND(I221&lt;&gt;"",COUNTIFS(Clients!$E$2:$E$501,I221,Clients!$S$2:$S$501,"Paid")&gt;0)),"⚠ Refunded before – no free video",IF(OR(U221="Contract signed + paid",U221="Closed – No response",U221="Lost"),"",IF(U221="","Set a stage",IF(AND(U221="Proposal sent",SUMIFS(Scoresheet!$N$2:$N$501,Scoresheet!$C$2:$C$501,A221,Scoresheet!$U$2:$U$501,1)&lt;6),"Score this lead – fill the call scoresheet",IF(N(W221)&gt;=Settings!$S$3,"Close – 4 follow-ups sent",IF(X221="",IF(V221="","Make first contact",""),IF(TODAY()&gt;X221,"OVERDUE follow-up",IF(TODAY()=X221,"Follow up today","")))))))))</f>
        <v/>
      </c>
    </row>
    <row r="222" customFormat="false" ht="15" hidden="false" customHeight="false" outlineLevel="0" collapsed="false">
      <c r="A222" s="17"/>
      <c r="B222" s="40"/>
      <c r="C222" s="41"/>
      <c r="D222" s="17"/>
      <c r="E222" s="17"/>
      <c r="F222" s="17"/>
      <c r="G222" s="17"/>
      <c r="H222" s="17"/>
      <c r="I222" s="42"/>
      <c r="J222" s="17"/>
      <c r="K222" s="17"/>
      <c r="L222" s="17"/>
      <c r="M222" s="17"/>
      <c r="N222" s="40"/>
      <c r="O222" s="41"/>
      <c r="P222" s="43" t="str">
        <f aca="false">IF(OR(B222="",N222=""),"",ROUND(((N222+N(O222))-(B222+N(C222)))*24,1))</f>
        <v/>
      </c>
      <c r="Q222" s="44" t="str">
        <f aca="false">IF(OR(E222="",A222="",COUNTIFS(Scoresheet!$C$2:$C$501,A222,Scoresheet!$U$2:$U$501,1)=0),"",SUMIFS(Scoresheet!$O$2:$O$501,Scoresheet!$C$2:$C$501,A222,Scoresheet!$U$2:$U$501,1))</f>
        <v/>
      </c>
      <c r="R222" s="44" t="str">
        <f aca="false">IF(E222="","",IF(OR(A222="",COUNTIFS(Scoresheet!$C$2:$C$501,A222,Scoresheet!$U$2:$U$501,1)=0),"No scoresheet yet",IF(SUMIFS(Scoresheet!$N$2:$N$501,Scoresheet!$C$2:$C$501,A222,Scoresheet!$U$2:$U$501,1)&lt;6,"Partly scored ("&amp;SUMIFS(Scoresheet!$N$2:$N$501,Scoresheet!$C$2:$C$501,A222,Scoresheet!$U$2:$U$501,1)&amp;"/6)",IF(Q222&gt;=Settings!$S$8,"Hot",IF(Q222&gt;=Settings!$S$9,"Warm","Cold")))))</f>
        <v/>
      </c>
      <c r="S222" s="44" t="str">
        <f aca="false">IF(OR(E222="",A222=""),"",IF(AND(COUNTIFS(Scoresheet!$C$2:$C$501,A222,Scoresheet!$U$2:$U$501,1,Scoresheet!$H$2:$H$501,"No")&gt;0,COUNTIFS(Scoresheet!$C$2:$C$501,A222,Scoresheet!$U$2:$U$501,1,Scoresheet!$J$2:$J$501,"No")&gt;0),"🚩 Budget  ·  🚩 No one on camera",IF(COUNTIFS(Scoresheet!$C$2:$C$501,A222,Scoresheet!$U$2:$U$501,1,Scoresheet!$H$2:$H$501,"No")&gt;0,"🚩 Budget under AED 5k",IF(COUNTIFS(Scoresheet!$C$2:$C$501,A222,Scoresheet!$U$2:$U$501,1,Scoresheet!$J$2:$J$501,"No")&gt;0,"🚩 No one on camera",""))))</f>
        <v/>
      </c>
      <c r="T222" s="17"/>
      <c r="U222" s="17"/>
      <c r="V222" s="40"/>
      <c r="W222" s="17"/>
      <c r="X222" s="45" t="str">
        <f aca="false">IF(OR(E222="",V222="",OR(U222="Contract signed + paid",U222="Closed – No response",U222="Lost"),N(W222)&gt;=Settings!$S$3),"",V222+Settings!$S$2)</f>
        <v/>
      </c>
      <c r="Y222" s="40"/>
      <c r="Z222" s="41"/>
      <c r="AA222" s="17"/>
      <c r="AB222" s="17"/>
      <c r="AC222" s="17"/>
      <c r="AD222" s="46" t="str">
        <f aca="true">IF(OR(E222="",B222=""),"",INT(TODAY()-B222))</f>
        <v/>
      </c>
      <c r="AE222" s="44" t="str">
        <f aca="true">IF(E222="","",IF(OR(COUNTIFS(Clients!$C$2:$C$501,E222,Clients!$S$2:$S$501,"Paid")&gt;0,AND(I222&lt;&gt;"",COUNTIFS(Clients!$E$2:$E$501,I222,Clients!$S$2:$S$501,"Paid")&gt;0)),"⚠ Refunded before – no free video",IF(OR(U222="Contract signed + paid",U222="Closed – No response",U222="Lost"),"",IF(U222="","Set a stage",IF(AND(U222="Proposal sent",SUMIFS(Scoresheet!$N$2:$N$501,Scoresheet!$C$2:$C$501,A222,Scoresheet!$U$2:$U$501,1)&lt;6),"Score this lead – fill the call scoresheet",IF(N(W222)&gt;=Settings!$S$3,"Close – 4 follow-ups sent",IF(X222="",IF(V222="","Make first contact",""),IF(TODAY()&gt;X222,"OVERDUE follow-up",IF(TODAY()=X222,"Follow up today","")))))))))</f>
        <v/>
      </c>
    </row>
    <row r="223" customFormat="false" ht="15" hidden="false" customHeight="false" outlineLevel="0" collapsed="false">
      <c r="A223" s="17"/>
      <c r="B223" s="40"/>
      <c r="C223" s="41"/>
      <c r="D223" s="17"/>
      <c r="E223" s="17"/>
      <c r="F223" s="17"/>
      <c r="G223" s="17"/>
      <c r="H223" s="17"/>
      <c r="I223" s="42"/>
      <c r="J223" s="17"/>
      <c r="K223" s="17"/>
      <c r="L223" s="17"/>
      <c r="M223" s="17"/>
      <c r="N223" s="40"/>
      <c r="O223" s="41"/>
      <c r="P223" s="43" t="str">
        <f aca="false">IF(OR(B223="",N223=""),"",ROUND(((N223+N(O223))-(B223+N(C223)))*24,1))</f>
        <v/>
      </c>
      <c r="Q223" s="44" t="str">
        <f aca="false">IF(OR(E223="",A223="",COUNTIFS(Scoresheet!$C$2:$C$501,A223,Scoresheet!$U$2:$U$501,1)=0),"",SUMIFS(Scoresheet!$O$2:$O$501,Scoresheet!$C$2:$C$501,A223,Scoresheet!$U$2:$U$501,1))</f>
        <v/>
      </c>
      <c r="R223" s="44" t="str">
        <f aca="false">IF(E223="","",IF(OR(A223="",COUNTIFS(Scoresheet!$C$2:$C$501,A223,Scoresheet!$U$2:$U$501,1)=0),"No scoresheet yet",IF(SUMIFS(Scoresheet!$N$2:$N$501,Scoresheet!$C$2:$C$501,A223,Scoresheet!$U$2:$U$501,1)&lt;6,"Partly scored ("&amp;SUMIFS(Scoresheet!$N$2:$N$501,Scoresheet!$C$2:$C$501,A223,Scoresheet!$U$2:$U$501,1)&amp;"/6)",IF(Q223&gt;=Settings!$S$8,"Hot",IF(Q223&gt;=Settings!$S$9,"Warm","Cold")))))</f>
        <v/>
      </c>
      <c r="S223" s="44" t="str">
        <f aca="false">IF(OR(E223="",A223=""),"",IF(AND(COUNTIFS(Scoresheet!$C$2:$C$501,A223,Scoresheet!$U$2:$U$501,1,Scoresheet!$H$2:$H$501,"No")&gt;0,COUNTIFS(Scoresheet!$C$2:$C$501,A223,Scoresheet!$U$2:$U$501,1,Scoresheet!$J$2:$J$501,"No")&gt;0),"🚩 Budget  ·  🚩 No one on camera",IF(COUNTIFS(Scoresheet!$C$2:$C$501,A223,Scoresheet!$U$2:$U$501,1,Scoresheet!$H$2:$H$501,"No")&gt;0,"🚩 Budget under AED 5k",IF(COUNTIFS(Scoresheet!$C$2:$C$501,A223,Scoresheet!$U$2:$U$501,1,Scoresheet!$J$2:$J$501,"No")&gt;0,"🚩 No one on camera",""))))</f>
        <v/>
      </c>
      <c r="T223" s="17"/>
      <c r="U223" s="17"/>
      <c r="V223" s="40"/>
      <c r="W223" s="17"/>
      <c r="X223" s="45" t="str">
        <f aca="false">IF(OR(E223="",V223="",OR(U223="Contract signed + paid",U223="Closed – No response",U223="Lost"),N(W223)&gt;=Settings!$S$3),"",V223+Settings!$S$2)</f>
        <v/>
      </c>
      <c r="Y223" s="40"/>
      <c r="Z223" s="41"/>
      <c r="AA223" s="17"/>
      <c r="AB223" s="17"/>
      <c r="AC223" s="17"/>
      <c r="AD223" s="46" t="str">
        <f aca="true">IF(OR(E223="",B223=""),"",INT(TODAY()-B223))</f>
        <v/>
      </c>
      <c r="AE223" s="44" t="str">
        <f aca="true">IF(E223="","",IF(OR(COUNTIFS(Clients!$C$2:$C$501,E223,Clients!$S$2:$S$501,"Paid")&gt;0,AND(I223&lt;&gt;"",COUNTIFS(Clients!$E$2:$E$501,I223,Clients!$S$2:$S$501,"Paid")&gt;0)),"⚠ Refunded before – no free video",IF(OR(U223="Contract signed + paid",U223="Closed – No response",U223="Lost"),"",IF(U223="","Set a stage",IF(AND(U223="Proposal sent",SUMIFS(Scoresheet!$N$2:$N$501,Scoresheet!$C$2:$C$501,A223,Scoresheet!$U$2:$U$501,1)&lt;6),"Score this lead – fill the call scoresheet",IF(N(W223)&gt;=Settings!$S$3,"Close – 4 follow-ups sent",IF(X223="",IF(V223="","Make first contact",""),IF(TODAY()&gt;X223,"OVERDUE follow-up",IF(TODAY()=X223,"Follow up today","")))))))))</f>
        <v/>
      </c>
    </row>
    <row r="224" customFormat="false" ht="15" hidden="false" customHeight="false" outlineLevel="0" collapsed="false">
      <c r="A224" s="17"/>
      <c r="B224" s="40"/>
      <c r="C224" s="41"/>
      <c r="D224" s="17"/>
      <c r="E224" s="17"/>
      <c r="F224" s="17"/>
      <c r="G224" s="17"/>
      <c r="H224" s="17"/>
      <c r="I224" s="42"/>
      <c r="J224" s="17"/>
      <c r="K224" s="17"/>
      <c r="L224" s="17"/>
      <c r="M224" s="17"/>
      <c r="N224" s="40"/>
      <c r="O224" s="41"/>
      <c r="P224" s="43" t="str">
        <f aca="false">IF(OR(B224="",N224=""),"",ROUND(((N224+N(O224))-(B224+N(C224)))*24,1))</f>
        <v/>
      </c>
      <c r="Q224" s="44" t="str">
        <f aca="false">IF(OR(E224="",A224="",COUNTIFS(Scoresheet!$C$2:$C$501,A224,Scoresheet!$U$2:$U$501,1)=0),"",SUMIFS(Scoresheet!$O$2:$O$501,Scoresheet!$C$2:$C$501,A224,Scoresheet!$U$2:$U$501,1))</f>
        <v/>
      </c>
      <c r="R224" s="44" t="str">
        <f aca="false">IF(E224="","",IF(OR(A224="",COUNTIFS(Scoresheet!$C$2:$C$501,A224,Scoresheet!$U$2:$U$501,1)=0),"No scoresheet yet",IF(SUMIFS(Scoresheet!$N$2:$N$501,Scoresheet!$C$2:$C$501,A224,Scoresheet!$U$2:$U$501,1)&lt;6,"Partly scored ("&amp;SUMIFS(Scoresheet!$N$2:$N$501,Scoresheet!$C$2:$C$501,A224,Scoresheet!$U$2:$U$501,1)&amp;"/6)",IF(Q224&gt;=Settings!$S$8,"Hot",IF(Q224&gt;=Settings!$S$9,"Warm","Cold")))))</f>
        <v/>
      </c>
      <c r="S224" s="44" t="str">
        <f aca="false">IF(OR(E224="",A224=""),"",IF(AND(COUNTIFS(Scoresheet!$C$2:$C$501,A224,Scoresheet!$U$2:$U$501,1,Scoresheet!$H$2:$H$501,"No")&gt;0,COUNTIFS(Scoresheet!$C$2:$C$501,A224,Scoresheet!$U$2:$U$501,1,Scoresheet!$J$2:$J$501,"No")&gt;0),"🚩 Budget  ·  🚩 No one on camera",IF(COUNTIFS(Scoresheet!$C$2:$C$501,A224,Scoresheet!$U$2:$U$501,1,Scoresheet!$H$2:$H$501,"No")&gt;0,"🚩 Budget under AED 5k",IF(COUNTIFS(Scoresheet!$C$2:$C$501,A224,Scoresheet!$U$2:$U$501,1,Scoresheet!$J$2:$J$501,"No")&gt;0,"🚩 No one on camera",""))))</f>
        <v/>
      </c>
      <c r="T224" s="17"/>
      <c r="U224" s="17"/>
      <c r="V224" s="40"/>
      <c r="W224" s="17"/>
      <c r="X224" s="45" t="str">
        <f aca="false">IF(OR(E224="",V224="",OR(U224="Contract signed + paid",U224="Closed – No response",U224="Lost"),N(W224)&gt;=Settings!$S$3),"",V224+Settings!$S$2)</f>
        <v/>
      </c>
      <c r="Y224" s="40"/>
      <c r="Z224" s="41"/>
      <c r="AA224" s="17"/>
      <c r="AB224" s="17"/>
      <c r="AC224" s="17"/>
      <c r="AD224" s="46" t="str">
        <f aca="true">IF(OR(E224="",B224=""),"",INT(TODAY()-B224))</f>
        <v/>
      </c>
      <c r="AE224" s="44" t="str">
        <f aca="true">IF(E224="","",IF(OR(COUNTIFS(Clients!$C$2:$C$501,E224,Clients!$S$2:$S$501,"Paid")&gt;0,AND(I224&lt;&gt;"",COUNTIFS(Clients!$E$2:$E$501,I224,Clients!$S$2:$S$501,"Paid")&gt;0)),"⚠ Refunded before – no free video",IF(OR(U224="Contract signed + paid",U224="Closed – No response",U224="Lost"),"",IF(U224="","Set a stage",IF(AND(U224="Proposal sent",SUMIFS(Scoresheet!$N$2:$N$501,Scoresheet!$C$2:$C$501,A224,Scoresheet!$U$2:$U$501,1)&lt;6),"Score this lead – fill the call scoresheet",IF(N(W224)&gt;=Settings!$S$3,"Close – 4 follow-ups sent",IF(X224="",IF(V224="","Make first contact",""),IF(TODAY()&gt;X224,"OVERDUE follow-up",IF(TODAY()=X224,"Follow up today","")))))))))</f>
        <v/>
      </c>
    </row>
    <row r="225" customFormat="false" ht="15" hidden="false" customHeight="false" outlineLevel="0" collapsed="false">
      <c r="A225" s="17"/>
      <c r="B225" s="40"/>
      <c r="C225" s="41"/>
      <c r="D225" s="17"/>
      <c r="E225" s="17"/>
      <c r="F225" s="17"/>
      <c r="G225" s="17"/>
      <c r="H225" s="17"/>
      <c r="I225" s="42"/>
      <c r="J225" s="17"/>
      <c r="K225" s="17"/>
      <c r="L225" s="17"/>
      <c r="M225" s="17"/>
      <c r="N225" s="40"/>
      <c r="O225" s="41"/>
      <c r="P225" s="43" t="str">
        <f aca="false">IF(OR(B225="",N225=""),"",ROUND(((N225+N(O225))-(B225+N(C225)))*24,1))</f>
        <v/>
      </c>
      <c r="Q225" s="44" t="str">
        <f aca="false">IF(OR(E225="",A225="",COUNTIFS(Scoresheet!$C$2:$C$501,A225,Scoresheet!$U$2:$U$501,1)=0),"",SUMIFS(Scoresheet!$O$2:$O$501,Scoresheet!$C$2:$C$501,A225,Scoresheet!$U$2:$U$501,1))</f>
        <v/>
      </c>
      <c r="R225" s="44" t="str">
        <f aca="false">IF(E225="","",IF(OR(A225="",COUNTIFS(Scoresheet!$C$2:$C$501,A225,Scoresheet!$U$2:$U$501,1)=0),"No scoresheet yet",IF(SUMIFS(Scoresheet!$N$2:$N$501,Scoresheet!$C$2:$C$501,A225,Scoresheet!$U$2:$U$501,1)&lt;6,"Partly scored ("&amp;SUMIFS(Scoresheet!$N$2:$N$501,Scoresheet!$C$2:$C$501,A225,Scoresheet!$U$2:$U$501,1)&amp;"/6)",IF(Q225&gt;=Settings!$S$8,"Hot",IF(Q225&gt;=Settings!$S$9,"Warm","Cold")))))</f>
        <v/>
      </c>
      <c r="S225" s="44" t="str">
        <f aca="false">IF(OR(E225="",A225=""),"",IF(AND(COUNTIFS(Scoresheet!$C$2:$C$501,A225,Scoresheet!$U$2:$U$501,1,Scoresheet!$H$2:$H$501,"No")&gt;0,COUNTIFS(Scoresheet!$C$2:$C$501,A225,Scoresheet!$U$2:$U$501,1,Scoresheet!$J$2:$J$501,"No")&gt;0),"🚩 Budget  ·  🚩 No one on camera",IF(COUNTIFS(Scoresheet!$C$2:$C$501,A225,Scoresheet!$U$2:$U$501,1,Scoresheet!$H$2:$H$501,"No")&gt;0,"🚩 Budget under AED 5k",IF(COUNTIFS(Scoresheet!$C$2:$C$501,A225,Scoresheet!$U$2:$U$501,1,Scoresheet!$J$2:$J$501,"No")&gt;0,"🚩 No one on camera",""))))</f>
        <v/>
      </c>
      <c r="T225" s="17"/>
      <c r="U225" s="17"/>
      <c r="V225" s="40"/>
      <c r="W225" s="17"/>
      <c r="X225" s="45" t="str">
        <f aca="false">IF(OR(E225="",V225="",OR(U225="Contract signed + paid",U225="Closed – No response",U225="Lost"),N(W225)&gt;=Settings!$S$3),"",V225+Settings!$S$2)</f>
        <v/>
      </c>
      <c r="Y225" s="40"/>
      <c r="Z225" s="41"/>
      <c r="AA225" s="17"/>
      <c r="AB225" s="17"/>
      <c r="AC225" s="17"/>
      <c r="AD225" s="46" t="str">
        <f aca="true">IF(OR(E225="",B225=""),"",INT(TODAY()-B225))</f>
        <v/>
      </c>
      <c r="AE225" s="44" t="str">
        <f aca="true">IF(E225="","",IF(OR(COUNTIFS(Clients!$C$2:$C$501,E225,Clients!$S$2:$S$501,"Paid")&gt;0,AND(I225&lt;&gt;"",COUNTIFS(Clients!$E$2:$E$501,I225,Clients!$S$2:$S$501,"Paid")&gt;0)),"⚠ Refunded before – no free video",IF(OR(U225="Contract signed + paid",U225="Closed – No response",U225="Lost"),"",IF(U225="","Set a stage",IF(AND(U225="Proposal sent",SUMIFS(Scoresheet!$N$2:$N$501,Scoresheet!$C$2:$C$501,A225,Scoresheet!$U$2:$U$501,1)&lt;6),"Score this lead – fill the call scoresheet",IF(N(W225)&gt;=Settings!$S$3,"Close – 4 follow-ups sent",IF(X225="",IF(V225="","Make first contact",""),IF(TODAY()&gt;X225,"OVERDUE follow-up",IF(TODAY()=X225,"Follow up today","")))))))))</f>
        <v/>
      </c>
    </row>
    <row r="226" customFormat="false" ht="15" hidden="false" customHeight="false" outlineLevel="0" collapsed="false">
      <c r="A226" s="17"/>
      <c r="B226" s="40"/>
      <c r="C226" s="41"/>
      <c r="D226" s="17"/>
      <c r="E226" s="17"/>
      <c r="F226" s="17"/>
      <c r="G226" s="17"/>
      <c r="H226" s="17"/>
      <c r="I226" s="42"/>
      <c r="J226" s="17"/>
      <c r="K226" s="17"/>
      <c r="L226" s="17"/>
      <c r="M226" s="17"/>
      <c r="N226" s="40"/>
      <c r="O226" s="41"/>
      <c r="P226" s="43" t="str">
        <f aca="false">IF(OR(B226="",N226=""),"",ROUND(((N226+N(O226))-(B226+N(C226)))*24,1))</f>
        <v/>
      </c>
      <c r="Q226" s="44" t="str">
        <f aca="false">IF(OR(E226="",A226="",COUNTIFS(Scoresheet!$C$2:$C$501,A226,Scoresheet!$U$2:$U$501,1)=0),"",SUMIFS(Scoresheet!$O$2:$O$501,Scoresheet!$C$2:$C$501,A226,Scoresheet!$U$2:$U$501,1))</f>
        <v/>
      </c>
      <c r="R226" s="44" t="str">
        <f aca="false">IF(E226="","",IF(OR(A226="",COUNTIFS(Scoresheet!$C$2:$C$501,A226,Scoresheet!$U$2:$U$501,1)=0),"No scoresheet yet",IF(SUMIFS(Scoresheet!$N$2:$N$501,Scoresheet!$C$2:$C$501,A226,Scoresheet!$U$2:$U$501,1)&lt;6,"Partly scored ("&amp;SUMIFS(Scoresheet!$N$2:$N$501,Scoresheet!$C$2:$C$501,A226,Scoresheet!$U$2:$U$501,1)&amp;"/6)",IF(Q226&gt;=Settings!$S$8,"Hot",IF(Q226&gt;=Settings!$S$9,"Warm","Cold")))))</f>
        <v/>
      </c>
      <c r="S226" s="44" t="str">
        <f aca="false">IF(OR(E226="",A226=""),"",IF(AND(COUNTIFS(Scoresheet!$C$2:$C$501,A226,Scoresheet!$U$2:$U$501,1,Scoresheet!$H$2:$H$501,"No")&gt;0,COUNTIFS(Scoresheet!$C$2:$C$501,A226,Scoresheet!$U$2:$U$501,1,Scoresheet!$J$2:$J$501,"No")&gt;0),"🚩 Budget  ·  🚩 No one on camera",IF(COUNTIFS(Scoresheet!$C$2:$C$501,A226,Scoresheet!$U$2:$U$501,1,Scoresheet!$H$2:$H$501,"No")&gt;0,"🚩 Budget under AED 5k",IF(COUNTIFS(Scoresheet!$C$2:$C$501,A226,Scoresheet!$U$2:$U$501,1,Scoresheet!$J$2:$J$501,"No")&gt;0,"🚩 No one on camera",""))))</f>
        <v/>
      </c>
      <c r="T226" s="17"/>
      <c r="U226" s="17"/>
      <c r="V226" s="40"/>
      <c r="W226" s="17"/>
      <c r="X226" s="45" t="str">
        <f aca="false">IF(OR(E226="",V226="",OR(U226="Contract signed + paid",U226="Closed – No response",U226="Lost"),N(W226)&gt;=Settings!$S$3),"",V226+Settings!$S$2)</f>
        <v/>
      </c>
      <c r="Y226" s="40"/>
      <c r="Z226" s="41"/>
      <c r="AA226" s="17"/>
      <c r="AB226" s="17"/>
      <c r="AC226" s="17"/>
      <c r="AD226" s="46" t="str">
        <f aca="true">IF(OR(E226="",B226=""),"",INT(TODAY()-B226))</f>
        <v/>
      </c>
      <c r="AE226" s="44" t="str">
        <f aca="true">IF(E226="","",IF(OR(COUNTIFS(Clients!$C$2:$C$501,E226,Clients!$S$2:$S$501,"Paid")&gt;0,AND(I226&lt;&gt;"",COUNTIFS(Clients!$E$2:$E$501,I226,Clients!$S$2:$S$501,"Paid")&gt;0)),"⚠ Refunded before – no free video",IF(OR(U226="Contract signed + paid",U226="Closed – No response",U226="Lost"),"",IF(U226="","Set a stage",IF(AND(U226="Proposal sent",SUMIFS(Scoresheet!$N$2:$N$501,Scoresheet!$C$2:$C$501,A226,Scoresheet!$U$2:$U$501,1)&lt;6),"Score this lead – fill the call scoresheet",IF(N(W226)&gt;=Settings!$S$3,"Close – 4 follow-ups sent",IF(X226="",IF(V226="","Make first contact",""),IF(TODAY()&gt;X226,"OVERDUE follow-up",IF(TODAY()=X226,"Follow up today","")))))))))</f>
        <v/>
      </c>
    </row>
    <row r="227" customFormat="false" ht="15" hidden="false" customHeight="false" outlineLevel="0" collapsed="false">
      <c r="A227" s="17"/>
      <c r="B227" s="40"/>
      <c r="C227" s="41"/>
      <c r="D227" s="17"/>
      <c r="E227" s="17"/>
      <c r="F227" s="17"/>
      <c r="G227" s="17"/>
      <c r="H227" s="17"/>
      <c r="I227" s="42"/>
      <c r="J227" s="17"/>
      <c r="K227" s="17"/>
      <c r="L227" s="17"/>
      <c r="M227" s="17"/>
      <c r="N227" s="40"/>
      <c r="O227" s="41"/>
      <c r="P227" s="43" t="str">
        <f aca="false">IF(OR(B227="",N227=""),"",ROUND(((N227+N(O227))-(B227+N(C227)))*24,1))</f>
        <v/>
      </c>
      <c r="Q227" s="44" t="str">
        <f aca="false">IF(OR(E227="",A227="",COUNTIFS(Scoresheet!$C$2:$C$501,A227,Scoresheet!$U$2:$U$501,1)=0),"",SUMIFS(Scoresheet!$O$2:$O$501,Scoresheet!$C$2:$C$501,A227,Scoresheet!$U$2:$U$501,1))</f>
        <v/>
      </c>
      <c r="R227" s="44" t="str">
        <f aca="false">IF(E227="","",IF(OR(A227="",COUNTIFS(Scoresheet!$C$2:$C$501,A227,Scoresheet!$U$2:$U$501,1)=0),"No scoresheet yet",IF(SUMIFS(Scoresheet!$N$2:$N$501,Scoresheet!$C$2:$C$501,A227,Scoresheet!$U$2:$U$501,1)&lt;6,"Partly scored ("&amp;SUMIFS(Scoresheet!$N$2:$N$501,Scoresheet!$C$2:$C$501,A227,Scoresheet!$U$2:$U$501,1)&amp;"/6)",IF(Q227&gt;=Settings!$S$8,"Hot",IF(Q227&gt;=Settings!$S$9,"Warm","Cold")))))</f>
        <v/>
      </c>
      <c r="S227" s="44" t="str">
        <f aca="false">IF(OR(E227="",A227=""),"",IF(AND(COUNTIFS(Scoresheet!$C$2:$C$501,A227,Scoresheet!$U$2:$U$501,1,Scoresheet!$H$2:$H$501,"No")&gt;0,COUNTIFS(Scoresheet!$C$2:$C$501,A227,Scoresheet!$U$2:$U$501,1,Scoresheet!$J$2:$J$501,"No")&gt;0),"🚩 Budget  ·  🚩 No one on camera",IF(COUNTIFS(Scoresheet!$C$2:$C$501,A227,Scoresheet!$U$2:$U$501,1,Scoresheet!$H$2:$H$501,"No")&gt;0,"🚩 Budget under AED 5k",IF(COUNTIFS(Scoresheet!$C$2:$C$501,A227,Scoresheet!$U$2:$U$501,1,Scoresheet!$J$2:$J$501,"No")&gt;0,"🚩 No one on camera",""))))</f>
        <v/>
      </c>
      <c r="T227" s="17"/>
      <c r="U227" s="17"/>
      <c r="V227" s="40"/>
      <c r="W227" s="17"/>
      <c r="X227" s="45" t="str">
        <f aca="false">IF(OR(E227="",V227="",OR(U227="Contract signed + paid",U227="Closed – No response",U227="Lost"),N(W227)&gt;=Settings!$S$3),"",V227+Settings!$S$2)</f>
        <v/>
      </c>
      <c r="Y227" s="40"/>
      <c r="Z227" s="41"/>
      <c r="AA227" s="17"/>
      <c r="AB227" s="17"/>
      <c r="AC227" s="17"/>
      <c r="AD227" s="46" t="str">
        <f aca="true">IF(OR(E227="",B227=""),"",INT(TODAY()-B227))</f>
        <v/>
      </c>
      <c r="AE227" s="44" t="str">
        <f aca="true">IF(E227="","",IF(OR(COUNTIFS(Clients!$C$2:$C$501,E227,Clients!$S$2:$S$501,"Paid")&gt;0,AND(I227&lt;&gt;"",COUNTIFS(Clients!$E$2:$E$501,I227,Clients!$S$2:$S$501,"Paid")&gt;0)),"⚠ Refunded before – no free video",IF(OR(U227="Contract signed + paid",U227="Closed – No response",U227="Lost"),"",IF(U227="","Set a stage",IF(AND(U227="Proposal sent",SUMIFS(Scoresheet!$N$2:$N$501,Scoresheet!$C$2:$C$501,A227,Scoresheet!$U$2:$U$501,1)&lt;6),"Score this lead – fill the call scoresheet",IF(N(W227)&gt;=Settings!$S$3,"Close – 4 follow-ups sent",IF(X227="",IF(V227="","Make first contact",""),IF(TODAY()&gt;X227,"OVERDUE follow-up",IF(TODAY()=X227,"Follow up today","")))))))))</f>
        <v/>
      </c>
    </row>
    <row r="228" customFormat="false" ht="15" hidden="false" customHeight="false" outlineLevel="0" collapsed="false">
      <c r="A228" s="17"/>
      <c r="B228" s="40"/>
      <c r="C228" s="41"/>
      <c r="D228" s="17"/>
      <c r="E228" s="17"/>
      <c r="F228" s="17"/>
      <c r="G228" s="17"/>
      <c r="H228" s="17"/>
      <c r="I228" s="42"/>
      <c r="J228" s="17"/>
      <c r="K228" s="17"/>
      <c r="L228" s="17"/>
      <c r="M228" s="17"/>
      <c r="N228" s="40"/>
      <c r="O228" s="41"/>
      <c r="P228" s="43" t="str">
        <f aca="false">IF(OR(B228="",N228=""),"",ROUND(((N228+N(O228))-(B228+N(C228)))*24,1))</f>
        <v/>
      </c>
      <c r="Q228" s="44" t="str">
        <f aca="false">IF(OR(E228="",A228="",COUNTIFS(Scoresheet!$C$2:$C$501,A228,Scoresheet!$U$2:$U$501,1)=0),"",SUMIFS(Scoresheet!$O$2:$O$501,Scoresheet!$C$2:$C$501,A228,Scoresheet!$U$2:$U$501,1))</f>
        <v/>
      </c>
      <c r="R228" s="44" t="str">
        <f aca="false">IF(E228="","",IF(OR(A228="",COUNTIFS(Scoresheet!$C$2:$C$501,A228,Scoresheet!$U$2:$U$501,1)=0),"No scoresheet yet",IF(SUMIFS(Scoresheet!$N$2:$N$501,Scoresheet!$C$2:$C$501,A228,Scoresheet!$U$2:$U$501,1)&lt;6,"Partly scored ("&amp;SUMIFS(Scoresheet!$N$2:$N$501,Scoresheet!$C$2:$C$501,A228,Scoresheet!$U$2:$U$501,1)&amp;"/6)",IF(Q228&gt;=Settings!$S$8,"Hot",IF(Q228&gt;=Settings!$S$9,"Warm","Cold")))))</f>
        <v/>
      </c>
      <c r="S228" s="44" t="str">
        <f aca="false">IF(OR(E228="",A228=""),"",IF(AND(COUNTIFS(Scoresheet!$C$2:$C$501,A228,Scoresheet!$U$2:$U$501,1,Scoresheet!$H$2:$H$501,"No")&gt;0,COUNTIFS(Scoresheet!$C$2:$C$501,A228,Scoresheet!$U$2:$U$501,1,Scoresheet!$J$2:$J$501,"No")&gt;0),"🚩 Budget  ·  🚩 No one on camera",IF(COUNTIFS(Scoresheet!$C$2:$C$501,A228,Scoresheet!$U$2:$U$501,1,Scoresheet!$H$2:$H$501,"No")&gt;0,"🚩 Budget under AED 5k",IF(COUNTIFS(Scoresheet!$C$2:$C$501,A228,Scoresheet!$U$2:$U$501,1,Scoresheet!$J$2:$J$501,"No")&gt;0,"🚩 No one on camera",""))))</f>
        <v/>
      </c>
      <c r="T228" s="17"/>
      <c r="U228" s="17"/>
      <c r="V228" s="40"/>
      <c r="W228" s="17"/>
      <c r="X228" s="45" t="str">
        <f aca="false">IF(OR(E228="",V228="",OR(U228="Contract signed + paid",U228="Closed – No response",U228="Lost"),N(W228)&gt;=Settings!$S$3),"",V228+Settings!$S$2)</f>
        <v/>
      </c>
      <c r="Y228" s="40"/>
      <c r="Z228" s="41"/>
      <c r="AA228" s="17"/>
      <c r="AB228" s="17"/>
      <c r="AC228" s="17"/>
      <c r="AD228" s="46" t="str">
        <f aca="true">IF(OR(E228="",B228=""),"",INT(TODAY()-B228))</f>
        <v/>
      </c>
      <c r="AE228" s="44" t="str">
        <f aca="true">IF(E228="","",IF(OR(COUNTIFS(Clients!$C$2:$C$501,E228,Clients!$S$2:$S$501,"Paid")&gt;0,AND(I228&lt;&gt;"",COUNTIFS(Clients!$E$2:$E$501,I228,Clients!$S$2:$S$501,"Paid")&gt;0)),"⚠ Refunded before – no free video",IF(OR(U228="Contract signed + paid",U228="Closed – No response",U228="Lost"),"",IF(U228="","Set a stage",IF(AND(U228="Proposal sent",SUMIFS(Scoresheet!$N$2:$N$501,Scoresheet!$C$2:$C$501,A228,Scoresheet!$U$2:$U$501,1)&lt;6),"Score this lead – fill the call scoresheet",IF(N(W228)&gt;=Settings!$S$3,"Close – 4 follow-ups sent",IF(X228="",IF(V228="","Make first contact",""),IF(TODAY()&gt;X228,"OVERDUE follow-up",IF(TODAY()=X228,"Follow up today","")))))))))</f>
        <v/>
      </c>
    </row>
    <row r="229" customFormat="false" ht="15" hidden="false" customHeight="false" outlineLevel="0" collapsed="false">
      <c r="A229" s="17"/>
      <c r="B229" s="40"/>
      <c r="C229" s="41"/>
      <c r="D229" s="17"/>
      <c r="E229" s="17"/>
      <c r="F229" s="17"/>
      <c r="G229" s="17"/>
      <c r="H229" s="17"/>
      <c r="I229" s="42"/>
      <c r="J229" s="17"/>
      <c r="K229" s="17"/>
      <c r="L229" s="17"/>
      <c r="M229" s="17"/>
      <c r="N229" s="40"/>
      <c r="O229" s="41"/>
      <c r="P229" s="43" t="str">
        <f aca="false">IF(OR(B229="",N229=""),"",ROUND(((N229+N(O229))-(B229+N(C229)))*24,1))</f>
        <v/>
      </c>
      <c r="Q229" s="44" t="str">
        <f aca="false">IF(OR(E229="",A229="",COUNTIFS(Scoresheet!$C$2:$C$501,A229,Scoresheet!$U$2:$U$501,1)=0),"",SUMIFS(Scoresheet!$O$2:$O$501,Scoresheet!$C$2:$C$501,A229,Scoresheet!$U$2:$U$501,1))</f>
        <v/>
      </c>
      <c r="R229" s="44" t="str">
        <f aca="false">IF(E229="","",IF(OR(A229="",COUNTIFS(Scoresheet!$C$2:$C$501,A229,Scoresheet!$U$2:$U$501,1)=0),"No scoresheet yet",IF(SUMIFS(Scoresheet!$N$2:$N$501,Scoresheet!$C$2:$C$501,A229,Scoresheet!$U$2:$U$501,1)&lt;6,"Partly scored ("&amp;SUMIFS(Scoresheet!$N$2:$N$501,Scoresheet!$C$2:$C$501,A229,Scoresheet!$U$2:$U$501,1)&amp;"/6)",IF(Q229&gt;=Settings!$S$8,"Hot",IF(Q229&gt;=Settings!$S$9,"Warm","Cold")))))</f>
        <v/>
      </c>
      <c r="S229" s="44" t="str">
        <f aca="false">IF(OR(E229="",A229=""),"",IF(AND(COUNTIFS(Scoresheet!$C$2:$C$501,A229,Scoresheet!$U$2:$U$501,1,Scoresheet!$H$2:$H$501,"No")&gt;0,COUNTIFS(Scoresheet!$C$2:$C$501,A229,Scoresheet!$U$2:$U$501,1,Scoresheet!$J$2:$J$501,"No")&gt;0),"🚩 Budget  ·  🚩 No one on camera",IF(COUNTIFS(Scoresheet!$C$2:$C$501,A229,Scoresheet!$U$2:$U$501,1,Scoresheet!$H$2:$H$501,"No")&gt;0,"🚩 Budget under AED 5k",IF(COUNTIFS(Scoresheet!$C$2:$C$501,A229,Scoresheet!$U$2:$U$501,1,Scoresheet!$J$2:$J$501,"No")&gt;0,"🚩 No one on camera",""))))</f>
        <v/>
      </c>
      <c r="T229" s="17"/>
      <c r="U229" s="17"/>
      <c r="V229" s="40"/>
      <c r="W229" s="17"/>
      <c r="X229" s="45" t="str">
        <f aca="false">IF(OR(E229="",V229="",OR(U229="Contract signed + paid",U229="Closed – No response",U229="Lost"),N(W229)&gt;=Settings!$S$3),"",V229+Settings!$S$2)</f>
        <v/>
      </c>
      <c r="Y229" s="40"/>
      <c r="Z229" s="41"/>
      <c r="AA229" s="17"/>
      <c r="AB229" s="17"/>
      <c r="AC229" s="17"/>
      <c r="AD229" s="46" t="str">
        <f aca="true">IF(OR(E229="",B229=""),"",INT(TODAY()-B229))</f>
        <v/>
      </c>
      <c r="AE229" s="44" t="str">
        <f aca="true">IF(E229="","",IF(OR(COUNTIFS(Clients!$C$2:$C$501,E229,Clients!$S$2:$S$501,"Paid")&gt;0,AND(I229&lt;&gt;"",COUNTIFS(Clients!$E$2:$E$501,I229,Clients!$S$2:$S$501,"Paid")&gt;0)),"⚠ Refunded before – no free video",IF(OR(U229="Contract signed + paid",U229="Closed – No response",U229="Lost"),"",IF(U229="","Set a stage",IF(AND(U229="Proposal sent",SUMIFS(Scoresheet!$N$2:$N$501,Scoresheet!$C$2:$C$501,A229,Scoresheet!$U$2:$U$501,1)&lt;6),"Score this lead – fill the call scoresheet",IF(N(W229)&gt;=Settings!$S$3,"Close – 4 follow-ups sent",IF(X229="",IF(V229="","Make first contact",""),IF(TODAY()&gt;X229,"OVERDUE follow-up",IF(TODAY()=X229,"Follow up today","")))))))))</f>
        <v/>
      </c>
    </row>
    <row r="230" customFormat="false" ht="15" hidden="false" customHeight="false" outlineLevel="0" collapsed="false">
      <c r="A230" s="17"/>
      <c r="B230" s="40"/>
      <c r="C230" s="41"/>
      <c r="D230" s="17"/>
      <c r="E230" s="17"/>
      <c r="F230" s="17"/>
      <c r="G230" s="17"/>
      <c r="H230" s="17"/>
      <c r="I230" s="42"/>
      <c r="J230" s="17"/>
      <c r="K230" s="17"/>
      <c r="L230" s="17"/>
      <c r="M230" s="17"/>
      <c r="N230" s="40"/>
      <c r="O230" s="41"/>
      <c r="P230" s="43" t="str">
        <f aca="false">IF(OR(B230="",N230=""),"",ROUND(((N230+N(O230))-(B230+N(C230)))*24,1))</f>
        <v/>
      </c>
      <c r="Q230" s="44" t="str">
        <f aca="false">IF(OR(E230="",A230="",COUNTIFS(Scoresheet!$C$2:$C$501,A230,Scoresheet!$U$2:$U$501,1)=0),"",SUMIFS(Scoresheet!$O$2:$O$501,Scoresheet!$C$2:$C$501,A230,Scoresheet!$U$2:$U$501,1))</f>
        <v/>
      </c>
      <c r="R230" s="44" t="str">
        <f aca="false">IF(E230="","",IF(OR(A230="",COUNTIFS(Scoresheet!$C$2:$C$501,A230,Scoresheet!$U$2:$U$501,1)=0),"No scoresheet yet",IF(SUMIFS(Scoresheet!$N$2:$N$501,Scoresheet!$C$2:$C$501,A230,Scoresheet!$U$2:$U$501,1)&lt;6,"Partly scored ("&amp;SUMIFS(Scoresheet!$N$2:$N$501,Scoresheet!$C$2:$C$501,A230,Scoresheet!$U$2:$U$501,1)&amp;"/6)",IF(Q230&gt;=Settings!$S$8,"Hot",IF(Q230&gt;=Settings!$S$9,"Warm","Cold")))))</f>
        <v/>
      </c>
      <c r="S230" s="44" t="str">
        <f aca="false">IF(OR(E230="",A230=""),"",IF(AND(COUNTIFS(Scoresheet!$C$2:$C$501,A230,Scoresheet!$U$2:$U$501,1,Scoresheet!$H$2:$H$501,"No")&gt;0,COUNTIFS(Scoresheet!$C$2:$C$501,A230,Scoresheet!$U$2:$U$501,1,Scoresheet!$J$2:$J$501,"No")&gt;0),"🚩 Budget  ·  🚩 No one on camera",IF(COUNTIFS(Scoresheet!$C$2:$C$501,A230,Scoresheet!$U$2:$U$501,1,Scoresheet!$H$2:$H$501,"No")&gt;0,"🚩 Budget under AED 5k",IF(COUNTIFS(Scoresheet!$C$2:$C$501,A230,Scoresheet!$U$2:$U$501,1,Scoresheet!$J$2:$J$501,"No")&gt;0,"🚩 No one on camera",""))))</f>
        <v/>
      </c>
      <c r="T230" s="17"/>
      <c r="U230" s="17"/>
      <c r="V230" s="40"/>
      <c r="W230" s="17"/>
      <c r="X230" s="45" t="str">
        <f aca="false">IF(OR(E230="",V230="",OR(U230="Contract signed + paid",U230="Closed – No response",U230="Lost"),N(W230)&gt;=Settings!$S$3),"",V230+Settings!$S$2)</f>
        <v/>
      </c>
      <c r="Y230" s="40"/>
      <c r="Z230" s="41"/>
      <c r="AA230" s="17"/>
      <c r="AB230" s="17"/>
      <c r="AC230" s="17"/>
      <c r="AD230" s="46" t="str">
        <f aca="true">IF(OR(E230="",B230=""),"",INT(TODAY()-B230))</f>
        <v/>
      </c>
      <c r="AE230" s="44" t="str">
        <f aca="true">IF(E230="","",IF(OR(COUNTIFS(Clients!$C$2:$C$501,E230,Clients!$S$2:$S$501,"Paid")&gt;0,AND(I230&lt;&gt;"",COUNTIFS(Clients!$E$2:$E$501,I230,Clients!$S$2:$S$501,"Paid")&gt;0)),"⚠ Refunded before – no free video",IF(OR(U230="Contract signed + paid",U230="Closed – No response",U230="Lost"),"",IF(U230="","Set a stage",IF(AND(U230="Proposal sent",SUMIFS(Scoresheet!$N$2:$N$501,Scoresheet!$C$2:$C$501,A230,Scoresheet!$U$2:$U$501,1)&lt;6),"Score this lead – fill the call scoresheet",IF(N(W230)&gt;=Settings!$S$3,"Close – 4 follow-ups sent",IF(X230="",IF(V230="","Make first contact",""),IF(TODAY()&gt;X230,"OVERDUE follow-up",IF(TODAY()=X230,"Follow up today","")))))))))</f>
        <v/>
      </c>
    </row>
    <row r="231" customFormat="false" ht="15" hidden="false" customHeight="false" outlineLevel="0" collapsed="false">
      <c r="A231" s="17"/>
      <c r="B231" s="40"/>
      <c r="C231" s="41"/>
      <c r="D231" s="17"/>
      <c r="E231" s="17"/>
      <c r="F231" s="17"/>
      <c r="G231" s="17"/>
      <c r="H231" s="17"/>
      <c r="I231" s="42"/>
      <c r="J231" s="17"/>
      <c r="K231" s="17"/>
      <c r="L231" s="17"/>
      <c r="M231" s="17"/>
      <c r="N231" s="40"/>
      <c r="O231" s="41"/>
      <c r="P231" s="43" t="str">
        <f aca="false">IF(OR(B231="",N231=""),"",ROUND(((N231+N(O231))-(B231+N(C231)))*24,1))</f>
        <v/>
      </c>
      <c r="Q231" s="44" t="str">
        <f aca="false">IF(OR(E231="",A231="",COUNTIFS(Scoresheet!$C$2:$C$501,A231,Scoresheet!$U$2:$U$501,1)=0),"",SUMIFS(Scoresheet!$O$2:$O$501,Scoresheet!$C$2:$C$501,A231,Scoresheet!$U$2:$U$501,1))</f>
        <v/>
      </c>
      <c r="R231" s="44" t="str">
        <f aca="false">IF(E231="","",IF(OR(A231="",COUNTIFS(Scoresheet!$C$2:$C$501,A231,Scoresheet!$U$2:$U$501,1)=0),"No scoresheet yet",IF(SUMIFS(Scoresheet!$N$2:$N$501,Scoresheet!$C$2:$C$501,A231,Scoresheet!$U$2:$U$501,1)&lt;6,"Partly scored ("&amp;SUMIFS(Scoresheet!$N$2:$N$501,Scoresheet!$C$2:$C$501,A231,Scoresheet!$U$2:$U$501,1)&amp;"/6)",IF(Q231&gt;=Settings!$S$8,"Hot",IF(Q231&gt;=Settings!$S$9,"Warm","Cold")))))</f>
        <v/>
      </c>
      <c r="S231" s="44" t="str">
        <f aca="false">IF(OR(E231="",A231=""),"",IF(AND(COUNTIFS(Scoresheet!$C$2:$C$501,A231,Scoresheet!$U$2:$U$501,1,Scoresheet!$H$2:$H$501,"No")&gt;0,COUNTIFS(Scoresheet!$C$2:$C$501,A231,Scoresheet!$U$2:$U$501,1,Scoresheet!$J$2:$J$501,"No")&gt;0),"🚩 Budget  ·  🚩 No one on camera",IF(COUNTIFS(Scoresheet!$C$2:$C$501,A231,Scoresheet!$U$2:$U$501,1,Scoresheet!$H$2:$H$501,"No")&gt;0,"🚩 Budget under AED 5k",IF(COUNTIFS(Scoresheet!$C$2:$C$501,A231,Scoresheet!$U$2:$U$501,1,Scoresheet!$J$2:$J$501,"No")&gt;0,"🚩 No one on camera",""))))</f>
        <v/>
      </c>
      <c r="T231" s="17"/>
      <c r="U231" s="17"/>
      <c r="V231" s="40"/>
      <c r="W231" s="17"/>
      <c r="X231" s="45" t="str">
        <f aca="false">IF(OR(E231="",V231="",OR(U231="Contract signed + paid",U231="Closed – No response",U231="Lost"),N(W231)&gt;=Settings!$S$3),"",V231+Settings!$S$2)</f>
        <v/>
      </c>
      <c r="Y231" s="40"/>
      <c r="Z231" s="41"/>
      <c r="AA231" s="17"/>
      <c r="AB231" s="17"/>
      <c r="AC231" s="17"/>
      <c r="AD231" s="46" t="str">
        <f aca="true">IF(OR(E231="",B231=""),"",INT(TODAY()-B231))</f>
        <v/>
      </c>
      <c r="AE231" s="44" t="str">
        <f aca="true">IF(E231="","",IF(OR(COUNTIFS(Clients!$C$2:$C$501,E231,Clients!$S$2:$S$501,"Paid")&gt;0,AND(I231&lt;&gt;"",COUNTIFS(Clients!$E$2:$E$501,I231,Clients!$S$2:$S$501,"Paid")&gt;0)),"⚠ Refunded before – no free video",IF(OR(U231="Contract signed + paid",U231="Closed – No response",U231="Lost"),"",IF(U231="","Set a stage",IF(AND(U231="Proposal sent",SUMIFS(Scoresheet!$N$2:$N$501,Scoresheet!$C$2:$C$501,A231,Scoresheet!$U$2:$U$501,1)&lt;6),"Score this lead – fill the call scoresheet",IF(N(W231)&gt;=Settings!$S$3,"Close – 4 follow-ups sent",IF(X231="",IF(V231="","Make first contact",""),IF(TODAY()&gt;X231,"OVERDUE follow-up",IF(TODAY()=X231,"Follow up today","")))))))))</f>
        <v/>
      </c>
    </row>
    <row r="232" customFormat="false" ht="15" hidden="false" customHeight="false" outlineLevel="0" collapsed="false">
      <c r="A232" s="17"/>
      <c r="B232" s="40"/>
      <c r="C232" s="41"/>
      <c r="D232" s="17"/>
      <c r="E232" s="17"/>
      <c r="F232" s="17"/>
      <c r="G232" s="17"/>
      <c r="H232" s="17"/>
      <c r="I232" s="42"/>
      <c r="J232" s="17"/>
      <c r="K232" s="17"/>
      <c r="L232" s="17"/>
      <c r="M232" s="17"/>
      <c r="N232" s="40"/>
      <c r="O232" s="41"/>
      <c r="P232" s="43" t="str">
        <f aca="false">IF(OR(B232="",N232=""),"",ROUND(((N232+N(O232))-(B232+N(C232)))*24,1))</f>
        <v/>
      </c>
      <c r="Q232" s="44" t="str">
        <f aca="false">IF(OR(E232="",A232="",COUNTIFS(Scoresheet!$C$2:$C$501,A232,Scoresheet!$U$2:$U$501,1)=0),"",SUMIFS(Scoresheet!$O$2:$O$501,Scoresheet!$C$2:$C$501,A232,Scoresheet!$U$2:$U$501,1))</f>
        <v/>
      </c>
      <c r="R232" s="44" t="str">
        <f aca="false">IF(E232="","",IF(OR(A232="",COUNTIFS(Scoresheet!$C$2:$C$501,A232,Scoresheet!$U$2:$U$501,1)=0),"No scoresheet yet",IF(SUMIFS(Scoresheet!$N$2:$N$501,Scoresheet!$C$2:$C$501,A232,Scoresheet!$U$2:$U$501,1)&lt;6,"Partly scored ("&amp;SUMIFS(Scoresheet!$N$2:$N$501,Scoresheet!$C$2:$C$501,A232,Scoresheet!$U$2:$U$501,1)&amp;"/6)",IF(Q232&gt;=Settings!$S$8,"Hot",IF(Q232&gt;=Settings!$S$9,"Warm","Cold")))))</f>
        <v/>
      </c>
      <c r="S232" s="44" t="str">
        <f aca="false">IF(OR(E232="",A232=""),"",IF(AND(COUNTIFS(Scoresheet!$C$2:$C$501,A232,Scoresheet!$U$2:$U$501,1,Scoresheet!$H$2:$H$501,"No")&gt;0,COUNTIFS(Scoresheet!$C$2:$C$501,A232,Scoresheet!$U$2:$U$501,1,Scoresheet!$J$2:$J$501,"No")&gt;0),"🚩 Budget  ·  🚩 No one on camera",IF(COUNTIFS(Scoresheet!$C$2:$C$501,A232,Scoresheet!$U$2:$U$501,1,Scoresheet!$H$2:$H$501,"No")&gt;0,"🚩 Budget under AED 5k",IF(COUNTIFS(Scoresheet!$C$2:$C$501,A232,Scoresheet!$U$2:$U$501,1,Scoresheet!$J$2:$J$501,"No")&gt;0,"🚩 No one on camera",""))))</f>
        <v/>
      </c>
      <c r="T232" s="17"/>
      <c r="U232" s="17"/>
      <c r="V232" s="40"/>
      <c r="W232" s="17"/>
      <c r="X232" s="45" t="str">
        <f aca="false">IF(OR(E232="",V232="",OR(U232="Contract signed + paid",U232="Closed – No response",U232="Lost"),N(W232)&gt;=Settings!$S$3),"",V232+Settings!$S$2)</f>
        <v/>
      </c>
      <c r="Y232" s="40"/>
      <c r="Z232" s="41"/>
      <c r="AA232" s="17"/>
      <c r="AB232" s="17"/>
      <c r="AC232" s="17"/>
      <c r="AD232" s="46" t="str">
        <f aca="true">IF(OR(E232="",B232=""),"",INT(TODAY()-B232))</f>
        <v/>
      </c>
      <c r="AE232" s="44" t="str">
        <f aca="true">IF(E232="","",IF(OR(COUNTIFS(Clients!$C$2:$C$501,E232,Clients!$S$2:$S$501,"Paid")&gt;0,AND(I232&lt;&gt;"",COUNTIFS(Clients!$E$2:$E$501,I232,Clients!$S$2:$S$501,"Paid")&gt;0)),"⚠ Refunded before – no free video",IF(OR(U232="Contract signed + paid",U232="Closed – No response",U232="Lost"),"",IF(U232="","Set a stage",IF(AND(U232="Proposal sent",SUMIFS(Scoresheet!$N$2:$N$501,Scoresheet!$C$2:$C$501,A232,Scoresheet!$U$2:$U$501,1)&lt;6),"Score this lead – fill the call scoresheet",IF(N(W232)&gt;=Settings!$S$3,"Close – 4 follow-ups sent",IF(X232="",IF(V232="","Make first contact",""),IF(TODAY()&gt;X232,"OVERDUE follow-up",IF(TODAY()=X232,"Follow up today","")))))))))</f>
        <v/>
      </c>
    </row>
    <row r="233" customFormat="false" ht="15" hidden="false" customHeight="false" outlineLevel="0" collapsed="false">
      <c r="A233" s="17"/>
      <c r="B233" s="40"/>
      <c r="C233" s="41"/>
      <c r="D233" s="17"/>
      <c r="E233" s="17"/>
      <c r="F233" s="17"/>
      <c r="G233" s="17"/>
      <c r="H233" s="17"/>
      <c r="I233" s="42"/>
      <c r="J233" s="17"/>
      <c r="K233" s="17"/>
      <c r="L233" s="17"/>
      <c r="M233" s="17"/>
      <c r="N233" s="40"/>
      <c r="O233" s="41"/>
      <c r="P233" s="43" t="str">
        <f aca="false">IF(OR(B233="",N233=""),"",ROUND(((N233+N(O233))-(B233+N(C233)))*24,1))</f>
        <v/>
      </c>
      <c r="Q233" s="44" t="str">
        <f aca="false">IF(OR(E233="",A233="",COUNTIFS(Scoresheet!$C$2:$C$501,A233,Scoresheet!$U$2:$U$501,1)=0),"",SUMIFS(Scoresheet!$O$2:$O$501,Scoresheet!$C$2:$C$501,A233,Scoresheet!$U$2:$U$501,1))</f>
        <v/>
      </c>
      <c r="R233" s="44" t="str">
        <f aca="false">IF(E233="","",IF(OR(A233="",COUNTIFS(Scoresheet!$C$2:$C$501,A233,Scoresheet!$U$2:$U$501,1)=0),"No scoresheet yet",IF(SUMIFS(Scoresheet!$N$2:$N$501,Scoresheet!$C$2:$C$501,A233,Scoresheet!$U$2:$U$501,1)&lt;6,"Partly scored ("&amp;SUMIFS(Scoresheet!$N$2:$N$501,Scoresheet!$C$2:$C$501,A233,Scoresheet!$U$2:$U$501,1)&amp;"/6)",IF(Q233&gt;=Settings!$S$8,"Hot",IF(Q233&gt;=Settings!$S$9,"Warm","Cold")))))</f>
        <v/>
      </c>
      <c r="S233" s="44" t="str">
        <f aca="false">IF(OR(E233="",A233=""),"",IF(AND(COUNTIFS(Scoresheet!$C$2:$C$501,A233,Scoresheet!$U$2:$U$501,1,Scoresheet!$H$2:$H$501,"No")&gt;0,COUNTIFS(Scoresheet!$C$2:$C$501,A233,Scoresheet!$U$2:$U$501,1,Scoresheet!$J$2:$J$501,"No")&gt;0),"🚩 Budget  ·  🚩 No one on camera",IF(COUNTIFS(Scoresheet!$C$2:$C$501,A233,Scoresheet!$U$2:$U$501,1,Scoresheet!$H$2:$H$501,"No")&gt;0,"🚩 Budget under AED 5k",IF(COUNTIFS(Scoresheet!$C$2:$C$501,A233,Scoresheet!$U$2:$U$501,1,Scoresheet!$J$2:$J$501,"No")&gt;0,"🚩 No one on camera",""))))</f>
        <v/>
      </c>
      <c r="T233" s="17"/>
      <c r="U233" s="17"/>
      <c r="V233" s="40"/>
      <c r="W233" s="17"/>
      <c r="X233" s="45" t="str">
        <f aca="false">IF(OR(E233="",V233="",OR(U233="Contract signed + paid",U233="Closed – No response",U233="Lost"),N(W233)&gt;=Settings!$S$3),"",V233+Settings!$S$2)</f>
        <v/>
      </c>
      <c r="Y233" s="40"/>
      <c r="Z233" s="41"/>
      <c r="AA233" s="17"/>
      <c r="AB233" s="17"/>
      <c r="AC233" s="17"/>
      <c r="AD233" s="46" t="str">
        <f aca="true">IF(OR(E233="",B233=""),"",INT(TODAY()-B233))</f>
        <v/>
      </c>
      <c r="AE233" s="44" t="str">
        <f aca="true">IF(E233="","",IF(OR(COUNTIFS(Clients!$C$2:$C$501,E233,Clients!$S$2:$S$501,"Paid")&gt;0,AND(I233&lt;&gt;"",COUNTIFS(Clients!$E$2:$E$501,I233,Clients!$S$2:$S$501,"Paid")&gt;0)),"⚠ Refunded before – no free video",IF(OR(U233="Contract signed + paid",U233="Closed – No response",U233="Lost"),"",IF(U233="","Set a stage",IF(AND(U233="Proposal sent",SUMIFS(Scoresheet!$N$2:$N$501,Scoresheet!$C$2:$C$501,A233,Scoresheet!$U$2:$U$501,1)&lt;6),"Score this lead – fill the call scoresheet",IF(N(W233)&gt;=Settings!$S$3,"Close – 4 follow-ups sent",IF(X233="",IF(V233="","Make first contact",""),IF(TODAY()&gt;X233,"OVERDUE follow-up",IF(TODAY()=X233,"Follow up today","")))))))))</f>
        <v/>
      </c>
    </row>
    <row r="234" customFormat="false" ht="15" hidden="false" customHeight="false" outlineLevel="0" collapsed="false">
      <c r="A234" s="17"/>
      <c r="B234" s="40"/>
      <c r="C234" s="41"/>
      <c r="D234" s="17"/>
      <c r="E234" s="17"/>
      <c r="F234" s="17"/>
      <c r="G234" s="17"/>
      <c r="H234" s="17"/>
      <c r="I234" s="42"/>
      <c r="J234" s="17"/>
      <c r="K234" s="17"/>
      <c r="L234" s="17"/>
      <c r="M234" s="17"/>
      <c r="N234" s="40"/>
      <c r="O234" s="41"/>
      <c r="P234" s="43" t="str">
        <f aca="false">IF(OR(B234="",N234=""),"",ROUND(((N234+N(O234))-(B234+N(C234)))*24,1))</f>
        <v/>
      </c>
      <c r="Q234" s="44" t="str">
        <f aca="false">IF(OR(E234="",A234="",COUNTIFS(Scoresheet!$C$2:$C$501,A234,Scoresheet!$U$2:$U$501,1)=0),"",SUMIFS(Scoresheet!$O$2:$O$501,Scoresheet!$C$2:$C$501,A234,Scoresheet!$U$2:$U$501,1))</f>
        <v/>
      </c>
      <c r="R234" s="44" t="str">
        <f aca="false">IF(E234="","",IF(OR(A234="",COUNTIFS(Scoresheet!$C$2:$C$501,A234,Scoresheet!$U$2:$U$501,1)=0),"No scoresheet yet",IF(SUMIFS(Scoresheet!$N$2:$N$501,Scoresheet!$C$2:$C$501,A234,Scoresheet!$U$2:$U$501,1)&lt;6,"Partly scored ("&amp;SUMIFS(Scoresheet!$N$2:$N$501,Scoresheet!$C$2:$C$501,A234,Scoresheet!$U$2:$U$501,1)&amp;"/6)",IF(Q234&gt;=Settings!$S$8,"Hot",IF(Q234&gt;=Settings!$S$9,"Warm","Cold")))))</f>
        <v/>
      </c>
      <c r="S234" s="44" t="str">
        <f aca="false">IF(OR(E234="",A234=""),"",IF(AND(COUNTIFS(Scoresheet!$C$2:$C$501,A234,Scoresheet!$U$2:$U$501,1,Scoresheet!$H$2:$H$501,"No")&gt;0,COUNTIFS(Scoresheet!$C$2:$C$501,A234,Scoresheet!$U$2:$U$501,1,Scoresheet!$J$2:$J$501,"No")&gt;0),"🚩 Budget  ·  🚩 No one on camera",IF(COUNTIFS(Scoresheet!$C$2:$C$501,A234,Scoresheet!$U$2:$U$501,1,Scoresheet!$H$2:$H$501,"No")&gt;0,"🚩 Budget under AED 5k",IF(COUNTIFS(Scoresheet!$C$2:$C$501,A234,Scoresheet!$U$2:$U$501,1,Scoresheet!$J$2:$J$501,"No")&gt;0,"🚩 No one on camera",""))))</f>
        <v/>
      </c>
      <c r="T234" s="17"/>
      <c r="U234" s="17"/>
      <c r="V234" s="40"/>
      <c r="W234" s="17"/>
      <c r="X234" s="45" t="str">
        <f aca="false">IF(OR(E234="",V234="",OR(U234="Contract signed + paid",U234="Closed – No response",U234="Lost"),N(W234)&gt;=Settings!$S$3),"",V234+Settings!$S$2)</f>
        <v/>
      </c>
      <c r="Y234" s="40"/>
      <c r="Z234" s="41"/>
      <c r="AA234" s="17"/>
      <c r="AB234" s="17"/>
      <c r="AC234" s="17"/>
      <c r="AD234" s="46" t="str">
        <f aca="true">IF(OR(E234="",B234=""),"",INT(TODAY()-B234))</f>
        <v/>
      </c>
      <c r="AE234" s="44" t="str">
        <f aca="true">IF(E234="","",IF(OR(COUNTIFS(Clients!$C$2:$C$501,E234,Clients!$S$2:$S$501,"Paid")&gt;0,AND(I234&lt;&gt;"",COUNTIFS(Clients!$E$2:$E$501,I234,Clients!$S$2:$S$501,"Paid")&gt;0)),"⚠ Refunded before – no free video",IF(OR(U234="Contract signed + paid",U234="Closed – No response",U234="Lost"),"",IF(U234="","Set a stage",IF(AND(U234="Proposal sent",SUMIFS(Scoresheet!$N$2:$N$501,Scoresheet!$C$2:$C$501,A234,Scoresheet!$U$2:$U$501,1)&lt;6),"Score this lead – fill the call scoresheet",IF(N(W234)&gt;=Settings!$S$3,"Close – 4 follow-ups sent",IF(X234="",IF(V234="","Make first contact",""),IF(TODAY()&gt;X234,"OVERDUE follow-up",IF(TODAY()=X234,"Follow up today","")))))))))</f>
        <v/>
      </c>
    </row>
    <row r="235" customFormat="false" ht="15" hidden="false" customHeight="false" outlineLevel="0" collapsed="false">
      <c r="A235" s="17"/>
      <c r="B235" s="40"/>
      <c r="C235" s="41"/>
      <c r="D235" s="17"/>
      <c r="E235" s="17"/>
      <c r="F235" s="17"/>
      <c r="G235" s="17"/>
      <c r="H235" s="17"/>
      <c r="I235" s="42"/>
      <c r="J235" s="17"/>
      <c r="K235" s="17"/>
      <c r="L235" s="17"/>
      <c r="M235" s="17"/>
      <c r="N235" s="40"/>
      <c r="O235" s="41"/>
      <c r="P235" s="43" t="str">
        <f aca="false">IF(OR(B235="",N235=""),"",ROUND(((N235+N(O235))-(B235+N(C235)))*24,1))</f>
        <v/>
      </c>
      <c r="Q235" s="44" t="str">
        <f aca="false">IF(OR(E235="",A235="",COUNTIFS(Scoresheet!$C$2:$C$501,A235,Scoresheet!$U$2:$U$501,1)=0),"",SUMIFS(Scoresheet!$O$2:$O$501,Scoresheet!$C$2:$C$501,A235,Scoresheet!$U$2:$U$501,1))</f>
        <v/>
      </c>
      <c r="R235" s="44" t="str">
        <f aca="false">IF(E235="","",IF(OR(A235="",COUNTIFS(Scoresheet!$C$2:$C$501,A235,Scoresheet!$U$2:$U$501,1)=0),"No scoresheet yet",IF(SUMIFS(Scoresheet!$N$2:$N$501,Scoresheet!$C$2:$C$501,A235,Scoresheet!$U$2:$U$501,1)&lt;6,"Partly scored ("&amp;SUMIFS(Scoresheet!$N$2:$N$501,Scoresheet!$C$2:$C$501,A235,Scoresheet!$U$2:$U$501,1)&amp;"/6)",IF(Q235&gt;=Settings!$S$8,"Hot",IF(Q235&gt;=Settings!$S$9,"Warm","Cold")))))</f>
        <v/>
      </c>
      <c r="S235" s="44" t="str">
        <f aca="false">IF(OR(E235="",A235=""),"",IF(AND(COUNTIFS(Scoresheet!$C$2:$C$501,A235,Scoresheet!$U$2:$U$501,1,Scoresheet!$H$2:$H$501,"No")&gt;0,COUNTIFS(Scoresheet!$C$2:$C$501,A235,Scoresheet!$U$2:$U$501,1,Scoresheet!$J$2:$J$501,"No")&gt;0),"🚩 Budget  ·  🚩 No one on camera",IF(COUNTIFS(Scoresheet!$C$2:$C$501,A235,Scoresheet!$U$2:$U$501,1,Scoresheet!$H$2:$H$501,"No")&gt;0,"🚩 Budget under AED 5k",IF(COUNTIFS(Scoresheet!$C$2:$C$501,A235,Scoresheet!$U$2:$U$501,1,Scoresheet!$J$2:$J$501,"No")&gt;0,"🚩 No one on camera",""))))</f>
        <v/>
      </c>
      <c r="T235" s="17"/>
      <c r="U235" s="17"/>
      <c r="V235" s="40"/>
      <c r="W235" s="17"/>
      <c r="X235" s="45" t="str">
        <f aca="false">IF(OR(E235="",V235="",OR(U235="Contract signed + paid",U235="Closed – No response",U235="Lost"),N(W235)&gt;=Settings!$S$3),"",V235+Settings!$S$2)</f>
        <v/>
      </c>
      <c r="Y235" s="40"/>
      <c r="Z235" s="41"/>
      <c r="AA235" s="17"/>
      <c r="AB235" s="17"/>
      <c r="AC235" s="17"/>
      <c r="AD235" s="46" t="str">
        <f aca="true">IF(OR(E235="",B235=""),"",INT(TODAY()-B235))</f>
        <v/>
      </c>
      <c r="AE235" s="44" t="str">
        <f aca="true">IF(E235="","",IF(OR(COUNTIFS(Clients!$C$2:$C$501,E235,Clients!$S$2:$S$501,"Paid")&gt;0,AND(I235&lt;&gt;"",COUNTIFS(Clients!$E$2:$E$501,I235,Clients!$S$2:$S$501,"Paid")&gt;0)),"⚠ Refunded before – no free video",IF(OR(U235="Contract signed + paid",U235="Closed – No response",U235="Lost"),"",IF(U235="","Set a stage",IF(AND(U235="Proposal sent",SUMIFS(Scoresheet!$N$2:$N$501,Scoresheet!$C$2:$C$501,A235,Scoresheet!$U$2:$U$501,1)&lt;6),"Score this lead – fill the call scoresheet",IF(N(W235)&gt;=Settings!$S$3,"Close – 4 follow-ups sent",IF(X235="",IF(V235="","Make first contact",""),IF(TODAY()&gt;X235,"OVERDUE follow-up",IF(TODAY()=X235,"Follow up today","")))))))))</f>
        <v/>
      </c>
    </row>
    <row r="236" customFormat="false" ht="15" hidden="false" customHeight="false" outlineLevel="0" collapsed="false">
      <c r="A236" s="17"/>
      <c r="B236" s="40"/>
      <c r="C236" s="41"/>
      <c r="D236" s="17"/>
      <c r="E236" s="17"/>
      <c r="F236" s="17"/>
      <c r="G236" s="17"/>
      <c r="H236" s="17"/>
      <c r="I236" s="42"/>
      <c r="J236" s="17"/>
      <c r="K236" s="17"/>
      <c r="L236" s="17"/>
      <c r="M236" s="17"/>
      <c r="N236" s="40"/>
      <c r="O236" s="41"/>
      <c r="P236" s="43" t="str">
        <f aca="false">IF(OR(B236="",N236=""),"",ROUND(((N236+N(O236))-(B236+N(C236)))*24,1))</f>
        <v/>
      </c>
      <c r="Q236" s="44" t="str">
        <f aca="false">IF(OR(E236="",A236="",COUNTIFS(Scoresheet!$C$2:$C$501,A236,Scoresheet!$U$2:$U$501,1)=0),"",SUMIFS(Scoresheet!$O$2:$O$501,Scoresheet!$C$2:$C$501,A236,Scoresheet!$U$2:$U$501,1))</f>
        <v/>
      </c>
      <c r="R236" s="44" t="str">
        <f aca="false">IF(E236="","",IF(OR(A236="",COUNTIFS(Scoresheet!$C$2:$C$501,A236,Scoresheet!$U$2:$U$501,1)=0),"No scoresheet yet",IF(SUMIFS(Scoresheet!$N$2:$N$501,Scoresheet!$C$2:$C$501,A236,Scoresheet!$U$2:$U$501,1)&lt;6,"Partly scored ("&amp;SUMIFS(Scoresheet!$N$2:$N$501,Scoresheet!$C$2:$C$501,A236,Scoresheet!$U$2:$U$501,1)&amp;"/6)",IF(Q236&gt;=Settings!$S$8,"Hot",IF(Q236&gt;=Settings!$S$9,"Warm","Cold")))))</f>
        <v/>
      </c>
      <c r="S236" s="44" t="str">
        <f aca="false">IF(OR(E236="",A236=""),"",IF(AND(COUNTIFS(Scoresheet!$C$2:$C$501,A236,Scoresheet!$U$2:$U$501,1,Scoresheet!$H$2:$H$501,"No")&gt;0,COUNTIFS(Scoresheet!$C$2:$C$501,A236,Scoresheet!$U$2:$U$501,1,Scoresheet!$J$2:$J$501,"No")&gt;0),"🚩 Budget  ·  🚩 No one on camera",IF(COUNTIFS(Scoresheet!$C$2:$C$501,A236,Scoresheet!$U$2:$U$501,1,Scoresheet!$H$2:$H$501,"No")&gt;0,"🚩 Budget under AED 5k",IF(COUNTIFS(Scoresheet!$C$2:$C$501,A236,Scoresheet!$U$2:$U$501,1,Scoresheet!$J$2:$J$501,"No")&gt;0,"🚩 No one on camera",""))))</f>
        <v/>
      </c>
      <c r="T236" s="17"/>
      <c r="U236" s="17"/>
      <c r="V236" s="40"/>
      <c r="W236" s="17"/>
      <c r="X236" s="45" t="str">
        <f aca="false">IF(OR(E236="",V236="",OR(U236="Contract signed + paid",U236="Closed – No response",U236="Lost"),N(W236)&gt;=Settings!$S$3),"",V236+Settings!$S$2)</f>
        <v/>
      </c>
      <c r="Y236" s="40"/>
      <c r="Z236" s="41"/>
      <c r="AA236" s="17"/>
      <c r="AB236" s="17"/>
      <c r="AC236" s="17"/>
      <c r="AD236" s="46" t="str">
        <f aca="true">IF(OR(E236="",B236=""),"",INT(TODAY()-B236))</f>
        <v/>
      </c>
      <c r="AE236" s="44" t="str">
        <f aca="true">IF(E236="","",IF(OR(COUNTIFS(Clients!$C$2:$C$501,E236,Clients!$S$2:$S$501,"Paid")&gt;0,AND(I236&lt;&gt;"",COUNTIFS(Clients!$E$2:$E$501,I236,Clients!$S$2:$S$501,"Paid")&gt;0)),"⚠ Refunded before – no free video",IF(OR(U236="Contract signed + paid",U236="Closed – No response",U236="Lost"),"",IF(U236="","Set a stage",IF(AND(U236="Proposal sent",SUMIFS(Scoresheet!$N$2:$N$501,Scoresheet!$C$2:$C$501,A236,Scoresheet!$U$2:$U$501,1)&lt;6),"Score this lead – fill the call scoresheet",IF(N(W236)&gt;=Settings!$S$3,"Close – 4 follow-ups sent",IF(X236="",IF(V236="","Make first contact",""),IF(TODAY()&gt;X236,"OVERDUE follow-up",IF(TODAY()=X236,"Follow up today","")))))))))</f>
        <v/>
      </c>
    </row>
    <row r="237" customFormat="false" ht="15" hidden="false" customHeight="false" outlineLevel="0" collapsed="false">
      <c r="A237" s="17"/>
      <c r="B237" s="40"/>
      <c r="C237" s="41"/>
      <c r="D237" s="17"/>
      <c r="E237" s="17"/>
      <c r="F237" s="17"/>
      <c r="G237" s="17"/>
      <c r="H237" s="17"/>
      <c r="I237" s="42"/>
      <c r="J237" s="17"/>
      <c r="K237" s="17"/>
      <c r="L237" s="17"/>
      <c r="M237" s="17"/>
      <c r="N237" s="40"/>
      <c r="O237" s="41"/>
      <c r="P237" s="43" t="str">
        <f aca="false">IF(OR(B237="",N237=""),"",ROUND(((N237+N(O237))-(B237+N(C237)))*24,1))</f>
        <v/>
      </c>
      <c r="Q237" s="44" t="str">
        <f aca="false">IF(OR(E237="",A237="",COUNTIFS(Scoresheet!$C$2:$C$501,A237,Scoresheet!$U$2:$U$501,1)=0),"",SUMIFS(Scoresheet!$O$2:$O$501,Scoresheet!$C$2:$C$501,A237,Scoresheet!$U$2:$U$501,1))</f>
        <v/>
      </c>
      <c r="R237" s="44" t="str">
        <f aca="false">IF(E237="","",IF(OR(A237="",COUNTIFS(Scoresheet!$C$2:$C$501,A237,Scoresheet!$U$2:$U$501,1)=0),"No scoresheet yet",IF(SUMIFS(Scoresheet!$N$2:$N$501,Scoresheet!$C$2:$C$501,A237,Scoresheet!$U$2:$U$501,1)&lt;6,"Partly scored ("&amp;SUMIFS(Scoresheet!$N$2:$N$501,Scoresheet!$C$2:$C$501,A237,Scoresheet!$U$2:$U$501,1)&amp;"/6)",IF(Q237&gt;=Settings!$S$8,"Hot",IF(Q237&gt;=Settings!$S$9,"Warm","Cold")))))</f>
        <v/>
      </c>
      <c r="S237" s="44" t="str">
        <f aca="false">IF(OR(E237="",A237=""),"",IF(AND(COUNTIFS(Scoresheet!$C$2:$C$501,A237,Scoresheet!$U$2:$U$501,1,Scoresheet!$H$2:$H$501,"No")&gt;0,COUNTIFS(Scoresheet!$C$2:$C$501,A237,Scoresheet!$U$2:$U$501,1,Scoresheet!$J$2:$J$501,"No")&gt;0),"🚩 Budget  ·  🚩 No one on camera",IF(COUNTIFS(Scoresheet!$C$2:$C$501,A237,Scoresheet!$U$2:$U$501,1,Scoresheet!$H$2:$H$501,"No")&gt;0,"🚩 Budget under AED 5k",IF(COUNTIFS(Scoresheet!$C$2:$C$501,A237,Scoresheet!$U$2:$U$501,1,Scoresheet!$J$2:$J$501,"No")&gt;0,"🚩 No one on camera",""))))</f>
        <v/>
      </c>
      <c r="T237" s="17"/>
      <c r="U237" s="17"/>
      <c r="V237" s="40"/>
      <c r="W237" s="17"/>
      <c r="X237" s="45" t="str">
        <f aca="false">IF(OR(E237="",V237="",OR(U237="Contract signed + paid",U237="Closed – No response",U237="Lost"),N(W237)&gt;=Settings!$S$3),"",V237+Settings!$S$2)</f>
        <v/>
      </c>
      <c r="Y237" s="40"/>
      <c r="Z237" s="41"/>
      <c r="AA237" s="17"/>
      <c r="AB237" s="17"/>
      <c r="AC237" s="17"/>
      <c r="AD237" s="46" t="str">
        <f aca="true">IF(OR(E237="",B237=""),"",INT(TODAY()-B237))</f>
        <v/>
      </c>
      <c r="AE237" s="44" t="str">
        <f aca="true">IF(E237="","",IF(OR(COUNTIFS(Clients!$C$2:$C$501,E237,Clients!$S$2:$S$501,"Paid")&gt;0,AND(I237&lt;&gt;"",COUNTIFS(Clients!$E$2:$E$501,I237,Clients!$S$2:$S$501,"Paid")&gt;0)),"⚠ Refunded before – no free video",IF(OR(U237="Contract signed + paid",U237="Closed – No response",U237="Lost"),"",IF(U237="","Set a stage",IF(AND(U237="Proposal sent",SUMIFS(Scoresheet!$N$2:$N$501,Scoresheet!$C$2:$C$501,A237,Scoresheet!$U$2:$U$501,1)&lt;6),"Score this lead – fill the call scoresheet",IF(N(W237)&gt;=Settings!$S$3,"Close – 4 follow-ups sent",IF(X237="",IF(V237="","Make first contact",""),IF(TODAY()&gt;X237,"OVERDUE follow-up",IF(TODAY()=X237,"Follow up today","")))))))))</f>
        <v/>
      </c>
    </row>
    <row r="238" customFormat="false" ht="15" hidden="false" customHeight="false" outlineLevel="0" collapsed="false">
      <c r="A238" s="17"/>
      <c r="B238" s="40"/>
      <c r="C238" s="41"/>
      <c r="D238" s="17"/>
      <c r="E238" s="17"/>
      <c r="F238" s="17"/>
      <c r="G238" s="17"/>
      <c r="H238" s="17"/>
      <c r="I238" s="42"/>
      <c r="J238" s="17"/>
      <c r="K238" s="17"/>
      <c r="L238" s="17"/>
      <c r="M238" s="17"/>
      <c r="N238" s="40"/>
      <c r="O238" s="41"/>
      <c r="P238" s="43" t="str">
        <f aca="false">IF(OR(B238="",N238=""),"",ROUND(((N238+N(O238))-(B238+N(C238)))*24,1))</f>
        <v/>
      </c>
      <c r="Q238" s="44" t="str">
        <f aca="false">IF(OR(E238="",A238="",COUNTIFS(Scoresheet!$C$2:$C$501,A238,Scoresheet!$U$2:$U$501,1)=0),"",SUMIFS(Scoresheet!$O$2:$O$501,Scoresheet!$C$2:$C$501,A238,Scoresheet!$U$2:$U$501,1))</f>
        <v/>
      </c>
      <c r="R238" s="44" t="str">
        <f aca="false">IF(E238="","",IF(OR(A238="",COUNTIFS(Scoresheet!$C$2:$C$501,A238,Scoresheet!$U$2:$U$501,1)=0),"No scoresheet yet",IF(SUMIFS(Scoresheet!$N$2:$N$501,Scoresheet!$C$2:$C$501,A238,Scoresheet!$U$2:$U$501,1)&lt;6,"Partly scored ("&amp;SUMIFS(Scoresheet!$N$2:$N$501,Scoresheet!$C$2:$C$501,A238,Scoresheet!$U$2:$U$501,1)&amp;"/6)",IF(Q238&gt;=Settings!$S$8,"Hot",IF(Q238&gt;=Settings!$S$9,"Warm","Cold")))))</f>
        <v/>
      </c>
      <c r="S238" s="44" t="str">
        <f aca="false">IF(OR(E238="",A238=""),"",IF(AND(COUNTIFS(Scoresheet!$C$2:$C$501,A238,Scoresheet!$U$2:$U$501,1,Scoresheet!$H$2:$H$501,"No")&gt;0,COUNTIFS(Scoresheet!$C$2:$C$501,A238,Scoresheet!$U$2:$U$501,1,Scoresheet!$J$2:$J$501,"No")&gt;0),"🚩 Budget  ·  🚩 No one on camera",IF(COUNTIFS(Scoresheet!$C$2:$C$501,A238,Scoresheet!$U$2:$U$501,1,Scoresheet!$H$2:$H$501,"No")&gt;0,"🚩 Budget under AED 5k",IF(COUNTIFS(Scoresheet!$C$2:$C$501,A238,Scoresheet!$U$2:$U$501,1,Scoresheet!$J$2:$J$501,"No")&gt;0,"🚩 No one on camera",""))))</f>
        <v/>
      </c>
      <c r="T238" s="17"/>
      <c r="U238" s="17"/>
      <c r="V238" s="40"/>
      <c r="W238" s="17"/>
      <c r="X238" s="45" t="str">
        <f aca="false">IF(OR(E238="",V238="",OR(U238="Contract signed + paid",U238="Closed – No response",U238="Lost"),N(W238)&gt;=Settings!$S$3),"",V238+Settings!$S$2)</f>
        <v/>
      </c>
      <c r="Y238" s="40"/>
      <c r="Z238" s="41"/>
      <c r="AA238" s="17"/>
      <c r="AB238" s="17"/>
      <c r="AC238" s="17"/>
      <c r="AD238" s="46" t="str">
        <f aca="true">IF(OR(E238="",B238=""),"",INT(TODAY()-B238))</f>
        <v/>
      </c>
      <c r="AE238" s="44" t="str">
        <f aca="true">IF(E238="","",IF(OR(COUNTIFS(Clients!$C$2:$C$501,E238,Clients!$S$2:$S$501,"Paid")&gt;0,AND(I238&lt;&gt;"",COUNTIFS(Clients!$E$2:$E$501,I238,Clients!$S$2:$S$501,"Paid")&gt;0)),"⚠ Refunded before – no free video",IF(OR(U238="Contract signed + paid",U238="Closed – No response",U238="Lost"),"",IF(U238="","Set a stage",IF(AND(U238="Proposal sent",SUMIFS(Scoresheet!$N$2:$N$501,Scoresheet!$C$2:$C$501,A238,Scoresheet!$U$2:$U$501,1)&lt;6),"Score this lead – fill the call scoresheet",IF(N(W238)&gt;=Settings!$S$3,"Close – 4 follow-ups sent",IF(X238="",IF(V238="","Make first contact",""),IF(TODAY()&gt;X238,"OVERDUE follow-up",IF(TODAY()=X238,"Follow up today","")))))))))</f>
        <v/>
      </c>
    </row>
    <row r="239" customFormat="false" ht="15" hidden="false" customHeight="false" outlineLevel="0" collapsed="false">
      <c r="A239" s="17"/>
      <c r="B239" s="40"/>
      <c r="C239" s="41"/>
      <c r="D239" s="17"/>
      <c r="E239" s="17"/>
      <c r="F239" s="17"/>
      <c r="G239" s="17"/>
      <c r="H239" s="17"/>
      <c r="I239" s="42"/>
      <c r="J239" s="17"/>
      <c r="K239" s="17"/>
      <c r="L239" s="17"/>
      <c r="M239" s="17"/>
      <c r="N239" s="40"/>
      <c r="O239" s="41"/>
      <c r="P239" s="43" t="str">
        <f aca="false">IF(OR(B239="",N239=""),"",ROUND(((N239+N(O239))-(B239+N(C239)))*24,1))</f>
        <v/>
      </c>
      <c r="Q239" s="44" t="str">
        <f aca="false">IF(OR(E239="",A239="",COUNTIFS(Scoresheet!$C$2:$C$501,A239,Scoresheet!$U$2:$U$501,1)=0),"",SUMIFS(Scoresheet!$O$2:$O$501,Scoresheet!$C$2:$C$501,A239,Scoresheet!$U$2:$U$501,1))</f>
        <v/>
      </c>
      <c r="R239" s="44" t="str">
        <f aca="false">IF(E239="","",IF(OR(A239="",COUNTIFS(Scoresheet!$C$2:$C$501,A239,Scoresheet!$U$2:$U$501,1)=0),"No scoresheet yet",IF(SUMIFS(Scoresheet!$N$2:$N$501,Scoresheet!$C$2:$C$501,A239,Scoresheet!$U$2:$U$501,1)&lt;6,"Partly scored ("&amp;SUMIFS(Scoresheet!$N$2:$N$501,Scoresheet!$C$2:$C$501,A239,Scoresheet!$U$2:$U$501,1)&amp;"/6)",IF(Q239&gt;=Settings!$S$8,"Hot",IF(Q239&gt;=Settings!$S$9,"Warm","Cold")))))</f>
        <v/>
      </c>
      <c r="S239" s="44" t="str">
        <f aca="false">IF(OR(E239="",A239=""),"",IF(AND(COUNTIFS(Scoresheet!$C$2:$C$501,A239,Scoresheet!$U$2:$U$501,1,Scoresheet!$H$2:$H$501,"No")&gt;0,COUNTIFS(Scoresheet!$C$2:$C$501,A239,Scoresheet!$U$2:$U$501,1,Scoresheet!$J$2:$J$501,"No")&gt;0),"🚩 Budget  ·  🚩 No one on camera",IF(COUNTIFS(Scoresheet!$C$2:$C$501,A239,Scoresheet!$U$2:$U$501,1,Scoresheet!$H$2:$H$501,"No")&gt;0,"🚩 Budget under AED 5k",IF(COUNTIFS(Scoresheet!$C$2:$C$501,A239,Scoresheet!$U$2:$U$501,1,Scoresheet!$J$2:$J$501,"No")&gt;0,"🚩 No one on camera",""))))</f>
        <v/>
      </c>
      <c r="T239" s="17"/>
      <c r="U239" s="17"/>
      <c r="V239" s="40"/>
      <c r="W239" s="17"/>
      <c r="X239" s="45" t="str">
        <f aca="false">IF(OR(E239="",V239="",OR(U239="Contract signed + paid",U239="Closed – No response",U239="Lost"),N(W239)&gt;=Settings!$S$3),"",V239+Settings!$S$2)</f>
        <v/>
      </c>
      <c r="Y239" s="40"/>
      <c r="Z239" s="41"/>
      <c r="AA239" s="17"/>
      <c r="AB239" s="17"/>
      <c r="AC239" s="17"/>
      <c r="AD239" s="46" t="str">
        <f aca="true">IF(OR(E239="",B239=""),"",INT(TODAY()-B239))</f>
        <v/>
      </c>
      <c r="AE239" s="44" t="str">
        <f aca="true">IF(E239="","",IF(OR(COUNTIFS(Clients!$C$2:$C$501,E239,Clients!$S$2:$S$501,"Paid")&gt;0,AND(I239&lt;&gt;"",COUNTIFS(Clients!$E$2:$E$501,I239,Clients!$S$2:$S$501,"Paid")&gt;0)),"⚠ Refunded before – no free video",IF(OR(U239="Contract signed + paid",U239="Closed – No response",U239="Lost"),"",IF(U239="","Set a stage",IF(AND(U239="Proposal sent",SUMIFS(Scoresheet!$N$2:$N$501,Scoresheet!$C$2:$C$501,A239,Scoresheet!$U$2:$U$501,1)&lt;6),"Score this lead – fill the call scoresheet",IF(N(W239)&gt;=Settings!$S$3,"Close – 4 follow-ups sent",IF(X239="",IF(V239="","Make first contact",""),IF(TODAY()&gt;X239,"OVERDUE follow-up",IF(TODAY()=X239,"Follow up today","")))))))))</f>
        <v/>
      </c>
    </row>
    <row r="240" customFormat="false" ht="15" hidden="false" customHeight="false" outlineLevel="0" collapsed="false">
      <c r="A240" s="17"/>
      <c r="B240" s="40"/>
      <c r="C240" s="41"/>
      <c r="D240" s="17"/>
      <c r="E240" s="17"/>
      <c r="F240" s="17"/>
      <c r="G240" s="17"/>
      <c r="H240" s="17"/>
      <c r="I240" s="42"/>
      <c r="J240" s="17"/>
      <c r="K240" s="17"/>
      <c r="L240" s="17"/>
      <c r="M240" s="17"/>
      <c r="N240" s="40"/>
      <c r="O240" s="41"/>
      <c r="P240" s="43" t="str">
        <f aca="false">IF(OR(B240="",N240=""),"",ROUND(((N240+N(O240))-(B240+N(C240)))*24,1))</f>
        <v/>
      </c>
      <c r="Q240" s="44" t="str">
        <f aca="false">IF(OR(E240="",A240="",COUNTIFS(Scoresheet!$C$2:$C$501,A240,Scoresheet!$U$2:$U$501,1)=0),"",SUMIFS(Scoresheet!$O$2:$O$501,Scoresheet!$C$2:$C$501,A240,Scoresheet!$U$2:$U$501,1))</f>
        <v/>
      </c>
      <c r="R240" s="44" t="str">
        <f aca="false">IF(E240="","",IF(OR(A240="",COUNTIFS(Scoresheet!$C$2:$C$501,A240,Scoresheet!$U$2:$U$501,1)=0),"No scoresheet yet",IF(SUMIFS(Scoresheet!$N$2:$N$501,Scoresheet!$C$2:$C$501,A240,Scoresheet!$U$2:$U$501,1)&lt;6,"Partly scored ("&amp;SUMIFS(Scoresheet!$N$2:$N$501,Scoresheet!$C$2:$C$501,A240,Scoresheet!$U$2:$U$501,1)&amp;"/6)",IF(Q240&gt;=Settings!$S$8,"Hot",IF(Q240&gt;=Settings!$S$9,"Warm","Cold")))))</f>
        <v/>
      </c>
      <c r="S240" s="44" t="str">
        <f aca="false">IF(OR(E240="",A240=""),"",IF(AND(COUNTIFS(Scoresheet!$C$2:$C$501,A240,Scoresheet!$U$2:$U$501,1,Scoresheet!$H$2:$H$501,"No")&gt;0,COUNTIFS(Scoresheet!$C$2:$C$501,A240,Scoresheet!$U$2:$U$501,1,Scoresheet!$J$2:$J$501,"No")&gt;0),"🚩 Budget  ·  🚩 No one on camera",IF(COUNTIFS(Scoresheet!$C$2:$C$501,A240,Scoresheet!$U$2:$U$501,1,Scoresheet!$H$2:$H$501,"No")&gt;0,"🚩 Budget under AED 5k",IF(COUNTIFS(Scoresheet!$C$2:$C$501,A240,Scoresheet!$U$2:$U$501,1,Scoresheet!$J$2:$J$501,"No")&gt;0,"🚩 No one on camera",""))))</f>
        <v/>
      </c>
      <c r="T240" s="17"/>
      <c r="U240" s="17"/>
      <c r="V240" s="40"/>
      <c r="W240" s="17"/>
      <c r="X240" s="45" t="str">
        <f aca="false">IF(OR(E240="",V240="",OR(U240="Contract signed + paid",U240="Closed – No response",U240="Lost"),N(W240)&gt;=Settings!$S$3),"",V240+Settings!$S$2)</f>
        <v/>
      </c>
      <c r="Y240" s="40"/>
      <c r="Z240" s="41"/>
      <c r="AA240" s="17"/>
      <c r="AB240" s="17"/>
      <c r="AC240" s="17"/>
      <c r="AD240" s="46" t="str">
        <f aca="true">IF(OR(E240="",B240=""),"",INT(TODAY()-B240))</f>
        <v/>
      </c>
      <c r="AE240" s="44" t="str">
        <f aca="true">IF(E240="","",IF(OR(COUNTIFS(Clients!$C$2:$C$501,E240,Clients!$S$2:$S$501,"Paid")&gt;0,AND(I240&lt;&gt;"",COUNTIFS(Clients!$E$2:$E$501,I240,Clients!$S$2:$S$501,"Paid")&gt;0)),"⚠ Refunded before – no free video",IF(OR(U240="Contract signed + paid",U240="Closed – No response",U240="Lost"),"",IF(U240="","Set a stage",IF(AND(U240="Proposal sent",SUMIFS(Scoresheet!$N$2:$N$501,Scoresheet!$C$2:$C$501,A240,Scoresheet!$U$2:$U$501,1)&lt;6),"Score this lead – fill the call scoresheet",IF(N(W240)&gt;=Settings!$S$3,"Close – 4 follow-ups sent",IF(X240="",IF(V240="","Make first contact",""),IF(TODAY()&gt;X240,"OVERDUE follow-up",IF(TODAY()=X240,"Follow up today","")))))))))</f>
        <v/>
      </c>
    </row>
    <row r="241" customFormat="false" ht="15" hidden="false" customHeight="false" outlineLevel="0" collapsed="false">
      <c r="A241" s="17"/>
      <c r="B241" s="40"/>
      <c r="C241" s="41"/>
      <c r="D241" s="17"/>
      <c r="E241" s="17"/>
      <c r="F241" s="17"/>
      <c r="G241" s="17"/>
      <c r="H241" s="17"/>
      <c r="I241" s="42"/>
      <c r="J241" s="17"/>
      <c r="K241" s="17"/>
      <c r="L241" s="17"/>
      <c r="M241" s="17"/>
      <c r="N241" s="40"/>
      <c r="O241" s="41"/>
      <c r="P241" s="43" t="str">
        <f aca="false">IF(OR(B241="",N241=""),"",ROUND(((N241+N(O241))-(B241+N(C241)))*24,1))</f>
        <v/>
      </c>
      <c r="Q241" s="44" t="str">
        <f aca="false">IF(OR(E241="",A241="",COUNTIFS(Scoresheet!$C$2:$C$501,A241,Scoresheet!$U$2:$U$501,1)=0),"",SUMIFS(Scoresheet!$O$2:$O$501,Scoresheet!$C$2:$C$501,A241,Scoresheet!$U$2:$U$501,1))</f>
        <v/>
      </c>
      <c r="R241" s="44" t="str">
        <f aca="false">IF(E241="","",IF(OR(A241="",COUNTIFS(Scoresheet!$C$2:$C$501,A241,Scoresheet!$U$2:$U$501,1)=0),"No scoresheet yet",IF(SUMIFS(Scoresheet!$N$2:$N$501,Scoresheet!$C$2:$C$501,A241,Scoresheet!$U$2:$U$501,1)&lt;6,"Partly scored ("&amp;SUMIFS(Scoresheet!$N$2:$N$501,Scoresheet!$C$2:$C$501,A241,Scoresheet!$U$2:$U$501,1)&amp;"/6)",IF(Q241&gt;=Settings!$S$8,"Hot",IF(Q241&gt;=Settings!$S$9,"Warm","Cold")))))</f>
        <v/>
      </c>
      <c r="S241" s="44" t="str">
        <f aca="false">IF(OR(E241="",A241=""),"",IF(AND(COUNTIFS(Scoresheet!$C$2:$C$501,A241,Scoresheet!$U$2:$U$501,1,Scoresheet!$H$2:$H$501,"No")&gt;0,COUNTIFS(Scoresheet!$C$2:$C$501,A241,Scoresheet!$U$2:$U$501,1,Scoresheet!$J$2:$J$501,"No")&gt;0),"🚩 Budget  ·  🚩 No one on camera",IF(COUNTIFS(Scoresheet!$C$2:$C$501,A241,Scoresheet!$U$2:$U$501,1,Scoresheet!$H$2:$H$501,"No")&gt;0,"🚩 Budget under AED 5k",IF(COUNTIFS(Scoresheet!$C$2:$C$501,A241,Scoresheet!$U$2:$U$501,1,Scoresheet!$J$2:$J$501,"No")&gt;0,"🚩 No one on camera",""))))</f>
        <v/>
      </c>
      <c r="T241" s="17"/>
      <c r="U241" s="17"/>
      <c r="V241" s="40"/>
      <c r="W241" s="17"/>
      <c r="X241" s="45" t="str">
        <f aca="false">IF(OR(E241="",V241="",OR(U241="Contract signed + paid",U241="Closed – No response",U241="Lost"),N(W241)&gt;=Settings!$S$3),"",V241+Settings!$S$2)</f>
        <v/>
      </c>
      <c r="Y241" s="40"/>
      <c r="Z241" s="41"/>
      <c r="AA241" s="17"/>
      <c r="AB241" s="17"/>
      <c r="AC241" s="17"/>
      <c r="AD241" s="46" t="str">
        <f aca="true">IF(OR(E241="",B241=""),"",INT(TODAY()-B241))</f>
        <v/>
      </c>
      <c r="AE241" s="44" t="str">
        <f aca="true">IF(E241="","",IF(OR(COUNTIFS(Clients!$C$2:$C$501,E241,Clients!$S$2:$S$501,"Paid")&gt;0,AND(I241&lt;&gt;"",COUNTIFS(Clients!$E$2:$E$501,I241,Clients!$S$2:$S$501,"Paid")&gt;0)),"⚠ Refunded before – no free video",IF(OR(U241="Contract signed + paid",U241="Closed – No response",U241="Lost"),"",IF(U241="","Set a stage",IF(AND(U241="Proposal sent",SUMIFS(Scoresheet!$N$2:$N$501,Scoresheet!$C$2:$C$501,A241,Scoresheet!$U$2:$U$501,1)&lt;6),"Score this lead – fill the call scoresheet",IF(N(W241)&gt;=Settings!$S$3,"Close – 4 follow-ups sent",IF(X241="",IF(V241="","Make first contact",""),IF(TODAY()&gt;X241,"OVERDUE follow-up",IF(TODAY()=X241,"Follow up today","")))))))))</f>
        <v/>
      </c>
    </row>
    <row r="242" customFormat="false" ht="15" hidden="false" customHeight="false" outlineLevel="0" collapsed="false">
      <c r="A242" s="17"/>
      <c r="B242" s="40"/>
      <c r="C242" s="41"/>
      <c r="D242" s="17"/>
      <c r="E242" s="17"/>
      <c r="F242" s="17"/>
      <c r="G242" s="17"/>
      <c r="H242" s="17"/>
      <c r="I242" s="42"/>
      <c r="J242" s="17"/>
      <c r="K242" s="17"/>
      <c r="L242" s="17"/>
      <c r="M242" s="17"/>
      <c r="N242" s="40"/>
      <c r="O242" s="41"/>
      <c r="P242" s="43" t="str">
        <f aca="false">IF(OR(B242="",N242=""),"",ROUND(((N242+N(O242))-(B242+N(C242)))*24,1))</f>
        <v/>
      </c>
      <c r="Q242" s="44" t="str">
        <f aca="false">IF(OR(E242="",A242="",COUNTIFS(Scoresheet!$C$2:$C$501,A242,Scoresheet!$U$2:$U$501,1)=0),"",SUMIFS(Scoresheet!$O$2:$O$501,Scoresheet!$C$2:$C$501,A242,Scoresheet!$U$2:$U$501,1))</f>
        <v/>
      </c>
      <c r="R242" s="44" t="str">
        <f aca="false">IF(E242="","",IF(OR(A242="",COUNTIFS(Scoresheet!$C$2:$C$501,A242,Scoresheet!$U$2:$U$501,1)=0),"No scoresheet yet",IF(SUMIFS(Scoresheet!$N$2:$N$501,Scoresheet!$C$2:$C$501,A242,Scoresheet!$U$2:$U$501,1)&lt;6,"Partly scored ("&amp;SUMIFS(Scoresheet!$N$2:$N$501,Scoresheet!$C$2:$C$501,A242,Scoresheet!$U$2:$U$501,1)&amp;"/6)",IF(Q242&gt;=Settings!$S$8,"Hot",IF(Q242&gt;=Settings!$S$9,"Warm","Cold")))))</f>
        <v/>
      </c>
      <c r="S242" s="44" t="str">
        <f aca="false">IF(OR(E242="",A242=""),"",IF(AND(COUNTIFS(Scoresheet!$C$2:$C$501,A242,Scoresheet!$U$2:$U$501,1,Scoresheet!$H$2:$H$501,"No")&gt;0,COUNTIFS(Scoresheet!$C$2:$C$501,A242,Scoresheet!$U$2:$U$501,1,Scoresheet!$J$2:$J$501,"No")&gt;0),"🚩 Budget  ·  🚩 No one on camera",IF(COUNTIFS(Scoresheet!$C$2:$C$501,A242,Scoresheet!$U$2:$U$501,1,Scoresheet!$H$2:$H$501,"No")&gt;0,"🚩 Budget under AED 5k",IF(COUNTIFS(Scoresheet!$C$2:$C$501,A242,Scoresheet!$U$2:$U$501,1,Scoresheet!$J$2:$J$501,"No")&gt;0,"🚩 No one on camera",""))))</f>
        <v/>
      </c>
      <c r="T242" s="17"/>
      <c r="U242" s="17"/>
      <c r="V242" s="40"/>
      <c r="W242" s="17"/>
      <c r="X242" s="45" t="str">
        <f aca="false">IF(OR(E242="",V242="",OR(U242="Contract signed + paid",U242="Closed – No response",U242="Lost"),N(W242)&gt;=Settings!$S$3),"",V242+Settings!$S$2)</f>
        <v/>
      </c>
      <c r="Y242" s="40"/>
      <c r="Z242" s="41"/>
      <c r="AA242" s="17"/>
      <c r="AB242" s="17"/>
      <c r="AC242" s="17"/>
      <c r="AD242" s="46" t="str">
        <f aca="true">IF(OR(E242="",B242=""),"",INT(TODAY()-B242))</f>
        <v/>
      </c>
      <c r="AE242" s="44" t="str">
        <f aca="true">IF(E242="","",IF(OR(COUNTIFS(Clients!$C$2:$C$501,E242,Clients!$S$2:$S$501,"Paid")&gt;0,AND(I242&lt;&gt;"",COUNTIFS(Clients!$E$2:$E$501,I242,Clients!$S$2:$S$501,"Paid")&gt;0)),"⚠ Refunded before – no free video",IF(OR(U242="Contract signed + paid",U242="Closed – No response",U242="Lost"),"",IF(U242="","Set a stage",IF(AND(U242="Proposal sent",SUMIFS(Scoresheet!$N$2:$N$501,Scoresheet!$C$2:$C$501,A242,Scoresheet!$U$2:$U$501,1)&lt;6),"Score this lead – fill the call scoresheet",IF(N(W242)&gt;=Settings!$S$3,"Close – 4 follow-ups sent",IF(X242="",IF(V242="","Make first contact",""),IF(TODAY()&gt;X242,"OVERDUE follow-up",IF(TODAY()=X242,"Follow up today","")))))))))</f>
        <v/>
      </c>
    </row>
    <row r="243" customFormat="false" ht="15" hidden="false" customHeight="false" outlineLevel="0" collapsed="false">
      <c r="A243" s="17"/>
      <c r="B243" s="40"/>
      <c r="C243" s="41"/>
      <c r="D243" s="17"/>
      <c r="E243" s="17"/>
      <c r="F243" s="17"/>
      <c r="G243" s="17"/>
      <c r="H243" s="17"/>
      <c r="I243" s="42"/>
      <c r="J243" s="17"/>
      <c r="K243" s="17"/>
      <c r="L243" s="17"/>
      <c r="M243" s="17"/>
      <c r="N243" s="40"/>
      <c r="O243" s="41"/>
      <c r="P243" s="43" t="str">
        <f aca="false">IF(OR(B243="",N243=""),"",ROUND(((N243+N(O243))-(B243+N(C243)))*24,1))</f>
        <v/>
      </c>
      <c r="Q243" s="44" t="str">
        <f aca="false">IF(OR(E243="",A243="",COUNTIFS(Scoresheet!$C$2:$C$501,A243,Scoresheet!$U$2:$U$501,1)=0),"",SUMIFS(Scoresheet!$O$2:$O$501,Scoresheet!$C$2:$C$501,A243,Scoresheet!$U$2:$U$501,1))</f>
        <v/>
      </c>
      <c r="R243" s="44" t="str">
        <f aca="false">IF(E243="","",IF(OR(A243="",COUNTIFS(Scoresheet!$C$2:$C$501,A243,Scoresheet!$U$2:$U$501,1)=0),"No scoresheet yet",IF(SUMIFS(Scoresheet!$N$2:$N$501,Scoresheet!$C$2:$C$501,A243,Scoresheet!$U$2:$U$501,1)&lt;6,"Partly scored ("&amp;SUMIFS(Scoresheet!$N$2:$N$501,Scoresheet!$C$2:$C$501,A243,Scoresheet!$U$2:$U$501,1)&amp;"/6)",IF(Q243&gt;=Settings!$S$8,"Hot",IF(Q243&gt;=Settings!$S$9,"Warm","Cold")))))</f>
        <v/>
      </c>
      <c r="S243" s="44" t="str">
        <f aca="false">IF(OR(E243="",A243=""),"",IF(AND(COUNTIFS(Scoresheet!$C$2:$C$501,A243,Scoresheet!$U$2:$U$501,1,Scoresheet!$H$2:$H$501,"No")&gt;0,COUNTIFS(Scoresheet!$C$2:$C$501,A243,Scoresheet!$U$2:$U$501,1,Scoresheet!$J$2:$J$501,"No")&gt;0),"🚩 Budget  ·  🚩 No one on camera",IF(COUNTIFS(Scoresheet!$C$2:$C$501,A243,Scoresheet!$U$2:$U$501,1,Scoresheet!$H$2:$H$501,"No")&gt;0,"🚩 Budget under AED 5k",IF(COUNTIFS(Scoresheet!$C$2:$C$501,A243,Scoresheet!$U$2:$U$501,1,Scoresheet!$J$2:$J$501,"No")&gt;0,"🚩 No one on camera",""))))</f>
        <v/>
      </c>
      <c r="T243" s="17"/>
      <c r="U243" s="17"/>
      <c r="V243" s="40"/>
      <c r="W243" s="17"/>
      <c r="X243" s="45" t="str">
        <f aca="false">IF(OR(E243="",V243="",OR(U243="Contract signed + paid",U243="Closed – No response",U243="Lost"),N(W243)&gt;=Settings!$S$3),"",V243+Settings!$S$2)</f>
        <v/>
      </c>
      <c r="Y243" s="40"/>
      <c r="Z243" s="41"/>
      <c r="AA243" s="17"/>
      <c r="AB243" s="17"/>
      <c r="AC243" s="17"/>
      <c r="AD243" s="46" t="str">
        <f aca="true">IF(OR(E243="",B243=""),"",INT(TODAY()-B243))</f>
        <v/>
      </c>
      <c r="AE243" s="44" t="str">
        <f aca="true">IF(E243="","",IF(OR(COUNTIFS(Clients!$C$2:$C$501,E243,Clients!$S$2:$S$501,"Paid")&gt;0,AND(I243&lt;&gt;"",COUNTIFS(Clients!$E$2:$E$501,I243,Clients!$S$2:$S$501,"Paid")&gt;0)),"⚠ Refunded before – no free video",IF(OR(U243="Contract signed + paid",U243="Closed – No response",U243="Lost"),"",IF(U243="","Set a stage",IF(AND(U243="Proposal sent",SUMIFS(Scoresheet!$N$2:$N$501,Scoresheet!$C$2:$C$501,A243,Scoresheet!$U$2:$U$501,1)&lt;6),"Score this lead – fill the call scoresheet",IF(N(W243)&gt;=Settings!$S$3,"Close – 4 follow-ups sent",IF(X243="",IF(V243="","Make first contact",""),IF(TODAY()&gt;X243,"OVERDUE follow-up",IF(TODAY()=X243,"Follow up today","")))))))))</f>
        <v/>
      </c>
    </row>
    <row r="244" customFormat="false" ht="15" hidden="false" customHeight="false" outlineLevel="0" collapsed="false">
      <c r="A244" s="17"/>
      <c r="B244" s="40"/>
      <c r="C244" s="41"/>
      <c r="D244" s="17"/>
      <c r="E244" s="17"/>
      <c r="F244" s="17"/>
      <c r="G244" s="17"/>
      <c r="H244" s="17"/>
      <c r="I244" s="42"/>
      <c r="J244" s="17"/>
      <c r="K244" s="17"/>
      <c r="L244" s="17"/>
      <c r="M244" s="17"/>
      <c r="N244" s="40"/>
      <c r="O244" s="41"/>
      <c r="P244" s="43" t="str">
        <f aca="false">IF(OR(B244="",N244=""),"",ROUND(((N244+N(O244))-(B244+N(C244)))*24,1))</f>
        <v/>
      </c>
      <c r="Q244" s="44" t="str">
        <f aca="false">IF(OR(E244="",A244="",COUNTIFS(Scoresheet!$C$2:$C$501,A244,Scoresheet!$U$2:$U$501,1)=0),"",SUMIFS(Scoresheet!$O$2:$O$501,Scoresheet!$C$2:$C$501,A244,Scoresheet!$U$2:$U$501,1))</f>
        <v/>
      </c>
      <c r="R244" s="44" t="str">
        <f aca="false">IF(E244="","",IF(OR(A244="",COUNTIFS(Scoresheet!$C$2:$C$501,A244,Scoresheet!$U$2:$U$501,1)=0),"No scoresheet yet",IF(SUMIFS(Scoresheet!$N$2:$N$501,Scoresheet!$C$2:$C$501,A244,Scoresheet!$U$2:$U$501,1)&lt;6,"Partly scored ("&amp;SUMIFS(Scoresheet!$N$2:$N$501,Scoresheet!$C$2:$C$501,A244,Scoresheet!$U$2:$U$501,1)&amp;"/6)",IF(Q244&gt;=Settings!$S$8,"Hot",IF(Q244&gt;=Settings!$S$9,"Warm","Cold")))))</f>
        <v/>
      </c>
      <c r="S244" s="44" t="str">
        <f aca="false">IF(OR(E244="",A244=""),"",IF(AND(COUNTIFS(Scoresheet!$C$2:$C$501,A244,Scoresheet!$U$2:$U$501,1,Scoresheet!$H$2:$H$501,"No")&gt;0,COUNTIFS(Scoresheet!$C$2:$C$501,A244,Scoresheet!$U$2:$U$501,1,Scoresheet!$J$2:$J$501,"No")&gt;0),"🚩 Budget  ·  🚩 No one on camera",IF(COUNTIFS(Scoresheet!$C$2:$C$501,A244,Scoresheet!$U$2:$U$501,1,Scoresheet!$H$2:$H$501,"No")&gt;0,"🚩 Budget under AED 5k",IF(COUNTIFS(Scoresheet!$C$2:$C$501,A244,Scoresheet!$U$2:$U$501,1,Scoresheet!$J$2:$J$501,"No")&gt;0,"🚩 No one on camera",""))))</f>
        <v/>
      </c>
      <c r="T244" s="17"/>
      <c r="U244" s="17"/>
      <c r="V244" s="40"/>
      <c r="W244" s="17"/>
      <c r="X244" s="45" t="str">
        <f aca="false">IF(OR(E244="",V244="",OR(U244="Contract signed + paid",U244="Closed – No response",U244="Lost"),N(W244)&gt;=Settings!$S$3),"",V244+Settings!$S$2)</f>
        <v/>
      </c>
      <c r="Y244" s="40"/>
      <c r="Z244" s="41"/>
      <c r="AA244" s="17"/>
      <c r="AB244" s="17"/>
      <c r="AC244" s="17"/>
      <c r="AD244" s="46" t="str">
        <f aca="true">IF(OR(E244="",B244=""),"",INT(TODAY()-B244))</f>
        <v/>
      </c>
      <c r="AE244" s="44" t="str">
        <f aca="true">IF(E244="","",IF(OR(COUNTIFS(Clients!$C$2:$C$501,E244,Clients!$S$2:$S$501,"Paid")&gt;0,AND(I244&lt;&gt;"",COUNTIFS(Clients!$E$2:$E$501,I244,Clients!$S$2:$S$501,"Paid")&gt;0)),"⚠ Refunded before – no free video",IF(OR(U244="Contract signed + paid",U244="Closed – No response",U244="Lost"),"",IF(U244="","Set a stage",IF(AND(U244="Proposal sent",SUMIFS(Scoresheet!$N$2:$N$501,Scoresheet!$C$2:$C$501,A244,Scoresheet!$U$2:$U$501,1)&lt;6),"Score this lead – fill the call scoresheet",IF(N(W244)&gt;=Settings!$S$3,"Close – 4 follow-ups sent",IF(X244="",IF(V244="","Make first contact",""),IF(TODAY()&gt;X244,"OVERDUE follow-up",IF(TODAY()=X244,"Follow up today","")))))))))</f>
        <v/>
      </c>
    </row>
    <row r="245" customFormat="false" ht="15" hidden="false" customHeight="false" outlineLevel="0" collapsed="false">
      <c r="A245" s="17"/>
      <c r="B245" s="40"/>
      <c r="C245" s="41"/>
      <c r="D245" s="17"/>
      <c r="E245" s="17"/>
      <c r="F245" s="17"/>
      <c r="G245" s="17"/>
      <c r="H245" s="17"/>
      <c r="I245" s="42"/>
      <c r="J245" s="17"/>
      <c r="K245" s="17"/>
      <c r="L245" s="17"/>
      <c r="M245" s="17"/>
      <c r="N245" s="40"/>
      <c r="O245" s="41"/>
      <c r="P245" s="43" t="str">
        <f aca="false">IF(OR(B245="",N245=""),"",ROUND(((N245+N(O245))-(B245+N(C245)))*24,1))</f>
        <v/>
      </c>
      <c r="Q245" s="44" t="str">
        <f aca="false">IF(OR(E245="",A245="",COUNTIFS(Scoresheet!$C$2:$C$501,A245,Scoresheet!$U$2:$U$501,1)=0),"",SUMIFS(Scoresheet!$O$2:$O$501,Scoresheet!$C$2:$C$501,A245,Scoresheet!$U$2:$U$501,1))</f>
        <v/>
      </c>
      <c r="R245" s="44" t="str">
        <f aca="false">IF(E245="","",IF(OR(A245="",COUNTIFS(Scoresheet!$C$2:$C$501,A245,Scoresheet!$U$2:$U$501,1)=0),"No scoresheet yet",IF(SUMIFS(Scoresheet!$N$2:$N$501,Scoresheet!$C$2:$C$501,A245,Scoresheet!$U$2:$U$501,1)&lt;6,"Partly scored ("&amp;SUMIFS(Scoresheet!$N$2:$N$501,Scoresheet!$C$2:$C$501,A245,Scoresheet!$U$2:$U$501,1)&amp;"/6)",IF(Q245&gt;=Settings!$S$8,"Hot",IF(Q245&gt;=Settings!$S$9,"Warm","Cold")))))</f>
        <v/>
      </c>
      <c r="S245" s="44" t="str">
        <f aca="false">IF(OR(E245="",A245=""),"",IF(AND(COUNTIFS(Scoresheet!$C$2:$C$501,A245,Scoresheet!$U$2:$U$501,1,Scoresheet!$H$2:$H$501,"No")&gt;0,COUNTIFS(Scoresheet!$C$2:$C$501,A245,Scoresheet!$U$2:$U$501,1,Scoresheet!$J$2:$J$501,"No")&gt;0),"🚩 Budget  ·  🚩 No one on camera",IF(COUNTIFS(Scoresheet!$C$2:$C$501,A245,Scoresheet!$U$2:$U$501,1,Scoresheet!$H$2:$H$501,"No")&gt;0,"🚩 Budget under AED 5k",IF(COUNTIFS(Scoresheet!$C$2:$C$501,A245,Scoresheet!$U$2:$U$501,1,Scoresheet!$J$2:$J$501,"No")&gt;0,"🚩 No one on camera",""))))</f>
        <v/>
      </c>
      <c r="T245" s="17"/>
      <c r="U245" s="17"/>
      <c r="V245" s="40"/>
      <c r="W245" s="17"/>
      <c r="X245" s="45" t="str">
        <f aca="false">IF(OR(E245="",V245="",OR(U245="Contract signed + paid",U245="Closed – No response",U245="Lost"),N(W245)&gt;=Settings!$S$3),"",V245+Settings!$S$2)</f>
        <v/>
      </c>
      <c r="Y245" s="40"/>
      <c r="Z245" s="41"/>
      <c r="AA245" s="17"/>
      <c r="AB245" s="17"/>
      <c r="AC245" s="17"/>
      <c r="AD245" s="46" t="str">
        <f aca="true">IF(OR(E245="",B245=""),"",INT(TODAY()-B245))</f>
        <v/>
      </c>
      <c r="AE245" s="44" t="str">
        <f aca="true">IF(E245="","",IF(OR(COUNTIFS(Clients!$C$2:$C$501,E245,Clients!$S$2:$S$501,"Paid")&gt;0,AND(I245&lt;&gt;"",COUNTIFS(Clients!$E$2:$E$501,I245,Clients!$S$2:$S$501,"Paid")&gt;0)),"⚠ Refunded before – no free video",IF(OR(U245="Contract signed + paid",U245="Closed – No response",U245="Lost"),"",IF(U245="","Set a stage",IF(AND(U245="Proposal sent",SUMIFS(Scoresheet!$N$2:$N$501,Scoresheet!$C$2:$C$501,A245,Scoresheet!$U$2:$U$501,1)&lt;6),"Score this lead – fill the call scoresheet",IF(N(W245)&gt;=Settings!$S$3,"Close – 4 follow-ups sent",IF(X245="",IF(V245="","Make first contact",""),IF(TODAY()&gt;X245,"OVERDUE follow-up",IF(TODAY()=X245,"Follow up today","")))))))))</f>
        <v/>
      </c>
    </row>
    <row r="246" customFormat="false" ht="15" hidden="false" customHeight="false" outlineLevel="0" collapsed="false">
      <c r="A246" s="17"/>
      <c r="B246" s="40"/>
      <c r="C246" s="41"/>
      <c r="D246" s="17"/>
      <c r="E246" s="17"/>
      <c r="F246" s="17"/>
      <c r="G246" s="17"/>
      <c r="H246" s="17"/>
      <c r="I246" s="42"/>
      <c r="J246" s="17"/>
      <c r="K246" s="17"/>
      <c r="L246" s="17"/>
      <c r="M246" s="17"/>
      <c r="N246" s="40"/>
      <c r="O246" s="41"/>
      <c r="P246" s="43" t="str">
        <f aca="false">IF(OR(B246="",N246=""),"",ROUND(((N246+N(O246))-(B246+N(C246)))*24,1))</f>
        <v/>
      </c>
      <c r="Q246" s="44" t="str">
        <f aca="false">IF(OR(E246="",A246="",COUNTIFS(Scoresheet!$C$2:$C$501,A246,Scoresheet!$U$2:$U$501,1)=0),"",SUMIFS(Scoresheet!$O$2:$O$501,Scoresheet!$C$2:$C$501,A246,Scoresheet!$U$2:$U$501,1))</f>
        <v/>
      </c>
      <c r="R246" s="44" t="str">
        <f aca="false">IF(E246="","",IF(OR(A246="",COUNTIFS(Scoresheet!$C$2:$C$501,A246,Scoresheet!$U$2:$U$501,1)=0),"No scoresheet yet",IF(SUMIFS(Scoresheet!$N$2:$N$501,Scoresheet!$C$2:$C$501,A246,Scoresheet!$U$2:$U$501,1)&lt;6,"Partly scored ("&amp;SUMIFS(Scoresheet!$N$2:$N$501,Scoresheet!$C$2:$C$501,A246,Scoresheet!$U$2:$U$501,1)&amp;"/6)",IF(Q246&gt;=Settings!$S$8,"Hot",IF(Q246&gt;=Settings!$S$9,"Warm","Cold")))))</f>
        <v/>
      </c>
      <c r="S246" s="44" t="str">
        <f aca="false">IF(OR(E246="",A246=""),"",IF(AND(COUNTIFS(Scoresheet!$C$2:$C$501,A246,Scoresheet!$U$2:$U$501,1,Scoresheet!$H$2:$H$501,"No")&gt;0,COUNTIFS(Scoresheet!$C$2:$C$501,A246,Scoresheet!$U$2:$U$501,1,Scoresheet!$J$2:$J$501,"No")&gt;0),"🚩 Budget  ·  🚩 No one on camera",IF(COUNTIFS(Scoresheet!$C$2:$C$501,A246,Scoresheet!$U$2:$U$501,1,Scoresheet!$H$2:$H$501,"No")&gt;0,"🚩 Budget under AED 5k",IF(COUNTIFS(Scoresheet!$C$2:$C$501,A246,Scoresheet!$U$2:$U$501,1,Scoresheet!$J$2:$J$501,"No")&gt;0,"🚩 No one on camera",""))))</f>
        <v/>
      </c>
      <c r="T246" s="17"/>
      <c r="U246" s="17"/>
      <c r="V246" s="40"/>
      <c r="W246" s="17"/>
      <c r="X246" s="45" t="str">
        <f aca="false">IF(OR(E246="",V246="",OR(U246="Contract signed + paid",U246="Closed – No response",U246="Lost"),N(W246)&gt;=Settings!$S$3),"",V246+Settings!$S$2)</f>
        <v/>
      </c>
      <c r="Y246" s="40"/>
      <c r="Z246" s="41"/>
      <c r="AA246" s="17"/>
      <c r="AB246" s="17"/>
      <c r="AC246" s="17"/>
      <c r="AD246" s="46" t="str">
        <f aca="true">IF(OR(E246="",B246=""),"",INT(TODAY()-B246))</f>
        <v/>
      </c>
      <c r="AE246" s="44" t="str">
        <f aca="true">IF(E246="","",IF(OR(COUNTIFS(Clients!$C$2:$C$501,E246,Clients!$S$2:$S$501,"Paid")&gt;0,AND(I246&lt;&gt;"",COUNTIFS(Clients!$E$2:$E$501,I246,Clients!$S$2:$S$501,"Paid")&gt;0)),"⚠ Refunded before – no free video",IF(OR(U246="Contract signed + paid",U246="Closed – No response",U246="Lost"),"",IF(U246="","Set a stage",IF(AND(U246="Proposal sent",SUMIFS(Scoresheet!$N$2:$N$501,Scoresheet!$C$2:$C$501,A246,Scoresheet!$U$2:$U$501,1)&lt;6),"Score this lead – fill the call scoresheet",IF(N(W246)&gt;=Settings!$S$3,"Close – 4 follow-ups sent",IF(X246="",IF(V246="","Make first contact",""),IF(TODAY()&gt;X246,"OVERDUE follow-up",IF(TODAY()=X246,"Follow up today","")))))))))</f>
        <v/>
      </c>
    </row>
    <row r="247" customFormat="false" ht="15" hidden="false" customHeight="false" outlineLevel="0" collapsed="false">
      <c r="A247" s="17"/>
      <c r="B247" s="40"/>
      <c r="C247" s="41"/>
      <c r="D247" s="17"/>
      <c r="E247" s="17"/>
      <c r="F247" s="17"/>
      <c r="G247" s="17"/>
      <c r="H247" s="17"/>
      <c r="I247" s="42"/>
      <c r="J247" s="17"/>
      <c r="K247" s="17"/>
      <c r="L247" s="17"/>
      <c r="M247" s="17"/>
      <c r="N247" s="40"/>
      <c r="O247" s="41"/>
      <c r="P247" s="43" t="str">
        <f aca="false">IF(OR(B247="",N247=""),"",ROUND(((N247+N(O247))-(B247+N(C247)))*24,1))</f>
        <v/>
      </c>
      <c r="Q247" s="44" t="str">
        <f aca="false">IF(OR(E247="",A247="",COUNTIFS(Scoresheet!$C$2:$C$501,A247,Scoresheet!$U$2:$U$501,1)=0),"",SUMIFS(Scoresheet!$O$2:$O$501,Scoresheet!$C$2:$C$501,A247,Scoresheet!$U$2:$U$501,1))</f>
        <v/>
      </c>
      <c r="R247" s="44" t="str">
        <f aca="false">IF(E247="","",IF(OR(A247="",COUNTIFS(Scoresheet!$C$2:$C$501,A247,Scoresheet!$U$2:$U$501,1)=0),"No scoresheet yet",IF(SUMIFS(Scoresheet!$N$2:$N$501,Scoresheet!$C$2:$C$501,A247,Scoresheet!$U$2:$U$501,1)&lt;6,"Partly scored ("&amp;SUMIFS(Scoresheet!$N$2:$N$501,Scoresheet!$C$2:$C$501,A247,Scoresheet!$U$2:$U$501,1)&amp;"/6)",IF(Q247&gt;=Settings!$S$8,"Hot",IF(Q247&gt;=Settings!$S$9,"Warm","Cold")))))</f>
        <v/>
      </c>
      <c r="S247" s="44" t="str">
        <f aca="false">IF(OR(E247="",A247=""),"",IF(AND(COUNTIFS(Scoresheet!$C$2:$C$501,A247,Scoresheet!$U$2:$U$501,1,Scoresheet!$H$2:$H$501,"No")&gt;0,COUNTIFS(Scoresheet!$C$2:$C$501,A247,Scoresheet!$U$2:$U$501,1,Scoresheet!$J$2:$J$501,"No")&gt;0),"🚩 Budget  ·  🚩 No one on camera",IF(COUNTIFS(Scoresheet!$C$2:$C$501,A247,Scoresheet!$U$2:$U$501,1,Scoresheet!$H$2:$H$501,"No")&gt;0,"🚩 Budget under AED 5k",IF(COUNTIFS(Scoresheet!$C$2:$C$501,A247,Scoresheet!$U$2:$U$501,1,Scoresheet!$J$2:$J$501,"No")&gt;0,"🚩 No one on camera",""))))</f>
        <v/>
      </c>
      <c r="T247" s="17"/>
      <c r="U247" s="17"/>
      <c r="V247" s="40"/>
      <c r="W247" s="17"/>
      <c r="X247" s="45" t="str">
        <f aca="false">IF(OR(E247="",V247="",OR(U247="Contract signed + paid",U247="Closed – No response",U247="Lost"),N(W247)&gt;=Settings!$S$3),"",V247+Settings!$S$2)</f>
        <v/>
      </c>
      <c r="Y247" s="40"/>
      <c r="Z247" s="41"/>
      <c r="AA247" s="17"/>
      <c r="AB247" s="17"/>
      <c r="AC247" s="17"/>
      <c r="AD247" s="46" t="str">
        <f aca="true">IF(OR(E247="",B247=""),"",INT(TODAY()-B247))</f>
        <v/>
      </c>
      <c r="AE247" s="44" t="str">
        <f aca="true">IF(E247="","",IF(OR(COUNTIFS(Clients!$C$2:$C$501,E247,Clients!$S$2:$S$501,"Paid")&gt;0,AND(I247&lt;&gt;"",COUNTIFS(Clients!$E$2:$E$501,I247,Clients!$S$2:$S$501,"Paid")&gt;0)),"⚠ Refunded before – no free video",IF(OR(U247="Contract signed + paid",U247="Closed – No response",U247="Lost"),"",IF(U247="","Set a stage",IF(AND(U247="Proposal sent",SUMIFS(Scoresheet!$N$2:$N$501,Scoresheet!$C$2:$C$501,A247,Scoresheet!$U$2:$U$501,1)&lt;6),"Score this lead – fill the call scoresheet",IF(N(W247)&gt;=Settings!$S$3,"Close – 4 follow-ups sent",IF(X247="",IF(V247="","Make first contact",""),IF(TODAY()&gt;X247,"OVERDUE follow-up",IF(TODAY()=X247,"Follow up today","")))))))))</f>
        <v/>
      </c>
    </row>
    <row r="248" customFormat="false" ht="15" hidden="false" customHeight="false" outlineLevel="0" collapsed="false">
      <c r="A248" s="17"/>
      <c r="B248" s="40"/>
      <c r="C248" s="41"/>
      <c r="D248" s="17"/>
      <c r="E248" s="17"/>
      <c r="F248" s="17"/>
      <c r="G248" s="17"/>
      <c r="H248" s="17"/>
      <c r="I248" s="42"/>
      <c r="J248" s="17"/>
      <c r="K248" s="17"/>
      <c r="L248" s="17"/>
      <c r="M248" s="17"/>
      <c r="N248" s="40"/>
      <c r="O248" s="41"/>
      <c r="P248" s="43" t="str">
        <f aca="false">IF(OR(B248="",N248=""),"",ROUND(((N248+N(O248))-(B248+N(C248)))*24,1))</f>
        <v/>
      </c>
      <c r="Q248" s="44" t="str">
        <f aca="false">IF(OR(E248="",A248="",COUNTIFS(Scoresheet!$C$2:$C$501,A248,Scoresheet!$U$2:$U$501,1)=0),"",SUMIFS(Scoresheet!$O$2:$O$501,Scoresheet!$C$2:$C$501,A248,Scoresheet!$U$2:$U$501,1))</f>
        <v/>
      </c>
      <c r="R248" s="44" t="str">
        <f aca="false">IF(E248="","",IF(OR(A248="",COUNTIFS(Scoresheet!$C$2:$C$501,A248,Scoresheet!$U$2:$U$501,1)=0),"No scoresheet yet",IF(SUMIFS(Scoresheet!$N$2:$N$501,Scoresheet!$C$2:$C$501,A248,Scoresheet!$U$2:$U$501,1)&lt;6,"Partly scored ("&amp;SUMIFS(Scoresheet!$N$2:$N$501,Scoresheet!$C$2:$C$501,A248,Scoresheet!$U$2:$U$501,1)&amp;"/6)",IF(Q248&gt;=Settings!$S$8,"Hot",IF(Q248&gt;=Settings!$S$9,"Warm","Cold")))))</f>
        <v/>
      </c>
      <c r="S248" s="44" t="str">
        <f aca="false">IF(OR(E248="",A248=""),"",IF(AND(COUNTIFS(Scoresheet!$C$2:$C$501,A248,Scoresheet!$U$2:$U$501,1,Scoresheet!$H$2:$H$501,"No")&gt;0,COUNTIFS(Scoresheet!$C$2:$C$501,A248,Scoresheet!$U$2:$U$501,1,Scoresheet!$J$2:$J$501,"No")&gt;0),"🚩 Budget  ·  🚩 No one on camera",IF(COUNTIFS(Scoresheet!$C$2:$C$501,A248,Scoresheet!$U$2:$U$501,1,Scoresheet!$H$2:$H$501,"No")&gt;0,"🚩 Budget under AED 5k",IF(COUNTIFS(Scoresheet!$C$2:$C$501,A248,Scoresheet!$U$2:$U$501,1,Scoresheet!$J$2:$J$501,"No")&gt;0,"🚩 No one on camera",""))))</f>
        <v/>
      </c>
      <c r="T248" s="17"/>
      <c r="U248" s="17"/>
      <c r="V248" s="40"/>
      <c r="W248" s="17"/>
      <c r="X248" s="45" t="str">
        <f aca="false">IF(OR(E248="",V248="",OR(U248="Contract signed + paid",U248="Closed – No response",U248="Lost"),N(W248)&gt;=Settings!$S$3),"",V248+Settings!$S$2)</f>
        <v/>
      </c>
      <c r="Y248" s="40"/>
      <c r="Z248" s="41"/>
      <c r="AA248" s="17"/>
      <c r="AB248" s="17"/>
      <c r="AC248" s="17"/>
      <c r="AD248" s="46" t="str">
        <f aca="true">IF(OR(E248="",B248=""),"",INT(TODAY()-B248))</f>
        <v/>
      </c>
      <c r="AE248" s="44" t="str">
        <f aca="true">IF(E248="","",IF(OR(COUNTIFS(Clients!$C$2:$C$501,E248,Clients!$S$2:$S$501,"Paid")&gt;0,AND(I248&lt;&gt;"",COUNTIFS(Clients!$E$2:$E$501,I248,Clients!$S$2:$S$501,"Paid")&gt;0)),"⚠ Refunded before – no free video",IF(OR(U248="Contract signed + paid",U248="Closed – No response",U248="Lost"),"",IF(U248="","Set a stage",IF(AND(U248="Proposal sent",SUMIFS(Scoresheet!$N$2:$N$501,Scoresheet!$C$2:$C$501,A248,Scoresheet!$U$2:$U$501,1)&lt;6),"Score this lead – fill the call scoresheet",IF(N(W248)&gt;=Settings!$S$3,"Close – 4 follow-ups sent",IF(X248="",IF(V248="","Make first contact",""),IF(TODAY()&gt;X248,"OVERDUE follow-up",IF(TODAY()=X248,"Follow up today","")))))))))</f>
        <v/>
      </c>
    </row>
    <row r="249" customFormat="false" ht="15" hidden="false" customHeight="false" outlineLevel="0" collapsed="false">
      <c r="A249" s="17"/>
      <c r="B249" s="40"/>
      <c r="C249" s="41"/>
      <c r="D249" s="17"/>
      <c r="E249" s="17"/>
      <c r="F249" s="17"/>
      <c r="G249" s="17"/>
      <c r="H249" s="17"/>
      <c r="I249" s="42"/>
      <c r="J249" s="17"/>
      <c r="K249" s="17"/>
      <c r="L249" s="17"/>
      <c r="M249" s="17"/>
      <c r="N249" s="40"/>
      <c r="O249" s="41"/>
      <c r="P249" s="43" t="str">
        <f aca="false">IF(OR(B249="",N249=""),"",ROUND(((N249+N(O249))-(B249+N(C249)))*24,1))</f>
        <v/>
      </c>
      <c r="Q249" s="44" t="str">
        <f aca="false">IF(OR(E249="",A249="",COUNTIFS(Scoresheet!$C$2:$C$501,A249,Scoresheet!$U$2:$U$501,1)=0),"",SUMIFS(Scoresheet!$O$2:$O$501,Scoresheet!$C$2:$C$501,A249,Scoresheet!$U$2:$U$501,1))</f>
        <v/>
      </c>
      <c r="R249" s="44" t="str">
        <f aca="false">IF(E249="","",IF(OR(A249="",COUNTIFS(Scoresheet!$C$2:$C$501,A249,Scoresheet!$U$2:$U$501,1)=0),"No scoresheet yet",IF(SUMIFS(Scoresheet!$N$2:$N$501,Scoresheet!$C$2:$C$501,A249,Scoresheet!$U$2:$U$501,1)&lt;6,"Partly scored ("&amp;SUMIFS(Scoresheet!$N$2:$N$501,Scoresheet!$C$2:$C$501,A249,Scoresheet!$U$2:$U$501,1)&amp;"/6)",IF(Q249&gt;=Settings!$S$8,"Hot",IF(Q249&gt;=Settings!$S$9,"Warm","Cold")))))</f>
        <v/>
      </c>
      <c r="S249" s="44" t="str">
        <f aca="false">IF(OR(E249="",A249=""),"",IF(AND(COUNTIFS(Scoresheet!$C$2:$C$501,A249,Scoresheet!$U$2:$U$501,1,Scoresheet!$H$2:$H$501,"No")&gt;0,COUNTIFS(Scoresheet!$C$2:$C$501,A249,Scoresheet!$U$2:$U$501,1,Scoresheet!$J$2:$J$501,"No")&gt;0),"🚩 Budget  ·  🚩 No one on camera",IF(COUNTIFS(Scoresheet!$C$2:$C$501,A249,Scoresheet!$U$2:$U$501,1,Scoresheet!$H$2:$H$501,"No")&gt;0,"🚩 Budget under AED 5k",IF(COUNTIFS(Scoresheet!$C$2:$C$501,A249,Scoresheet!$U$2:$U$501,1,Scoresheet!$J$2:$J$501,"No")&gt;0,"🚩 No one on camera",""))))</f>
        <v/>
      </c>
      <c r="T249" s="17"/>
      <c r="U249" s="17"/>
      <c r="V249" s="40"/>
      <c r="W249" s="17"/>
      <c r="X249" s="45" t="str">
        <f aca="false">IF(OR(E249="",V249="",OR(U249="Contract signed + paid",U249="Closed – No response",U249="Lost"),N(W249)&gt;=Settings!$S$3),"",V249+Settings!$S$2)</f>
        <v/>
      </c>
      <c r="Y249" s="40"/>
      <c r="Z249" s="41"/>
      <c r="AA249" s="17"/>
      <c r="AB249" s="17"/>
      <c r="AC249" s="17"/>
      <c r="AD249" s="46" t="str">
        <f aca="true">IF(OR(E249="",B249=""),"",INT(TODAY()-B249))</f>
        <v/>
      </c>
      <c r="AE249" s="44" t="str">
        <f aca="true">IF(E249="","",IF(OR(COUNTIFS(Clients!$C$2:$C$501,E249,Clients!$S$2:$S$501,"Paid")&gt;0,AND(I249&lt;&gt;"",COUNTIFS(Clients!$E$2:$E$501,I249,Clients!$S$2:$S$501,"Paid")&gt;0)),"⚠ Refunded before – no free video",IF(OR(U249="Contract signed + paid",U249="Closed – No response",U249="Lost"),"",IF(U249="","Set a stage",IF(AND(U249="Proposal sent",SUMIFS(Scoresheet!$N$2:$N$501,Scoresheet!$C$2:$C$501,A249,Scoresheet!$U$2:$U$501,1)&lt;6),"Score this lead – fill the call scoresheet",IF(N(W249)&gt;=Settings!$S$3,"Close – 4 follow-ups sent",IF(X249="",IF(V249="","Make first contact",""),IF(TODAY()&gt;X249,"OVERDUE follow-up",IF(TODAY()=X249,"Follow up today","")))))))))</f>
        <v/>
      </c>
    </row>
    <row r="250" customFormat="false" ht="15" hidden="false" customHeight="false" outlineLevel="0" collapsed="false">
      <c r="A250" s="17"/>
      <c r="B250" s="40"/>
      <c r="C250" s="41"/>
      <c r="D250" s="17"/>
      <c r="E250" s="17"/>
      <c r="F250" s="17"/>
      <c r="G250" s="17"/>
      <c r="H250" s="17"/>
      <c r="I250" s="42"/>
      <c r="J250" s="17"/>
      <c r="K250" s="17"/>
      <c r="L250" s="17"/>
      <c r="M250" s="17"/>
      <c r="N250" s="40"/>
      <c r="O250" s="41"/>
      <c r="P250" s="43" t="str">
        <f aca="false">IF(OR(B250="",N250=""),"",ROUND(((N250+N(O250))-(B250+N(C250)))*24,1))</f>
        <v/>
      </c>
      <c r="Q250" s="44" t="str">
        <f aca="false">IF(OR(E250="",A250="",COUNTIFS(Scoresheet!$C$2:$C$501,A250,Scoresheet!$U$2:$U$501,1)=0),"",SUMIFS(Scoresheet!$O$2:$O$501,Scoresheet!$C$2:$C$501,A250,Scoresheet!$U$2:$U$501,1))</f>
        <v/>
      </c>
      <c r="R250" s="44" t="str">
        <f aca="false">IF(E250="","",IF(OR(A250="",COUNTIFS(Scoresheet!$C$2:$C$501,A250,Scoresheet!$U$2:$U$501,1)=0),"No scoresheet yet",IF(SUMIFS(Scoresheet!$N$2:$N$501,Scoresheet!$C$2:$C$501,A250,Scoresheet!$U$2:$U$501,1)&lt;6,"Partly scored ("&amp;SUMIFS(Scoresheet!$N$2:$N$501,Scoresheet!$C$2:$C$501,A250,Scoresheet!$U$2:$U$501,1)&amp;"/6)",IF(Q250&gt;=Settings!$S$8,"Hot",IF(Q250&gt;=Settings!$S$9,"Warm","Cold")))))</f>
        <v/>
      </c>
      <c r="S250" s="44" t="str">
        <f aca="false">IF(OR(E250="",A250=""),"",IF(AND(COUNTIFS(Scoresheet!$C$2:$C$501,A250,Scoresheet!$U$2:$U$501,1,Scoresheet!$H$2:$H$501,"No")&gt;0,COUNTIFS(Scoresheet!$C$2:$C$501,A250,Scoresheet!$U$2:$U$501,1,Scoresheet!$J$2:$J$501,"No")&gt;0),"🚩 Budget  ·  🚩 No one on camera",IF(COUNTIFS(Scoresheet!$C$2:$C$501,A250,Scoresheet!$U$2:$U$501,1,Scoresheet!$H$2:$H$501,"No")&gt;0,"🚩 Budget under AED 5k",IF(COUNTIFS(Scoresheet!$C$2:$C$501,A250,Scoresheet!$U$2:$U$501,1,Scoresheet!$J$2:$J$501,"No")&gt;0,"🚩 No one on camera",""))))</f>
        <v/>
      </c>
      <c r="T250" s="17"/>
      <c r="U250" s="17"/>
      <c r="V250" s="40"/>
      <c r="W250" s="17"/>
      <c r="X250" s="45" t="str">
        <f aca="false">IF(OR(E250="",V250="",OR(U250="Contract signed + paid",U250="Closed – No response",U250="Lost"),N(W250)&gt;=Settings!$S$3),"",V250+Settings!$S$2)</f>
        <v/>
      </c>
      <c r="Y250" s="40"/>
      <c r="Z250" s="41"/>
      <c r="AA250" s="17"/>
      <c r="AB250" s="17"/>
      <c r="AC250" s="17"/>
      <c r="AD250" s="46" t="str">
        <f aca="true">IF(OR(E250="",B250=""),"",INT(TODAY()-B250))</f>
        <v/>
      </c>
      <c r="AE250" s="44" t="str">
        <f aca="true">IF(E250="","",IF(OR(COUNTIFS(Clients!$C$2:$C$501,E250,Clients!$S$2:$S$501,"Paid")&gt;0,AND(I250&lt;&gt;"",COUNTIFS(Clients!$E$2:$E$501,I250,Clients!$S$2:$S$501,"Paid")&gt;0)),"⚠ Refunded before – no free video",IF(OR(U250="Contract signed + paid",U250="Closed – No response",U250="Lost"),"",IF(U250="","Set a stage",IF(AND(U250="Proposal sent",SUMIFS(Scoresheet!$N$2:$N$501,Scoresheet!$C$2:$C$501,A250,Scoresheet!$U$2:$U$501,1)&lt;6),"Score this lead – fill the call scoresheet",IF(N(W250)&gt;=Settings!$S$3,"Close – 4 follow-ups sent",IF(X250="",IF(V250="","Make first contact",""),IF(TODAY()&gt;X250,"OVERDUE follow-up",IF(TODAY()=X250,"Follow up today","")))))))))</f>
        <v/>
      </c>
    </row>
    <row r="251" customFormat="false" ht="15" hidden="false" customHeight="false" outlineLevel="0" collapsed="false">
      <c r="A251" s="17"/>
      <c r="B251" s="40"/>
      <c r="C251" s="41"/>
      <c r="D251" s="17"/>
      <c r="E251" s="17"/>
      <c r="F251" s="17"/>
      <c r="G251" s="17"/>
      <c r="H251" s="17"/>
      <c r="I251" s="42"/>
      <c r="J251" s="17"/>
      <c r="K251" s="17"/>
      <c r="L251" s="17"/>
      <c r="M251" s="17"/>
      <c r="N251" s="40"/>
      <c r="O251" s="41"/>
      <c r="P251" s="43" t="str">
        <f aca="false">IF(OR(B251="",N251=""),"",ROUND(((N251+N(O251))-(B251+N(C251)))*24,1))</f>
        <v/>
      </c>
      <c r="Q251" s="44" t="str">
        <f aca="false">IF(OR(E251="",A251="",COUNTIFS(Scoresheet!$C$2:$C$501,A251,Scoresheet!$U$2:$U$501,1)=0),"",SUMIFS(Scoresheet!$O$2:$O$501,Scoresheet!$C$2:$C$501,A251,Scoresheet!$U$2:$U$501,1))</f>
        <v/>
      </c>
      <c r="R251" s="44" t="str">
        <f aca="false">IF(E251="","",IF(OR(A251="",COUNTIFS(Scoresheet!$C$2:$C$501,A251,Scoresheet!$U$2:$U$501,1)=0),"No scoresheet yet",IF(SUMIFS(Scoresheet!$N$2:$N$501,Scoresheet!$C$2:$C$501,A251,Scoresheet!$U$2:$U$501,1)&lt;6,"Partly scored ("&amp;SUMIFS(Scoresheet!$N$2:$N$501,Scoresheet!$C$2:$C$501,A251,Scoresheet!$U$2:$U$501,1)&amp;"/6)",IF(Q251&gt;=Settings!$S$8,"Hot",IF(Q251&gt;=Settings!$S$9,"Warm","Cold")))))</f>
        <v/>
      </c>
      <c r="S251" s="44" t="str">
        <f aca="false">IF(OR(E251="",A251=""),"",IF(AND(COUNTIFS(Scoresheet!$C$2:$C$501,A251,Scoresheet!$U$2:$U$501,1,Scoresheet!$H$2:$H$501,"No")&gt;0,COUNTIFS(Scoresheet!$C$2:$C$501,A251,Scoresheet!$U$2:$U$501,1,Scoresheet!$J$2:$J$501,"No")&gt;0),"🚩 Budget  ·  🚩 No one on camera",IF(COUNTIFS(Scoresheet!$C$2:$C$501,A251,Scoresheet!$U$2:$U$501,1,Scoresheet!$H$2:$H$501,"No")&gt;0,"🚩 Budget under AED 5k",IF(COUNTIFS(Scoresheet!$C$2:$C$501,A251,Scoresheet!$U$2:$U$501,1,Scoresheet!$J$2:$J$501,"No")&gt;0,"🚩 No one on camera",""))))</f>
        <v/>
      </c>
      <c r="T251" s="17"/>
      <c r="U251" s="17"/>
      <c r="V251" s="40"/>
      <c r="W251" s="17"/>
      <c r="X251" s="45" t="str">
        <f aca="false">IF(OR(E251="",V251="",OR(U251="Contract signed + paid",U251="Closed – No response",U251="Lost"),N(W251)&gt;=Settings!$S$3),"",V251+Settings!$S$2)</f>
        <v/>
      </c>
      <c r="Y251" s="40"/>
      <c r="Z251" s="41"/>
      <c r="AA251" s="17"/>
      <c r="AB251" s="17"/>
      <c r="AC251" s="17"/>
      <c r="AD251" s="46" t="str">
        <f aca="true">IF(OR(E251="",B251=""),"",INT(TODAY()-B251))</f>
        <v/>
      </c>
      <c r="AE251" s="44" t="str">
        <f aca="true">IF(E251="","",IF(OR(COUNTIFS(Clients!$C$2:$C$501,E251,Clients!$S$2:$S$501,"Paid")&gt;0,AND(I251&lt;&gt;"",COUNTIFS(Clients!$E$2:$E$501,I251,Clients!$S$2:$S$501,"Paid")&gt;0)),"⚠ Refunded before – no free video",IF(OR(U251="Contract signed + paid",U251="Closed – No response",U251="Lost"),"",IF(U251="","Set a stage",IF(AND(U251="Proposal sent",SUMIFS(Scoresheet!$N$2:$N$501,Scoresheet!$C$2:$C$501,A251,Scoresheet!$U$2:$U$501,1)&lt;6),"Score this lead – fill the call scoresheet",IF(N(W251)&gt;=Settings!$S$3,"Close – 4 follow-ups sent",IF(X251="",IF(V251="","Make first contact",""),IF(TODAY()&gt;X251,"OVERDUE follow-up",IF(TODAY()=X251,"Follow up today","")))))))))</f>
        <v/>
      </c>
    </row>
    <row r="252" customFormat="false" ht="15" hidden="false" customHeight="false" outlineLevel="0" collapsed="false">
      <c r="A252" s="17"/>
      <c r="B252" s="40"/>
      <c r="C252" s="41"/>
      <c r="D252" s="17"/>
      <c r="E252" s="17"/>
      <c r="F252" s="17"/>
      <c r="G252" s="17"/>
      <c r="H252" s="17"/>
      <c r="I252" s="42"/>
      <c r="J252" s="17"/>
      <c r="K252" s="17"/>
      <c r="L252" s="17"/>
      <c r="M252" s="17"/>
      <c r="N252" s="40"/>
      <c r="O252" s="41"/>
      <c r="P252" s="43" t="str">
        <f aca="false">IF(OR(B252="",N252=""),"",ROUND(((N252+N(O252))-(B252+N(C252)))*24,1))</f>
        <v/>
      </c>
      <c r="Q252" s="44" t="str">
        <f aca="false">IF(OR(E252="",A252="",COUNTIFS(Scoresheet!$C$2:$C$501,A252,Scoresheet!$U$2:$U$501,1)=0),"",SUMIFS(Scoresheet!$O$2:$O$501,Scoresheet!$C$2:$C$501,A252,Scoresheet!$U$2:$U$501,1))</f>
        <v/>
      </c>
      <c r="R252" s="44" t="str">
        <f aca="false">IF(E252="","",IF(OR(A252="",COUNTIFS(Scoresheet!$C$2:$C$501,A252,Scoresheet!$U$2:$U$501,1)=0),"No scoresheet yet",IF(SUMIFS(Scoresheet!$N$2:$N$501,Scoresheet!$C$2:$C$501,A252,Scoresheet!$U$2:$U$501,1)&lt;6,"Partly scored ("&amp;SUMIFS(Scoresheet!$N$2:$N$501,Scoresheet!$C$2:$C$501,A252,Scoresheet!$U$2:$U$501,1)&amp;"/6)",IF(Q252&gt;=Settings!$S$8,"Hot",IF(Q252&gt;=Settings!$S$9,"Warm","Cold")))))</f>
        <v/>
      </c>
      <c r="S252" s="44" t="str">
        <f aca="false">IF(OR(E252="",A252=""),"",IF(AND(COUNTIFS(Scoresheet!$C$2:$C$501,A252,Scoresheet!$U$2:$U$501,1,Scoresheet!$H$2:$H$501,"No")&gt;0,COUNTIFS(Scoresheet!$C$2:$C$501,A252,Scoresheet!$U$2:$U$501,1,Scoresheet!$J$2:$J$501,"No")&gt;0),"🚩 Budget  ·  🚩 No one on camera",IF(COUNTIFS(Scoresheet!$C$2:$C$501,A252,Scoresheet!$U$2:$U$501,1,Scoresheet!$H$2:$H$501,"No")&gt;0,"🚩 Budget under AED 5k",IF(COUNTIFS(Scoresheet!$C$2:$C$501,A252,Scoresheet!$U$2:$U$501,1,Scoresheet!$J$2:$J$501,"No")&gt;0,"🚩 No one on camera",""))))</f>
        <v/>
      </c>
      <c r="T252" s="17"/>
      <c r="U252" s="17"/>
      <c r="V252" s="40"/>
      <c r="W252" s="17"/>
      <c r="X252" s="45" t="str">
        <f aca="false">IF(OR(E252="",V252="",OR(U252="Contract signed + paid",U252="Closed – No response",U252="Lost"),N(W252)&gt;=Settings!$S$3),"",V252+Settings!$S$2)</f>
        <v/>
      </c>
      <c r="Y252" s="40"/>
      <c r="Z252" s="41"/>
      <c r="AA252" s="17"/>
      <c r="AB252" s="17"/>
      <c r="AC252" s="17"/>
      <c r="AD252" s="46" t="str">
        <f aca="true">IF(OR(E252="",B252=""),"",INT(TODAY()-B252))</f>
        <v/>
      </c>
      <c r="AE252" s="44" t="str">
        <f aca="true">IF(E252="","",IF(OR(COUNTIFS(Clients!$C$2:$C$501,E252,Clients!$S$2:$S$501,"Paid")&gt;0,AND(I252&lt;&gt;"",COUNTIFS(Clients!$E$2:$E$501,I252,Clients!$S$2:$S$501,"Paid")&gt;0)),"⚠ Refunded before – no free video",IF(OR(U252="Contract signed + paid",U252="Closed – No response",U252="Lost"),"",IF(U252="","Set a stage",IF(AND(U252="Proposal sent",SUMIFS(Scoresheet!$N$2:$N$501,Scoresheet!$C$2:$C$501,A252,Scoresheet!$U$2:$U$501,1)&lt;6),"Score this lead – fill the call scoresheet",IF(N(W252)&gt;=Settings!$S$3,"Close – 4 follow-ups sent",IF(X252="",IF(V252="","Make first contact",""),IF(TODAY()&gt;X252,"OVERDUE follow-up",IF(TODAY()=X252,"Follow up today","")))))))))</f>
        <v/>
      </c>
    </row>
    <row r="253" customFormat="false" ht="15" hidden="false" customHeight="false" outlineLevel="0" collapsed="false">
      <c r="A253" s="17"/>
      <c r="B253" s="40"/>
      <c r="C253" s="41"/>
      <c r="D253" s="17"/>
      <c r="E253" s="17"/>
      <c r="F253" s="17"/>
      <c r="G253" s="17"/>
      <c r="H253" s="17"/>
      <c r="I253" s="42"/>
      <c r="J253" s="17"/>
      <c r="K253" s="17"/>
      <c r="L253" s="17"/>
      <c r="M253" s="17"/>
      <c r="N253" s="40"/>
      <c r="O253" s="41"/>
      <c r="P253" s="43" t="str">
        <f aca="false">IF(OR(B253="",N253=""),"",ROUND(((N253+N(O253))-(B253+N(C253)))*24,1))</f>
        <v/>
      </c>
      <c r="Q253" s="44" t="str">
        <f aca="false">IF(OR(E253="",A253="",COUNTIFS(Scoresheet!$C$2:$C$501,A253,Scoresheet!$U$2:$U$501,1)=0),"",SUMIFS(Scoresheet!$O$2:$O$501,Scoresheet!$C$2:$C$501,A253,Scoresheet!$U$2:$U$501,1))</f>
        <v/>
      </c>
      <c r="R253" s="44" t="str">
        <f aca="false">IF(E253="","",IF(OR(A253="",COUNTIFS(Scoresheet!$C$2:$C$501,A253,Scoresheet!$U$2:$U$501,1)=0),"No scoresheet yet",IF(SUMIFS(Scoresheet!$N$2:$N$501,Scoresheet!$C$2:$C$501,A253,Scoresheet!$U$2:$U$501,1)&lt;6,"Partly scored ("&amp;SUMIFS(Scoresheet!$N$2:$N$501,Scoresheet!$C$2:$C$501,A253,Scoresheet!$U$2:$U$501,1)&amp;"/6)",IF(Q253&gt;=Settings!$S$8,"Hot",IF(Q253&gt;=Settings!$S$9,"Warm","Cold")))))</f>
        <v/>
      </c>
      <c r="S253" s="44" t="str">
        <f aca="false">IF(OR(E253="",A253=""),"",IF(AND(COUNTIFS(Scoresheet!$C$2:$C$501,A253,Scoresheet!$U$2:$U$501,1,Scoresheet!$H$2:$H$501,"No")&gt;0,COUNTIFS(Scoresheet!$C$2:$C$501,A253,Scoresheet!$U$2:$U$501,1,Scoresheet!$J$2:$J$501,"No")&gt;0),"🚩 Budget  ·  🚩 No one on camera",IF(COUNTIFS(Scoresheet!$C$2:$C$501,A253,Scoresheet!$U$2:$U$501,1,Scoresheet!$H$2:$H$501,"No")&gt;0,"🚩 Budget under AED 5k",IF(COUNTIFS(Scoresheet!$C$2:$C$501,A253,Scoresheet!$U$2:$U$501,1,Scoresheet!$J$2:$J$501,"No")&gt;0,"🚩 No one on camera",""))))</f>
        <v/>
      </c>
      <c r="T253" s="17"/>
      <c r="U253" s="17"/>
      <c r="V253" s="40"/>
      <c r="W253" s="17"/>
      <c r="X253" s="45" t="str">
        <f aca="false">IF(OR(E253="",V253="",OR(U253="Contract signed + paid",U253="Closed – No response",U253="Lost"),N(W253)&gt;=Settings!$S$3),"",V253+Settings!$S$2)</f>
        <v/>
      </c>
      <c r="Y253" s="40"/>
      <c r="Z253" s="41"/>
      <c r="AA253" s="17"/>
      <c r="AB253" s="17"/>
      <c r="AC253" s="17"/>
      <c r="AD253" s="46" t="str">
        <f aca="true">IF(OR(E253="",B253=""),"",INT(TODAY()-B253))</f>
        <v/>
      </c>
      <c r="AE253" s="44" t="str">
        <f aca="true">IF(E253="","",IF(OR(COUNTIFS(Clients!$C$2:$C$501,E253,Clients!$S$2:$S$501,"Paid")&gt;0,AND(I253&lt;&gt;"",COUNTIFS(Clients!$E$2:$E$501,I253,Clients!$S$2:$S$501,"Paid")&gt;0)),"⚠ Refunded before – no free video",IF(OR(U253="Contract signed + paid",U253="Closed – No response",U253="Lost"),"",IF(U253="","Set a stage",IF(AND(U253="Proposal sent",SUMIFS(Scoresheet!$N$2:$N$501,Scoresheet!$C$2:$C$501,A253,Scoresheet!$U$2:$U$501,1)&lt;6),"Score this lead – fill the call scoresheet",IF(N(W253)&gt;=Settings!$S$3,"Close – 4 follow-ups sent",IF(X253="",IF(V253="","Make first contact",""),IF(TODAY()&gt;X253,"OVERDUE follow-up",IF(TODAY()=X253,"Follow up today","")))))))))</f>
        <v/>
      </c>
    </row>
    <row r="254" customFormat="false" ht="15" hidden="false" customHeight="false" outlineLevel="0" collapsed="false">
      <c r="A254" s="17"/>
      <c r="B254" s="40"/>
      <c r="C254" s="41"/>
      <c r="D254" s="17"/>
      <c r="E254" s="17"/>
      <c r="F254" s="17"/>
      <c r="G254" s="17"/>
      <c r="H254" s="17"/>
      <c r="I254" s="42"/>
      <c r="J254" s="17"/>
      <c r="K254" s="17"/>
      <c r="L254" s="17"/>
      <c r="M254" s="17"/>
      <c r="N254" s="40"/>
      <c r="O254" s="41"/>
      <c r="P254" s="43" t="str">
        <f aca="false">IF(OR(B254="",N254=""),"",ROUND(((N254+N(O254))-(B254+N(C254)))*24,1))</f>
        <v/>
      </c>
      <c r="Q254" s="44" t="str">
        <f aca="false">IF(OR(E254="",A254="",COUNTIFS(Scoresheet!$C$2:$C$501,A254,Scoresheet!$U$2:$U$501,1)=0),"",SUMIFS(Scoresheet!$O$2:$O$501,Scoresheet!$C$2:$C$501,A254,Scoresheet!$U$2:$U$501,1))</f>
        <v/>
      </c>
      <c r="R254" s="44" t="str">
        <f aca="false">IF(E254="","",IF(OR(A254="",COUNTIFS(Scoresheet!$C$2:$C$501,A254,Scoresheet!$U$2:$U$501,1)=0),"No scoresheet yet",IF(SUMIFS(Scoresheet!$N$2:$N$501,Scoresheet!$C$2:$C$501,A254,Scoresheet!$U$2:$U$501,1)&lt;6,"Partly scored ("&amp;SUMIFS(Scoresheet!$N$2:$N$501,Scoresheet!$C$2:$C$501,A254,Scoresheet!$U$2:$U$501,1)&amp;"/6)",IF(Q254&gt;=Settings!$S$8,"Hot",IF(Q254&gt;=Settings!$S$9,"Warm","Cold")))))</f>
        <v/>
      </c>
      <c r="S254" s="44" t="str">
        <f aca="false">IF(OR(E254="",A254=""),"",IF(AND(COUNTIFS(Scoresheet!$C$2:$C$501,A254,Scoresheet!$U$2:$U$501,1,Scoresheet!$H$2:$H$501,"No")&gt;0,COUNTIFS(Scoresheet!$C$2:$C$501,A254,Scoresheet!$U$2:$U$501,1,Scoresheet!$J$2:$J$501,"No")&gt;0),"🚩 Budget  ·  🚩 No one on camera",IF(COUNTIFS(Scoresheet!$C$2:$C$501,A254,Scoresheet!$U$2:$U$501,1,Scoresheet!$H$2:$H$501,"No")&gt;0,"🚩 Budget under AED 5k",IF(COUNTIFS(Scoresheet!$C$2:$C$501,A254,Scoresheet!$U$2:$U$501,1,Scoresheet!$J$2:$J$501,"No")&gt;0,"🚩 No one on camera",""))))</f>
        <v/>
      </c>
      <c r="T254" s="17"/>
      <c r="U254" s="17"/>
      <c r="V254" s="40"/>
      <c r="W254" s="17"/>
      <c r="X254" s="45" t="str">
        <f aca="false">IF(OR(E254="",V254="",OR(U254="Contract signed + paid",U254="Closed – No response",U254="Lost"),N(W254)&gt;=Settings!$S$3),"",V254+Settings!$S$2)</f>
        <v/>
      </c>
      <c r="Y254" s="40"/>
      <c r="Z254" s="41"/>
      <c r="AA254" s="17"/>
      <c r="AB254" s="17"/>
      <c r="AC254" s="17"/>
      <c r="AD254" s="46" t="str">
        <f aca="true">IF(OR(E254="",B254=""),"",INT(TODAY()-B254))</f>
        <v/>
      </c>
      <c r="AE254" s="44" t="str">
        <f aca="true">IF(E254="","",IF(OR(COUNTIFS(Clients!$C$2:$C$501,E254,Clients!$S$2:$S$501,"Paid")&gt;0,AND(I254&lt;&gt;"",COUNTIFS(Clients!$E$2:$E$501,I254,Clients!$S$2:$S$501,"Paid")&gt;0)),"⚠ Refunded before – no free video",IF(OR(U254="Contract signed + paid",U254="Closed – No response",U254="Lost"),"",IF(U254="","Set a stage",IF(AND(U254="Proposal sent",SUMIFS(Scoresheet!$N$2:$N$501,Scoresheet!$C$2:$C$501,A254,Scoresheet!$U$2:$U$501,1)&lt;6),"Score this lead – fill the call scoresheet",IF(N(W254)&gt;=Settings!$S$3,"Close – 4 follow-ups sent",IF(X254="",IF(V254="","Make first contact",""),IF(TODAY()&gt;X254,"OVERDUE follow-up",IF(TODAY()=X254,"Follow up today","")))))))))</f>
        <v/>
      </c>
    </row>
    <row r="255" customFormat="false" ht="15" hidden="false" customHeight="false" outlineLevel="0" collapsed="false">
      <c r="A255" s="17"/>
      <c r="B255" s="40"/>
      <c r="C255" s="41"/>
      <c r="D255" s="17"/>
      <c r="E255" s="17"/>
      <c r="F255" s="17"/>
      <c r="G255" s="17"/>
      <c r="H255" s="17"/>
      <c r="I255" s="42"/>
      <c r="J255" s="17"/>
      <c r="K255" s="17"/>
      <c r="L255" s="17"/>
      <c r="M255" s="17"/>
      <c r="N255" s="40"/>
      <c r="O255" s="41"/>
      <c r="P255" s="43" t="str">
        <f aca="false">IF(OR(B255="",N255=""),"",ROUND(((N255+N(O255))-(B255+N(C255)))*24,1))</f>
        <v/>
      </c>
      <c r="Q255" s="44" t="str">
        <f aca="false">IF(OR(E255="",A255="",COUNTIFS(Scoresheet!$C$2:$C$501,A255,Scoresheet!$U$2:$U$501,1)=0),"",SUMIFS(Scoresheet!$O$2:$O$501,Scoresheet!$C$2:$C$501,A255,Scoresheet!$U$2:$U$501,1))</f>
        <v/>
      </c>
      <c r="R255" s="44" t="str">
        <f aca="false">IF(E255="","",IF(OR(A255="",COUNTIFS(Scoresheet!$C$2:$C$501,A255,Scoresheet!$U$2:$U$501,1)=0),"No scoresheet yet",IF(SUMIFS(Scoresheet!$N$2:$N$501,Scoresheet!$C$2:$C$501,A255,Scoresheet!$U$2:$U$501,1)&lt;6,"Partly scored ("&amp;SUMIFS(Scoresheet!$N$2:$N$501,Scoresheet!$C$2:$C$501,A255,Scoresheet!$U$2:$U$501,1)&amp;"/6)",IF(Q255&gt;=Settings!$S$8,"Hot",IF(Q255&gt;=Settings!$S$9,"Warm","Cold")))))</f>
        <v/>
      </c>
      <c r="S255" s="44" t="str">
        <f aca="false">IF(OR(E255="",A255=""),"",IF(AND(COUNTIFS(Scoresheet!$C$2:$C$501,A255,Scoresheet!$U$2:$U$501,1,Scoresheet!$H$2:$H$501,"No")&gt;0,COUNTIFS(Scoresheet!$C$2:$C$501,A255,Scoresheet!$U$2:$U$501,1,Scoresheet!$J$2:$J$501,"No")&gt;0),"🚩 Budget  ·  🚩 No one on camera",IF(COUNTIFS(Scoresheet!$C$2:$C$501,A255,Scoresheet!$U$2:$U$501,1,Scoresheet!$H$2:$H$501,"No")&gt;0,"🚩 Budget under AED 5k",IF(COUNTIFS(Scoresheet!$C$2:$C$501,A255,Scoresheet!$U$2:$U$501,1,Scoresheet!$J$2:$J$501,"No")&gt;0,"🚩 No one on camera",""))))</f>
        <v/>
      </c>
      <c r="T255" s="17"/>
      <c r="U255" s="17"/>
      <c r="V255" s="40"/>
      <c r="W255" s="17"/>
      <c r="X255" s="45" t="str">
        <f aca="false">IF(OR(E255="",V255="",OR(U255="Contract signed + paid",U255="Closed – No response",U255="Lost"),N(W255)&gt;=Settings!$S$3),"",V255+Settings!$S$2)</f>
        <v/>
      </c>
      <c r="Y255" s="40"/>
      <c r="Z255" s="41"/>
      <c r="AA255" s="17"/>
      <c r="AB255" s="17"/>
      <c r="AC255" s="17"/>
      <c r="AD255" s="46" t="str">
        <f aca="true">IF(OR(E255="",B255=""),"",INT(TODAY()-B255))</f>
        <v/>
      </c>
      <c r="AE255" s="44" t="str">
        <f aca="true">IF(E255="","",IF(OR(COUNTIFS(Clients!$C$2:$C$501,E255,Clients!$S$2:$S$501,"Paid")&gt;0,AND(I255&lt;&gt;"",COUNTIFS(Clients!$E$2:$E$501,I255,Clients!$S$2:$S$501,"Paid")&gt;0)),"⚠ Refunded before – no free video",IF(OR(U255="Contract signed + paid",U255="Closed – No response",U255="Lost"),"",IF(U255="","Set a stage",IF(AND(U255="Proposal sent",SUMIFS(Scoresheet!$N$2:$N$501,Scoresheet!$C$2:$C$501,A255,Scoresheet!$U$2:$U$501,1)&lt;6),"Score this lead – fill the call scoresheet",IF(N(W255)&gt;=Settings!$S$3,"Close – 4 follow-ups sent",IF(X255="",IF(V255="","Make first contact",""),IF(TODAY()&gt;X255,"OVERDUE follow-up",IF(TODAY()=X255,"Follow up today","")))))))))</f>
        <v/>
      </c>
    </row>
    <row r="256" customFormat="false" ht="15" hidden="false" customHeight="false" outlineLevel="0" collapsed="false">
      <c r="A256" s="17"/>
      <c r="B256" s="40"/>
      <c r="C256" s="41"/>
      <c r="D256" s="17"/>
      <c r="E256" s="17"/>
      <c r="F256" s="17"/>
      <c r="G256" s="17"/>
      <c r="H256" s="17"/>
      <c r="I256" s="42"/>
      <c r="J256" s="17"/>
      <c r="K256" s="17"/>
      <c r="L256" s="17"/>
      <c r="M256" s="17"/>
      <c r="N256" s="40"/>
      <c r="O256" s="41"/>
      <c r="P256" s="43" t="str">
        <f aca="false">IF(OR(B256="",N256=""),"",ROUND(((N256+N(O256))-(B256+N(C256)))*24,1))</f>
        <v/>
      </c>
      <c r="Q256" s="44" t="str">
        <f aca="false">IF(OR(E256="",A256="",COUNTIFS(Scoresheet!$C$2:$C$501,A256,Scoresheet!$U$2:$U$501,1)=0),"",SUMIFS(Scoresheet!$O$2:$O$501,Scoresheet!$C$2:$C$501,A256,Scoresheet!$U$2:$U$501,1))</f>
        <v/>
      </c>
      <c r="R256" s="44" t="str">
        <f aca="false">IF(E256="","",IF(OR(A256="",COUNTIFS(Scoresheet!$C$2:$C$501,A256,Scoresheet!$U$2:$U$501,1)=0),"No scoresheet yet",IF(SUMIFS(Scoresheet!$N$2:$N$501,Scoresheet!$C$2:$C$501,A256,Scoresheet!$U$2:$U$501,1)&lt;6,"Partly scored ("&amp;SUMIFS(Scoresheet!$N$2:$N$501,Scoresheet!$C$2:$C$501,A256,Scoresheet!$U$2:$U$501,1)&amp;"/6)",IF(Q256&gt;=Settings!$S$8,"Hot",IF(Q256&gt;=Settings!$S$9,"Warm","Cold")))))</f>
        <v/>
      </c>
      <c r="S256" s="44" t="str">
        <f aca="false">IF(OR(E256="",A256=""),"",IF(AND(COUNTIFS(Scoresheet!$C$2:$C$501,A256,Scoresheet!$U$2:$U$501,1,Scoresheet!$H$2:$H$501,"No")&gt;0,COUNTIFS(Scoresheet!$C$2:$C$501,A256,Scoresheet!$U$2:$U$501,1,Scoresheet!$J$2:$J$501,"No")&gt;0),"🚩 Budget  ·  🚩 No one on camera",IF(COUNTIFS(Scoresheet!$C$2:$C$501,A256,Scoresheet!$U$2:$U$501,1,Scoresheet!$H$2:$H$501,"No")&gt;0,"🚩 Budget under AED 5k",IF(COUNTIFS(Scoresheet!$C$2:$C$501,A256,Scoresheet!$U$2:$U$501,1,Scoresheet!$J$2:$J$501,"No")&gt;0,"🚩 No one on camera",""))))</f>
        <v/>
      </c>
      <c r="T256" s="17"/>
      <c r="U256" s="17"/>
      <c r="V256" s="40"/>
      <c r="W256" s="17"/>
      <c r="X256" s="45" t="str">
        <f aca="false">IF(OR(E256="",V256="",OR(U256="Contract signed + paid",U256="Closed – No response",U256="Lost"),N(W256)&gt;=Settings!$S$3),"",V256+Settings!$S$2)</f>
        <v/>
      </c>
      <c r="Y256" s="40"/>
      <c r="Z256" s="41"/>
      <c r="AA256" s="17"/>
      <c r="AB256" s="17"/>
      <c r="AC256" s="17"/>
      <c r="AD256" s="46" t="str">
        <f aca="true">IF(OR(E256="",B256=""),"",INT(TODAY()-B256))</f>
        <v/>
      </c>
      <c r="AE256" s="44" t="str">
        <f aca="true">IF(E256="","",IF(OR(COUNTIFS(Clients!$C$2:$C$501,E256,Clients!$S$2:$S$501,"Paid")&gt;0,AND(I256&lt;&gt;"",COUNTIFS(Clients!$E$2:$E$501,I256,Clients!$S$2:$S$501,"Paid")&gt;0)),"⚠ Refunded before – no free video",IF(OR(U256="Contract signed + paid",U256="Closed – No response",U256="Lost"),"",IF(U256="","Set a stage",IF(AND(U256="Proposal sent",SUMIFS(Scoresheet!$N$2:$N$501,Scoresheet!$C$2:$C$501,A256,Scoresheet!$U$2:$U$501,1)&lt;6),"Score this lead – fill the call scoresheet",IF(N(W256)&gt;=Settings!$S$3,"Close – 4 follow-ups sent",IF(X256="",IF(V256="","Make first contact",""),IF(TODAY()&gt;X256,"OVERDUE follow-up",IF(TODAY()=X256,"Follow up today","")))))))))</f>
        <v/>
      </c>
    </row>
    <row r="257" customFormat="false" ht="15" hidden="false" customHeight="false" outlineLevel="0" collapsed="false">
      <c r="A257" s="17"/>
      <c r="B257" s="40"/>
      <c r="C257" s="41"/>
      <c r="D257" s="17"/>
      <c r="E257" s="17"/>
      <c r="F257" s="17"/>
      <c r="G257" s="17"/>
      <c r="H257" s="17"/>
      <c r="I257" s="42"/>
      <c r="J257" s="17"/>
      <c r="K257" s="17"/>
      <c r="L257" s="17"/>
      <c r="M257" s="17"/>
      <c r="N257" s="40"/>
      <c r="O257" s="41"/>
      <c r="P257" s="43" t="str">
        <f aca="false">IF(OR(B257="",N257=""),"",ROUND(((N257+N(O257))-(B257+N(C257)))*24,1))</f>
        <v/>
      </c>
      <c r="Q257" s="44" t="str">
        <f aca="false">IF(OR(E257="",A257="",COUNTIFS(Scoresheet!$C$2:$C$501,A257,Scoresheet!$U$2:$U$501,1)=0),"",SUMIFS(Scoresheet!$O$2:$O$501,Scoresheet!$C$2:$C$501,A257,Scoresheet!$U$2:$U$501,1))</f>
        <v/>
      </c>
      <c r="R257" s="44" t="str">
        <f aca="false">IF(E257="","",IF(OR(A257="",COUNTIFS(Scoresheet!$C$2:$C$501,A257,Scoresheet!$U$2:$U$501,1)=0),"No scoresheet yet",IF(SUMIFS(Scoresheet!$N$2:$N$501,Scoresheet!$C$2:$C$501,A257,Scoresheet!$U$2:$U$501,1)&lt;6,"Partly scored ("&amp;SUMIFS(Scoresheet!$N$2:$N$501,Scoresheet!$C$2:$C$501,A257,Scoresheet!$U$2:$U$501,1)&amp;"/6)",IF(Q257&gt;=Settings!$S$8,"Hot",IF(Q257&gt;=Settings!$S$9,"Warm","Cold")))))</f>
        <v/>
      </c>
      <c r="S257" s="44" t="str">
        <f aca="false">IF(OR(E257="",A257=""),"",IF(AND(COUNTIFS(Scoresheet!$C$2:$C$501,A257,Scoresheet!$U$2:$U$501,1,Scoresheet!$H$2:$H$501,"No")&gt;0,COUNTIFS(Scoresheet!$C$2:$C$501,A257,Scoresheet!$U$2:$U$501,1,Scoresheet!$J$2:$J$501,"No")&gt;0),"🚩 Budget  ·  🚩 No one on camera",IF(COUNTIFS(Scoresheet!$C$2:$C$501,A257,Scoresheet!$U$2:$U$501,1,Scoresheet!$H$2:$H$501,"No")&gt;0,"🚩 Budget under AED 5k",IF(COUNTIFS(Scoresheet!$C$2:$C$501,A257,Scoresheet!$U$2:$U$501,1,Scoresheet!$J$2:$J$501,"No")&gt;0,"🚩 No one on camera",""))))</f>
        <v/>
      </c>
      <c r="T257" s="17"/>
      <c r="U257" s="17"/>
      <c r="V257" s="40"/>
      <c r="W257" s="17"/>
      <c r="X257" s="45" t="str">
        <f aca="false">IF(OR(E257="",V257="",OR(U257="Contract signed + paid",U257="Closed – No response",U257="Lost"),N(W257)&gt;=Settings!$S$3),"",V257+Settings!$S$2)</f>
        <v/>
      </c>
      <c r="Y257" s="40"/>
      <c r="Z257" s="41"/>
      <c r="AA257" s="17"/>
      <c r="AB257" s="17"/>
      <c r="AC257" s="17"/>
      <c r="AD257" s="46" t="str">
        <f aca="true">IF(OR(E257="",B257=""),"",INT(TODAY()-B257))</f>
        <v/>
      </c>
      <c r="AE257" s="44" t="str">
        <f aca="true">IF(E257="","",IF(OR(COUNTIFS(Clients!$C$2:$C$501,E257,Clients!$S$2:$S$501,"Paid")&gt;0,AND(I257&lt;&gt;"",COUNTIFS(Clients!$E$2:$E$501,I257,Clients!$S$2:$S$501,"Paid")&gt;0)),"⚠ Refunded before – no free video",IF(OR(U257="Contract signed + paid",U257="Closed – No response",U257="Lost"),"",IF(U257="","Set a stage",IF(AND(U257="Proposal sent",SUMIFS(Scoresheet!$N$2:$N$501,Scoresheet!$C$2:$C$501,A257,Scoresheet!$U$2:$U$501,1)&lt;6),"Score this lead – fill the call scoresheet",IF(N(W257)&gt;=Settings!$S$3,"Close – 4 follow-ups sent",IF(X257="",IF(V257="","Make first contact",""),IF(TODAY()&gt;X257,"OVERDUE follow-up",IF(TODAY()=X257,"Follow up today","")))))))))</f>
        <v/>
      </c>
    </row>
    <row r="258" customFormat="false" ht="15" hidden="false" customHeight="false" outlineLevel="0" collapsed="false">
      <c r="A258" s="17"/>
      <c r="B258" s="40"/>
      <c r="C258" s="41"/>
      <c r="D258" s="17"/>
      <c r="E258" s="17"/>
      <c r="F258" s="17"/>
      <c r="G258" s="17"/>
      <c r="H258" s="17"/>
      <c r="I258" s="42"/>
      <c r="J258" s="17"/>
      <c r="K258" s="17"/>
      <c r="L258" s="17"/>
      <c r="M258" s="17"/>
      <c r="N258" s="40"/>
      <c r="O258" s="41"/>
      <c r="P258" s="43" t="str">
        <f aca="false">IF(OR(B258="",N258=""),"",ROUND(((N258+N(O258))-(B258+N(C258)))*24,1))</f>
        <v/>
      </c>
      <c r="Q258" s="44" t="str">
        <f aca="false">IF(OR(E258="",A258="",COUNTIFS(Scoresheet!$C$2:$C$501,A258,Scoresheet!$U$2:$U$501,1)=0),"",SUMIFS(Scoresheet!$O$2:$O$501,Scoresheet!$C$2:$C$501,A258,Scoresheet!$U$2:$U$501,1))</f>
        <v/>
      </c>
      <c r="R258" s="44" t="str">
        <f aca="false">IF(E258="","",IF(OR(A258="",COUNTIFS(Scoresheet!$C$2:$C$501,A258,Scoresheet!$U$2:$U$501,1)=0),"No scoresheet yet",IF(SUMIFS(Scoresheet!$N$2:$N$501,Scoresheet!$C$2:$C$501,A258,Scoresheet!$U$2:$U$501,1)&lt;6,"Partly scored ("&amp;SUMIFS(Scoresheet!$N$2:$N$501,Scoresheet!$C$2:$C$501,A258,Scoresheet!$U$2:$U$501,1)&amp;"/6)",IF(Q258&gt;=Settings!$S$8,"Hot",IF(Q258&gt;=Settings!$S$9,"Warm","Cold")))))</f>
        <v/>
      </c>
      <c r="S258" s="44" t="str">
        <f aca="false">IF(OR(E258="",A258=""),"",IF(AND(COUNTIFS(Scoresheet!$C$2:$C$501,A258,Scoresheet!$U$2:$U$501,1,Scoresheet!$H$2:$H$501,"No")&gt;0,COUNTIFS(Scoresheet!$C$2:$C$501,A258,Scoresheet!$U$2:$U$501,1,Scoresheet!$J$2:$J$501,"No")&gt;0),"🚩 Budget  ·  🚩 No one on camera",IF(COUNTIFS(Scoresheet!$C$2:$C$501,A258,Scoresheet!$U$2:$U$501,1,Scoresheet!$H$2:$H$501,"No")&gt;0,"🚩 Budget under AED 5k",IF(COUNTIFS(Scoresheet!$C$2:$C$501,A258,Scoresheet!$U$2:$U$501,1,Scoresheet!$J$2:$J$501,"No")&gt;0,"🚩 No one on camera",""))))</f>
        <v/>
      </c>
      <c r="T258" s="17"/>
      <c r="U258" s="17"/>
      <c r="V258" s="40"/>
      <c r="W258" s="17"/>
      <c r="X258" s="45" t="str">
        <f aca="false">IF(OR(E258="",V258="",OR(U258="Contract signed + paid",U258="Closed – No response",U258="Lost"),N(W258)&gt;=Settings!$S$3),"",V258+Settings!$S$2)</f>
        <v/>
      </c>
      <c r="Y258" s="40"/>
      <c r="Z258" s="41"/>
      <c r="AA258" s="17"/>
      <c r="AB258" s="17"/>
      <c r="AC258" s="17"/>
      <c r="AD258" s="46" t="str">
        <f aca="true">IF(OR(E258="",B258=""),"",INT(TODAY()-B258))</f>
        <v/>
      </c>
      <c r="AE258" s="44" t="str">
        <f aca="true">IF(E258="","",IF(OR(COUNTIFS(Clients!$C$2:$C$501,E258,Clients!$S$2:$S$501,"Paid")&gt;0,AND(I258&lt;&gt;"",COUNTIFS(Clients!$E$2:$E$501,I258,Clients!$S$2:$S$501,"Paid")&gt;0)),"⚠ Refunded before – no free video",IF(OR(U258="Contract signed + paid",U258="Closed – No response",U258="Lost"),"",IF(U258="","Set a stage",IF(AND(U258="Proposal sent",SUMIFS(Scoresheet!$N$2:$N$501,Scoresheet!$C$2:$C$501,A258,Scoresheet!$U$2:$U$501,1)&lt;6),"Score this lead – fill the call scoresheet",IF(N(W258)&gt;=Settings!$S$3,"Close – 4 follow-ups sent",IF(X258="",IF(V258="","Make first contact",""),IF(TODAY()&gt;X258,"OVERDUE follow-up",IF(TODAY()=X258,"Follow up today","")))))))))</f>
        <v/>
      </c>
    </row>
    <row r="259" customFormat="false" ht="15" hidden="false" customHeight="false" outlineLevel="0" collapsed="false">
      <c r="A259" s="17"/>
      <c r="B259" s="40"/>
      <c r="C259" s="41"/>
      <c r="D259" s="17"/>
      <c r="E259" s="17"/>
      <c r="F259" s="17"/>
      <c r="G259" s="17"/>
      <c r="H259" s="17"/>
      <c r="I259" s="42"/>
      <c r="J259" s="17"/>
      <c r="K259" s="17"/>
      <c r="L259" s="17"/>
      <c r="M259" s="17"/>
      <c r="N259" s="40"/>
      <c r="O259" s="41"/>
      <c r="P259" s="43" t="str">
        <f aca="false">IF(OR(B259="",N259=""),"",ROUND(((N259+N(O259))-(B259+N(C259)))*24,1))</f>
        <v/>
      </c>
      <c r="Q259" s="44" t="str">
        <f aca="false">IF(OR(E259="",A259="",COUNTIFS(Scoresheet!$C$2:$C$501,A259,Scoresheet!$U$2:$U$501,1)=0),"",SUMIFS(Scoresheet!$O$2:$O$501,Scoresheet!$C$2:$C$501,A259,Scoresheet!$U$2:$U$501,1))</f>
        <v/>
      </c>
      <c r="R259" s="44" t="str">
        <f aca="false">IF(E259="","",IF(OR(A259="",COUNTIFS(Scoresheet!$C$2:$C$501,A259,Scoresheet!$U$2:$U$501,1)=0),"No scoresheet yet",IF(SUMIFS(Scoresheet!$N$2:$N$501,Scoresheet!$C$2:$C$501,A259,Scoresheet!$U$2:$U$501,1)&lt;6,"Partly scored ("&amp;SUMIFS(Scoresheet!$N$2:$N$501,Scoresheet!$C$2:$C$501,A259,Scoresheet!$U$2:$U$501,1)&amp;"/6)",IF(Q259&gt;=Settings!$S$8,"Hot",IF(Q259&gt;=Settings!$S$9,"Warm","Cold")))))</f>
        <v/>
      </c>
      <c r="S259" s="44" t="str">
        <f aca="false">IF(OR(E259="",A259=""),"",IF(AND(COUNTIFS(Scoresheet!$C$2:$C$501,A259,Scoresheet!$U$2:$U$501,1,Scoresheet!$H$2:$H$501,"No")&gt;0,COUNTIFS(Scoresheet!$C$2:$C$501,A259,Scoresheet!$U$2:$U$501,1,Scoresheet!$J$2:$J$501,"No")&gt;0),"🚩 Budget  ·  🚩 No one on camera",IF(COUNTIFS(Scoresheet!$C$2:$C$501,A259,Scoresheet!$U$2:$U$501,1,Scoresheet!$H$2:$H$501,"No")&gt;0,"🚩 Budget under AED 5k",IF(COUNTIFS(Scoresheet!$C$2:$C$501,A259,Scoresheet!$U$2:$U$501,1,Scoresheet!$J$2:$J$501,"No")&gt;0,"🚩 No one on camera",""))))</f>
        <v/>
      </c>
      <c r="T259" s="17"/>
      <c r="U259" s="17"/>
      <c r="V259" s="40"/>
      <c r="W259" s="17"/>
      <c r="X259" s="45" t="str">
        <f aca="false">IF(OR(E259="",V259="",OR(U259="Contract signed + paid",U259="Closed – No response",U259="Lost"),N(W259)&gt;=Settings!$S$3),"",V259+Settings!$S$2)</f>
        <v/>
      </c>
      <c r="Y259" s="40"/>
      <c r="Z259" s="41"/>
      <c r="AA259" s="17"/>
      <c r="AB259" s="17"/>
      <c r="AC259" s="17"/>
      <c r="AD259" s="46" t="str">
        <f aca="true">IF(OR(E259="",B259=""),"",INT(TODAY()-B259))</f>
        <v/>
      </c>
      <c r="AE259" s="44" t="str">
        <f aca="true">IF(E259="","",IF(OR(COUNTIFS(Clients!$C$2:$C$501,E259,Clients!$S$2:$S$501,"Paid")&gt;0,AND(I259&lt;&gt;"",COUNTIFS(Clients!$E$2:$E$501,I259,Clients!$S$2:$S$501,"Paid")&gt;0)),"⚠ Refunded before – no free video",IF(OR(U259="Contract signed + paid",U259="Closed – No response",U259="Lost"),"",IF(U259="","Set a stage",IF(AND(U259="Proposal sent",SUMIFS(Scoresheet!$N$2:$N$501,Scoresheet!$C$2:$C$501,A259,Scoresheet!$U$2:$U$501,1)&lt;6),"Score this lead – fill the call scoresheet",IF(N(W259)&gt;=Settings!$S$3,"Close – 4 follow-ups sent",IF(X259="",IF(V259="","Make first contact",""),IF(TODAY()&gt;X259,"OVERDUE follow-up",IF(TODAY()=X259,"Follow up today","")))))))))</f>
        <v/>
      </c>
    </row>
    <row r="260" customFormat="false" ht="15" hidden="false" customHeight="false" outlineLevel="0" collapsed="false">
      <c r="A260" s="17"/>
      <c r="B260" s="40"/>
      <c r="C260" s="41"/>
      <c r="D260" s="17"/>
      <c r="E260" s="17"/>
      <c r="F260" s="17"/>
      <c r="G260" s="17"/>
      <c r="H260" s="17"/>
      <c r="I260" s="42"/>
      <c r="J260" s="17"/>
      <c r="K260" s="17"/>
      <c r="L260" s="17"/>
      <c r="M260" s="17"/>
      <c r="N260" s="40"/>
      <c r="O260" s="41"/>
      <c r="P260" s="43" t="str">
        <f aca="false">IF(OR(B260="",N260=""),"",ROUND(((N260+N(O260))-(B260+N(C260)))*24,1))</f>
        <v/>
      </c>
      <c r="Q260" s="44" t="str">
        <f aca="false">IF(OR(E260="",A260="",COUNTIFS(Scoresheet!$C$2:$C$501,A260,Scoresheet!$U$2:$U$501,1)=0),"",SUMIFS(Scoresheet!$O$2:$O$501,Scoresheet!$C$2:$C$501,A260,Scoresheet!$U$2:$U$501,1))</f>
        <v/>
      </c>
      <c r="R260" s="44" t="str">
        <f aca="false">IF(E260="","",IF(OR(A260="",COUNTIFS(Scoresheet!$C$2:$C$501,A260,Scoresheet!$U$2:$U$501,1)=0),"No scoresheet yet",IF(SUMIFS(Scoresheet!$N$2:$N$501,Scoresheet!$C$2:$C$501,A260,Scoresheet!$U$2:$U$501,1)&lt;6,"Partly scored ("&amp;SUMIFS(Scoresheet!$N$2:$N$501,Scoresheet!$C$2:$C$501,A260,Scoresheet!$U$2:$U$501,1)&amp;"/6)",IF(Q260&gt;=Settings!$S$8,"Hot",IF(Q260&gt;=Settings!$S$9,"Warm","Cold")))))</f>
        <v/>
      </c>
      <c r="S260" s="44" t="str">
        <f aca="false">IF(OR(E260="",A260=""),"",IF(AND(COUNTIFS(Scoresheet!$C$2:$C$501,A260,Scoresheet!$U$2:$U$501,1,Scoresheet!$H$2:$H$501,"No")&gt;0,COUNTIFS(Scoresheet!$C$2:$C$501,A260,Scoresheet!$U$2:$U$501,1,Scoresheet!$J$2:$J$501,"No")&gt;0),"🚩 Budget  ·  🚩 No one on camera",IF(COUNTIFS(Scoresheet!$C$2:$C$501,A260,Scoresheet!$U$2:$U$501,1,Scoresheet!$H$2:$H$501,"No")&gt;0,"🚩 Budget under AED 5k",IF(COUNTIFS(Scoresheet!$C$2:$C$501,A260,Scoresheet!$U$2:$U$501,1,Scoresheet!$J$2:$J$501,"No")&gt;0,"🚩 No one on camera",""))))</f>
        <v/>
      </c>
      <c r="T260" s="17"/>
      <c r="U260" s="17"/>
      <c r="V260" s="40"/>
      <c r="W260" s="17"/>
      <c r="X260" s="45" t="str">
        <f aca="false">IF(OR(E260="",V260="",OR(U260="Contract signed + paid",U260="Closed – No response",U260="Lost"),N(W260)&gt;=Settings!$S$3),"",V260+Settings!$S$2)</f>
        <v/>
      </c>
      <c r="Y260" s="40"/>
      <c r="Z260" s="41"/>
      <c r="AA260" s="17"/>
      <c r="AB260" s="17"/>
      <c r="AC260" s="17"/>
      <c r="AD260" s="46" t="str">
        <f aca="true">IF(OR(E260="",B260=""),"",INT(TODAY()-B260))</f>
        <v/>
      </c>
      <c r="AE260" s="44" t="str">
        <f aca="true">IF(E260="","",IF(OR(COUNTIFS(Clients!$C$2:$C$501,E260,Clients!$S$2:$S$501,"Paid")&gt;0,AND(I260&lt;&gt;"",COUNTIFS(Clients!$E$2:$E$501,I260,Clients!$S$2:$S$501,"Paid")&gt;0)),"⚠ Refunded before – no free video",IF(OR(U260="Contract signed + paid",U260="Closed – No response",U260="Lost"),"",IF(U260="","Set a stage",IF(AND(U260="Proposal sent",SUMIFS(Scoresheet!$N$2:$N$501,Scoresheet!$C$2:$C$501,A260,Scoresheet!$U$2:$U$501,1)&lt;6),"Score this lead – fill the call scoresheet",IF(N(W260)&gt;=Settings!$S$3,"Close – 4 follow-ups sent",IF(X260="",IF(V260="","Make first contact",""),IF(TODAY()&gt;X260,"OVERDUE follow-up",IF(TODAY()=X260,"Follow up today","")))))))))</f>
        <v/>
      </c>
    </row>
    <row r="261" customFormat="false" ht="15" hidden="false" customHeight="false" outlineLevel="0" collapsed="false">
      <c r="A261" s="17"/>
      <c r="B261" s="40"/>
      <c r="C261" s="41"/>
      <c r="D261" s="17"/>
      <c r="E261" s="17"/>
      <c r="F261" s="17"/>
      <c r="G261" s="17"/>
      <c r="H261" s="17"/>
      <c r="I261" s="42"/>
      <c r="J261" s="17"/>
      <c r="K261" s="17"/>
      <c r="L261" s="17"/>
      <c r="M261" s="17"/>
      <c r="N261" s="40"/>
      <c r="O261" s="41"/>
      <c r="P261" s="43" t="str">
        <f aca="false">IF(OR(B261="",N261=""),"",ROUND(((N261+N(O261))-(B261+N(C261)))*24,1))</f>
        <v/>
      </c>
      <c r="Q261" s="44" t="str">
        <f aca="false">IF(OR(E261="",A261="",COUNTIFS(Scoresheet!$C$2:$C$501,A261,Scoresheet!$U$2:$U$501,1)=0),"",SUMIFS(Scoresheet!$O$2:$O$501,Scoresheet!$C$2:$C$501,A261,Scoresheet!$U$2:$U$501,1))</f>
        <v/>
      </c>
      <c r="R261" s="44" t="str">
        <f aca="false">IF(E261="","",IF(OR(A261="",COUNTIFS(Scoresheet!$C$2:$C$501,A261,Scoresheet!$U$2:$U$501,1)=0),"No scoresheet yet",IF(SUMIFS(Scoresheet!$N$2:$N$501,Scoresheet!$C$2:$C$501,A261,Scoresheet!$U$2:$U$501,1)&lt;6,"Partly scored ("&amp;SUMIFS(Scoresheet!$N$2:$N$501,Scoresheet!$C$2:$C$501,A261,Scoresheet!$U$2:$U$501,1)&amp;"/6)",IF(Q261&gt;=Settings!$S$8,"Hot",IF(Q261&gt;=Settings!$S$9,"Warm","Cold")))))</f>
        <v/>
      </c>
      <c r="S261" s="44" t="str">
        <f aca="false">IF(OR(E261="",A261=""),"",IF(AND(COUNTIFS(Scoresheet!$C$2:$C$501,A261,Scoresheet!$U$2:$U$501,1,Scoresheet!$H$2:$H$501,"No")&gt;0,COUNTIFS(Scoresheet!$C$2:$C$501,A261,Scoresheet!$U$2:$U$501,1,Scoresheet!$J$2:$J$501,"No")&gt;0),"🚩 Budget  ·  🚩 No one on camera",IF(COUNTIFS(Scoresheet!$C$2:$C$501,A261,Scoresheet!$U$2:$U$501,1,Scoresheet!$H$2:$H$501,"No")&gt;0,"🚩 Budget under AED 5k",IF(COUNTIFS(Scoresheet!$C$2:$C$501,A261,Scoresheet!$U$2:$U$501,1,Scoresheet!$J$2:$J$501,"No")&gt;0,"🚩 No one on camera",""))))</f>
        <v/>
      </c>
      <c r="T261" s="17"/>
      <c r="U261" s="17"/>
      <c r="V261" s="40"/>
      <c r="W261" s="17"/>
      <c r="X261" s="45" t="str">
        <f aca="false">IF(OR(E261="",V261="",OR(U261="Contract signed + paid",U261="Closed – No response",U261="Lost"),N(W261)&gt;=Settings!$S$3),"",V261+Settings!$S$2)</f>
        <v/>
      </c>
      <c r="Y261" s="40"/>
      <c r="Z261" s="41"/>
      <c r="AA261" s="17"/>
      <c r="AB261" s="17"/>
      <c r="AC261" s="17"/>
      <c r="AD261" s="46" t="str">
        <f aca="true">IF(OR(E261="",B261=""),"",INT(TODAY()-B261))</f>
        <v/>
      </c>
      <c r="AE261" s="44" t="str">
        <f aca="true">IF(E261="","",IF(OR(COUNTIFS(Clients!$C$2:$C$501,E261,Clients!$S$2:$S$501,"Paid")&gt;0,AND(I261&lt;&gt;"",COUNTIFS(Clients!$E$2:$E$501,I261,Clients!$S$2:$S$501,"Paid")&gt;0)),"⚠ Refunded before – no free video",IF(OR(U261="Contract signed + paid",U261="Closed – No response",U261="Lost"),"",IF(U261="","Set a stage",IF(AND(U261="Proposal sent",SUMIFS(Scoresheet!$N$2:$N$501,Scoresheet!$C$2:$C$501,A261,Scoresheet!$U$2:$U$501,1)&lt;6),"Score this lead – fill the call scoresheet",IF(N(W261)&gt;=Settings!$S$3,"Close – 4 follow-ups sent",IF(X261="",IF(V261="","Make first contact",""),IF(TODAY()&gt;X261,"OVERDUE follow-up",IF(TODAY()=X261,"Follow up today","")))))))))</f>
        <v/>
      </c>
    </row>
    <row r="262" customFormat="false" ht="15" hidden="false" customHeight="false" outlineLevel="0" collapsed="false">
      <c r="A262" s="17"/>
      <c r="B262" s="40"/>
      <c r="C262" s="41"/>
      <c r="D262" s="17"/>
      <c r="E262" s="17"/>
      <c r="F262" s="17"/>
      <c r="G262" s="17"/>
      <c r="H262" s="17"/>
      <c r="I262" s="42"/>
      <c r="J262" s="17"/>
      <c r="K262" s="17"/>
      <c r="L262" s="17"/>
      <c r="M262" s="17"/>
      <c r="N262" s="40"/>
      <c r="O262" s="41"/>
      <c r="P262" s="43" t="str">
        <f aca="false">IF(OR(B262="",N262=""),"",ROUND(((N262+N(O262))-(B262+N(C262)))*24,1))</f>
        <v/>
      </c>
      <c r="Q262" s="44" t="str">
        <f aca="false">IF(OR(E262="",A262="",COUNTIFS(Scoresheet!$C$2:$C$501,A262,Scoresheet!$U$2:$U$501,1)=0),"",SUMIFS(Scoresheet!$O$2:$O$501,Scoresheet!$C$2:$C$501,A262,Scoresheet!$U$2:$U$501,1))</f>
        <v/>
      </c>
      <c r="R262" s="44" t="str">
        <f aca="false">IF(E262="","",IF(OR(A262="",COUNTIFS(Scoresheet!$C$2:$C$501,A262,Scoresheet!$U$2:$U$501,1)=0),"No scoresheet yet",IF(SUMIFS(Scoresheet!$N$2:$N$501,Scoresheet!$C$2:$C$501,A262,Scoresheet!$U$2:$U$501,1)&lt;6,"Partly scored ("&amp;SUMIFS(Scoresheet!$N$2:$N$501,Scoresheet!$C$2:$C$501,A262,Scoresheet!$U$2:$U$501,1)&amp;"/6)",IF(Q262&gt;=Settings!$S$8,"Hot",IF(Q262&gt;=Settings!$S$9,"Warm","Cold")))))</f>
        <v/>
      </c>
      <c r="S262" s="44" t="str">
        <f aca="false">IF(OR(E262="",A262=""),"",IF(AND(COUNTIFS(Scoresheet!$C$2:$C$501,A262,Scoresheet!$U$2:$U$501,1,Scoresheet!$H$2:$H$501,"No")&gt;0,COUNTIFS(Scoresheet!$C$2:$C$501,A262,Scoresheet!$U$2:$U$501,1,Scoresheet!$J$2:$J$501,"No")&gt;0),"🚩 Budget  ·  🚩 No one on camera",IF(COUNTIFS(Scoresheet!$C$2:$C$501,A262,Scoresheet!$U$2:$U$501,1,Scoresheet!$H$2:$H$501,"No")&gt;0,"🚩 Budget under AED 5k",IF(COUNTIFS(Scoresheet!$C$2:$C$501,A262,Scoresheet!$U$2:$U$501,1,Scoresheet!$J$2:$J$501,"No")&gt;0,"🚩 No one on camera",""))))</f>
        <v/>
      </c>
      <c r="T262" s="17"/>
      <c r="U262" s="17"/>
      <c r="V262" s="40"/>
      <c r="W262" s="17"/>
      <c r="X262" s="45" t="str">
        <f aca="false">IF(OR(E262="",V262="",OR(U262="Contract signed + paid",U262="Closed – No response",U262="Lost"),N(W262)&gt;=Settings!$S$3),"",V262+Settings!$S$2)</f>
        <v/>
      </c>
      <c r="Y262" s="40"/>
      <c r="Z262" s="41"/>
      <c r="AA262" s="17"/>
      <c r="AB262" s="17"/>
      <c r="AC262" s="17"/>
      <c r="AD262" s="46" t="str">
        <f aca="true">IF(OR(E262="",B262=""),"",INT(TODAY()-B262))</f>
        <v/>
      </c>
      <c r="AE262" s="44" t="str">
        <f aca="true">IF(E262="","",IF(OR(COUNTIFS(Clients!$C$2:$C$501,E262,Clients!$S$2:$S$501,"Paid")&gt;0,AND(I262&lt;&gt;"",COUNTIFS(Clients!$E$2:$E$501,I262,Clients!$S$2:$S$501,"Paid")&gt;0)),"⚠ Refunded before – no free video",IF(OR(U262="Contract signed + paid",U262="Closed – No response",U262="Lost"),"",IF(U262="","Set a stage",IF(AND(U262="Proposal sent",SUMIFS(Scoresheet!$N$2:$N$501,Scoresheet!$C$2:$C$501,A262,Scoresheet!$U$2:$U$501,1)&lt;6),"Score this lead – fill the call scoresheet",IF(N(W262)&gt;=Settings!$S$3,"Close – 4 follow-ups sent",IF(X262="",IF(V262="","Make first contact",""),IF(TODAY()&gt;X262,"OVERDUE follow-up",IF(TODAY()=X262,"Follow up today","")))))))))</f>
        <v/>
      </c>
    </row>
    <row r="263" customFormat="false" ht="15" hidden="false" customHeight="false" outlineLevel="0" collapsed="false">
      <c r="A263" s="17"/>
      <c r="B263" s="40"/>
      <c r="C263" s="41"/>
      <c r="D263" s="17"/>
      <c r="E263" s="17"/>
      <c r="F263" s="17"/>
      <c r="G263" s="17"/>
      <c r="H263" s="17"/>
      <c r="I263" s="42"/>
      <c r="J263" s="17"/>
      <c r="K263" s="17"/>
      <c r="L263" s="17"/>
      <c r="M263" s="17"/>
      <c r="N263" s="40"/>
      <c r="O263" s="41"/>
      <c r="P263" s="43" t="str">
        <f aca="false">IF(OR(B263="",N263=""),"",ROUND(((N263+N(O263))-(B263+N(C263)))*24,1))</f>
        <v/>
      </c>
      <c r="Q263" s="44" t="str">
        <f aca="false">IF(OR(E263="",A263="",COUNTIFS(Scoresheet!$C$2:$C$501,A263,Scoresheet!$U$2:$U$501,1)=0),"",SUMIFS(Scoresheet!$O$2:$O$501,Scoresheet!$C$2:$C$501,A263,Scoresheet!$U$2:$U$501,1))</f>
        <v/>
      </c>
      <c r="R263" s="44" t="str">
        <f aca="false">IF(E263="","",IF(OR(A263="",COUNTIFS(Scoresheet!$C$2:$C$501,A263,Scoresheet!$U$2:$U$501,1)=0),"No scoresheet yet",IF(SUMIFS(Scoresheet!$N$2:$N$501,Scoresheet!$C$2:$C$501,A263,Scoresheet!$U$2:$U$501,1)&lt;6,"Partly scored ("&amp;SUMIFS(Scoresheet!$N$2:$N$501,Scoresheet!$C$2:$C$501,A263,Scoresheet!$U$2:$U$501,1)&amp;"/6)",IF(Q263&gt;=Settings!$S$8,"Hot",IF(Q263&gt;=Settings!$S$9,"Warm","Cold")))))</f>
        <v/>
      </c>
      <c r="S263" s="44" t="str">
        <f aca="false">IF(OR(E263="",A263=""),"",IF(AND(COUNTIFS(Scoresheet!$C$2:$C$501,A263,Scoresheet!$U$2:$U$501,1,Scoresheet!$H$2:$H$501,"No")&gt;0,COUNTIFS(Scoresheet!$C$2:$C$501,A263,Scoresheet!$U$2:$U$501,1,Scoresheet!$J$2:$J$501,"No")&gt;0),"🚩 Budget  ·  🚩 No one on camera",IF(COUNTIFS(Scoresheet!$C$2:$C$501,A263,Scoresheet!$U$2:$U$501,1,Scoresheet!$H$2:$H$501,"No")&gt;0,"🚩 Budget under AED 5k",IF(COUNTIFS(Scoresheet!$C$2:$C$501,A263,Scoresheet!$U$2:$U$501,1,Scoresheet!$J$2:$J$501,"No")&gt;0,"🚩 No one on camera",""))))</f>
        <v/>
      </c>
      <c r="T263" s="17"/>
      <c r="U263" s="17"/>
      <c r="V263" s="40"/>
      <c r="W263" s="17"/>
      <c r="X263" s="45" t="str">
        <f aca="false">IF(OR(E263="",V263="",OR(U263="Contract signed + paid",U263="Closed – No response",U263="Lost"),N(W263)&gt;=Settings!$S$3),"",V263+Settings!$S$2)</f>
        <v/>
      </c>
      <c r="Y263" s="40"/>
      <c r="Z263" s="41"/>
      <c r="AA263" s="17"/>
      <c r="AB263" s="17"/>
      <c r="AC263" s="17"/>
      <c r="AD263" s="46" t="str">
        <f aca="true">IF(OR(E263="",B263=""),"",INT(TODAY()-B263))</f>
        <v/>
      </c>
      <c r="AE263" s="44" t="str">
        <f aca="true">IF(E263="","",IF(OR(COUNTIFS(Clients!$C$2:$C$501,E263,Clients!$S$2:$S$501,"Paid")&gt;0,AND(I263&lt;&gt;"",COUNTIFS(Clients!$E$2:$E$501,I263,Clients!$S$2:$S$501,"Paid")&gt;0)),"⚠ Refunded before – no free video",IF(OR(U263="Contract signed + paid",U263="Closed – No response",U263="Lost"),"",IF(U263="","Set a stage",IF(AND(U263="Proposal sent",SUMIFS(Scoresheet!$N$2:$N$501,Scoresheet!$C$2:$C$501,A263,Scoresheet!$U$2:$U$501,1)&lt;6),"Score this lead – fill the call scoresheet",IF(N(W263)&gt;=Settings!$S$3,"Close – 4 follow-ups sent",IF(X263="",IF(V263="","Make first contact",""),IF(TODAY()&gt;X263,"OVERDUE follow-up",IF(TODAY()=X263,"Follow up today","")))))))))</f>
        <v/>
      </c>
    </row>
    <row r="264" customFormat="false" ht="15" hidden="false" customHeight="false" outlineLevel="0" collapsed="false">
      <c r="A264" s="17"/>
      <c r="B264" s="40"/>
      <c r="C264" s="41"/>
      <c r="D264" s="17"/>
      <c r="E264" s="17"/>
      <c r="F264" s="17"/>
      <c r="G264" s="17"/>
      <c r="H264" s="17"/>
      <c r="I264" s="42"/>
      <c r="J264" s="17"/>
      <c r="K264" s="17"/>
      <c r="L264" s="17"/>
      <c r="M264" s="17"/>
      <c r="N264" s="40"/>
      <c r="O264" s="41"/>
      <c r="P264" s="43" t="str">
        <f aca="false">IF(OR(B264="",N264=""),"",ROUND(((N264+N(O264))-(B264+N(C264)))*24,1))</f>
        <v/>
      </c>
      <c r="Q264" s="44" t="str">
        <f aca="false">IF(OR(E264="",A264="",COUNTIFS(Scoresheet!$C$2:$C$501,A264,Scoresheet!$U$2:$U$501,1)=0),"",SUMIFS(Scoresheet!$O$2:$O$501,Scoresheet!$C$2:$C$501,A264,Scoresheet!$U$2:$U$501,1))</f>
        <v/>
      </c>
      <c r="R264" s="44" t="str">
        <f aca="false">IF(E264="","",IF(OR(A264="",COUNTIFS(Scoresheet!$C$2:$C$501,A264,Scoresheet!$U$2:$U$501,1)=0),"No scoresheet yet",IF(SUMIFS(Scoresheet!$N$2:$N$501,Scoresheet!$C$2:$C$501,A264,Scoresheet!$U$2:$U$501,1)&lt;6,"Partly scored ("&amp;SUMIFS(Scoresheet!$N$2:$N$501,Scoresheet!$C$2:$C$501,A264,Scoresheet!$U$2:$U$501,1)&amp;"/6)",IF(Q264&gt;=Settings!$S$8,"Hot",IF(Q264&gt;=Settings!$S$9,"Warm","Cold")))))</f>
        <v/>
      </c>
      <c r="S264" s="44" t="str">
        <f aca="false">IF(OR(E264="",A264=""),"",IF(AND(COUNTIFS(Scoresheet!$C$2:$C$501,A264,Scoresheet!$U$2:$U$501,1,Scoresheet!$H$2:$H$501,"No")&gt;0,COUNTIFS(Scoresheet!$C$2:$C$501,A264,Scoresheet!$U$2:$U$501,1,Scoresheet!$J$2:$J$501,"No")&gt;0),"🚩 Budget  ·  🚩 No one on camera",IF(COUNTIFS(Scoresheet!$C$2:$C$501,A264,Scoresheet!$U$2:$U$501,1,Scoresheet!$H$2:$H$501,"No")&gt;0,"🚩 Budget under AED 5k",IF(COUNTIFS(Scoresheet!$C$2:$C$501,A264,Scoresheet!$U$2:$U$501,1,Scoresheet!$J$2:$J$501,"No")&gt;0,"🚩 No one on camera",""))))</f>
        <v/>
      </c>
      <c r="T264" s="17"/>
      <c r="U264" s="17"/>
      <c r="V264" s="40"/>
      <c r="W264" s="17"/>
      <c r="X264" s="45" t="str">
        <f aca="false">IF(OR(E264="",V264="",OR(U264="Contract signed + paid",U264="Closed – No response",U264="Lost"),N(W264)&gt;=Settings!$S$3),"",V264+Settings!$S$2)</f>
        <v/>
      </c>
      <c r="Y264" s="40"/>
      <c r="Z264" s="41"/>
      <c r="AA264" s="17"/>
      <c r="AB264" s="17"/>
      <c r="AC264" s="17"/>
      <c r="AD264" s="46" t="str">
        <f aca="true">IF(OR(E264="",B264=""),"",INT(TODAY()-B264))</f>
        <v/>
      </c>
      <c r="AE264" s="44" t="str">
        <f aca="true">IF(E264="","",IF(OR(COUNTIFS(Clients!$C$2:$C$501,E264,Clients!$S$2:$S$501,"Paid")&gt;0,AND(I264&lt;&gt;"",COUNTIFS(Clients!$E$2:$E$501,I264,Clients!$S$2:$S$501,"Paid")&gt;0)),"⚠ Refunded before – no free video",IF(OR(U264="Contract signed + paid",U264="Closed – No response",U264="Lost"),"",IF(U264="","Set a stage",IF(AND(U264="Proposal sent",SUMIFS(Scoresheet!$N$2:$N$501,Scoresheet!$C$2:$C$501,A264,Scoresheet!$U$2:$U$501,1)&lt;6),"Score this lead – fill the call scoresheet",IF(N(W264)&gt;=Settings!$S$3,"Close – 4 follow-ups sent",IF(X264="",IF(V264="","Make first contact",""),IF(TODAY()&gt;X264,"OVERDUE follow-up",IF(TODAY()=X264,"Follow up today","")))))))))</f>
        <v/>
      </c>
    </row>
    <row r="265" customFormat="false" ht="15" hidden="false" customHeight="false" outlineLevel="0" collapsed="false">
      <c r="A265" s="17"/>
      <c r="B265" s="40"/>
      <c r="C265" s="41"/>
      <c r="D265" s="17"/>
      <c r="E265" s="17"/>
      <c r="F265" s="17"/>
      <c r="G265" s="17"/>
      <c r="H265" s="17"/>
      <c r="I265" s="42"/>
      <c r="J265" s="17"/>
      <c r="K265" s="17"/>
      <c r="L265" s="17"/>
      <c r="M265" s="17"/>
      <c r="N265" s="40"/>
      <c r="O265" s="41"/>
      <c r="P265" s="43" t="str">
        <f aca="false">IF(OR(B265="",N265=""),"",ROUND(((N265+N(O265))-(B265+N(C265)))*24,1))</f>
        <v/>
      </c>
      <c r="Q265" s="44" t="str">
        <f aca="false">IF(OR(E265="",A265="",COUNTIFS(Scoresheet!$C$2:$C$501,A265,Scoresheet!$U$2:$U$501,1)=0),"",SUMIFS(Scoresheet!$O$2:$O$501,Scoresheet!$C$2:$C$501,A265,Scoresheet!$U$2:$U$501,1))</f>
        <v/>
      </c>
      <c r="R265" s="44" t="str">
        <f aca="false">IF(E265="","",IF(OR(A265="",COUNTIFS(Scoresheet!$C$2:$C$501,A265,Scoresheet!$U$2:$U$501,1)=0),"No scoresheet yet",IF(SUMIFS(Scoresheet!$N$2:$N$501,Scoresheet!$C$2:$C$501,A265,Scoresheet!$U$2:$U$501,1)&lt;6,"Partly scored ("&amp;SUMIFS(Scoresheet!$N$2:$N$501,Scoresheet!$C$2:$C$501,A265,Scoresheet!$U$2:$U$501,1)&amp;"/6)",IF(Q265&gt;=Settings!$S$8,"Hot",IF(Q265&gt;=Settings!$S$9,"Warm","Cold")))))</f>
        <v/>
      </c>
      <c r="S265" s="44" t="str">
        <f aca="false">IF(OR(E265="",A265=""),"",IF(AND(COUNTIFS(Scoresheet!$C$2:$C$501,A265,Scoresheet!$U$2:$U$501,1,Scoresheet!$H$2:$H$501,"No")&gt;0,COUNTIFS(Scoresheet!$C$2:$C$501,A265,Scoresheet!$U$2:$U$501,1,Scoresheet!$J$2:$J$501,"No")&gt;0),"🚩 Budget  ·  🚩 No one on camera",IF(COUNTIFS(Scoresheet!$C$2:$C$501,A265,Scoresheet!$U$2:$U$501,1,Scoresheet!$H$2:$H$501,"No")&gt;0,"🚩 Budget under AED 5k",IF(COUNTIFS(Scoresheet!$C$2:$C$501,A265,Scoresheet!$U$2:$U$501,1,Scoresheet!$J$2:$J$501,"No")&gt;0,"🚩 No one on camera",""))))</f>
        <v/>
      </c>
      <c r="T265" s="17"/>
      <c r="U265" s="17"/>
      <c r="V265" s="40"/>
      <c r="W265" s="17"/>
      <c r="X265" s="45" t="str">
        <f aca="false">IF(OR(E265="",V265="",OR(U265="Contract signed + paid",U265="Closed – No response",U265="Lost"),N(W265)&gt;=Settings!$S$3),"",V265+Settings!$S$2)</f>
        <v/>
      </c>
      <c r="Y265" s="40"/>
      <c r="Z265" s="41"/>
      <c r="AA265" s="17"/>
      <c r="AB265" s="17"/>
      <c r="AC265" s="17"/>
      <c r="AD265" s="46" t="str">
        <f aca="true">IF(OR(E265="",B265=""),"",INT(TODAY()-B265))</f>
        <v/>
      </c>
      <c r="AE265" s="44" t="str">
        <f aca="true">IF(E265="","",IF(OR(COUNTIFS(Clients!$C$2:$C$501,E265,Clients!$S$2:$S$501,"Paid")&gt;0,AND(I265&lt;&gt;"",COUNTIFS(Clients!$E$2:$E$501,I265,Clients!$S$2:$S$501,"Paid")&gt;0)),"⚠ Refunded before – no free video",IF(OR(U265="Contract signed + paid",U265="Closed – No response",U265="Lost"),"",IF(U265="","Set a stage",IF(AND(U265="Proposal sent",SUMIFS(Scoresheet!$N$2:$N$501,Scoresheet!$C$2:$C$501,A265,Scoresheet!$U$2:$U$501,1)&lt;6),"Score this lead – fill the call scoresheet",IF(N(W265)&gt;=Settings!$S$3,"Close – 4 follow-ups sent",IF(X265="",IF(V265="","Make first contact",""),IF(TODAY()&gt;X265,"OVERDUE follow-up",IF(TODAY()=X265,"Follow up today","")))))))))</f>
        <v/>
      </c>
    </row>
    <row r="266" customFormat="false" ht="15" hidden="false" customHeight="false" outlineLevel="0" collapsed="false">
      <c r="A266" s="17"/>
      <c r="B266" s="40"/>
      <c r="C266" s="41"/>
      <c r="D266" s="17"/>
      <c r="E266" s="17"/>
      <c r="F266" s="17"/>
      <c r="G266" s="17"/>
      <c r="H266" s="17"/>
      <c r="I266" s="42"/>
      <c r="J266" s="17"/>
      <c r="K266" s="17"/>
      <c r="L266" s="17"/>
      <c r="M266" s="17"/>
      <c r="N266" s="40"/>
      <c r="O266" s="41"/>
      <c r="P266" s="43" t="str">
        <f aca="false">IF(OR(B266="",N266=""),"",ROUND(((N266+N(O266))-(B266+N(C266)))*24,1))</f>
        <v/>
      </c>
      <c r="Q266" s="44" t="str">
        <f aca="false">IF(OR(E266="",A266="",COUNTIFS(Scoresheet!$C$2:$C$501,A266,Scoresheet!$U$2:$U$501,1)=0),"",SUMIFS(Scoresheet!$O$2:$O$501,Scoresheet!$C$2:$C$501,A266,Scoresheet!$U$2:$U$501,1))</f>
        <v/>
      </c>
      <c r="R266" s="44" t="str">
        <f aca="false">IF(E266="","",IF(OR(A266="",COUNTIFS(Scoresheet!$C$2:$C$501,A266,Scoresheet!$U$2:$U$501,1)=0),"No scoresheet yet",IF(SUMIFS(Scoresheet!$N$2:$N$501,Scoresheet!$C$2:$C$501,A266,Scoresheet!$U$2:$U$501,1)&lt;6,"Partly scored ("&amp;SUMIFS(Scoresheet!$N$2:$N$501,Scoresheet!$C$2:$C$501,A266,Scoresheet!$U$2:$U$501,1)&amp;"/6)",IF(Q266&gt;=Settings!$S$8,"Hot",IF(Q266&gt;=Settings!$S$9,"Warm","Cold")))))</f>
        <v/>
      </c>
      <c r="S266" s="44" t="str">
        <f aca="false">IF(OR(E266="",A266=""),"",IF(AND(COUNTIFS(Scoresheet!$C$2:$C$501,A266,Scoresheet!$U$2:$U$501,1,Scoresheet!$H$2:$H$501,"No")&gt;0,COUNTIFS(Scoresheet!$C$2:$C$501,A266,Scoresheet!$U$2:$U$501,1,Scoresheet!$J$2:$J$501,"No")&gt;0),"🚩 Budget  ·  🚩 No one on camera",IF(COUNTIFS(Scoresheet!$C$2:$C$501,A266,Scoresheet!$U$2:$U$501,1,Scoresheet!$H$2:$H$501,"No")&gt;0,"🚩 Budget under AED 5k",IF(COUNTIFS(Scoresheet!$C$2:$C$501,A266,Scoresheet!$U$2:$U$501,1,Scoresheet!$J$2:$J$501,"No")&gt;0,"🚩 No one on camera",""))))</f>
        <v/>
      </c>
      <c r="T266" s="17"/>
      <c r="U266" s="17"/>
      <c r="V266" s="40"/>
      <c r="W266" s="17"/>
      <c r="X266" s="45" t="str">
        <f aca="false">IF(OR(E266="",V266="",OR(U266="Contract signed + paid",U266="Closed – No response",U266="Lost"),N(W266)&gt;=Settings!$S$3),"",V266+Settings!$S$2)</f>
        <v/>
      </c>
      <c r="Y266" s="40"/>
      <c r="Z266" s="41"/>
      <c r="AA266" s="17"/>
      <c r="AB266" s="17"/>
      <c r="AC266" s="17"/>
      <c r="AD266" s="46" t="str">
        <f aca="true">IF(OR(E266="",B266=""),"",INT(TODAY()-B266))</f>
        <v/>
      </c>
      <c r="AE266" s="44" t="str">
        <f aca="true">IF(E266="","",IF(OR(COUNTIFS(Clients!$C$2:$C$501,E266,Clients!$S$2:$S$501,"Paid")&gt;0,AND(I266&lt;&gt;"",COUNTIFS(Clients!$E$2:$E$501,I266,Clients!$S$2:$S$501,"Paid")&gt;0)),"⚠ Refunded before – no free video",IF(OR(U266="Contract signed + paid",U266="Closed – No response",U266="Lost"),"",IF(U266="","Set a stage",IF(AND(U266="Proposal sent",SUMIFS(Scoresheet!$N$2:$N$501,Scoresheet!$C$2:$C$501,A266,Scoresheet!$U$2:$U$501,1)&lt;6),"Score this lead – fill the call scoresheet",IF(N(W266)&gt;=Settings!$S$3,"Close – 4 follow-ups sent",IF(X266="",IF(V266="","Make first contact",""),IF(TODAY()&gt;X266,"OVERDUE follow-up",IF(TODAY()=X266,"Follow up today","")))))))))</f>
        <v/>
      </c>
    </row>
    <row r="267" customFormat="false" ht="15" hidden="false" customHeight="false" outlineLevel="0" collapsed="false">
      <c r="A267" s="17"/>
      <c r="B267" s="40"/>
      <c r="C267" s="41"/>
      <c r="D267" s="17"/>
      <c r="E267" s="17"/>
      <c r="F267" s="17"/>
      <c r="G267" s="17"/>
      <c r="H267" s="17"/>
      <c r="I267" s="42"/>
      <c r="J267" s="17"/>
      <c r="K267" s="17"/>
      <c r="L267" s="17"/>
      <c r="M267" s="17"/>
      <c r="N267" s="40"/>
      <c r="O267" s="41"/>
      <c r="P267" s="43" t="str">
        <f aca="false">IF(OR(B267="",N267=""),"",ROUND(((N267+N(O267))-(B267+N(C267)))*24,1))</f>
        <v/>
      </c>
      <c r="Q267" s="44" t="str">
        <f aca="false">IF(OR(E267="",A267="",COUNTIFS(Scoresheet!$C$2:$C$501,A267,Scoresheet!$U$2:$U$501,1)=0),"",SUMIFS(Scoresheet!$O$2:$O$501,Scoresheet!$C$2:$C$501,A267,Scoresheet!$U$2:$U$501,1))</f>
        <v/>
      </c>
      <c r="R267" s="44" t="str">
        <f aca="false">IF(E267="","",IF(OR(A267="",COUNTIFS(Scoresheet!$C$2:$C$501,A267,Scoresheet!$U$2:$U$501,1)=0),"No scoresheet yet",IF(SUMIFS(Scoresheet!$N$2:$N$501,Scoresheet!$C$2:$C$501,A267,Scoresheet!$U$2:$U$501,1)&lt;6,"Partly scored ("&amp;SUMIFS(Scoresheet!$N$2:$N$501,Scoresheet!$C$2:$C$501,A267,Scoresheet!$U$2:$U$501,1)&amp;"/6)",IF(Q267&gt;=Settings!$S$8,"Hot",IF(Q267&gt;=Settings!$S$9,"Warm","Cold")))))</f>
        <v/>
      </c>
      <c r="S267" s="44" t="str">
        <f aca="false">IF(OR(E267="",A267=""),"",IF(AND(COUNTIFS(Scoresheet!$C$2:$C$501,A267,Scoresheet!$U$2:$U$501,1,Scoresheet!$H$2:$H$501,"No")&gt;0,COUNTIFS(Scoresheet!$C$2:$C$501,A267,Scoresheet!$U$2:$U$501,1,Scoresheet!$J$2:$J$501,"No")&gt;0),"🚩 Budget  ·  🚩 No one on camera",IF(COUNTIFS(Scoresheet!$C$2:$C$501,A267,Scoresheet!$U$2:$U$501,1,Scoresheet!$H$2:$H$501,"No")&gt;0,"🚩 Budget under AED 5k",IF(COUNTIFS(Scoresheet!$C$2:$C$501,A267,Scoresheet!$U$2:$U$501,1,Scoresheet!$J$2:$J$501,"No")&gt;0,"🚩 No one on camera",""))))</f>
        <v/>
      </c>
      <c r="T267" s="17"/>
      <c r="U267" s="17"/>
      <c r="V267" s="40"/>
      <c r="W267" s="17"/>
      <c r="X267" s="45" t="str">
        <f aca="false">IF(OR(E267="",V267="",OR(U267="Contract signed + paid",U267="Closed – No response",U267="Lost"),N(W267)&gt;=Settings!$S$3),"",V267+Settings!$S$2)</f>
        <v/>
      </c>
      <c r="Y267" s="40"/>
      <c r="Z267" s="41"/>
      <c r="AA267" s="17"/>
      <c r="AB267" s="17"/>
      <c r="AC267" s="17"/>
      <c r="AD267" s="46" t="str">
        <f aca="true">IF(OR(E267="",B267=""),"",INT(TODAY()-B267))</f>
        <v/>
      </c>
      <c r="AE267" s="44" t="str">
        <f aca="true">IF(E267="","",IF(OR(COUNTIFS(Clients!$C$2:$C$501,E267,Clients!$S$2:$S$501,"Paid")&gt;0,AND(I267&lt;&gt;"",COUNTIFS(Clients!$E$2:$E$501,I267,Clients!$S$2:$S$501,"Paid")&gt;0)),"⚠ Refunded before – no free video",IF(OR(U267="Contract signed + paid",U267="Closed – No response",U267="Lost"),"",IF(U267="","Set a stage",IF(AND(U267="Proposal sent",SUMIFS(Scoresheet!$N$2:$N$501,Scoresheet!$C$2:$C$501,A267,Scoresheet!$U$2:$U$501,1)&lt;6),"Score this lead – fill the call scoresheet",IF(N(W267)&gt;=Settings!$S$3,"Close – 4 follow-ups sent",IF(X267="",IF(V267="","Make first contact",""),IF(TODAY()&gt;X267,"OVERDUE follow-up",IF(TODAY()=X267,"Follow up today","")))))))))</f>
        <v/>
      </c>
    </row>
    <row r="268" customFormat="false" ht="15" hidden="false" customHeight="false" outlineLevel="0" collapsed="false">
      <c r="A268" s="17"/>
      <c r="B268" s="40"/>
      <c r="C268" s="41"/>
      <c r="D268" s="17"/>
      <c r="E268" s="17"/>
      <c r="F268" s="17"/>
      <c r="G268" s="17"/>
      <c r="H268" s="17"/>
      <c r="I268" s="42"/>
      <c r="J268" s="17"/>
      <c r="K268" s="17"/>
      <c r="L268" s="17"/>
      <c r="M268" s="17"/>
      <c r="N268" s="40"/>
      <c r="O268" s="41"/>
      <c r="P268" s="43" t="str">
        <f aca="false">IF(OR(B268="",N268=""),"",ROUND(((N268+N(O268))-(B268+N(C268)))*24,1))</f>
        <v/>
      </c>
      <c r="Q268" s="44" t="str">
        <f aca="false">IF(OR(E268="",A268="",COUNTIFS(Scoresheet!$C$2:$C$501,A268,Scoresheet!$U$2:$U$501,1)=0),"",SUMIFS(Scoresheet!$O$2:$O$501,Scoresheet!$C$2:$C$501,A268,Scoresheet!$U$2:$U$501,1))</f>
        <v/>
      </c>
      <c r="R268" s="44" t="str">
        <f aca="false">IF(E268="","",IF(OR(A268="",COUNTIFS(Scoresheet!$C$2:$C$501,A268,Scoresheet!$U$2:$U$501,1)=0),"No scoresheet yet",IF(SUMIFS(Scoresheet!$N$2:$N$501,Scoresheet!$C$2:$C$501,A268,Scoresheet!$U$2:$U$501,1)&lt;6,"Partly scored ("&amp;SUMIFS(Scoresheet!$N$2:$N$501,Scoresheet!$C$2:$C$501,A268,Scoresheet!$U$2:$U$501,1)&amp;"/6)",IF(Q268&gt;=Settings!$S$8,"Hot",IF(Q268&gt;=Settings!$S$9,"Warm","Cold")))))</f>
        <v/>
      </c>
      <c r="S268" s="44" t="str">
        <f aca="false">IF(OR(E268="",A268=""),"",IF(AND(COUNTIFS(Scoresheet!$C$2:$C$501,A268,Scoresheet!$U$2:$U$501,1,Scoresheet!$H$2:$H$501,"No")&gt;0,COUNTIFS(Scoresheet!$C$2:$C$501,A268,Scoresheet!$U$2:$U$501,1,Scoresheet!$J$2:$J$501,"No")&gt;0),"🚩 Budget  ·  🚩 No one on camera",IF(COUNTIFS(Scoresheet!$C$2:$C$501,A268,Scoresheet!$U$2:$U$501,1,Scoresheet!$H$2:$H$501,"No")&gt;0,"🚩 Budget under AED 5k",IF(COUNTIFS(Scoresheet!$C$2:$C$501,A268,Scoresheet!$U$2:$U$501,1,Scoresheet!$J$2:$J$501,"No")&gt;0,"🚩 No one on camera",""))))</f>
        <v/>
      </c>
      <c r="T268" s="17"/>
      <c r="U268" s="17"/>
      <c r="V268" s="40"/>
      <c r="W268" s="17"/>
      <c r="X268" s="45" t="str">
        <f aca="false">IF(OR(E268="",V268="",OR(U268="Contract signed + paid",U268="Closed – No response",U268="Lost"),N(W268)&gt;=Settings!$S$3),"",V268+Settings!$S$2)</f>
        <v/>
      </c>
      <c r="Y268" s="40"/>
      <c r="Z268" s="41"/>
      <c r="AA268" s="17"/>
      <c r="AB268" s="17"/>
      <c r="AC268" s="17"/>
      <c r="AD268" s="46" t="str">
        <f aca="true">IF(OR(E268="",B268=""),"",INT(TODAY()-B268))</f>
        <v/>
      </c>
      <c r="AE268" s="44" t="str">
        <f aca="true">IF(E268="","",IF(OR(COUNTIFS(Clients!$C$2:$C$501,E268,Clients!$S$2:$S$501,"Paid")&gt;0,AND(I268&lt;&gt;"",COUNTIFS(Clients!$E$2:$E$501,I268,Clients!$S$2:$S$501,"Paid")&gt;0)),"⚠ Refunded before – no free video",IF(OR(U268="Contract signed + paid",U268="Closed – No response",U268="Lost"),"",IF(U268="","Set a stage",IF(AND(U268="Proposal sent",SUMIFS(Scoresheet!$N$2:$N$501,Scoresheet!$C$2:$C$501,A268,Scoresheet!$U$2:$U$501,1)&lt;6),"Score this lead – fill the call scoresheet",IF(N(W268)&gt;=Settings!$S$3,"Close – 4 follow-ups sent",IF(X268="",IF(V268="","Make first contact",""),IF(TODAY()&gt;X268,"OVERDUE follow-up",IF(TODAY()=X268,"Follow up today","")))))))))</f>
        <v/>
      </c>
    </row>
    <row r="269" customFormat="false" ht="15" hidden="false" customHeight="false" outlineLevel="0" collapsed="false">
      <c r="A269" s="17"/>
      <c r="B269" s="40"/>
      <c r="C269" s="41"/>
      <c r="D269" s="17"/>
      <c r="E269" s="17"/>
      <c r="F269" s="17"/>
      <c r="G269" s="17"/>
      <c r="H269" s="17"/>
      <c r="I269" s="42"/>
      <c r="J269" s="17"/>
      <c r="K269" s="17"/>
      <c r="L269" s="17"/>
      <c r="M269" s="17"/>
      <c r="N269" s="40"/>
      <c r="O269" s="41"/>
      <c r="P269" s="43" t="str">
        <f aca="false">IF(OR(B269="",N269=""),"",ROUND(((N269+N(O269))-(B269+N(C269)))*24,1))</f>
        <v/>
      </c>
      <c r="Q269" s="44" t="str">
        <f aca="false">IF(OR(E269="",A269="",COUNTIFS(Scoresheet!$C$2:$C$501,A269,Scoresheet!$U$2:$U$501,1)=0),"",SUMIFS(Scoresheet!$O$2:$O$501,Scoresheet!$C$2:$C$501,A269,Scoresheet!$U$2:$U$501,1))</f>
        <v/>
      </c>
      <c r="R269" s="44" t="str">
        <f aca="false">IF(E269="","",IF(OR(A269="",COUNTIFS(Scoresheet!$C$2:$C$501,A269,Scoresheet!$U$2:$U$501,1)=0),"No scoresheet yet",IF(SUMIFS(Scoresheet!$N$2:$N$501,Scoresheet!$C$2:$C$501,A269,Scoresheet!$U$2:$U$501,1)&lt;6,"Partly scored ("&amp;SUMIFS(Scoresheet!$N$2:$N$501,Scoresheet!$C$2:$C$501,A269,Scoresheet!$U$2:$U$501,1)&amp;"/6)",IF(Q269&gt;=Settings!$S$8,"Hot",IF(Q269&gt;=Settings!$S$9,"Warm","Cold")))))</f>
        <v/>
      </c>
      <c r="S269" s="44" t="str">
        <f aca="false">IF(OR(E269="",A269=""),"",IF(AND(COUNTIFS(Scoresheet!$C$2:$C$501,A269,Scoresheet!$U$2:$U$501,1,Scoresheet!$H$2:$H$501,"No")&gt;0,COUNTIFS(Scoresheet!$C$2:$C$501,A269,Scoresheet!$U$2:$U$501,1,Scoresheet!$J$2:$J$501,"No")&gt;0),"🚩 Budget  ·  🚩 No one on camera",IF(COUNTIFS(Scoresheet!$C$2:$C$501,A269,Scoresheet!$U$2:$U$501,1,Scoresheet!$H$2:$H$501,"No")&gt;0,"🚩 Budget under AED 5k",IF(COUNTIFS(Scoresheet!$C$2:$C$501,A269,Scoresheet!$U$2:$U$501,1,Scoresheet!$J$2:$J$501,"No")&gt;0,"🚩 No one on camera",""))))</f>
        <v/>
      </c>
      <c r="T269" s="17"/>
      <c r="U269" s="17"/>
      <c r="V269" s="40"/>
      <c r="W269" s="17"/>
      <c r="X269" s="45" t="str">
        <f aca="false">IF(OR(E269="",V269="",OR(U269="Contract signed + paid",U269="Closed – No response",U269="Lost"),N(W269)&gt;=Settings!$S$3),"",V269+Settings!$S$2)</f>
        <v/>
      </c>
      <c r="Y269" s="40"/>
      <c r="Z269" s="41"/>
      <c r="AA269" s="17"/>
      <c r="AB269" s="17"/>
      <c r="AC269" s="17"/>
      <c r="AD269" s="46" t="str">
        <f aca="true">IF(OR(E269="",B269=""),"",INT(TODAY()-B269))</f>
        <v/>
      </c>
      <c r="AE269" s="44" t="str">
        <f aca="true">IF(E269="","",IF(OR(COUNTIFS(Clients!$C$2:$C$501,E269,Clients!$S$2:$S$501,"Paid")&gt;0,AND(I269&lt;&gt;"",COUNTIFS(Clients!$E$2:$E$501,I269,Clients!$S$2:$S$501,"Paid")&gt;0)),"⚠ Refunded before – no free video",IF(OR(U269="Contract signed + paid",U269="Closed – No response",U269="Lost"),"",IF(U269="","Set a stage",IF(AND(U269="Proposal sent",SUMIFS(Scoresheet!$N$2:$N$501,Scoresheet!$C$2:$C$501,A269,Scoresheet!$U$2:$U$501,1)&lt;6),"Score this lead – fill the call scoresheet",IF(N(W269)&gt;=Settings!$S$3,"Close – 4 follow-ups sent",IF(X269="",IF(V269="","Make first contact",""),IF(TODAY()&gt;X269,"OVERDUE follow-up",IF(TODAY()=X269,"Follow up today","")))))))))</f>
        <v/>
      </c>
    </row>
    <row r="270" customFormat="false" ht="15" hidden="false" customHeight="false" outlineLevel="0" collapsed="false">
      <c r="A270" s="17"/>
      <c r="B270" s="40"/>
      <c r="C270" s="41"/>
      <c r="D270" s="17"/>
      <c r="E270" s="17"/>
      <c r="F270" s="17"/>
      <c r="G270" s="17"/>
      <c r="H270" s="17"/>
      <c r="I270" s="42"/>
      <c r="J270" s="17"/>
      <c r="K270" s="17"/>
      <c r="L270" s="17"/>
      <c r="M270" s="17"/>
      <c r="N270" s="40"/>
      <c r="O270" s="41"/>
      <c r="P270" s="43" t="str">
        <f aca="false">IF(OR(B270="",N270=""),"",ROUND(((N270+N(O270))-(B270+N(C270)))*24,1))</f>
        <v/>
      </c>
      <c r="Q270" s="44" t="str">
        <f aca="false">IF(OR(E270="",A270="",COUNTIFS(Scoresheet!$C$2:$C$501,A270,Scoresheet!$U$2:$U$501,1)=0),"",SUMIFS(Scoresheet!$O$2:$O$501,Scoresheet!$C$2:$C$501,A270,Scoresheet!$U$2:$U$501,1))</f>
        <v/>
      </c>
      <c r="R270" s="44" t="str">
        <f aca="false">IF(E270="","",IF(OR(A270="",COUNTIFS(Scoresheet!$C$2:$C$501,A270,Scoresheet!$U$2:$U$501,1)=0),"No scoresheet yet",IF(SUMIFS(Scoresheet!$N$2:$N$501,Scoresheet!$C$2:$C$501,A270,Scoresheet!$U$2:$U$501,1)&lt;6,"Partly scored ("&amp;SUMIFS(Scoresheet!$N$2:$N$501,Scoresheet!$C$2:$C$501,A270,Scoresheet!$U$2:$U$501,1)&amp;"/6)",IF(Q270&gt;=Settings!$S$8,"Hot",IF(Q270&gt;=Settings!$S$9,"Warm","Cold")))))</f>
        <v/>
      </c>
      <c r="S270" s="44" t="str">
        <f aca="false">IF(OR(E270="",A270=""),"",IF(AND(COUNTIFS(Scoresheet!$C$2:$C$501,A270,Scoresheet!$U$2:$U$501,1,Scoresheet!$H$2:$H$501,"No")&gt;0,COUNTIFS(Scoresheet!$C$2:$C$501,A270,Scoresheet!$U$2:$U$501,1,Scoresheet!$J$2:$J$501,"No")&gt;0),"🚩 Budget  ·  🚩 No one on camera",IF(COUNTIFS(Scoresheet!$C$2:$C$501,A270,Scoresheet!$U$2:$U$501,1,Scoresheet!$H$2:$H$501,"No")&gt;0,"🚩 Budget under AED 5k",IF(COUNTIFS(Scoresheet!$C$2:$C$501,A270,Scoresheet!$U$2:$U$501,1,Scoresheet!$J$2:$J$501,"No")&gt;0,"🚩 No one on camera",""))))</f>
        <v/>
      </c>
      <c r="T270" s="17"/>
      <c r="U270" s="17"/>
      <c r="V270" s="40"/>
      <c r="W270" s="17"/>
      <c r="X270" s="45" t="str">
        <f aca="false">IF(OR(E270="",V270="",OR(U270="Contract signed + paid",U270="Closed – No response",U270="Lost"),N(W270)&gt;=Settings!$S$3),"",V270+Settings!$S$2)</f>
        <v/>
      </c>
      <c r="Y270" s="40"/>
      <c r="Z270" s="41"/>
      <c r="AA270" s="17"/>
      <c r="AB270" s="17"/>
      <c r="AC270" s="17"/>
      <c r="AD270" s="46" t="str">
        <f aca="true">IF(OR(E270="",B270=""),"",INT(TODAY()-B270))</f>
        <v/>
      </c>
      <c r="AE270" s="44" t="str">
        <f aca="true">IF(E270="","",IF(OR(COUNTIFS(Clients!$C$2:$C$501,E270,Clients!$S$2:$S$501,"Paid")&gt;0,AND(I270&lt;&gt;"",COUNTIFS(Clients!$E$2:$E$501,I270,Clients!$S$2:$S$501,"Paid")&gt;0)),"⚠ Refunded before – no free video",IF(OR(U270="Contract signed + paid",U270="Closed – No response",U270="Lost"),"",IF(U270="","Set a stage",IF(AND(U270="Proposal sent",SUMIFS(Scoresheet!$N$2:$N$501,Scoresheet!$C$2:$C$501,A270,Scoresheet!$U$2:$U$501,1)&lt;6),"Score this lead – fill the call scoresheet",IF(N(W270)&gt;=Settings!$S$3,"Close – 4 follow-ups sent",IF(X270="",IF(V270="","Make first contact",""),IF(TODAY()&gt;X270,"OVERDUE follow-up",IF(TODAY()=X270,"Follow up today","")))))))))</f>
        <v/>
      </c>
    </row>
    <row r="271" customFormat="false" ht="15" hidden="false" customHeight="false" outlineLevel="0" collapsed="false">
      <c r="A271" s="17"/>
      <c r="B271" s="40"/>
      <c r="C271" s="41"/>
      <c r="D271" s="17"/>
      <c r="E271" s="17"/>
      <c r="F271" s="17"/>
      <c r="G271" s="17"/>
      <c r="H271" s="17"/>
      <c r="I271" s="42"/>
      <c r="J271" s="17"/>
      <c r="K271" s="17"/>
      <c r="L271" s="17"/>
      <c r="M271" s="17"/>
      <c r="N271" s="40"/>
      <c r="O271" s="41"/>
      <c r="P271" s="43" t="str">
        <f aca="false">IF(OR(B271="",N271=""),"",ROUND(((N271+N(O271))-(B271+N(C271)))*24,1))</f>
        <v/>
      </c>
      <c r="Q271" s="44" t="str">
        <f aca="false">IF(OR(E271="",A271="",COUNTIFS(Scoresheet!$C$2:$C$501,A271,Scoresheet!$U$2:$U$501,1)=0),"",SUMIFS(Scoresheet!$O$2:$O$501,Scoresheet!$C$2:$C$501,A271,Scoresheet!$U$2:$U$501,1))</f>
        <v/>
      </c>
      <c r="R271" s="44" t="str">
        <f aca="false">IF(E271="","",IF(OR(A271="",COUNTIFS(Scoresheet!$C$2:$C$501,A271,Scoresheet!$U$2:$U$501,1)=0),"No scoresheet yet",IF(SUMIFS(Scoresheet!$N$2:$N$501,Scoresheet!$C$2:$C$501,A271,Scoresheet!$U$2:$U$501,1)&lt;6,"Partly scored ("&amp;SUMIFS(Scoresheet!$N$2:$N$501,Scoresheet!$C$2:$C$501,A271,Scoresheet!$U$2:$U$501,1)&amp;"/6)",IF(Q271&gt;=Settings!$S$8,"Hot",IF(Q271&gt;=Settings!$S$9,"Warm","Cold")))))</f>
        <v/>
      </c>
      <c r="S271" s="44" t="str">
        <f aca="false">IF(OR(E271="",A271=""),"",IF(AND(COUNTIFS(Scoresheet!$C$2:$C$501,A271,Scoresheet!$U$2:$U$501,1,Scoresheet!$H$2:$H$501,"No")&gt;0,COUNTIFS(Scoresheet!$C$2:$C$501,A271,Scoresheet!$U$2:$U$501,1,Scoresheet!$J$2:$J$501,"No")&gt;0),"🚩 Budget  ·  🚩 No one on camera",IF(COUNTIFS(Scoresheet!$C$2:$C$501,A271,Scoresheet!$U$2:$U$501,1,Scoresheet!$H$2:$H$501,"No")&gt;0,"🚩 Budget under AED 5k",IF(COUNTIFS(Scoresheet!$C$2:$C$501,A271,Scoresheet!$U$2:$U$501,1,Scoresheet!$J$2:$J$501,"No")&gt;0,"🚩 No one on camera",""))))</f>
        <v/>
      </c>
      <c r="T271" s="17"/>
      <c r="U271" s="17"/>
      <c r="V271" s="40"/>
      <c r="W271" s="17"/>
      <c r="X271" s="45" t="str">
        <f aca="false">IF(OR(E271="",V271="",OR(U271="Contract signed + paid",U271="Closed – No response",U271="Lost"),N(W271)&gt;=Settings!$S$3),"",V271+Settings!$S$2)</f>
        <v/>
      </c>
      <c r="Y271" s="40"/>
      <c r="Z271" s="41"/>
      <c r="AA271" s="17"/>
      <c r="AB271" s="17"/>
      <c r="AC271" s="17"/>
      <c r="AD271" s="46" t="str">
        <f aca="true">IF(OR(E271="",B271=""),"",INT(TODAY()-B271))</f>
        <v/>
      </c>
      <c r="AE271" s="44" t="str">
        <f aca="true">IF(E271="","",IF(OR(COUNTIFS(Clients!$C$2:$C$501,E271,Clients!$S$2:$S$501,"Paid")&gt;0,AND(I271&lt;&gt;"",COUNTIFS(Clients!$E$2:$E$501,I271,Clients!$S$2:$S$501,"Paid")&gt;0)),"⚠ Refunded before – no free video",IF(OR(U271="Contract signed + paid",U271="Closed – No response",U271="Lost"),"",IF(U271="","Set a stage",IF(AND(U271="Proposal sent",SUMIFS(Scoresheet!$N$2:$N$501,Scoresheet!$C$2:$C$501,A271,Scoresheet!$U$2:$U$501,1)&lt;6),"Score this lead – fill the call scoresheet",IF(N(W271)&gt;=Settings!$S$3,"Close – 4 follow-ups sent",IF(X271="",IF(V271="","Make first contact",""),IF(TODAY()&gt;X271,"OVERDUE follow-up",IF(TODAY()=X271,"Follow up today","")))))))))</f>
        <v/>
      </c>
    </row>
    <row r="272" customFormat="false" ht="15" hidden="false" customHeight="false" outlineLevel="0" collapsed="false">
      <c r="A272" s="17"/>
      <c r="B272" s="40"/>
      <c r="C272" s="41"/>
      <c r="D272" s="17"/>
      <c r="E272" s="17"/>
      <c r="F272" s="17"/>
      <c r="G272" s="17"/>
      <c r="H272" s="17"/>
      <c r="I272" s="42"/>
      <c r="J272" s="17"/>
      <c r="K272" s="17"/>
      <c r="L272" s="17"/>
      <c r="M272" s="17"/>
      <c r="N272" s="40"/>
      <c r="O272" s="41"/>
      <c r="P272" s="43" t="str">
        <f aca="false">IF(OR(B272="",N272=""),"",ROUND(((N272+N(O272))-(B272+N(C272)))*24,1))</f>
        <v/>
      </c>
      <c r="Q272" s="44" t="str">
        <f aca="false">IF(OR(E272="",A272="",COUNTIFS(Scoresheet!$C$2:$C$501,A272,Scoresheet!$U$2:$U$501,1)=0),"",SUMIFS(Scoresheet!$O$2:$O$501,Scoresheet!$C$2:$C$501,A272,Scoresheet!$U$2:$U$501,1))</f>
        <v/>
      </c>
      <c r="R272" s="44" t="str">
        <f aca="false">IF(E272="","",IF(OR(A272="",COUNTIFS(Scoresheet!$C$2:$C$501,A272,Scoresheet!$U$2:$U$501,1)=0),"No scoresheet yet",IF(SUMIFS(Scoresheet!$N$2:$N$501,Scoresheet!$C$2:$C$501,A272,Scoresheet!$U$2:$U$501,1)&lt;6,"Partly scored ("&amp;SUMIFS(Scoresheet!$N$2:$N$501,Scoresheet!$C$2:$C$501,A272,Scoresheet!$U$2:$U$501,1)&amp;"/6)",IF(Q272&gt;=Settings!$S$8,"Hot",IF(Q272&gt;=Settings!$S$9,"Warm","Cold")))))</f>
        <v/>
      </c>
      <c r="S272" s="44" t="str">
        <f aca="false">IF(OR(E272="",A272=""),"",IF(AND(COUNTIFS(Scoresheet!$C$2:$C$501,A272,Scoresheet!$U$2:$U$501,1,Scoresheet!$H$2:$H$501,"No")&gt;0,COUNTIFS(Scoresheet!$C$2:$C$501,A272,Scoresheet!$U$2:$U$501,1,Scoresheet!$J$2:$J$501,"No")&gt;0),"🚩 Budget  ·  🚩 No one on camera",IF(COUNTIFS(Scoresheet!$C$2:$C$501,A272,Scoresheet!$U$2:$U$501,1,Scoresheet!$H$2:$H$501,"No")&gt;0,"🚩 Budget under AED 5k",IF(COUNTIFS(Scoresheet!$C$2:$C$501,A272,Scoresheet!$U$2:$U$501,1,Scoresheet!$J$2:$J$501,"No")&gt;0,"🚩 No one on camera",""))))</f>
        <v/>
      </c>
      <c r="T272" s="17"/>
      <c r="U272" s="17"/>
      <c r="V272" s="40"/>
      <c r="W272" s="17"/>
      <c r="X272" s="45" t="str">
        <f aca="false">IF(OR(E272="",V272="",OR(U272="Contract signed + paid",U272="Closed – No response",U272="Lost"),N(W272)&gt;=Settings!$S$3),"",V272+Settings!$S$2)</f>
        <v/>
      </c>
      <c r="Y272" s="40"/>
      <c r="Z272" s="41"/>
      <c r="AA272" s="17"/>
      <c r="AB272" s="17"/>
      <c r="AC272" s="17"/>
      <c r="AD272" s="46" t="str">
        <f aca="true">IF(OR(E272="",B272=""),"",INT(TODAY()-B272))</f>
        <v/>
      </c>
      <c r="AE272" s="44" t="str">
        <f aca="true">IF(E272="","",IF(OR(COUNTIFS(Clients!$C$2:$C$501,E272,Clients!$S$2:$S$501,"Paid")&gt;0,AND(I272&lt;&gt;"",COUNTIFS(Clients!$E$2:$E$501,I272,Clients!$S$2:$S$501,"Paid")&gt;0)),"⚠ Refunded before – no free video",IF(OR(U272="Contract signed + paid",U272="Closed – No response",U272="Lost"),"",IF(U272="","Set a stage",IF(AND(U272="Proposal sent",SUMIFS(Scoresheet!$N$2:$N$501,Scoresheet!$C$2:$C$501,A272,Scoresheet!$U$2:$U$501,1)&lt;6),"Score this lead – fill the call scoresheet",IF(N(W272)&gt;=Settings!$S$3,"Close – 4 follow-ups sent",IF(X272="",IF(V272="","Make first contact",""),IF(TODAY()&gt;X272,"OVERDUE follow-up",IF(TODAY()=X272,"Follow up today","")))))))))</f>
        <v/>
      </c>
    </row>
    <row r="273" customFormat="false" ht="15" hidden="false" customHeight="false" outlineLevel="0" collapsed="false">
      <c r="A273" s="17"/>
      <c r="B273" s="40"/>
      <c r="C273" s="41"/>
      <c r="D273" s="17"/>
      <c r="E273" s="17"/>
      <c r="F273" s="17"/>
      <c r="G273" s="17"/>
      <c r="H273" s="17"/>
      <c r="I273" s="42"/>
      <c r="J273" s="17"/>
      <c r="K273" s="17"/>
      <c r="L273" s="17"/>
      <c r="M273" s="17"/>
      <c r="N273" s="40"/>
      <c r="O273" s="41"/>
      <c r="P273" s="43" t="str">
        <f aca="false">IF(OR(B273="",N273=""),"",ROUND(((N273+N(O273))-(B273+N(C273)))*24,1))</f>
        <v/>
      </c>
      <c r="Q273" s="44" t="str">
        <f aca="false">IF(OR(E273="",A273="",COUNTIFS(Scoresheet!$C$2:$C$501,A273,Scoresheet!$U$2:$U$501,1)=0),"",SUMIFS(Scoresheet!$O$2:$O$501,Scoresheet!$C$2:$C$501,A273,Scoresheet!$U$2:$U$501,1))</f>
        <v/>
      </c>
      <c r="R273" s="44" t="str">
        <f aca="false">IF(E273="","",IF(OR(A273="",COUNTIFS(Scoresheet!$C$2:$C$501,A273,Scoresheet!$U$2:$U$501,1)=0),"No scoresheet yet",IF(SUMIFS(Scoresheet!$N$2:$N$501,Scoresheet!$C$2:$C$501,A273,Scoresheet!$U$2:$U$501,1)&lt;6,"Partly scored ("&amp;SUMIFS(Scoresheet!$N$2:$N$501,Scoresheet!$C$2:$C$501,A273,Scoresheet!$U$2:$U$501,1)&amp;"/6)",IF(Q273&gt;=Settings!$S$8,"Hot",IF(Q273&gt;=Settings!$S$9,"Warm","Cold")))))</f>
        <v/>
      </c>
      <c r="S273" s="44" t="str">
        <f aca="false">IF(OR(E273="",A273=""),"",IF(AND(COUNTIFS(Scoresheet!$C$2:$C$501,A273,Scoresheet!$U$2:$U$501,1,Scoresheet!$H$2:$H$501,"No")&gt;0,COUNTIFS(Scoresheet!$C$2:$C$501,A273,Scoresheet!$U$2:$U$501,1,Scoresheet!$J$2:$J$501,"No")&gt;0),"🚩 Budget  ·  🚩 No one on camera",IF(COUNTIFS(Scoresheet!$C$2:$C$501,A273,Scoresheet!$U$2:$U$501,1,Scoresheet!$H$2:$H$501,"No")&gt;0,"🚩 Budget under AED 5k",IF(COUNTIFS(Scoresheet!$C$2:$C$501,A273,Scoresheet!$U$2:$U$501,1,Scoresheet!$J$2:$J$501,"No")&gt;0,"🚩 No one on camera",""))))</f>
        <v/>
      </c>
      <c r="T273" s="17"/>
      <c r="U273" s="17"/>
      <c r="V273" s="40"/>
      <c r="W273" s="17"/>
      <c r="X273" s="45" t="str">
        <f aca="false">IF(OR(E273="",V273="",OR(U273="Contract signed + paid",U273="Closed – No response",U273="Lost"),N(W273)&gt;=Settings!$S$3),"",V273+Settings!$S$2)</f>
        <v/>
      </c>
      <c r="Y273" s="40"/>
      <c r="Z273" s="41"/>
      <c r="AA273" s="17"/>
      <c r="AB273" s="17"/>
      <c r="AC273" s="17"/>
      <c r="AD273" s="46" t="str">
        <f aca="true">IF(OR(E273="",B273=""),"",INT(TODAY()-B273))</f>
        <v/>
      </c>
      <c r="AE273" s="44" t="str">
        <f aca="true">IF(E273="","",IF(OR(COUNTIFS(Clients!$C$2:$C$501,E273,Clients!$S$2:$S$501,"Paid")&gt;0,AND(I273&lt;&gt;"",COUNTIFS(Clients!$E$2:$E$501,I273,Clients!$S$2:$S$501,"Paid")&gt;0)),"⚠ Refunded before – no free video",IF(OR(U273="Contract signed + paid",U273="Closed – No response",U273="Lost"),"",IF(U273="","Set a stage",IF(AND(U273="Proposal sent",SUMIFS(Scoresheet!$N$2:$N$501,Scoresheet!$C$2:$C$501,A273,Scoresheet!$U$2:$U$501,1)&lt;6),"Score this lead – fill the call scoresheet",IF(N(W273)&gt;=Settings!$S$3,"Close – 4 follow-ups sent",IF(X273="",IF(V273="","Make first contact",""),IF(TODAY()&gt;X273,"OVERDUE follow-up",IF(TODAY()=X273,"Follow up today","")))))))))</f>
        <v/>
      </c>
    </row>
    <row r="274" customFormat="false" ht="15" hidden="false" customHeight="false" outlineLevel="0" collapsed="false">
      <c r="A274" s="17"/>
      <c r="B274" s="40"/>
      <c r="C274" s="41"/>
      <c r="D274" s="17"/>
      <c r="E274" s="17"/>
      <c r="F274" s="17"/>
      <c r="G274" s="17"/>
      <c r="H274" s="17"/>
      <c r="I274" s="42"/>
      <c r="J274" s="17"/>
      <c r="K274" s="17"/>
      <c r="L274" s="17"/>
      <c r="M274" s="17"/>
      <c r="N274" s="40"/>
      <c r="O274" s="41"/>
      <c r="P274" s="43" t="str">
        <f aca="false">IF(OR(B274="",N274=""),"",ROUND(((N274+N(O274))-(B274+N(C274)))*24,1))</f>
        <v/>
      </c>
      <c r="Q274" s="44" t="str">
        <f aca="false">IF(OR(E274="",A274="",COUNTIFS(Scoresheet!$C$2:$C$501,A274,Scoresheet!$U$2:$U$501,1)=0),"",SUMIFS(Scoresheet!$O$2:$O$501,Scoresheet!$C$2:$C$501,A274,Scoresheet!$U$2:$U$501,1))</f>
        <v/>
      </c>
      <c r="R274" s="44" t="str">
        <f aca="false">IF(E274="","",IF(OR(A274="",COUNTIFS(Scoresheet!$C$2:$C$501,A274,Scoresheet!$U$2:$U$501,1)=0),"No scoresheet yet",IF(SUMIFS(Scoresheet!$N$2:$N$501,Scoresheet!$C$2:$C$501,A274,Scoresheet!$U$2:$U$501,1)&lt;6,"Partly scored ("&amp;SUMIFS(Scoresheet!$N$2:$N$501,Scoresheet!$C$2:$C$501,A274,Scoresheet!$U$2:$U$501,1)&amp;"/6)",IF(Q274&gt;=Settings!$S$8,"Hot",IF(Q274&gt;=Settings!$S$9,"Warm","Cold")))))</f>
        <v/>
      </c>
      <c r="S274" s="44" t="str">
        <f aca="false">IF(OR(E274="",A274=""),"",IF(AND(COUNTIFS(Scoresheet!$C$2:$C$501,A274,Scoresheet!$U$2:$U$501,1,Scoresheet!$H$2:$H$501,"No")&gt;0,COUNTIFS(Scoresheet!$C$2:$C$501,A274,Scoresheet!$U$2:$U$501,1,Scoresheet!$J$2:$J$501,"No")&gt;0),"🚩 Budget  ·  🚩 No one on camera",IF(COUNTIFS(Scoresheet!$C$2:$C$501,A274,Scoresheet!$U$2:$U$501,1,Scoresheet!$H$2:$H$501,"No")&gt;0,"🚩 Budget under AED 5k",IF(COUNTIFS(Scoresheet!$C$2:$C$501,A274,Scoresheet!$U$2:$U$501,1,Scoresheet!$J$2:$J$501,"No")&gt;0,"🚩 No one on camera",""))))</f>
        <v/>
      </c>
      <c r="T274" s="17"/>
      <c r="U274" s="17"/>
      <c r="V274" s="40"/>
      <c r="W274" s="17"/>
      <c r="X274" s="45" t="str">
        <f aca="false">IF(OR(E274="",V274="",OR(U274="Contract signed + paid",U274="Closed – No response",U274="Lost"),N(W274)&gt;=Settings!$S$3),"",V274+Settings!$S$2)</f>
        <v/>
      </c>
      <c r="Y274" s="40"/>
      <c r="Z274" s="41"/>
      <c r="AA274" s="17"/>
      <c r="AB274" s="17"/>
      <c r="AC274" s="17"/>
      <c r="AD274" s="46" t="str">
        <f aca="true">IF(OR(E274="",B274=""),"",INT(TODAY()-B274))</f>
        <v/>
      </c>
      <c r="AE274" s="44" t="str">
        <f aca="true">IF(E274="","",IF(OR(COUNTIFS(Clients!$C$2:$C$501,E274,Clients!$S$2:$S$501,"Paid")&gt;0,AND(I274&lt;&gt;"",COUNTIFS(Clients!$E$2:$E$501,I274,Clients!$S$2:$S$501,"Paid")&gt;0)),"⚠ Refunded before – no free video",IF(OR(U274="Contract signed + paid",U274="Closed – No response",U274="Lost"),"",IF(U274="","Set a stage",IF(AND(U274="Proposal sent",SUMIFS(Scoresheet!$N$2:$N$501,Scoresheet!$C$2:$C$501,A274,Scoresheet!$U$2:$U$501,1)&lt;6),"Score this lead – fill the call scoresheet",IF(N(W274)&gt;=Settings!$S$3,"Close – 4 follow-ups sent",IF(X274="",IF(V274="","Make first contact",""),IF(TODAY()&gt;X274,"OVERDUE follow-up",IF(TODAY()=X274,"Follow up today","")))))))))</f>
        <v/>
      </c>
    </row>
    <row r="275" customFormat="false" ht="15" hidden="false" customHeight="false" outlineLevel="0" collapsed="false">
      <c r="A275" s="17"/>
      <c r="B275" s="40"/>
      <c r="C275" s="41"/>
      <c r="D275" s="17"/>
      <c r="E275" s="17"/>
      <c r="F275" s="17"/>
      <c r="G275" s="17"/>
      <c r="H275" s="17"/>
      <c r="I275" s="42"/>
      <c r="J275" s="17"/>
      <c r="K275" s="17"/>
      <c r="L275" s="17"/>
      <c r="M275" s="17"/>
      <c r="N275" s="40"/>
      <c r="O275" s="41"/>
      <c r="P275" s="43" t="str">
        <f aca="false">IF(OR(B275="",N275=""),"",ROUND(((N275+N(O275))-(B275+N(C275)))*24,1))</f>
        <v/>
      </c>
      <c r="Q275" s="44" t="str">
        <f aca="false">IF(OR(E275="",A275="",COUNTIFS(Scoresheet!$C$2:$C$501,A275,Scoresheet!$U$2:$U$501,1)=0),"",SUMIFS(Scoresheet!$O$2:$O$501,Scoresheet!$C$2:$C$501,A275,Scoresheet!$U$2:$U$501,1))</f>
        <v/>
      </c>
      <c r="R275" s="44" t="str">
        <f aca="false">IF(E275="","",IF(OR(A275="",COUNTIFS(Scoresheet!$C$2:$C$501,A275,Scoresheet!$U$2:$U$501,1)=0),"No scoresheet yet",IF(SUMIFS(Scoresheet!$N$2:$N$501,Scoresheet!$C$2:$C$501,A275,Scoresheet!$U$2:$U$501,1)&lt;6,"Partly scored ("&amp;SUMIFS(Scoresheet!$N$2:$N$501,Scoresheet!$C$2:$C$501,A275,Scoresheet!$U$2:$U$501,1)&amp;"/6)",IF(Q275&gt;=Settings!$S$8,"Hot",IF(Q275&gt;=Settings!$S$9,"Warm","Cold")))))</f>
        <v/>
      </c>
      <c r="S275" s="44" t="str">
        <f aca="false">IF(OR(E275="",A275=""),"",IF(AND(COUNTIFS(Scoresheet!$C$2:$C$501,A275,Scoresheet!$U$2:$U$501,1,Scoresheet!$H$2:$H$501,"No")&gt;0,COUNTIFS(Scoresheet!$C$2:$C$501,A275,Scoresheet!$U$2:$U$501,1,Scoresheet!$J$2:$J$501,"No")&gt;0),"🚩 Budget  ·  🚩 No one on camera",IF(COUNTIFS(Scoresheet!$C$2:$C$501,A275,Scoresheet!$U$2:$U$501,1,Scoresheet!$H$2:$H$501,"No")&gt;0,"🚩 Budget under AED 5k",IF(COUNTIFS(Scoresheet!$C$2:$C$501,A275,Scoresheet!$U$2:$U$501,1,Scoresheet!$J$2:$J$501,"No")&gt;0,"🚩 No one on camera",""))))</f>
        <v/>
      </c>
      <c r="T275" s="17"/>
      <c r="U275" s="17"/>
      <c r="V275" s="40"/>
      <c r="W275" s="17"/>
      <c r="X275" s="45" t="str">
        <f aca="false">IF(OR(E275="",V275="",OR(U275="Contract signed + paid",U275="Closed – No response",U275="Lost"),N(W275)&gt;=Settings!$S$3),"",V275+Settings!$S$2)</f>
        <v/>
      </c>
      <c r="Y275" s="40"/>
      <c r="Z275" s="41"/>
      <c r="AA275" s="17"/>
      <c r="AB275" s="17"/>
      <c r="AC275" s="17"/>
      <c r="AD275" s="46" t="str">
        <f aca="true">IF(OR(E275="",B275=""),"",INT(TODAY()-B275))</f>
        <v/>
      </c>
      <c r="AE275" s="44" t="str">
        <f aca="true">IF(E275="","",IF(OR(COUNTIFS(Clients!$C$2:$C$501,E275,Clients!$S$2:$S$501,"Paid")&gt;0,AND(I275&lt;&gt;"",COUNTIFS(Clients!$E$2:$E$501,I275,Clients!$S$2:$S$501,"Paid")&gt;0)),"⚠ Refunded before – no free video",IF(OR(U275="Contract signed + paid",U275="Closed – No response",U275="Lost"),"",IF(U275="","Set a stage",IF(AND(U275="Proposal sent",SUMIFS(Scoresheet!$N$2:$N$501,Scoresheet!$C$2:$C$501,A275,Scoresheet!$U$2:$U$501,1)&lt;6),"Score this lead – fill the call scoresheet",IF(N(W275)&gt;=Settings!$S$3,"Close – 4 follow-ups sent",IF(X275="",IF(V275="","Make first contact",""),IF(TODAY()&gt;X275,"OVERDUE follow-up",IF(TODAY()=X275,"Follow up today","")))))))))</f>
        <v/>
      </c>
    </row>
    <row r="276" customFormat="false" ht="15" hidden="false" customHeight="false" outlineLevel="0" collapsed="false">
      <c r="A276" s="17"/>
      <c r="B276" s="40"/>
      <c r="C276" s="41"/>
      <c r="D276" s="17"/>
      <c r="E276" s="17"/>
      <c r="F276" s="17"/>
      <c r="G276" s="17"/>
      <c r="H276" s="17"/>
      <c r="I276" s="42"/>
      <c r="J276" s="17"/>
      <c r="K276" s="17"/>
      <c r="L276" s="17"/>
      <c r="M276" s="17"/>
      <c r="N276" s="40"/>
      <c r="O276" s="41"/>
      <c r="P276" s="43" t="str">
        <f aca="false">IF(OR(B276="",N276=""),"",ROUND(((N276+N(O276))-(B276+N(C276)))*24,1))</f>
        <v/>
      </c>
      <c r="Q276" s="44" t="str">
        <f aca="false">IF(OR(E276="",A276="",COUNTIFS(Scoresheet!$C$2:$C$501,A276,Scoresheet!$U$2:$U$501,1)=0),"",SUMIFS(Scoresheet!$O$2:$O$501,Scoresheet!$C$2:$C$501,A276,Scoresheet!$U$2:$U$501,1))</f>
        <v/>
      </c>
      <c r="R276" s="44" t="str">
        <f aca="false">IF(E276="","",IF(OR(A276="",COUNTIFS(Scoresheet!$C$2:$C$501,A276,Scoresheet!$U$2:$U$501,1)=0),"No scoresheet yet",IF(SUMIFS(Scoresheet!$N$2:$N$501,Scoresheet!$C$2:$C$501,A276,Scoresheet!$U$2:$U$501,1)&lt;6,"Partly scored ("&amp;SUMIFS(Scoresheet!$N$2:$N$501,Scoresheet!$C$2:$C$501,A276,Scoresheet!$U$2:$U$501,1)&amp;"/6)",IF(Q276&gt;=Settings!$S$8,"Hot",IF(Q276&gt;=Settings!$S$9,"Warm","Cold")))))</f>
        <v/>
      </c>
      <c r="S276" s="44" t="str">
        <f aca="false">IF(OR(E276="",A276=""),"",IF(AND(COUNTIFS(Scoresheet!$C$2:$C$501,A276,Scoresheet!$U$2:$U$501,1,Scoresheet!$H$2:$H$501,"No")&gt;0,COUNTIFS(Scoresheet!$C$2:$C$501,A276,Scoresheet!$U$2:$U$501,1,Scoresheet!$J$2:$J$501,"No")&gt;0),"🚩 Budget  ·  🚩 No one on camera",IF(COUNTIFS(Scoresheet!$C$2:$C$501,A276,Scoresheet!$U$2:$U$501,1,Scoresheet!$H$2:$H$501,"No")&gt;0,"🚩 Budget under AED 5k",IF(COUNTIFS(Scoresheet!$C$2:$C$501,A276,Scoresheet!$U$2:$U$501,1,Scoresheet!$J$2:$J$501,"No")&gt;0,"🚩 No one on camera",""))))</f>
        <v/>
      </c>
      <c r="T276" s="17"/>
      <c r="U276" s="17"/>
      <c r="V276" s="40"/>
      <c r="W276" s="17"/>
      <c r="X276" s="45" t="str">
        <f aca="false">IF(OR(E276="",V276="",OR(U276="Contract signed + paid",U276="Closed – No response",U276="Lost"),N(W276)&gt;=Settings!$S$3),"",V276+Settings!$S$2)</f>
        <v/>
      </c>
      <c r="Y276" s="40"/>
      <c r="Z276" s="41"/>
      <c r="AA276" s="17"/>
      <c r="AB276" s="17"/>
      <c r="AC276" s="17"/>
      <c r="AD276" s="46" t="str">
        <f aca="true">IF(OR(E276="",B276=""),"",INT(TODAY()-B276))</f>
        <v/>
      </c>
      <c r="AE276" s="44" t="str">
        <f aca="true">IF(E276="","",IF(OR(COUNTIFS(Clients!$C$2:$C$501,E276,Clients!$S$2:$S$501,"Paid")&gt;0,AND(I276&lt;&gt;"",COUNTIFS(Clients!$E$2:$E$501,I276,Clients!$S$2:$S$501,"Paid")&gt;0)),"⚠ Refunded before – no free video",IF(OR(U276="Contract signed + paid",U276="Closed – No response",U276="Lost"),"",IF(U276="","Set a stage",IF(AND(U276="Proposal sent",SUMIFS(Scoresheet!$N$2:$N$501,Scoresheet!$C$2:$C$501,A276,Scoresheet!$U$2:$U$501,1)&lt;6),"Score this lead – fill the call scoresheet",IF(N(W276)&gt;=Settings!$S$3,"Close – 4 follow-ups sent",IF(X276="",IF(V276="","Make first contact",""),IF(TODAY()&gt;X276,"OVERDUE follow-up",IF(TODAY()=X276,"Follow up today","")))))))))</f>
        <v/>
      </c>
    </row>
    <row r="277" customFormat="false" ht="15" hidden="false" customHeight="false" outlineLevel="0" collapsed="false">
      <c r="A277" s="17"/>
      <c r="B277" s="40"/>
      <c r="C277" s="41"/>
      <c r="D277" s="17"/>
      <c r="E277" s="17"/>
      <c r="F277" s="17"/>
      <c r="G277" s="17"/>
      <c r="H277" s="17"/>
      <c r="I277" s="42"/>
      <c r="J277" s="17"/>
      <c r="K277" s="17"/>
      <c r="L277" s="17"/>
      <c r="M277" s="17"/>
      <c r="N277" s="40"/>
      <c r="O277" s="41"/>
      <c r="P277" s="43" t="str">
        <f aca="false">IF(OR(B277="",N277=""),"",ROUND(((N277+N(O277))-(B277+N(C277)))*24,1))</f>
        <v/>
      </c>
      <c r="Q277" s="44" t="str">
        <f aca="false">IF(OR(E277="",A277="",COUNTIFS(Scoresheet!$C$2:$C$501,A277,Scoresheet!$U$2:$U$501,1)=0),"",SUMIFS(Scoresheet!$O$2:$O$501,Scoresheet!$C$2:$C$501,A277,Scoresheet!$U$2:$U$501,1))</f>
        <v/>
      </c>
      <c r="R277" s="44" t="str">
        <f aca="false">IF(E277="","",IF(OR(A277="",COUNTIFS(Scoresheet!$C$2:$C$501,A277,Scoresheet!$U$2:$U$501,1)=0),"No scoresheet yet",IF(SUMIFS(Scoresheet!$N$2:$N$501,Scoresheet!$C$2:$C$501,A277,Scoresheet!$U$2:$U$501,1)&lt;6,"Partly scored ("&amp;SUMIFS(Scoresheet!$N$2:$N$501,Scoresheet!$C$2:$C$501,A277,Scoresheet!$U$2:$U$501,1)&amp;"/6)",IF(Q277&gt;=Settings!$S$8,"Hot",IF(Q277&gt;=Settings!$S$9,"Warm","Cold")))))</f>
        <v/>
      </c>
      <c r="S277" s="44" t="str">
        <f aca="false">IF(OR(E277="",A277=""),"",IF(AND(COUNTIFS(Scoresheet!$C$2:$C$501,A277,Scoresheet!$U$2:$U$501,1,Scoresheet!$H$2:$H$501,"No")&gt;0,COUNTIFS(Scoresheet!$C$2:$C$501,A277,Scoresheet!$U$2:$U$501,1,Scoresheet!$J$2:$J$501,"No")&gt;0),"🚩 Budget  ·  🚩 No one on camera",IF(COUNTIFS(Scoresheet!$C$2:$C$501,A277,Scoresheet!$U$2:$U$501,1,Scoresheet!$H$2:$H$501,"No")&gt;0,"🚩 Budget under AED 5k",IF(COUNTIFS(Scoresheet!$C$2:$C$501,A277,Scoresheet!$U$2:$U$501,1,Scoresheet!$J$2:$J$501,"No")&gt;0,"🚩 No one on camera",""))))</f>
        <v/>
      </c>
      <c r="T277" s="17"/>
      <c r="U277" s="17"/>
      <c r="V277" s="40"/>
      <c r="W277" s="17"/>
      <c r="X277" s="45" t="str">
        <f aca="false">IF(OR(E277="",V277="",OR(U277="Contract signed + paid",U277="Closed – No response",U277="Lost"),N(W277)&gt;=Settings!$S$3),"",V277+Settings!$S$2)</f>
        <v/>
      </c>
      <c r="Y277" s="40"/>
      <c r="Z277" s="41"/>
      <c r="AA277" s="17"/>
      <c r="AB277" s="17"/>
      <c r="AC277" s="17"/>
      <c r="AD277" s="46" t="str">
        <f aca="true">IF(OR(E277="",B277=""),"",INT(TODAY()-B277))</f>
        <v/>
      </c>
      <c r="AE277" s="44" t="str">
        <f aca="true">IF(E277="","",IF(OR(COUNTIFS(Clients!$C$2:$C$501,E277,Clients!$S$2:$S$501,"Paid")&gt;0,AND(I277&lt;&gt;"",COUNTIFS(Clients!$E$2:$E$501,I277,Clients!$S$2:$S$501,"Paid")&gt;0)),"⚠ Refunded before – no free video",IF(OR(U277="Contract signed + paid",U277="Closed – No response",U277="Lost"),"",IF(U277="","Set a stage",IF(AND(U277="Proposal sent",SUMIFS(Scoresheet!$N$2:$N$501,Scoresheet!$C$2:$C$501,A277,Scoresheet!$U$2:$U$501,1)&lt;6),"Score this lead – fill the call scoresheet",IF(N(W277)&gt;=Settings!$S$3,"Close – 4 follow-ups sent",IF(X277="",IF(V277="","Make first contact",""),IF(TODAY()&gt;X277,"OVERDUE follow-up",IF(TODAY()=X277,"Follow up today","")))))))))</f>
        <v/>
      </c>
    </row>
    <row r="278" customFormat="false" ht="15" hidden="false" customHeight="false" outlineLevel="0" collapsed="false">
      <c r="A278" s="17"/>
      <c r="B278" s="40"/>
      <c r="C278" s="41"/>
      <c r="D278" s="17"/>
      <c r="E278" s="17"/>
      <c r="F278" s="17"/>
      <c r="G278" s="17"/>
      <c r="H278" s="17"/>
      <c r="I278" s="42"/>
      <c r="J278" s="17"/>
      <c r="K278" s="17"/>
      <c r="L278" s="17"/>
      <c r="M278" s="17"/>
      <c r="N278" s="40"/>
      <c r="O278" s="41"/>
      <c r="P278" s="43" t="str">
        <f aca="false">IF(OR(B278="",N278=""),"",ROUND(((N278+N(O278))-(B278+N(C278)))*24,1))</f>
        <v/>
      </c>
      <c r="Q278" s="44" t="str">
        <f aca="false">IF(OR(E278="",A278="",COUNTIFS(Scoresheet!$C$2:$C$501,A278,Scoresheet!$U$2:$U$501,1)=0),"",SUMIFS(Scoresheet!$O$2:$O$501,Scoresheet!$C$2:$C$501,A278,Scoresheet!$U$2:$U$501,1))</f>
        <v/>
      </c>
      <c r="R278" s="44" t="str">
        <f aca="false">IF(E278="","",IF(OR(A278="",COUNTIFS(Scoresheet!$C$2:$C$501,A278,Scoresheet!$U$2:$U$501,1)=0),"No scoresheet yet",IF(SUMIFS(Scoresheet!$N$2:$N$501,Scoresheet!$C$2:$C$501,A278,Scoresheet!$U$2:$U$501,1)&lt;6,"Partly scored ("&amp;SUMIFS(Scoresheet!$N$2:$N$501,Scoresheet!$C$2:$C$501,A278,Scoresheet!$U$2:$U$501,1)&amp;"/6)",IF(Q278&gt;=Settings!$S$8,"Hot",IF(Q278&gt;=Settings!$S$9,"Warm","Cold")))))</f>
        <v/>
      </c>
      <c r="S278" s="44" t="str">
        <f aca="false">IF(OR(E278="",A278=""),"",IF(AND(COUNTIFS(Scoresheet!$C$2:$C$501,A278,Scoresheet!$U$2:$U$501,1,Scoresheet!$H$2:$H$501,"No")&gt;0,COUNTIFS(Scoresheet!$C$2:$C$501,A278,Scoresheet!$U$2:$U$501,1,Scoresheet!$J$2:$J$501,"No")&gt;0),"🚩 Budget  ·  🚩 No one on camera",IF(COUNTIFS(Scoresheet!$C$2:$C$501,A278,Scoresheet!$U$2:$U$501,1,Scoresheet!$H$2:$H$501,"No")&gt;0,"🚩 Budget under AED 5k",IF(COUNTIFS(Scoresheet!$C$2:$C$501,A278,Scoresheet!$U$2:$U$501,1,Scoresheet!$J$2:$J$501,"No")&gt;0,"🚩 No one on camera",""))))</f>
        <v/>
      </c>
      <c r="T278" s="17"/>
      <c r="U278" s="17"/>
      <c r="V278" s="40"/>
      <c r="W278" s="17"/>
      <c r="X278" s="45" t="str">
        <f aca="false">IF(OR(E278="",V278="",OR(U278="Contract signed + paid",U278="Closed – No response",U278="Lost"),N(W278)&gt;=Settings!$S$3),"",V278+Settings!$S$2)</f>
        <v/>
      </c>
      <c r="Y278" s="40"/>
      <c r="Z278" s="41"/>
      <c r="AA278" s="17"/>
      <c r="AB278" s="17"/>
      <c r="AC278" s="17"/>
      <c r="AD278" s="46" t="str">
        <f aca="true">IF(OR(E278="",B278=""),"",INT(TODAY()-B278))</f>
        <v/>
      </c>
      <c r="AE278" s="44" t="str">
        <f aca="true">IF(E278="","",IF(OR(COUNTIFS(Clients!$C$2:$C$501,E278,Clients!$S$2:$S$501,"Paid")&gt;0,AND(I278&lt;&gt;"",COUNTIFS(Clients!$E$2:$E$501,I278,Clients!$S$2:$S$501,"Paid")&gt;0)),"⚠ Refunded before – no free video",IF(OR(U278="Contract signed + paid",U278="Closed – No response",U278="Lost"),"",IF(U278="","Set a stage",IF(AND(U278="Proposal sent",SUMIFS(Scoresheet!$N$2:$N$501,Scoresheet!$C$2:$C$501,A278,Scoresheet!$U$2:$U$501,1)&lt;6),"Score this lead – fill the call scoresheet",IF(N(W278)&gt;=Settings!$S$3,"Close – 4 follow-ups sent",IF(X278="",IF(V278="","Make first contact",""),IF(TODAY()&gt;X278,"OVERDUE follow-up",IF(TODAY()=X278,"Follow up today","")))))))))</f>
        <v/>
      </c>
    </row>
    <row r="279" customFormat="false" ht="15" hidden="false" customHeight="false" outlineLevel="0" collapsed="false">
      <c r="A279" s="17"/>
      <c r="B279" s="40"/>
      <c r="C279" s="41"/>
      <c r="D279" s="17"/>
      <c r="E279" s="17"/>
      <c r="F279" s="17"/>
      <c r="G279" s="17"/>
      <c r="H279" s="17"/>
      <c r="I279" s="42"/>
      <c r="J279" s="17"/>
      <c r="K279" s="17"/>
      <c r="L279" s="17"/>
      <c r="M279" s="17"/>
      <c r="N279" s="40"/>
      <c r="O279" s="41"/>
      <c r="P279" s="43" t="str">
        <f aca="false">IF(OR(B279="",N279=""),"",ROUND(((N279+N(O279))-(B279+N(C279)))*24,1))</f>
        <v/>
      </c>
      <c r="Q279" s="44" t="str">
        <f aca="false">IF(OR(E279="",A279="",COUNTIFS(Scoresheet!$C$2:$C$501,A279,Scoresheet!$U$2:$U$501,1)=0),"",SUMIFS(Scoresheet!$O$2:$O$501,Scoresheet!$C$2:$C$501,A279,Scoresheet!$U$2:$U$501,1))</f>
        <v/>
      </c>
      <c r="R279" s="44" t="str">
        <f aca="false">IF(E279="","",IF(OR(A279="",COUNTIFS(Scoresheet!$C$2:$C$501,A279,Scoresheet!$U$2:$U$501,1)=0),"No scoresheet yet",IF(SUMIFS(Scoresheet!$N$2:$N$501,Scoresheet!$C$2:$C$501,A279,Scoresheet!$U$2:$U$501,1)&lt;6,"Partly scored ("&amp;SUMIFS(Scoresheet!$N$2:$N$501,Scoresheet!$C$2:$C$501,A279,Scoresheet!$U$2:$U$501,1)&amp;"/6)",IF(Q279&gt;=Settings!$S$8,"Hot",IF(Q279&gt;=Settings!$S$9,"Warm","Cold")))))</f>
        <v/>
      </c>
      <c r="S279" s="44" t="str">
        <f aca="false">IF(OR(E279="",A279=""),"",IF(AND(COUNTIFS(Scoresheet!$C$2:$C$501,A279,Scoresheet!$U$2:$U$501,1,Scoresheet!$H$2:$H$501,"No")&gt;0,COUNTIFS(Scoresheet!$C$2:$C$501,A279,Scoresheet!$U$2:$U$501,1,Scoresheet!$J$2:$J$501,"No")&gt;0),"🚩 Budget  ·  🚩 No one on camera",IF(COUNTIFS(Scoresheet!$C$2:$C$501,A279,Scoresheet!$U$2:$U$501,1,Scoresheet!$H$2:$H$501,"No")&gt;0,"🚩 Budget under AED 5k",IF(COUNTIFS(Scoresheet!$C$2:$C$501,A279,Scoresheet!$U$2:$U$501,1,Scoresheet!$J$2:$J$501,"No")&gt;0,"🚩 No one on camera",""))))</f>
        <v/>
      </c>
      <c r="T279" s="17"/>
      <c r="U279" s="17"/>
      <c r="V279" s="40"/>
      <c r="W279" s="17"/>
      <c r="X279" s="45" t="str">
        <f aca="false">IF(OR(E279="",V279="",OR(U279="Contract signed + paid",U279="Closed – No response",U279="Lost"),N(W279)&gt;=Settings!$S$3),"",V279+Settings!$S$2)</f>
        <v/>
      </c>
      <c r="Y279" s="40"/>
      <c r="Z279" s="41"/>
      <c r="AA279" s="17"/>
      <c r="AB279" s="17"/>
      <c r="AC279" s="17"/>
      <c r="AD279" s="46" t="str">
        <f aca="true">IF(OR(E279="",B279=""),"",INT(TODAY()-B279))</f>
        <v/>
      </c>
      <c r="AE279" s="44" t="str">
        <f aca="true">IF(E279="","",IF(OR(COUNTIFS(Clients!$C$2:$C$501,E279,Clients!$S$2:$S$501,"Paid")&gt;0,AND(I279&lt;&gt;"",COUNTIFS(Clients!$E$2:$E$501,I279,Clients!$S$2:$S$501,"Paid")&gt;0)),"⚠ Refunded before – no free video",IF(OR(U279="Contract signed + paid",U279="Closed – No response",U279="Lost"),"",IF(U279="","Set a stage",IF(AND(U279="Proposal sent",SUMIFS(Scoresheet!$N$2:$N$501,Scoresheet!$C$2:$C$501,A279,Scoresheet!$U$2:$U$501,1)&lt;6),"Score this lead – fill the call scoresheet",IF(N(W279)&gt;=Settings!$S$3,"Close – 4 follow-ups sent",IF(X279="",IF(V279="","Make first contact",""),IF(TODAY()&gt;X279,"OVERDUE follow-up",IF(TODAY()=X279,"Follow up today","")))))))))</f>
        <v/>
      </c>
    </row>
    <row r="280" customFormat="false" ht="15" hidden="false" customHeight="false" outlineLevel="0" collapsed="false">
      <c r="A280" s="17"/>
      <c r="B280" s="40"/>
      <c r="C280" s="41"/>
      <c r="D280" s="17"/>
      <c r="E280" s="17"/>
      <c r="F280" s="17"/>
      <c r="G280" s="17"/>
      <c r="H280" s="17"/>
      <c r="I280" s="42"/>
      <c r="J280" s="17"/>
      <c r="K280" s="17"/>
      <c r="L280" s="17"/>
      <c r="M280" s="17"/>
      <c r="N280" s="40"/>
      <c r="O280" s="41"/>
      <c r="P280" s="43" t="str">
        <f aca="false">IF(OR(B280="",N280=""),"",ROUND(((N280+N(O280))-(B280+N(C280)))*24,1))</f>
        <v/>
      </c>
      <c r="Q280" s="44" t="str">
        <f aca="false">IF(OR(E280="",A280="",COUNTIFS(Scoresheet!$C$2:$C$501,A280,Scoresheet!$U$2:$U$501,1)=0),"",SUMIFS(Scoresheet!$O$2:$O$501,Scoresheet!$C$2:$C$501,A280,Scoresheet!$U$2:$U$501,1))</f>
        <v/>
      </c>
      <c r="R280" s="44" t="str">
        <f aca="false">IF(E280="","",IF(OR(A280="",COUNTIFS(Scoresheet!$C$2:$C$501,A280,Scoresheet!$U$2:$U$501,1)=0),"No scoresheet yet",IF(SUMIFS(Scoresheet!$N$2:$N$501,Scoresheet!$C$2:$C$501,A280,Scoresheet!$U$2:$U$501,1)&lt;6,"Partly scored ("&amp;SUMIFS(Scoresheet!$N$2:$N$501,Scoresheet!$C$2:$C$501,A280,Scoresheet!$U$2:$U$501,1)&amp;"/6)",IF(Q280&gt;=Settings!$S$8,"Hot",IF(Q280&gt;=Settings!$S$9,"Warm","Cold")))))</f>
        <v/>
      </c>
      <c r="S280" s="44" t="str">
        <f aca="false">IF(OR(E280="",A280=""),"",IF(AND(COUNTIFS(Scoresheet!$C$2:$C$501,A280,Scoresheet!$U$2:$U$501,1,Scoresheet!$H$2:$H$501,"No")&gt;0,COUNTIFS(Scoresheet!$C$2:$C$501,A280,Scoresheet!$U$2:$U$501,1,Scoresheet!$J$2:$J$501,"No")&gt;0),"🚩 Budget  ·  🚩 No one on camera",IF(COUNTIFS(Scoresheet!$C$2:$C$501,A280,Scoresheet!$U$2:$U$501,1,Scoresheet!$H$2:$H$501,"No")&gt;0,"🚩 Budget under AED 5k",IF(COUNTIFS(Scoresheet!$C$2:$C$501,A280,Scoresheet!$U$2:$U$501,1,Scoresheet!$J$2:$J$501,"No")&gt;0,"🚩 No one on camera",""))))</f>
        <v/>
      </c>
      <c r="T280" s="17"/>
      <c r="U280" s="17"/>
      <c r="V280" s="40"/>
      <c r="W280" s="17"/>
      <c r="X280" s="45" t="str">
        <f aca="false">IF(OR(E280="",V280="",OR(U280="Contract signed + paid",U280="Closed – No response",U280="Lost"),N(W280)&gt;=Settings!$S$3),"",V280+Settings!$S$2)</f>
        <v/>
      </c>
      <c r="Y280" s="40"/>
      <c r="Z280" s="41"/>
      <c r="AA280" s="17"/>
      <c r="AB280" s="17"/>
      <c r="AC280" s="17"/>
      <c r="AD280" s="46" t="str">
        <f aca="true">IF(OR(E280="",B280=""),"",INT(TODAY()-B280))</f>
        <v/>
      </c>
      <c r="AE280" s="44" t="str">
        <f aca="true">IF(E280="","",IF(OR(COUNTIFS(Clients!$C$2:$C$501,E280,Clients!$S$2:$S$501,"Paid")&gt;0,AND(I280&lt;&gt;"",COUNTIFS(Clients!$E$2:$E$501,I280,Clients!$S$2:$S$501,"Paid")&gt;0)),"⚠ Refunded before – no free video",IF(OR(U280="Contract signed + paid",U280="Closed – No response",U280="Lost"),"",IF(U280="","Set a stage",IF(AND(U280="Proposal sent",SUMIFS(Scoresheet!$N$2:$N$501,Scoresheet!$C$2:$C$501,A280,Scoresheet!$U$2:$U$501,1)&lt;6),"Score this lead – fill the call scoresheet",IF(N(W280)&gt;=Settings!$S$3,"Close – 4 follow-ups sent",IF(X280="",IF(V280="","Make first contact",""),IF(TODAY()&gt;X280,"OVERDUE follow-up",IF(TODAY()=X280,"Follow up today","")))))))))</f>
        <v/>
      </c>
    </row>
    <row r="281" customFormat="false" ht="15" hidden="false" customHeight="false" outlineLevel="0" collapsed="false">
      <c r="A281" s="17"/>
      <c r="B281" s="40"/>
      <c r="C281" s="41"/>
      <c r="D281" s="17"/>
      <c r="E281" s="17"/>
      <c r="F281" s="17"/>
      <c r="G281" s="17"/>
      <c r="H281" s="17"/>
      <c r="I281" s="42"/>
      <c r="J281" s="17"/>
      <c r="K281" s="17"/>
      <c r="L281" s="17"/>
      <c r="M281" s="17"/>
      <c r="N281" s="40"/>
      <c r="O281" s="41"/>
      <c r="P281" s="43" t="str">
        <f aca="false">IF(OR(B281="",N281=""),"",ROUND(((N281+N(O281))-(B281+N(C281)))*24,1))</f>
        <v/>
      </c>
      <c r="Q281" s="44" t="str">
        <f aca="false">IF(OR(E281="",A281="",COUNTIFS(Scoresheet!$C$2:$C$501,A281,Scoresheet!$U$2:$U$501,1)=0),"",SUMIFS(Scoresheet!$O$2:$O$501,Scoresheet!$C$2:$C$501,A281,Scoresheet!$U$2:$U$501,1))</f>
        <v/>
      </c>
      <c r="R281" s="44" t="str">
        <f aca="false">IF(E281="","",IF(OR(A281="",COUNTIFS(Scoresheet!$C$2:$C$501,A281,Scoresheet!$U$2:$U$501,1)=0),"No scoresheet yet",IF(SUMIFS(Scoresheet!$N$2:$N$501,Scoresheet!$C$2:$C$501,A281,Scoresheet!$U$2:$U$501,1)&lt;6,"Partly scored ("&amp;SUMIFS(Scoresheet!$N$2:$N$501,Scoresheet!$C$2:$C$501,A281,Scoresheet!$U$2:$U$501,1)&amp;"/6)",IF(Q281&gt;=Settings!$S$8,"Hot",IF(Q281&gt;=Settings!$S$9,"Warm","Cold")))))</f>
        <v/>
      </c>
      <c r="S281" s="44" t="str">
        <f aca="false">IF(OR(E281="",A281=""),"",IF(AND(COUNTIFS(Scoresheet!$C$2:$C$501,A281,Scoresheet!$U$2:$U$501,1,Scoresheet!$H$2:$H$501,"No")&gt;0,COUNTIFS(Scoresheet!$C$2:$C$501,A281,Scoresheet!$U$2:$U$501,1,Scoresheet!$J$2:$J$501,"No")&gt;0),"🚩 Budget  ·  🚩 No one on camera",IF(COUNTIFS(Scoresheet!$C$2:$C$501,A281,Scoresheet!$U$2:$U$501,1,Scoresheet!$H$2:$H$501,"No")&gt;0,"🚩 Budget under AED 5k",IF(COUNTIFS(Scoresheet!$C$2:$C$501,A281,Scoresheet!$U$2:$U$501,1,Scoresheet!$J$2:$J$501,"No")&gt;0,"🚩 No one on camera",""))))</f>
        <v/>
      </c>
      <c r="T281" s="17"/>
      <c r="U281" s="17"/>
      <c r="V281" s="40"/>
      <c r="W281" s="17"/>
      <c r="X281" s="45" t="str">
        <f aca="false">IF(OR(E281="",V281="",OR(U281="Contract signed + paid",U281="Closed – No response",U281="Lost"),N(W281)&gt;=Settings!$S$3),"",V281+Settings!$S$2)</f>
        <v/>
      </c>
      <c r="Y281" s="40"/>
      <c r="Z281" s="41"/>
      <c r="AA281" s="17"/>
      <c r="AB281" s="17"/>
      <c r="AC281" s="17"/>
      <c r="AD281" s="46" t="str">
        <f aca="true">IF(OR(E281="",B281=""),"",INT(TODAY()-B281))</f>
        <v/>
      </c>
      <c r="AE281" s="44" t="str">
        <f aca="true">IF(E281="","",IF(OR(COUNTIFS(Clients!$C$2:$C$501,E281,Clients!$S$2:$S$501,"Paid")&gt;0,AND(I281&lt;&gt;"",COUNTIFS(Clients!$E$2:$E$501,I281,Clients!$S$2:$S$501,"Paid")&gt;0)),"⚠ Refunded before – no free video",IF(OR(U281="Contract signed + paid",U281="Closed – No response",U281="Lost"),"",IF(U281="","Set a stage",IF(AND(U281="Proposal sent",SUMIFS(Scoresheet!$N$2:$N$501,Scoresheet!$C$2:$C$501,A281,Scoresheet!$U$2:$U$501,1)&lt;6),"Score this lead – fill the call scoresheet",IF(N(W281)&gt;=Settings!$S$3,"Close – 4 follow-ups sent",IF(X281="",IF(V281="","Make first contact",""),IF(TODAY()&gt;X281,"OVERDUE follow-up",IF(TODAY()=X281,"Follow up today","")))))))))</f>
        <v/>
      </c>
    </row>
    <row r="282" customFormat="false" ht="15" hidden="false" customHeight="false" outlineLevel="0" collapsed="false">
      <c r="A282" s="17"/>
      <c r="B282" s="40"/>
      <c r="C282" s="41"/>
      <c r="D282" s="17"/>
      <c r="E282" s="17"/>
      <c r="F282" s="17"/>
      <c r="G282" s="17"/>
      <c r="H282" s="17"/>
      <c r="I282" s="42"/>
      <c r="J282" s="17"/>
      <c r="K282" s="17"/>
      <c r="L282" s="17"/>
      <c r="M282" s="17"/>
      <c r="N282" s="40"/>
      <c r="O282" s="41"/>
      <c r="P282" s="43" t="str">
        <f aca="false">IF(OR(B282="",N282=""),"",ROUND(((N282+N(O282))-(B282+N(C282)))*24,1))</f>
        <v/>
      </c>
      <c r="Q282" s="44" t="str">
        <f aca="false">IF(OR(E282="",A282="",COUNTIFS(Scoresheet!$C$2:$C$501,A282,Scoresheet!$U$2:$U$501,1)=0),"",SUMIFS(Scoresheet!$O$2:$O$501,Scoresheet!$C$2:$C$501,A282,Scoresheet!$U$2:$U$501,1))</f>
        <v/>
      </c>
      <c r="R282" s="44" t="str">
        <f aca="false">IF(E282="","",IF(OR(A282="",COUNTIFS(Scoresheet!$C$2:$C$501,A282,Scoresheet!$U$2:$U$501,1)=0),"No scoresheet yet",IF(SUMIFS(Scoresheet!$N$2:$N$501,Scoresheet!$C$2:$C$501,A282,Scoresheet!$U$2:$U$501,1)&lt;6,"Partly scored ("&amp;SUMIFS(Scoresheet!$N$2:$N$501,Scoresheet!$C$2:$C$501,A282,Scoresheet!$U$2:$U$501,1)&amp;"/6)",IF(Q282&gt;=Settings!$S$8,"Hot",IF(Q282&gt;=Settings!$S$9,"Warm","Cold")))))</f>
        <v/>
      </c>
      <c r="S282" s="44" t="str">
        <f aca="false">IF(OR(E282="",A282=""),"",IF(AND(COUNTIFS(Scoresheet!$C$2:$C$501,A282,Scoresheet!$U$2:$U$501,1,Scoresheet!$H$2:$H$501,"No")&gt;0,COUNTIFS(Scoresheet!$C$2:$C$501,A282,Scoresheet!$U$2:$U$501,1,Scoresheet!$J$2:$J$501,"No")&gt;0),"🚩 Budget  ·  🚩 No one on camera",IF(COUNTIFS(Scoresheet!$C$2:$C$501,A282,Scoresheet!$U$2:$U$501,1,Scoresheet!$H$2:$H$501,"No")&gt;0,"🚩 Budget under AED 5k",IF(COUNTIFS(Scoresheet!$C$2:$C$501,A282,Scoresheet!$U$2:$U$501,1,Scoresheet!$J$2:$J$501,"No")&gt;0,"🚩 No one on camera",""))))</f>
        <v/>
      </c>
      <c r="T282" s="17"/>
      <c r="U282" s="17"/>
      <c r="V282" s="40"/>
      <c r="W282" s="17"/>
      <c r="X282" s="45" t="str">
        <f aca="false">IF(OR(E282="",V282="",OR(U282="Contract signed + paid",U282="Closed – No response",U282="Lost"),N(W282)&gt;=Settings!$S$3),"",V282+Settings!$S$2)</f>
        <v/>
      </c>
      <c r="Y282" s="40"/>
      <c r="Z282" s="41"/>
      <c r="AA282" s="17"/>
      <c r="AB282" s="17"/>
      <c r="AC282" s="17"/>
      <c r="AD282" s="46" t="str">
        <f aca="true">IF(OR(E282="",B282=""),"",INT(TODAY()-B282))</f>
        <v/>
      </c>
      <c r="AE282" s="44" t="str">
        <f aca="true">IF(E282="","",IF(OR(COUNTIFS(Clients!$C$2:$C$501,E282,Clients!$S$2:$S$501,"Paid")&gt;0,AND(I282&lt;&gt;"",COUNTIFS(Clients!$E$2:$E$501,I282,Clients!$S$2:$S$501,"Paid")&gt;0)),"⚠ Refunded before – no free video",IF(OR(U282="Contract signed + paid",U282="Closed – No response",U282="Lost"),"",IF(U282="","Set a stage",IF(AND(U282="Proposal sent",SUMIFS(Scoresheet!$N$2:$N$501,Scoresheet!$C$2:$C$501,A282,Scoresheet!$U$2:$U$501,1)&lt;6),"Score this lead – fill the call scoresheet",IF(N(W282)&gt;=Settings!$S$3,"Close – 4 follow-ups sent",IF(X282="",IF(V282="","Make first contact",""),IF(TODAY()&gt;X282,"OVERDUE follow-up",IF(TODAY()=X282,"Follow up today","")))))))))</f>
        <v/>
      </c>
    </row>
    <row r="283" customFormat="false" ht="15" hidden="false" customHeight="false" outlineLevel="0" collapsed="false">
      <c r="A283" s="17"/>
      <c r="B283" s="40"/>
      <c r="C283" s="41"/>
      <c r="D283" s="17"/>
      <c r="E283" s="17"/>
      <c r="F283" s="17"/>
      <c r="G283" s="17"/>
      <c r="H283" s="17"/>
      <c r="I283" s="42"/>
      <c r="J283" s="17"/>
      <c r="K283" s="17"/>
      <c r="L283" s="17"/>
      <c r="M283" s="17"/>
      <c r="N283" s="40"/>
      <c r="O283" s="41"/>
      <c r="P283" s="43" t="str">
        <f aca="false">IF(OR(B283="",N283=""),"",ROUND(((N283+N(O283))-(B283+N(C283)))*24,1))</f>
        <v/>
      </c>
      <c r="Q283" s="44" t="str">
        <f aca="false">IF(OR(E283="",A283="",COUNTIFS(Scoresheet!$C$2:$C$501,A283,Scoresheet!$U$2:$U$501,1)=0),"",SUMIFS(Scoresheet!$O$2:$O$501,Scoresheet!$C$2:$C$501,A283,Scoresheet!$U$2:$U$501,1))</f>
        <v/>
      </c>
      <c r="R283" s="44" t="str">
        <f aca="false">IF(E283="","",IF(OR(A283="",COUNTIFS(Scoresheet!$C$2:$C$501,A283,Scoresheet!$U$2:$U$501,1)=0),"No scoresheet yet",IF(SUMIFS(Scoresheet!$N$2:$N$501,Scoresheet!$C$2:$C$501,A283,Scoresheet!$U$2:$U$501,1)&lt;6,"Partly scored ("&amp;SUMIFS(Scoresheet!$N$2:$N$501,Scoresheet!$C$2:$C$501,A283,Scoresheet!$U$2:$U$501,1)&amp;"/6)",IF(Q283&gt;=Settings!$S$8,"Hot",IF(Q283&gt;=Settings!$S$9,"Warm","Cold")))))</f>
        <v/>
      </c>
      <c r="S283" s="44" t="str">
        <f aca="false">IF(OR(E283="",A283=""),"",IF(AND(COUNTIFS(Scoresheet!$C$2:$C$501,A283,Scoresheet!$U$2:$U$501,1,Scoresheet!$H$2:$H$501,"No")&gt;0,COUNTIFS(Scoresheet!$C$2:$C$501,A283,Scoresheet!$U$2:$U$501,1,Scoresheet!$J$2:$J$501,"No")&gt;0),"🚩 Budget  ·  🚩 No one on camera",IF(COUNTIFS(Scoresheet!$C$2:$C$501,A283,Scoresheet!$U$2:$U$501,1,Scoresheet!$H$2:$H$501,"No")&gt;0,"🚩 Budget under AED 5k",IF(COUNTIFS(Scoresheet!$C$2:$C$501,A283,Scoresheet!$U$2:$U$501,1,Scoresheet!$J$2:$J$501,"No")&gt;0,"🚩 No one on camera",""))))</f>
        <v/>
      </c>
      <c r="T283" s="17"/>
      <c r="U283" s="17"/>
      <c r="V283" s="40"/>
      <c r="W283" s="17"/>
      <c r="X283" s="45" t="str">
        <f aca="false">IF(OR(E283="",V283="",OR(U283="Contract signed + paid",U283="Closed – No response",U283="Lost"),N(W283)&gt;=Settings!$S$3),"",V283+Settings!$S$2)</f>
        <v/>
      </c>
      <c r="Y283" s="40"/>
      <c r="Z283" s="41"/>
      <c r="AA283" s="17"/>
      <c r="AB283" s="17"/>
      <c r="AC283" s="17"/>
      <c r="AD283" s="46" t="str">
        <f aca="true">IF(OR(E283="",B283=""),"",INT(TODAY()-B283))</f>
        <v/>
      </c>
      <c r="AE283" s="44" t="str">
        <f aca="true">IF(E283="","",IF(OR(COUNTIFS(Clients!$C$2:$C$501,E283,Clients!$S$2:$S$501,"Paid")&gt;0,AND(I283&lt;&gt;"",COUNTIFS(Clients!$E$2:$E$501,I283,Clients!$S$2:$S$501,"Paid")&gt;0)),"⚠ Refunded before – no free video",IF(OR(U283="Contract signed + paid",U283="Closed – No response",U283="Lost"),"",IF(U283="","Set a stage",IF(AND(U283="Proposal sent",SUMIFS(Scoresheet!$N$2:$N$501,Scoresheet!$C$2:$C$501,A283,Scoresheet!$U$2:$U$501,1)&lt;6),"Score this lead – fill the call scoresheet",IF(N(W283)&gt;=Settings!$S$3,"Close – 4 follow-ups sent",IF(X283="",IF(V283="","Make first contact",""),IF(TODAY()&gt;X283,"OVERDUE follow-up",IF(TODAY()=X283,"Follow up today","")))))))))</f>
        <v/>
      </c>
    </row>
    <row r="284" customFormat="false" ht="15" hidden="false" customHeight="false" outlineLevel="0" collapsed="false">
      <c r="A284" s="17"/>
      <c r="B284" s="40"/>
      <c r="C284" s="41"/>
      <c r="D284" s="17"/>
      <c r="E284" s="17"/>
      <c r="F284" s="17"/>
      <c r="G284" s="17"/>
      <c r="H284" s="17"/>
      <c r="I284" s="42"/>
      <c r="J284" s="17"/>
      <c r="K284" s="17"/>
      <c r="L284" s="17"/>
      <c r="M284" s="17"/>
      <c r="N284" s="40"/>
      <c r="O284" s="41"/>
      <c r="P284" s="43" t="str">
        <f aca="false">IF(OR(B284="",N284=""),"",ROUND(((N284+N(O284))-(B284+N(C284)))*24,1))</f>
        <v/>
      </c>
      <c r="Q284" s="44" t="str">
        <f aca="false">IF(OR(E284="",A284="",COUNTIFS(Scoresheet!$C$2:$C$501,A284,Scoresheet!$U$2:$U$501,1)=0),"",SUMIFS(Scoresheet!$O$2:$O$501,Scoresheet!$C$2:$C$501,A284,Scoresheet!$U$2:$U$501,1))</f>
        <v/>
      </c>
      <c r="R284" s="44" t="str">
        <f aca="false">IF(E284="","",IF(OR(A284="",COUNTIFS(Scoresheet!$C$2:$C$501,A284,Scoresheet!$U$2:$U$501,1)=0),"No scoresheet yet",IF(SUMIFS(Scoresheet!$N$2:$N$501,Scoresheet!$C$2:$C$501,A284,Scoresheet!$U$2:$U$501,1)&lt;6,"Partly scored ("&amp;SUMIFS(Scoresheet!$N$2:$N$501,Scoresheet!$C$2:$C$501,A284,Scoresheet!$U$2:$U$501,1)&amp;"/6)",IF(Q284&gt;=Settings!$S$8,"Hot",IF(Q284&gt;=Settings!$S$9,"Warm","Cold")))))</f>
        <v/>
      </c>
      <c r="S284" s="44" t="str">
        <f aca="false">IF(OR(E284="",A284=""),"",IF(AND(COUNTIFS(Scoresheet!$C$2:$C$501,A284,Scoresheet!$U$2:$U$501,1,Scoresheet!$H$2:$H$501,"No")&gt;0,COUNTIFS(Scoresheet!$C$2:$C$501,A284,Scoresheet!$U$2:$U$501,1,Scoresheet!$J$2:$J$501,"No")&gt;0),"🚩 Budget  ·  🚩 No one on camera",IF(COUNTIFS(Scoresheet!$C$2:$C$501,A284,Scoresheet!$U$2:$U$501,1,Scoresheet!$H$2:$H$501,"No")&gt;0,"🚩 Budget under AED 5k",IF(COUNTIFS(Scoresheet!$C$2:$C$501,A284,Scoresheet!$U$2:$U$501,1,Scoresheet!$J$2:$J$501,"No")&gt;0,"🚩 No one on camera",""))))</f>
        <v/>
      </c>
      <c r="T284" s="17"/>
      <c r="U284" s="17"/>
      <c r="V284" s="40"/>
      <c r="W284" s="17"/>
      <c r="X284" s="45" t="str">
        <f aca="false">IF(OR(E284="",V284="",OR(U284="Contract signed + paid",U284="Closed – No response",U284="Lost"),N(W284)&gt;=Settings!$S$3),"",V284+Settings!$S$2)</f>
        <v/>
      </c>
      <c r="Y284" s="40"/>
      <c r="Z284" s="41"/>
      <c r="AA284" s="17"/>
      <c r="AB284" s="17"/>
      <c r="AC284" s="17"/>
      <c r="AD284" s="46" t="str">
        <f aca="true">IF(OR(E284="",B284=""),"",INT(TODAY()-B284))</f>
        <v/>
      </c>
      <c r="AE284" s="44" t="str">
        <f aca="true">IF(E284="","",IF(OR(COUNTIFS(Clients!$C$2:$C$501,E284,Clients!$S$2:$S$501,"Paid")&gt;0,AND(I284&lt;&gt;"",COUNTIFS(Clients!$E$2:$E$501,I284,Clients!$S$2:$S$501,"Paid")&gt;0)),"⚠ Refunded before – no free video",IF(OR(U284="Contract signed + paid",U284="Closed – No response",U284="Lost"),"",IF(U284="","Set a stage",IF(AND(U284="Proposal sent",SUMIFS(Scoresheet!$N$2:$N$501,Scoresheet!$C$2:$C$501,A284,Scoresheet!$U$2:$U$501,1)&lt;6),"Score this lead – fill the call scoresheet",IF(N(W284)&gt;=Settings!$S$3,"Close – 4 follow-ups sent",IF(X284="",IF(V284="","Make first contact",""),IF(TODAY()&gt;X284,"OVERDUE follow-up",IF(TODAY()=X284,"Follow up today","")))))))))</f>
        <v/>
      </c>
    </row>
    <row r="285" customFormat="false" ht="15" hidden="false" customHeight="false" outlineLevel="0" collapsed="false">
      <c r="A285" s="17"/>
      <c r="B285" s="40"/>
      <c r="C285" s="41"/>
      <c r="D285" s="17"/>
      <c r="E285" s="17"/>
      <c r="F285" s="17"/>
      <c r="G285" s="17"/>
      <c r="H285" s="17"/>
      <c r="I285" s="42"/>
      <c r="J285" s="17"/>
      <c r="K285" s="17"/>
      <c r="L285" s="17"/>
      <c r="M285" s="17"/>
      <c r="N285" s="40"/>
      <c r="O285" s="41"/>
      <c r="P285" s="43" t="str">
        <f aca="false">IF(OR(B285="",N285=""),"",ROUND(((N285+N(O285))-(B285+N(C285)))*24,1))</f>
        <v/>
      </c>
      <c r="Q285" s="44" t="str">
        <f aca="false">IF(OR(E285="",A285="",COUNTIFS(Scoresheet!$C$2:$C$501,A285,Scoresheet!$U$2:$U$501,1)=0),"",SUMIFS(Scoresheet!$O$2:$O$501,Scoresheet!$C$2:$C$501,A285,Scoresheet!$U$2:$U$501,1))</f>
        <v/>
      </c>
      <c r="R285" s="44" t="str">
        <f aca="false">IF(E285="","",IF(OR(A285="",COUNTIFS(Scoresheet!$C$2:$C$501,A285,Scoresheet!$U$2:$U$501,1)=0),"No scoresheet yet",IF(SUMIFS(Scoresheet!$N$2:$N$501,Scoresheet!$C$2:$C$501,A285,Scoresheet!$U$2:$U$501,1)&lt;6,"Partly scored ("&amp;SUMIFS(Scoresheet!$N$2:$N$501,Scoresheet!$C$2:$C$501,A285,Scoresheet!$U$2:$U$501,1)&amp;"/6)",IF(Q285&gt;=Settings!$S$8,"Hot",IF(Q285&gt;=Settings!$S$9,"Warm","Cold")))))</f>
        <v/>
      </c>
      <c r="S285" s="44" t="str">
        <f aca="false">IF(OR(E285="",A285=""),"",IF(AND(COUNTIFS(Scoresheet!$C$2:$C$501,A285,Scoresheet!$U$2:$U$501,1,Scoresheet!$H$2:$H$501,"No")&gt;0,COUNTIFS(Scoresheet!$C$2:$C$501,A285,Scoresheet!$U$2:$U$501,1,Scoresheet!$J$2:$J$501,"No")&gt;0),"🚩 Budget  ·  🚩 No one on camera",IF(COUNTIFS(Scoresheet!$C$2:$C$501,A285,Scoresheet!$U$2:$U$501,1,Scoresheet!$H$2:$H$501,"No")&gt;0,"🚩 Budget under AED 5k",IF(COUNTIFS(Scoresheet!$C$2:$C$501,A285,Scoresheet!$U$2:$U$501,1,Scoresheet!$J$2:$J$501,"No")&gt;0,"🚩 No one on camera",""))))</f>
        <v/>
      </c>
      <c r="T285" s="17"/>
      <c r="U285" s="17"/>
      <c r="V285" s="40"/>
      <c r="W285" s="17"/>
      <c r="X285" s="45" t="str">
        <f aca="false">IF(OR(E285="",V285="",OR(U285="Contract signed + paid",U285="Closed – No response",U285="Lost"),N(W285)&gt;=Settings!$S$3),"",V285+Settings!$S$2)</f>
        <v/>
      </c>
      <c r="Y285" s="40"/>
      <c r="Z285" s="41"/>
      <c r="AA285" s="17"/>
      <c r="AB285" s="17"/>
      <c r="AC285" s="17"/>
      <c r="AD285" s="46" t="str">
        <f aca="true">IF(OR(E285="",B285=""),"",INT(TODAY()-B285))</f>
        <v/>
      </c>
      <c r="AE285" s="44" t="str">
        <f aca="true">IF(E285="","",IF(OR(COUNTIFS(Clients!$C$2:$C$501,E285,Clients!$S$2:$S$501,"Paid")&gt;0,AND(I285&lt;&gt;"",COUNTIFS(Clients!$E$2:$E$501,I285,Clients!$S$2:$S$501,"Paid")&gt;0)),"⚠ Refunded before – no free video",IF(OR(U285="Contract signed + paid",U285="Closed – No response",U285="Lost"),"",IF(U285="","Set a stage",IF(AND(U285="Proposal sent",SUMIFS(Scoresheet!$N$2:$N$501,Scoresheet!$C$2:$C$501,A285,Scoresheet!$U$2:$U$501,1)&lt;6),"Score this lead – fill the call scoresheet",IF(N(W285)&gt;=Settings!$S$3,"Close – 4 follow-ups sent",IF(X285="",IF(V285="","Make first contact",""),IF(TODAY()&gt;X285,"OVERDUE follow-up",IF(TODAY()=X285,"Follow up today","")))))))))</f>
        <v/>
      </c>
    </row>
    <row r="286" customFormat="false" ht="15" hidden="false" customHeight="false" outlineLevel="0" collapsed="false">
      <c r="A286" s="17"/>
      <c r="B286" s="40"/>
      <c r="C286" s="41"/>
      <c r="D286" s="17"/>
      <c r="E286" s="17"/>
      <c r="F286" s="17"/>
      <c r="G286" s="17"/>
      <c r="H286" s="17"/>
      <c r="I286" s="42"/>
      <c r="J286" s="17"/>
      <c r="K286" s="17"/>
      <c r="L286" s="17"/>
      <c r="M286" s="17"/>
      <c r="N286" s="40"/>
      <c r="O286" s="41"/>
      <c r="P286" s="43" t="str">
        <f aca="false">IF(OR(B286="",N286=""),"",ROUND(((N286+N(O286))-(B286+N(C286)))*24,1))</f>
        <v/>
      </c>
      <c r="Q286" s="44" t="str">
        <f aca="false">IF(OR(E286="",A286="",COUNTIFS(Scoresheet!$C$2:$C$501,A286,Scoresheet!$U$2:$U$501,1)=0),"",SUMIFS(Scoresheet!$O$2:$O$501,Scoresheet!$C$2:$C$501,A286,Scoresheet!$U$2:$U$501,1))</f>
        <v/>
      </c>
      <c r="R286" s="44" t="str">
        <f aca="false">IF(E286="","",IF(OR(A286="",COUNTIFS(Scoresheet!$C$2:$C$501,A286,Scoresheet!$U$2:$U$501,1)=0),"No scoresheet yet",IF(SUMIFS(Scoresheet!$N$2:$N$501,Scoresheet!$C$2:$C$501,A286,Scoresheet!$U$2:$U$501,1)&lt;6,"Partly scored ("&amp;SUMIFS(Scoresheet!$N$2:$N$501,Scoresheet!$C$2:$C$501,A286,Scoresheet!$U$2:$U$501,1)&amp;"/6)",IF(Q286&gt;=Settings!$S$8,"Hot",IF(Q286&gt;=Settings!$S$9,"Warm","Cold")))))</f>
        <v/>
      </c>
      <c r="S286" s="44" t="str">
        <f aca="false">IF(OR(E286="",A286=""),"",IF(AND(COUNTIFS(Scoresheet!$C$2:$C$501,A286,Scoresheet!$U$2:$U$501,1,Scoresheet!$H$2:$H$501,"No")&gt;0,COUNTIFS(Scoresheet!$C$2:$C$501,A286,Scoresheet!$U$2:$U$501,1,Scoresheet!$J$2:$J$501,"No")&gt;0),"🚩 Budget  ·  🚩 No one on camera",IF(COUNTIFS(Scoresheet!$C$2:$C$501,A286,Scoresheet!$U$2:$U$501,1,Scoresheet!$H$2:$H$501,"No")&gt;0,"🚩 Budget under AED 5k",IF(COUNTIFS(Scoresheet!$C$2:$C$501,A286,Scoresheet!$U$2:$U$501,1,Scoresheet!$J$2:$J$501,"No")&gt;0,"🚩 No one on camera",""))))</f>
        <v/>
      </c>
      <c r="T286" s="17"/>
      <c r="U286" s="17"/>
      <c r="V286" s="40"/>
      <c r="W286" s="17"/>
      <c r="X286" s="45" t="str">
        <f aca="false">IF(OR(E286="",V286="",OR(U286="Contract signed + paid",U286="Closed – No response",U286="Lost"),N(W286)&gt;=Settings!$S$3),"",V286+Settings!$S$2)</f>
        <v/>
      </c>
      <c r="Y286" s="40"/>
      <c r="Z286" s="41"/>
      <c r="AA286" s="17"/>
      <c r="AB286" s="17"/>
      <c r="AC286" s="17"/>
      <c r="AD286" s="46" t="str">
        <f aca="true">IF(OR(E286="",B286=""),"",INT(TODAY()-B286))</f>
        <v/>
      </c>
      <c r="AE286" s="44" t="str">
        <f aca="true">IF(E286="","",IF(OR(COUNTIFS(Clients!$C$2:$C$501,E286,Clients!$S$2:$S$501,"Paid")&gt;0,AND(I286&lt;&gt;"",COUNTIFS(Clients!$E$2:$E$501,I286,Clients!$S$2:$S$501,"Paid")&gt;0)),"⚠ Refunded before – no free video",IF(OR(U286="Contract signed + paid",U286="Closed – No response",U286="Lost"),"",IF(U286="","Set a stage",IF(AND(U286="Proposal sent",SUMIFS(Scoresheet!$N$2:$N$501,Scoresheet!$C$2:$C$501,A286,Scoresheet!$U$2:$U$501,1)&lt;6),"Score this lead – fill the call scoresheet",IF(N(W286)&gt;=Settings!$S$3,"Close – 4 follow-ups sent",IF(X286="",IF(V286="","Make first contact",""),IF(TODAY()&gt;X286,"OVERDUE follow-up",IF(TODAY()=X286,"Follow up today","")))))))))</f>
        <v/>
      </c>
    </row>
    <row r="287" customFormat="false" ht="15" hidden="false" customHeight="false" outlineLevel="0" collapsed="false">
      <c r="A287" s="17"/>
      <c r="B287" s="40"/>
      <c r="C287" s="41"/>
      <c r="D287" s="17"/>
      <c r="E287" s="17"/>
      <c r="F287" s="17"/>
      <c r="G287" s="17"/>
      <c r="H287" s="17"/>
      <c r="I287" s="42"/>
      <c r="J287" s="17"/>
      <c r="K287" s="17"/>
      <c r="L287" s="17"/>
      <c r="M287" s="17"/>
      <c r="N287" s="40"/>
      <c r="O287" s="41"/>
      <c r="P287" s="43" t="str">
        <f aca="false">IF(OR(B287="",N287=""),"",ROUND(((N287+N(O287))-(B287+N(C287)))*24,1))</f>
        <v/>
      </c>
      <c r="Q287" s="44" t="str">
        <f aca="false">IF(OR(E287="",A287="",COUNTIFS(Scoresheet!$C$2:$C$501,A287,Scoresheet!$U$2:$U$501,1)=0),"",SUMIFS(Scoresheet!$O$2:$O$501,Scoresheet!$C$2:$C$501,A287,Scoresheet!$U$2:$U$501,1))</f>
        <v/>
      </c>
      <c r="R287" s="44" t="str">
        <f aca="false">IF(E287="","",IF(OR(A287="",COUNTIFS(Scoresheet!$C$2:$C$501,A287,Scoresheet!$U$2:$U$501,1)=0),"No scoresheet yet",IF(SUMIFS(Scoresheet!$N$2:$N$501,Scoresheet!$C$2:$C$501,A287,Scoresheet!$U$2:$U$501,1)&lt;6,"Partly scored ("&amp;SUMIFS(Scoresheet!$N$2:$N$501,Scoresheet!$C$2:$C$501,A287,Scoresheet!$U$2:$U$501,1)&amp;"/6)",IF(Q287&gt;=Settings!$S$8,"Hot",IF(Q287&gt;=Settings!$S$9,"Warm","Cold")))))</f>
        <v/>
      </c>
      <c r="S287" s="44" t="str">
        <f aca="false">IF(OR(E287="",A287=""),"",IF(AND(COUNTIFS(Scoresheet!$C$2:$C$501,A287,Scoresheet!$U$2:$U$501,1,Scoresheet!$H$2:$H$501,"No")&gt;0,COUNTIFS(Scoresheet!$C$2:$C$501,A287,Scoresheet!$U$2:$U$501,1,Scoresheet!$J$2:$J$501,"No")&gt;0),"🚩 Budget  ·  🚩 No one on camera",IF(COUNTIFS(Scoresheet!$C$2:$C$501,A287,Scoresheet!$U$2:$U$501,1,Scoresheet!$H$2:$H$501,"No")&gt;0,"🚩 Budget under AED 5k",IF(COUNTIFS(Scoresheet!$C$2:$C$501,A287,Scoresheet!$U$2:$U$501,1,Scoresheet!$J$2:$J$501,"No")&gt;0,"🚩 No one on camera",""))))</f>
        <v/>
      </c>
      <c r="T287" s="17"/>
      <c r="U287" s="17"/>
      <c r="V287" s="40"/>
      <c r="W287" s="17"/>
      <c r="X287" s="45" t="str">
        <f aca="false">IF(OR(E287="",V287="",OR(U287="Contract signed + paid",U287="Closed – No response",U287="Lost"),N(W287)&gt;=Settings!$S$3),"",V287+Settings!$S$2)</f>
        <v/>
      </c>
      <c r="Y287" s="40"/>
      <c r="Z287" s="41"/>
      <c r="AA287" s="17"/>
      <c r="AB287" s="17"/>
      <c r="AC287" s="17"/>
      <c r="AD287" s="46" t="str">
        <f aca="true">IF(OR(E287="",B287=""),"",INT(TODAY()-B287))</f>
        <v/>
      </c>
      <c r="AE287" s="44" t="str">
        <f aca="true">IF(E287="","",IF(OR(COUNTIFS(Clients!$C$2:$C$501,E287,Clients!$S$2:$S$501,"Paid")&gt;0,AND(I287&lt;&gt;"",COUNTIFS(Clients!$E$2:$E$501,I287,Clients!$S$2:$S$501,"Paid")&gt;0)),"⚠ Refunded before – no free video",IF(OR(U287="Contract signed + paid",U287="Closed – No response",U287="Lost"),"",IF(U287="","Set a stage",IF(AND(U287="Proposal sent",SUMIFS(Scoresheet!$N$2:$N$501,Scoresheet!$C$2:$C$501,A287,Scoresheet!$U$2:$U$501,1)&lt;6),"Score this lead – fill the call scoresheet",IF(N(W287)&gt;=Settings!$S$3,"Close – 4 follow-ups sent",IF(X287="",IF(V287="","Make first contact",""),IF(TODAY()&gt;X287,"OVERDUE follow-up",IF(TODAY()=X287,"Follow up today","")))))))))</f>
        <v/>
      </c>
    </row>
    <row r="288" customFormat="false" ht="15" hidden="false" customHeight="false" outlineLevel="0" collapsed="false">
      <c r="A288" s="17"/>
      <c r="B288" s="40"/>
      <c r="C288" s="41"/>
      <c r="D288" s="17"/>
      <c r="E288" s="17"/>
      <c r="F288" s="17"/>
      <c r="G288" s="17"/>
      <c r="H288" s="17"/>
      <c r="I288" s="42"/>
      <c r="J288" s="17"/>
      <c r="K288" s="17"/>
      <c r="L288" s="17"/>
      <c r="M288" s="17"/>
      <c r="N288" s="40"/>
      <c r="O288" s="41"/>
      <c r="P288" s="43" t="str">
        <f aca="false">IF(OR(B288="",N288=""),"",ROUND(((N288+N(O288))-(B288+N(C288)))*24,1))</f>
        <v/>
      </c>
      <c r="Q288" s="44" t="str">
        <f aca="false">IF(OR(E288="",A288="",COUNTIFS(Scoresheet!$C$2:$C$501,A288,Scoresheet!$U$2:$U$501,1)=0),"",SUMIFS(Scoresheet!$O$2:$O$501,Scoresheet!$C$2:$C$501,A288,Scoresheet!$U$2:$U$501,1))</f>
        <v/>
      </c>
      <c r="R288" s="44" t="str">
        <f aca="false">IF(E288="","",IF(OR(A288="",COUNTIFS(Scoresheet!$C$2:$C$501,A288,Scoresheet!$U$2:$U$501,1)=0),"No scoresheet yet",IF(SUMIFS(Scoresheet!$N$2:$N$501,Scoresheet!$C$2:$C$501,A288,Scoresheet!$U$2:$U$501,1)&lt;6,"Partly scored ("&amp;SUMIFS(Scoresheet!$N$2:$N$501,Scoresheet!$C$2:$C$501,A288,Scoresheet!$U$2:$U$501,1)&amp;"/6)",IF(Q288&gt;=Settings!$S$8,"Hot",IF(Q288&gt;=Settings!$S$9,"Warm","Cold")))))</f>
        <v/>
      </c>
      <c r="S288" s="44" t="str">
        <f aca="false">IF(OR(E288="",A288=""),"",IF(AND(COUNTIFS(Scoresheet!$C$2:$C$501,A288,Scoresheet!$U$2:$U$501,1,Scoresheet!$H$2:$H$501,"No")&gt;0,COUNTIFS(Scoresheet!$C$2:$C$501,A288,Scoresheet!$U$2:$U$501,1,Scoresheet!$J$2:$J$501,"No")&gt;0),"🚩 Budget  ·  🚩 No one on camera",IF(COUNTIFS(Scoresheet!$C$2:$C$501,A288,Scoresheet!$U$2:$U$501,1,Scoresheet!$H$2:$H$501,"No")&gt;0,"🚩 Budget under AED 5k",IF(COUNTIFS(Scoresheet!$C$2:$C$501,A288,Scoresheet!$U$2:$U$501,1,Scoresheet!$J$2:$J$501,"No")&gt;0,"🚩 No one on camera",""))))</f>
        <v/>
      </c>
      <c r="T288" s="17"/>
      <c r="U288" s="17"/>
      <c r="V288" s="40"/>
      <c r="W288" s="17"/>
      <c r="X288" s="45" t="str">
        <f aca="false">IF(OR(E288="",V288="",OR(U288="Contract signed + paid",U288="Closed – No response",U288="Lost"),N(W288)&gt;=Settings!$S$3),"",V288+Settings!$S$2)</f>
        <v/>
      </c>
      <c r="Y288" s="40"/>
      <c r="Z288" s="41"/>
      <c r="AA288" s="17"/>
      <c r="AB288" s="17"/>
      <c r="AC288" s="17"/>
      <c r="AD288" s="46" t="str">
        <f aca="true">IF(OR(E288="",B288=""),"",INT(TODAY()-B288))</f>
        <v/>
      </c>
      <c r="AE288" s="44" t="str">
        <f aca="true">IF(E288="","",IF(OR(COUNTIFS(Clients!$C$2:$C$501,E288,Clients!$S$2:$S$501,"Paid")&gt;0,AND(I288&lt;&gt;"",COUNTIFS(Clients!$E$2:$E$501,I288,Clients!$S$2:$S$501,"Paid")&gt;0)),"⚠ Refunded before – no free video",IF(OR(U288="Contract signed + paid",U288="Closed – No response",U288="Lost"),"",IF(U288="","Set a stage",IF(AND(U288="Proposal sent",SUMIFS(Scoresheet!$N$2:$N$501,Scoresheet!$C$2:$C$501,A288,Scoresheet!$U$2:$U$501,1)&lt;6),"Score this lead – fill the call scoresheet",IF(N(W288)&gt;=Settings!$S$3,"Close – 4 follow-ups sent",IF(X288="",IF(V288="","Make first contact",""),IF(TODAY()&gt;X288,"OVERDUE follow-up",IF(TODAY()=X288,"Follow up today","")))))))))</f>
        <v/>
      </c>
    </row>
    <row r="289" customFormat="false" ht="15" hidden="false" customHeight="false" outlineLevel="0" collapsed="false">
      <c r="A289" s="17"/>
      <c r="B289" s="40"/>
      <c r="C289" s="41"/>
      <c r="D289" s="17"/>
      <c r="E289" s="17"/>
      <c r="F289" s="17"/>
      <c r="G289" s="17"/>
      <c r="H289" s="17"/>
      <c r="I289" s="42"/>
      <c r="J289" s="17"/>
      <c r="K289" s="17"/>
      <c r="L289" s="17"/>
      <c r="M289" s="17"/>
      <c r="N289" s="40"/>
      <c r="O289" s="41"/>
      <c r="P289" s="43" t="str">
        <f aca="false">IF(OR(B289="",N289=""),"",ROUND(((N289+N(O289))-(B289+N(C289)))*24,1))</f>
        <v/>
      </c>
      <c r="Q289" s="44" t="str">
        <f aca="false">IF(OR(E289="",A289="",COUNTIFS(Scoresheet!$C$2:$C$501,A289,Scoresheet!$U$2:$U$501,1)=0),"",SUMIFS(Scoresheet!$O$2:$O$501,Scoresheet!$C$2:$C$501,A289,Scoresheet!$U$2:$U$501,1))</f>
        <v/>
      </c>
      <c r="R289" s="44" t="str">
        <f aca="false">IF(E289="","",IF(OR(A289="",COUNTIFS(Scoresheet!$C$2:$C$501,A289,Scoresheet!$U$2:$U$501,1)=0),"No scoresheet yet",IF(SUMIFS(Scoresheet!$N$2:$N$501,Scoresheet!$C$2:$C$501,A289,Scoresheet!$U$2:$U$501,1)&lt;6,"Partly scored ("&amp;SUMIFS(Scoresheet!$N$2:$N$501,Scoresheet!$C$2:$C$501,A289,Scoresheet!$U$2:$U$501,1)&amp;"/6)",IF(Q289&gt;=Settings!$S$8,"Hot",IF(Q289&gt;=Settings!$S$9,"Warm","Cold")))))</f>
        <v/>
      </c>
      <c r="S289" s="44" t="str">
        <f aca="false">IF(OR(E289="",A289=""),"",IF(AND(COUNTIFS(Scoresheet!$C$2:$C$501,A289,Scoresheet!$U$2:$U$501,1,Scoresheet!$H$2:$H$501,"No")&gt;0,COUNTIFS(Scoresheet!$C$2:$C$501,A289,Scoresheet!$U$2:$U$501,1,Scoresheet!$J$2:$J$501,"No")&gt;0),"🚩 Budget  ·  🚩 No one on camera",IF(COUNTIFS(Scoresheet!$C$2:$C$501,A289,Scoresheet!$U$2:$U$501,1,Scoresheet!$H$2:$H$501,"No")&gt;0,"🚩 Budget under AED 5k",IF(COUNTIFS(Scoresheet!$C$2:$C$501,A289,Scoresheet!$U$2:$U$501,1,Scoresheet!$J$2:$J$501,"No")&gt;0,"🚩 No one on camera",""))))</f>
        <v/>
      </c>
      <c r="T289" s="17"/>
      <c r="U289" s="17"/>
      <c r="V289" s="40"/>
      <c r="W289" s="17"/>
      <c r="X289" s="45" t="str">
        <f aca="false">IF(OR(E289="",V289="",OR(U289="Contract signed + paid",U289="Closed – No response",U289="Lost"),N(W289)&gt;=Settings!$S$3),"",V289+Settings!$S$2)</f>
        <v/>
      </c>
      <c r="Y289" s="40"/>
      <c r="Z289" s="41"/>
      <c r="AA289" s="17"/>
      <c r="AB289" s="17"/>
      <c r="AC289" s="17"/>
      <c r="AD289" s="46" t="str">
        <f aca="true">IF(OR(E289="",B289=""),"",INT(TODAY()-B289))</f>
        <v/>
      </c>
      <c r="AE289" s="44" t="str">
        <f aca="true">IF(E289="","",IF(OR(COUNTIFS(Clients!$C$2:$C$501,E289,Clients!$S$2:$S$501,"Paid")&gt;0,AND(I289&lt;&gt;"",COUNTIFS(Clients!$E$2:$E$501,I289,Clients!$S$2:$S$501,"Paid")&gt;0)),"⚠ Refunded before – no free video",IF(OR(U289="Contract signed + paid",U289="Closed – No response",U289="Lost"),"",IF(U289="","Set a stage",IF(AND(U289="Proposal sent",SUMIFS(Scoresheet!$N$2:$N$501,Scoresheet!$C$2:$C$501,A289,Scoresheet!$U$2:$U$501,1)&lt;6),"Score this lead – fill the call scoresheet",IF(N(W289)&gt;=Settings!$S$3,"Close – 4 follow-ups sent",IF(X289="",IF(V289="","Make first contact",""),IF(TODAY()&gt;X289,"OVERDUE follow-up",IF(TODAY()=X289,"Follow up today","")))))))))</f>
        <v/>
      </c>
    </row>
    <row r="290" customFormat="false" ht="15" hidden="false" customHeight="false" outlineLevel="0" collapsed="false">
      <c r="A290" s="17"/>
      <c r="B290" s="40"/>
      <c r="C290" s="41"/>
      <c r="D290" s="17"/>
      <c r="E290" s="17"/>
      <c r="F290" s="17"/>
      <c r="G290" s="17"/>
      <c r="H290" s="17"/>
      <c r="I290" s="42"/>
      <c r="J290" s="17"/>
      <c r="K290" s="17"/>
      <c r="L290" s="17"/>
      <c r="M290" s="17"/>
      <c r="N290" s="40"/>
      <c r="O290" s="41"/>
      <c r="P290" s="43" t="str">
        <f aca="false">IF(OR(B290="",N290=""),"",ROUND(((N290+N(O290))-(B290+N(C290)))*24,1))</f>
        <v/>
      </c>
      <c r="Q290" s="44" t="str">
        <f aca="false">IF(OR(E290="",A290="",COUNTIFS(Scoresheet!$C$2:$C$501,A290,Scoresheet!$U$2:$U$501,1)=0),"",SUMIFS(Scoresheet!$O$2:$O$501,Scoresheet!$C$2:$C$501,A290,Scoresheet!$U$2:$U$501,1))</f>
        <v/>
      </c>
      <c r="R290" s="44" t="str">
        <f aca="false">IF(E290="","",IF(OR(A290="",COUNTIFS(Scoresheet!$C$2:$C$501,A290,Scoresheet!$U$2:$U$501,1)=0),"No scoresheet yet",IF(SUMIFS(Scoresheet!$N$2:$N$501,Scoresheet!$C$2:$C$501,A290,Scoresheet!$U$2:$U$501,1)&lt;6,"Partly scored ("&amp;SUMIFS(Scoresheet!$N$2:$N$501,Scoresheet!$C$2:$C$501,A290,Scoresheet!$U$2:$U$501,1)&amp;"/6)",IF(Q290&gt;=Settings!$S$8,"Hot",IF(Q290&gt;=Settings!$S$9,"Warm","Cold")))))</f>
        <v/>
      </c>
      <c r="S290" s="44" t="str">
        <f aca="false">IF(OR(E290="",A290=""),"",IF(AND(COUNTIFS(Scoresheet!$C$2:$C$501,A290,Scoresheet!$U$2:$U$501,1,Scoresheet!$H$2:$H$501,"No")&gt;0,COUNTIFS(Scoresheet!$C$2:$C$501,A290,Scoresheet!$U$2:$U$501,1,Scoresheet!$J$2:$J$501,"No")&gt;0),"🚩 Budget  ·  🚩 No one on camera",IF(COUNTIFS(Scoresheet!$C$2:$C$501,A290,Scoresheet!$U$2:$U$501,1,Scoresheet!$H$2:$H$501,"No")&gt;0,"🚩 Budget under AED 5k",IF(COUNTIFS(Scoresheet!$C$2:$C$501,A290,Scoresheet!$U$2:$U$501,1,Scoresheet!$J$2:$J$501,"No")&gt;0,"🚩 No one on camera",""))))</f>
        <v/>
      </c>
      <c r="T290" s="17"/>
      <c r="U290" s="17"/>
      <c r="V290" s="40"/>
      <c r="W290" s="17"/>
      <c r="X290" s="45" t="str">
        <f aca="false">IF(OR(E290="",V290="",OR(U290="Contract signed + paid",U290="Closed – No response",U290="Lost"),N(W290)&gt;=Settings!$S$3),"",V290+Settings!$S$2)</f>
        <v/>
      </c>
      <c r="Y290" s="40"/>
      <c r="Z290" s="41"/>
      <c r="AA290" s="17"/>
      <c r="AB290" s="17"/>
      <c r="AC290" s="17"/>
      <c r="AD290" s="46" t="str">
        <f aca="true">IF(OR(E290="",B290=""),"",INT(TODAY()-B290))</f>
        <v/>
      </c>
      <c r="AE290" s="44" t="str">
        <f aca="true">IF(E290="","",IF(OR(COUNTIFS(Clients!$C$2:$C$501,E290,Clients!$S$2:$S$501,"Paid")&gt;0,AND(I290&lt;&gt;"",COUNTIFS(Clients!$E$2:$E$501,I290,Clients!$S$2:$S$501,"Paid")&gt;0)),"⚠ Refunded before – no free video",IF(OR(U290="Contract signed + paid",U290="Closed – No response",U290="Lost"),"",IF(U290="","Set a stage",IF(AND(U290="Proposal sent",SUMIFS(Scoresheet!$N$2:$N$501,Scoresheet!$C$2:$C$501,A290,Scoresheet!$U$2:$U$501,1)&lt;6),"Score this lead – fill the call scoresheet",IF(N(W290)&gt;=Settings!$S$3,"Close – 4 follow-ups sent",IF(X290="",IF(V290="","Make first contact",""),IF(TODAY()&gt;X290,"OVERDUE follow-up",IF(TODAY()=X290,"Follow up today","")))))))))</f>
        <v/>
      </c>
    </row>
    <row r="291" customFormat="false" ht="15" hidden="false" customHeight="false" outlineLevel="0" collapsed="false">
      <c r="A291" s="17"/>
      <c r="B291" s="40"/>
      <c r="C291" s="41"/>
      <c r="D291" s="17"/>
      <c r="E291" s="17"/>
      <c r="F291" s="17"/>
      <c r="G291" s="17"/>
      <c r="H291" s="17"/>
      <c r="I291" s="42"/>
      <c r="J291" s="17"/>
      <c r="K291" s="17"/>
      <c r="L291" s="17"/>
      <c r="M291" s="17"/>
      <c r="N291" s="40"/>
      <c r="O291" s="41"/>
      <c r="P291" s="43" t="str">
        <f aca="false">IF(OR(B291="",N291=""),"",ROUND(((N291+N(O291))-(B291+N(C291)))*24,1))</f>
        <v/>
      </c>
      <c r="Q291" s="44" t="str">
        <f aca="false">IF(OR(E291="",A291="",COUNTIFS(Scoresheet!$C$2:$C$501,A291,Scoresheet!$U$2:$U$501,1)=0),"",SUMIFS(Scoresheet!$O$2:$O$501,Scoresheet!$C$2:$C$501,A291,Scoresheet!$U$2:$U$501,1))</f>
        <v/>
      </c>
      <c r="R291" s="44" t="str">
        <f aca="false">IF(E291="","",IF(OR(A291="",COUNTIFS(Scoresheet!$C$2:$C$501,A291,Scoresheet!$U$2:$U$501,1)=0),"No scoresheet yet",IF(SUMIFS(Scoresheet!$N$2:$N$501,Scoresheet!$C$2:$C$501,A291,Scoresheet!$U$2:$U$501,1)&lt;6,"Partly scored ("&amp;SUMIFS(Scoresheet!$N$2:$N$501,Scoresheet!$C$2:$C$501,A291,Scoresheet!$U$2:$U$501,1)&amp;"/6)",IF(Q291&gt;=Settings!$S$8,"Hot",IF(Q291&gt;=Settings!$S$9,"Warm","Cold")))))</f>
        <v/>
      </c>
      <c r="S291" s="44" t="str">
        <f aca="false">IF(OR(E291="",A291=""),"",IF(AND(COUNTIFS(Scoresheet!$C$2:$C$501,A291,Scoresheet!$U$2:$U$501,1,Scoresheet!$H$2:$H$501,"No")&gt;0,COUNTIFS(Scoresheet!$C$2:$C$501,A291,Scoresheet!$U$2:$U$501,1,Scoresheet!$J$2:$J$501,"No")&gt;0),"🚩 Budget  ·  🚩 No one on camera",IF(COUNTIFS(Scoresheet!$C$2:$C$501,A291,Scoresheet!$U$2:$U$501,1,Scoresheet!$H$2:$H$501,"No")&gt;0,"🚩 Budget under AED 5k",IF(COUNTIFS(Scoresheet!$C$2:$C$501,A291,Scoresheet!$U$2:$U$501,1,Scoresheet!$J$2:$J$501,"No")&gt;0,"🚩 No one on camera",""))))</f>
        <v/>
      </c>
      <c r="T291" s="17"/>
      <c r="U291" s="17"/>
      <c r="V291" s="40"/>
      <c r="W291" s="17"/>
      <c r="X291" s="45" t="str">
        <f aca="false">IF(OR(E291="",V291="",OR(U291="Contract signed + paid",U291="Closed – No response",U291="Lost"),N(W291)&gt;=Settings!$S$3),"",V291+Settings!$S$2)</f>
        <v/>
      </c>
      <c r="Y291" s="40"/>
      <c r="Z291" s="41"/>
      <c r="AA291" s="17"/>
      <c r="AB291" s="17"/>
      <c r="AC291" s="17"/>
      <c r="AD291" s="46" t="str">
        <f aca="true">IF(OR(E291="",B291=""),"",INT(TODAY()-B291))</f>
        <v/>
      </c>
      <c r="AE291" s="44" t="str">
        <f aca="true">IF(E291="","",IF(OR(COUNTIFS(Clients!$C$2:$C$501,E291,Clients!$S$2:$S$501,"Paid")&gt;0,AND(I291&lt;&gt;"",COUNTIFS(Clients!$E$2:$E$501,I291,Clients!$S$2:$S$501,"Paid")&gt;0)),"⚠ Refunded before – no free video",IF(OR(U291="Contract signed + paid",U291="Closed – No response",U291="Lost"),"",IF(U291="","Set a stage",IF(AND(U291="Proposal sent",SUMIFS(Scoresheet!$N$2:$N$501,Scoresheet!$C$2:$C$501,A291,Scoresheet!$U$2:$U$501,1)&lt;6),"Score this lead – fill the call scoresheet",IF(N(W291)&gt;=Settings!$S$3,"Close – 4 follow-ups sent",IF(X291="",IF(V291="","Make first contact",""),IF(TODAY()&gt;X291,"OVERDUE follow-up",IF(TODAY()=X291,"Follow up today","")))))))))</f>
        <v/>
      </c>
    </row>
    <row r="292" customFormat="false" ht="15" hidden="false" customHeight="false" outlineLevel="0" collapsed="false">
      <c r="A292" s="17"/>
      <c r="B292" s="40"/>
      <c r="C292" s="41"/>
      <c r="D292" s="17"/>
      <c r="E292" s="17"/>
      <c r="F292" s="17"/>
      <c r="G292" s="17"/>
      <c r="H292" s="17"/>
      <c r="I292" s="42"/>
      <c r="J292" s="17"/>
      <c r="K292" s="17"/>
      <c r="L292" s="17"/>
      <c r="M292" s="17"/>
      <c r="N292" s="40"/>
      <c r="O292" s="41"/>
      <c r="P292" s="43" t="str">
        <f aca="false">IF(OR(B292="",N292=""),"",ROUND(((N292+N(O292))-(B292+N(C292)))*24,1))</f>
        <v/>
      </c>
      <c r="Q292" s="44" t="str">
        <f aca="false">IF(OR(E292="",A292="",COUNTIFS(Scoresheet!$C$2:$C$501,A292,Scoresheet!$U$2:$U$501,1)=0),"",SUMIFS(Scoresheet!$O$2:$O$501,Scoresheet!$C$2:$C$501,A292,Scoresheet!$U$2:$U$501,1))</f>
        <v/>
      </c>
      <c r="R292" s="44" t="str">
        <f aca="false">IF(E292="","",IF(OR(A292="",COUNTIFS(Scoresheet!$C$2:$C$501,A292,Scoresheet!$U$2:$U$501,1)=0),"No scoresheet yet",IF(SUMIFS(Scoresheet!$N$2:$N$501,Scoresheet!$C$2:$C$501,A292,Scoresheet!$U$2:$U$501,1)&lt;6,"Partly scored ("&amp;SUMIFS(Scoresheet!$N$2:$N$501,Scoresheet!$C$2:$C$501,A292,Scoresheet!$U$2:$U$501,1)&amp;"/6)",IF(Q292&gt;=Settings!$S$8,"Hot",IF(Q292&gt;=Settings!$S$9,"Warm","Cold")))))</f>
        <v/>
      </c>
      <c r="S292" s="44" t="str">
        <f aca="false">IF(OR(E292="",A292=""),"",IF(AND(COUNTIFS(Scoresheet!$C$2:$C$501,A292,Scoresheet!$U$2:$U$501,1,Scoresheet!$H$2:$H$501,"No")&gt;0,COUNTIFS(Scoresheet!$C$2:$C$501,A292,Scoresheet!$U$2:$U$501,1,Scoresheet!$J$2:$J$501,"No")&gt;0),"🚩 Budget  ·  🚩 No one on camera",IF(COUNTIFS(Scoresheet!$C$2:$C$501,A292,Scoresheet!$U$2:$U$501,1,Scoresheet!$H$2:$H$501,"No")&gt;0,"🚩 Budget under AED 5k",IF(COUNTIFS(Scoresheet!$C$2:$C$501,A292,Scoresheet!$U$2:$U$501,1,Scoresheet!$J$2:$J$501,"No")&gt;0,"🚩 No one on camera",""))))</f>
        <v/>
      </c>
      <c r="T292" s="17"/>
      <c r="U292" s="17"/>
      <c r="V292" s="40"/>
      <c r="W292" s="17"/>
      <c r="X292" s="45" t="str">
        <f aca="false">IF(OR(E292="",V292="",OR(U292="Contract signed + paid",U292="Closed – No response",U292="Lost"),N(W292)&gt;=Settings!$S$3),"",V292+Settings!$S$2)</f>
        <v/>
      </c>
      <c r="Y292" s="40"/>
      <c r="Z292" s="41"/>
      <c r="AA292" s="17"/>
      <c r="AB292" s="17"/>
      <c r="AC292" s="17"/>
      <c r="AD292" s="46" t="str">
        <f aca="true">IF(OR(E292="",B292=""),"",INT(TODAY()-B292))</f>
        <v/>
      </c>
      <c r="AE292" s="44" t="str">
        <f aca="true">IF(E292="","",IF(OR(COUNTIFS(Clients!$C$2:$C$501,E292,Clients!$S$2:$S$501,"Paid")&gt;0,AND(I292&lt;&gt;"",COUNTIFS(Clients!$E$2:$E$501,I292,Clients!$S$2:$S$501,"Paid")&gt;0)),"⚠ Refunded before – no free video",IF(OR(U292="Contract signed + paid",U292="Closed – No response",U292="Lost"),"",IF(U292="","Set a stage",IF(AND(U292="Proposal sent",SUMIFS(Scoresheet!$N$2:$N$501,Scoresheet!$C$2:$C$501,A292,Scoresheet!$U$2:$U$501,1)&lt;6),"Score this lead – fill the call scoresheet",IF(N(W292)&gt;=Settings!$S$3,"Close – 4 follow-ups sent",IF(X292="",IF(V292="","Make first contact",""),IF(TODAY()&gt;X292,"OVERDUE follow-up",IF(TODAY()=X292,"Follow up today","")))))))))</f>
        <v/>
      </c>
    </row>
    <row r="293" customFormat="false" ht="15" hidden="false" customHeight="false" outlineLevel="0" collapsed="false">
      <c r="A293" s="17"/>
      <c r="B293" s="40"/>
      <c r="C293" s="41"/>
      <c r="D293" s="17"/>
      <c r="E293" s="17"/>
      <c r="F293" s="17"/>
      <c r="G293" s="17"/>
      <c r="H293" s="17"/>
      <c r="I293" s="42"/>
      <c r="J293" s="17"/>
      <c r="K293" s="17"/>
      <c r="L293" s="17"/>
      <c r="M293" s="17"/>
      <c r="N293" s="40"/>
      <c r="O293" s="41"/>
      <c r="P293" s="43" t="str">
        <f aca="false">IF(OR(B293="",N293=""),"",ROUND(((N293+N(O293))-(B293+N(C293)))*24,1))</f>
        <v/>
      </c>
      <c r="Q293" s="44" t="str">
        <f aca="false">IF(OR(E293="",A293="",COUNTIFS(Scoresheet!$C$2:$C$501,A293,Scoresheet!$U$2:$U$501,1)=0),"",SUMIFS(Scoresheet!$O$2:$O$501,Scoresheet!$C$2:$C$501,A293,Scoresheet!$U$2:$U$501,1))</f>
        <v/>
      </c>
      <c r="R293" s="44" t="str">
        <f aca="false">IF(E293="","",IF(OR(A293="",COUNTIFS(Scoresheet!$C$2:$C$501,A293,Scoresheet!$U$2:$U$501,1)=0),"No scoresheet yet",IF(SUMIFS(Scoresheet!$N$2:$N$501,Scoresheet!$C$2:$C$501,A293,Scoresheet!$U$2:$U$501,1)&lt;6,"Partly scored ("&amp;SUMIFS(Scoresheet!$N$2:$N$501,Scoresheet!$C$2:$C$501,A293,Scoresheet!$U$2:$U$501,1)&amp;"/6)",IF(Q293&gt;=Settings!$S$8,"Hot",IF(Q293&gt;=Settings!$S$9,"Warm","Cold")))))</f>
        <v/>
      </c>
      <c r="S293" s="44" t="str">
        <f aca="false">IF(OR(E293="",A293=""),"",IF(AND(COUNTIFS(Scoresheet!$C$2:$C$501,A293,Scoresheet!$U$2:$U$501,1,Scoresheet!$H$2:$H$501,"No")&gt;0,COUNTIFS(Scoresheet!$C$2:$C$501,A293,Scoresheet!$U$2:$U$501,1,Scoresheet!$J$2:$J$501,"No")&gt;0),"🚩 Budget  ·  🚩 No one on camera",IF(COUNTIFS(Scoresheet!$C$2:$C$501,A293,Scoresheet!$U$2:$U$501,1,Scoresheet!$H$2:$H$501,"No")&gt;0,"🚩 Budget under AED 5k",IF(COUNTIFS(Scoresheet!$C$2:$C$501,A293,Scoresheet!$U$2:$U$501,1,Scoresheet!$J$2:$J$501,"No")&gt;0,"🚩 No one on camera",""))))</f>
        <v/>
      </c>
      <c r="T293" s="17"/>
      <c r="U293" s="17"/>
      <c r="V293" s="40"/>
      <c r="W293" s="17"/>
      <c r="X293" s="45" t="str">
        <f aca="false">IF(OR(E293="",V293="",OR(U293="Contract signed + paid",U293="Closed – No response",U293="Lost"),N(W293)&gt;=Settings!$S$3),"",V293+Settings!$S$2)</f>
        <v/>
      </c>
      <c r="Y293" s="40"/>
      <c r="Z293" s="41"/>
      <c r="AA293" s="17"/>
      <c r="AB293" s="17"/>
      <c r="AC293" s="17"/>
      <c r="AD293" s="46" t="str">
        <f aca="true">IF(OR(E293="",B293=""),"",INT(TODAY()-B293))</f>
        <v/>
      </c>
      <c r="AE293" s="44" t="str">
        <f aca="true">IF(E293="","",IF(OR(COUNTIFS(Clients!$C$2:$C$501,E293,Clients!$S$2:$S$501,"Paid")&gt;0,AND(I293&lt;&gt;"",COUNTIFS(Clients!$E$2:$E$501,I293,Clients!$S$2:$S$501,"Paid")&gt;0)),"⚠ Refunded before – no free video",IF(OR(U293="Contract signed + paid",U293="Closed – No response",U293="Lost"),"",IF(U293="","Set a stage",IF(AND(U293="Proposal sent",SUMIFS(Scoresheet!$N$2:$N$501,Scoresheet!$C$2:$C$501,A293,Scoresheet!$U$2:$U$501,1)&lt;6),"Score this lead – fill the call scoresheet",IF(N(W293)&gt;=Settings!$S$3,"Close – 4 follow-ups sent",IF(X293="",IF(V293="","Make first contact",""),IF(TODAY()&gt;X293,"OVERDUE follow-up",IF(TODAY()=X293,"Follow up today","")))))))))</f>
        <v/>
      </c>
    </row>
    <row r="294" customFormat="false" ht="15" hidden="false" customHeight="false" outlineLevel="0" collapsed="false">
      <c r="A294" s="17"/>
      <c r="B294" s="40"/>
      <c r="C294" s="41"/>
      <c r="D294" s="17"/>
      <c r="E294" s="17"/>
      <c r="F294" s="17"/>
      <c r="G294" s="17"/>
      <c r="H294" s="17"/>
      <c r="I294" s="42"/>
      <c r="J294" s="17"/>
      <c r="K294" s="17"/>
      <c r="L294" s="17"/>
      <c r="M294" s="17"/>
      <c r="N294" s="40"/>
      <c r="O294" s="41"/>
      <c r="P294" s="43" t="str">
        <f aca="false">IF(OR(B294="",N294=""),"",ROUND(((N294+N(O294))-(B294+N(C294)))*24,1))</f>
        <v/>
      </c>
      <c r="Q294" s="44" t="str">
        <f aca="false">IF(OR(E294="",A294="",COUNTIFS(Scoresheet!$C$2:$C$501,A294,Scoresheet!$U$2:$U$501,1)=0),"",SUMIFS(Scoresheet!$O$2:$O$501,Scoresheet!$C$2:$C$501,A294,Scoresheet!$U$2:$U$501,1))</f>
        <v/>
      </c>
      <c r="R294" s="44" t="str">
        <f aca="false">IF(E294="","",IF(OR(A294="",COUNTIFS(Scoresheet!$C$2:$C$501,A294,Scoresheet!$U$2:$U$501,1)=0),"No scoresheet yet",IF(SUMIFS(Scoresheet!$N$2:$N$501,Scoresheet!$C$2:$C$501,A294,Scoresheet!$U$2:$U$501,1)&lt;6,"Partly scored ("&amp;SUMIFS(Scoresheet!$N$2:$N$501,Scoresheet!$C$2:$C$501,A294,Scoresheet!$U$2:$U$501,1)&amp;"/6)",IF(Q294&gt;=Settings!$S$8,"Hot",IF(Q294&gt;=Settings!$S$9,"Warm","Cold")))))</f>
        <v/>
      </c>
      <c r="S294" s="44" t="str">
        <f aca="false">IF(OR(E294="",A294=""),"",IF(AND(COUNTIFS(Scoresheet!$C$2:$C$501,A294,Scoresheet!$U$2:$U$501,1,Scoresheet!$H$2:$H$501,"No")&gt;0,COUNTIFS(Scoresheet!$C$2:$C$501,A294,Scoresheet!$U$2:$U$501,1,Scoresheet!$J$2:$J$501,"No")&gt;0),"🚩 Budget  ·  🚩 No one on camera",IF(COUNTIFS(Scoresheet!$C$2:$C$501,A294,Scoresheet!$U$2:$U$501,1,Scoresheet!$H$2:$H$501,"No")&gt;0,"🚩 Budget under AED 5k",IF(COUNTIFS(Scoresheet!$C$2:$C$501,A294,Scoresheet!$U$2:$U$501,1,Scoresheet!$J$2:$J$501,"No")&gt;0,"🚩 No one on camera",""))))</f>
        <v/>
      </c>
      <c r="T294" s="17"/>
      <c r="U294" s="17"/>
      <c r="V294" s="40"/>
      <c r="W294" s="17"/>
      <c r="X294" s="45" t="str">
        <f aca="false">IF(OR(E294="",V294="",OR(U294="Contract signed + paid",U294="Closed – No response",U294="Lost"),N(W294)&gt;=Settings!$S$3),"",V294+Settings!$S$2)</f>
        <v/>
      </c>
      <c r="Y294" s="40"/>
      <c r="Z294" s="41"/>
      <c r="AA294" s="17"/>
      <c r="AB294" s="17"/>
      <c r="AC294" s="17"/>
      <c r="AD294" s="46" t="str">
        <f aca="true">IF(OR(E294="",B294=""),"",INT(TODAY()-B294))</f>
        <v/>
      </c>
      <c r="AE294" s="44" t="str">
        <f aca="true">IF(E294="","",IF(OR(COUNTIFS(Clients!$C$2:$C$501,E294,Clients!$S$2:$S$501,"Paid")&gt;0,AND(I294&lt;&gt;"",COUNTIFS(Clients!$E$2:$E$501,I294,Clients!$S$2:$S$501,"Paid")&gt;0)),"⚠ Refunded before – no free video",IF(OR(U294="Contract signed + paid",U294="Closed – No response",U294="Lost"),"",IF(U294="","Set a stage",IF(AND(U294="Proposal sent",SUMIFS(Scoresheet!$N$2:$N$501,Scoresheet!$C$2:$C$501,A294,Scoresheet!$U$2:$U$501,1)&lt;6),"Score this lead – fill the call scoresheet",IF(N(W294)&gt;=Settings!$S$3,"Close – 4 follow-ups sent",IF(X294="",IF(V294="","Make first contact",""),IF(TODAY()&gt;X294,"OVERDUE follow-up",IF(TODAY()=X294,"Follow up today","")))))))))</f>
        <v/>
      </c>
    </row>
    <row r="295" customFormat="false" ht="15" hidden="false" customHeight="false" outlineLevel="0" collapsed="false">
      <c r="A295" s="17"/>
      <c r="B295" s="40"/>
      <c r="C295" s="41"/>
      <c r="D295" s="17"/>
      <c r="E295" s="17"/>
      <c r="F295" s="17"/>
      <c r="G295" s="17"/>
      <c r="H295" s="17"/>
      <c r="I295" s="42"/>
      <c r="J295" s="17"/>
      <c r="K295" s="17"/>
      <c r="L295" s="17"/>
      <c r="M295" s="17"/>
      <c r="N295" s="40"/>
      <c r="O295" s="41"/>
      <c r="P295" s="43" t="str">
        <f aca="false">IF(OR(B295="",N295=""),"",ROUND(((N295+N(O295))-(B295+N(C295)))*24,1))</f>
        <v/>
      </c>
      <c r="Q295" s="44" t="str">
        <f aca="false">IF(OR(E295="",A295="",COUNTIFS(Scoresheet!$C$2:$C$501,A295,Scoresheet!$U$2:$U$501,1)=0),"",SUMIFS(Scoresheet!$O$2:$O$501,Scoresheet!$C$2:$C$501,A295,Scoresheet!$U$2:$U$501,1))</f>
        <v/>
      </c>
      <c r="R295" s="44" t="str">
        <f aca="false">IF(E295="","",IF(OR(A295="",COUNTIFS(Scoresheet!$C$2:$C$501,A295,Scoresheet!$U$2:$U$501,1)=0),"No scoresheet yet",IF(SUMIFS(Scoresheet!$N$2:$N$501,Scoresheet!$C$2:$C$501,A295,Scoresheet!$U$2:$U$501,1)&lt;6,"Partly scored ("&amp;SUMIFS(Scoresheet!$N$2:$N$501,Scoresheet!$C$2:$C$501,A295,Scoresheet!$U$2:$U$501,1)&amp;"/6)",IF(Q295&gt;=Settings!$S$8,"Hot",IF(Q295&gt;=Settings!$S$9,"Warm","Cold")))))</f>
        <v/>
      </c>
      <c r="S295" s="44" t="str">
        <f aca="false">IF(OR(E295="",A295=""),"",IF(AND(COUNTIFS(Scoresheet!$C$2:$C$501,A295,Scoresheet!$U$2:$U$501,1,Scoresheet!$H$2:$H$501,"No")&gt;0,COUNTIFS(Scoresheet!$C$2:$C$501,A295,Scoresheet!$U$2:$U$501,1,Scoresheet!$J$2:$J$501,"No")&gt;0),"🚩 Budget  ·  🚩 No one on camera",IF(COUNTIFS(Scoresheet!$C$2:$C$501,A295,Scoresheet!$U$2:$U$501,1,Scoresheet!$H$2:$H$501,"No")&gt;0,"🚩 Budget under AED 5k",IF(COUNTIFS(Scoresheet!$C$2:$C$501,A295,Scoresheet!$U$2:$U$501,1,Scoresheet!$J$2:$J$501,"No")&gt;0,"🚩 No one on camera",""))))</f>
        <v/>
      </c>
      <c r="T295" s="17"/>
      <c r="U295" s="17"/>
      <c r="V295" s="40"/>
      <c r="W295" s="17"/>
      <c r="X295" s="45" t="str">
        <f aca="false">IF(OR(E295="",V295="",OR(U295="Contract signed + paid",U295="Closed – No response",U295="Lost"),N(W295)&gt;=Settings!$S$3),"",V295+Settings!$S$2)</f>
        <v/>
      </c>
      <c r="Y295" s="40"/>
      <c r="Z295" s="41"/>
      <c r="AA295" s="17"/>
      <c r="AB295" s="17"/>
      <c r="AC295" s="17"/>
      <c r="AD295" s="46" t="str">
        <f aca="true">IF(OR(E295="",B295=""),"",INT(TODAY()-B295))</f>
        <v/>
      </c>
      <c r="AE295" s="44" t="str">
        <f aca="true">IF(E295="","",IF(OR(COUNTIFS(Clients!$C$2:$C$501,E295,Clients!$S$2:$S$501,"Paid")&gt;0,AND(I295&lt;&gt;"",COUNTIFS(Clients!$E$2:$E$501,I295,Clients!$S$2:$S$501,"Paid")&gt;0)),"⚠ Refunded before – no free video",IF(OR(U295="Contract signed + paid",U295="Closed – No response",U295="Lost"),"",IF(U295="","Set a stage",IF(AND(U295="Proposal sent",SUMIFS(Scoresheet!$N$2:$N$501,Scoresheet!$C$2:$C$501,A295,Scoresheet!$U$2:$U$501,1)&lt;6),"Score this lead – fill the call scoresheet",IF(N(W295)&gt;=Settings!$S$3,"Close – 4 follow-ups sent",IF(X295="",IF(V295="","Make first contact",""),IF(TODAY()&gt;X295,"OVERDUE follow-up",IF(TODAY()=X295,"Follow up today","")))))))))</f>
        <v/>
      </c>
    </row>
    <row r="296" customFormat="false" ht="15" hidden="false" customHeight="false" outlineLevel="0" collapsed="false">
      <c r="A296" s="17"/>
      <c r="B296" s="40"/>
      <c r="C296" s="41"/>
      <c r="D296" s="17"/>
      <c r="E296" s="17"/>
      <c r="F296" s="17"/>
      <c r="G296" s="17"/>
      <c r="H296" s="17"/>
      <c r="I296" s="42"/>
      <c r="J296" s="17"/>
      <c r="K296" s="17"/>
      <c r="L296" s="17"/>
      <c r="M296" s="17"/>
      <c r="N296" s="40"/>
      <c r="O296" s="41"/>
      <c r="P296" s="43" t="str">
        <f aca="false">IF(OR(B296="",N296=""),"",ROUND(((N296+N(O296))-(B296+N(C296)))*24,1))</f>
        <v/>
      </c>
      <c r="Q296" s="44" t="str">
        <f aca="false">IF(OR(E296="",A296="",COUNTIFS(Scoresheet!$C$2:$C$501,A296,Scoresheet!$U$2:$U$501,1)=0),"",SUMIFS(Scoresheet!$O$2:$O$501,Scoresheet!$C$2:$C$501,A296,Scoresheet!$U$2:$U$501,1))</f>
        <v/>
      </c>
      <c r="R296" s="44" t="str">
        <f aca="false">IF(E296="","",IF(OR(A296="",COUNTIFS(Scoresheet!$C$2:$C$501,A296,Scoresheet!$U$2:$U$501,1)=0),"No scoresheet yet",IF(SUMIFS(Scoresheet!$N$2:$N$501,Scoresheet!$C$2:$C$501,A296,Scoresheet!$U$2:$U$501,1)&lt;6,"Partly scored ("&amp;SUMIFS(Scoresheet!$N$2:$N$501,Scoresheet!$C$2:$C$501,A296,Scoresheet!$U$2:$U$501,1)&amp;"/6)",IF(Q296&gt;=Settings!$S$8,"Hot",IF(Q296&gt;=Settings!$S$9,"Warm","Cold")))))</f>
        <v/>
      </c>
      <c r="S296" s="44" t="str">
        <f aca="false">IF(OR(E296="",A296=""),"",IF(AND(COUNTIFS(Scoresheet!$C$2:$C$501,A296,Scoresheet!$U$2:$U$501,1,Scoresheet!$H$2:$H$501,"No")&gt;0,COUNTIFS(Scoresheet!$C$2:$C$501,A296,Scoresheet!$U$2:$U$501,1,Scoresheet!$J$2:$J$501,"No")&gt;0),"🚩 Budget  ·  🚩 No one on camera",IF(COUNTIFS(Scoresheet!$C$2:$C$501,A296,Scoresheet!$U$2:$U$501,1,Scoresheet!$H$2:$H$501,"No")&gt;0,"🚩 Budget under AED 5k",IF(COUNTIFS(Scoresheet!$C$2:$C$501,A296,Scoresheet!$U$2:$U$501,1,Scoresheet!$J$2:$J$501,"No")&gt;0,"🚩 No one on camera",""))))</f>
        <v/>
      </c>
      <c r="T296" s="17"/>
      <c r="U296" s="17"/>
      <c r="V296" s="40"/>
      <c r="W296" s="17"/>
      <c r="X296" s="45" t="str">
        <f aca="false">IF(OR(E296="",V296="",OR(U296="Contract signed + paid",U296="Closed – No response",U296="Lost"),N(W296)&gt;=Settings!$S$3),"",V296+Settings!$S$2)</f>
        <v/>
      </c>
      <c r="Y296" s="40"/>
      <c r="Z296" s="41"/>
      <c r="AA296" s="17"/>
      <c r="AB296" s="17"/>
      <c r="AC296" s="17"/>
      <c r="AD296" s="46" t="str">
        <f aca="true">IF(OR(E296="",B296=""),"",INT(TODAY()-B296))</f>
        <v/>
      </c>
      <c r="AE296" s="44" t="str">
        <f aca="true">IF(E296="","",IF(OR(COUNTIFS(Clients!$C$2:$C$501,E296,Clients!$S$2:$S$501,"Paid")&gt;0,AND(I296&lt;&gt;"",COUNTIFS(Clients!$E$2:$E$501,I296,Clients!$S$2:$S$501,"Paid")&gt;0)),"⚠ Refunded before – no free video",IF(OR(U296="Contract signed + paid",U296="Closed – No response",U296="Lost"),"",IF(U296="","Set a stage",IF(AND(U296="Proposal sent",SUMIFS(Scoresheet!$N$2:$N$501,Scoresheet!$C$2:$C$501,A296,Scoresheet!$U$2:$U$501,1)&lt;6),"Score this lead – fill the call scoresheet",IF(N(W296)&gt;=Settings!$S$3,"Close – 4 follow-ups sent",IF(X296="",IF(V296="","Make first contact",""),IF(TODAY()&gt;X296,"OVERDUE follow-up",IF(TODAY()=X296,"Follow up today","")))))))))</f>
        <v/>
      </c>
    </row>
    <row r="297" customFormat="false" ht="15" hidden="false" customHeight="false" outlineLevel="0" collapsed="false">
      <c r="A297" s="17"/>
      <c r="B297" s="40"/>
      <c r="C297" s="41"/>
      <c r="D297" s="17"/>
      <c r="E297" s="17"/>
      <c r="F297" s="17"/>
      <c r="G297" s="17"/>
      <c r="H297" s="17"/>
      <c r="I297" s="42"/>
      <c r="J297" s="17"/>
      <c r="K297" s="17"/>
      <c r="L297" s="17"/>
      <c r="M297" s="17"/>
      <c r="N297" s="40"/>
      <c r="O297" s="41"/>
      <c r="P297" s="43" t="str">
        <f aca="false">IF(OR(B297="",N297=""),"",ROUND(((N297+N(O297))-(B297+N(C297)))*24,1))</f>
        <v/>
      </c>
      <c r="Q297" s="44" t="str">
        <f aca="false">IF(OR(E297="",A297="",COUNTIFS(Scoresheet!$C$2:$C$501,A297,Scoresheet!$U$2:$U$501,1)=0),"",SUMIFS(Scoresheet!$O$2:$O$501,Scoresheet!$C$2:$C$501,A297,Scoresheet!$U$2:$U$501,1))</f>
        <v/>
      </c>
      <c r="R297" s="44" t="str">
        <f aca="false">IF(E297="","",IF(OR(A297="",COUNTIFS(Scoresheet!$C$2:$C$501,A297,Scoresheet!$U$2:$U$501,1)=0),"No scoresheet yet",IF(SUMIFS(Scoresheet!$N$2:$N$501,Scoresheet!$C$2:$C$501,A297,Scoresheet!$U$2:$U$501,1)&lt;6,"Partly scored ("&amp;SUMIFS(Scoresheet!$N$2:$N$501,Scoresheet!$C$2:$C$501,A297,Scoresheet!$U$2:$U$501,1)&amp;"/6)",IF(Q297&gt;=Settings!$S$8,"Hot",IF(Q297&gt;=Settings!$S$9,"Warm","Cold")))))</f>
        <v/>
      </c>
      <c r="S297" s="44" t="str">
        <f aca="false">IF(OR(E297="",A297=""),"",IF(AND(COUNTIFS(Scoresheet!$C$2:$C$501,A297,Scoresheet!$U$2:$U$501,1,Scoresheet!$H$2:$H$501,"No")&gt;0,COUNTIFS(Scoresheet!$C$2:$C$501,A297,Scoresheet!$U$2:$U$501,1,Scoresheet!$J$2:$J$501,"No")&gt;0),"🚩 Budget  ·  🚩 No one on camera",IF(COUNTIFS(Scoresheet!$C$2:$C$501,A297,Scoresheet!$U$2:$U$501,1,Scoresheet!$H$2:$H$501,"No")&gt;0,"🚩 Budget under AED 5k",IF(COUNTIFS(Scoresheet!$C$2:$C$501,A297,Scoresheet!$U$2:$U$501,1,Scoresheet!$J$2:$J$501,"No")&gt;0,"🚩 No one on camera",""))))</f>
        <v/>
      </c>
      <c r="T297" s="17"/>
      <c r="U297" s="17"/>
      <c r="V297" s="40"/>
      <c r="W297" s="17"/>
      <c r="X297" s="45" t="str">
        <f aca="false">IF(OR(E297="",V297="",OR(U297="Contract signed + paid",U297="Closed – No response",U297="Lost"),N(W297)&gt;=Settings!$S$3),"",V297+Settings!$S$2)</f>
        <v/>
      </c>
      <c r="Y297" s="40"/>
      <c r="Z297" s="41"/>
      <c r="AA297" s="17"/>
      <c r="AB297" s="17"/>
      <c r="AC297" s="17"/>
      <c r="AD297" s="46" t="str">
        <f aca="true">IF(OR(E297="",B297=""),"",INT(TODAY()-B297))</f>
        <v/>
      </c>
      <c r="AE297" s="44" t="str">
        <f aca="true">IF(E297="","",IF(OR(COUNTIFS(Clients!$C$2:$C$501,E297,Clients!$S$2:$S$501,"Paid")&gt;0,AND(I297&lt;&gt;"",COUNTIFS(Clients!$E$2:$E$501,I297,Clients!$S$2:$S$501,"Paid")&gt;0)),"⚠ Refunded before – no free video",IF(OR(U297="Contract signed + paid",U297="Closed – No response",U297="Lost"),"",IF(U297="","Set a stage",IF(AND(U297="Proposal sent",SUMIFS(Scoresheet!$N$2:$N$501,Scoresheet!$C$2:$C$501,A297,Scoresheet!$U$2:$U$501,1)&lt;6),"Score this lead – fill the call scoresheet",IF(N(W297)&gt;=Settings!$S$3,"Close – 4 follow-ups sent",IF(X297="",IF(V297="","Make first contact",""),IF(TODAY()&gt;X297,"OVERDUE follow-up",IF(TODAY()=X297,"Follow up today","")))))))))</f>
        <v/>
      </c>
    </row>
    <row r="298" customFormat="false" ht="15" hidden="false" customHeight="false" outlineLevel="0" collapsed="false">
      <c r="A298" s="17"/>
      <c r="B298" s="40"/>
      <c r="C298" s="41"/>
      <c r="D298" s="17"/>
      <c r="E298" s="17"/>
      <c r="F298" s="17"/>
      <c r="G298" s="17"/>
      <c r="H298" s="17"/>
      <c r="I298" s="42"/>
      <c r="J298" s="17"/>
      <c r="K298" s="17"/>
      <c r="L298" s="17"/>
      <c r="M298" s="17"/>
      <c r="N298" s="40"/>
      <c r="O298" s="41"/>
      <c r="P298" s="43" t="str">
        <f aca="false">IF(OR(B298="",N298=""),"",ROUND(((N298+N(O298))-(B298+N(C298)))*24,1))</f>
        <v/>
      </c>
      <c r="Q298" s="44" t="str">
        <f aca="false">IF(OR(E298="",A298="",COUNTIFS(Scoresheet!$C$2:$C$501,A298,Scoresheet!$U$2:$U$501,1)=0),"",SUMIFS(Scoresheet!$O$2:$O$501,Scoresheet!$C$2:$C$501,A298,Scoresheet!$U$2:$U$501,1))</f>
        <v/>
      </c>
      <c r="R298" s="44" t="str">
        <f aca="false">IF(E298="","",IF(OR(A298="",COUNTIFS(Scoresheet!$C$2:$C$501,A298,Scoresheet!$U$2:$U$501,1)=0),"No scoresheet yet",IF(SUMIFS(Scoresheet!$N$2:$N$501,Scoresheet!$C$2:$C$501,A298,Scoresheet!$U$2:$U$501,1)&lt;6,"Partly scored ("&amp;SUMIFS(Scoresheet!$N$2:$N$501,Scoresheet!$C$2:$C$501,A298,Scoresheet!$U$2:$U$501,1)&amp;"/6)",IF(Q298&gt;=Settings!$S$8,"Hot",IF(Q298&gt;=Settings!$S$9,"Warm","Cold")))))</f>
        <v/>
      </c>
      <c r="S298" s="44" t="str">
        <f aca="false">IF(OR(E298="",A298=""),"",IF(AND(COUNTIFS(Scoresheet!$C$2:$C$501,A298,Scoresheet!$U$2:$U$501,1,Scoresheet!$H$2:$H$501,"No")&gt;0,COUNTIFS(Scoresheet!$C$2:$C$501,A298,Scoresheet!$U$2:$U$501,1,Scoresheet!$J$2:$J$501,"No")&gt;0),"🚩 Budget  ·  🚩 No one on camera",IF(COUNTIFS(Scoresheet!$C$2:$C$501,A298,Scoresheet!$U$2:$U$501,1,Scoresheet!$H$2:$H$501,"No")&gt;0,"🚩 Budget under AED 5k",IF(COUNTIFS(Scoresheet!$C$2:$C$501,A298,Scoresheet!$U$2:$U$501,1,Scoresheet!$J$2:$J$501,"No")&gt;0,"🚩 No one on camera",""))))</f>
        <v/>
      </c>
      <c r="T298" s="17"/>
      <c r="U298" s="17"/>
      <c r="V298" s="40"/>
      <c r="W298" s="17"/>
      <c r="X298" s="45" t="str">
        <f aca="false">IF(OR(E298="",V298="",OR(U298="Contract signed + paid",U298="Closed – No response",U298="Lost"),N(W298)&gt;=Settings!$S$3),"",V298+Settings!$S$2)</f>
        <v/>
      </c>
      <c r="Y298" s="40"/>
      <c r="Z298" s="41"/>
      <c r="AA298" s="17"/>
      <c r="AB298" s="17"/>
      <c r="AC298" s="17"/>
      <c r="AD298" s="46" t="str">
        <f aca="true">IF(OR(E298="",B298=""),"",INT(TODAY()-B298))</f>
        <v/>
      </c>
      <c r="AE298" s="44" t="str">
        <f aca="true">IF(E298="","",IF(OR(COUNTIFS(Clients!$C$2:$C$501,E298,Clients!$S$2:$S$501,"Paid")&gt;0,AND(I298&lt;&gt;"",COUNTIFS(Clients!$E$2:$E$501,I298,Clients!$S$2:$S$501,"Paid")&gt;0)),"⚠ Refunded before – no free video",IF(OR(U298="Contract signed + paid",U298="Closed – No response",U298="Lost"),"",IF(U298="","Set a stage",IF(AND(U298="Proposal sent",SUMIFS(Scoresheet!$N$2:$N$501,Scoresheet!$C$2:$C$501,A298,Scoresheet!$U$2:$U$501,1)&lt;6),"Score this lead – fill the call scoresheet",IF(N(W298)&gt;=Settings!$S$3,"Close – 4 follow-ups sent",IF(X298="",IF(V298="","Make first contact",""),IF(TODAY()&gt;X298,"OVERDUE follow-up",IF(TODAY()=X298,"Follow up today","")))))))))</f>
        <v/>
      </c>
    </row>
    <row r="299" customFormat="false" ht="15" hidden="false" customHeight="false" outlineLevel="0" collapsed="false">
      <c r="A299" s="17"/>
      <c r="B299" s="40"/>
      <c r="C299" s="41"/>
      <c r="D299" s="17"/>
      <c r="E299" s="17"/>
      <c r="F299" s="17"/>
      <c r="G299" s="17"/>
      <c r="H299" s="17"/>
      <c r="I299" s="42"/>
      <c r="J299" s="17"/>
      <c r="K299" s="17"/>
      <c r="L299" s="17"/>
      <c r="M299" s="17"/>
      <c r="N299" s="40"/>
      <c r="O299" s="41"/>
      <c r="P299" s="43" t="str">
        <f aca="false">IF(OR(B299="",N299=""),"",ROUND(((N299+N(O299))-(B299+N(C299)))*24,1))</f>
        <v/>
      </c>
      <c r="Q299" s="44" t="str">
        <f aca="false">IF(OR(E299="",A299="",COUNTIFS(Scoresheet!$C$2:$C$501,A299,Scoresheet!$U$2:$U$501,1)=0),"",SUMIFS(Scoresheet!$O$2:$O$501,Scoresheet!$C$2:$C$501,A299,Scoresheet!$U$2:$U$501,1))</f>
        <v/>
      </c>
      <c r="R299" s="44" t="str">
        <f aca="false">IF(E299="","",IF(OR(A299="",COUNTIFS(Scoresheet!$C$2:$C$501,A299,Scoresheet!$U$2:$U$501,1)=0),"No scoresheet yet",IF(SUMIFS(Scoresheet!$N$2:$N$501,Scoresheet!$C$2:$C$501,A299,Scoresheet!$U$2:$U$501,1)&lt;6,"Partly scored ("&amp;SUMIFS(Scoresheet!$N$2:$N$501,Scoresheet!$C$2:$C$501,A299,Scoresheet!$U$2:$U$501,1)&amp;"/6)",IF(Q299&gt;=Settings!$S$8,"Hot",IF(Q299&gt;=Settings!$S$9,"Warm","Cold")))))</f>
        <v/>
      </c>
      <c r="S299" s="44" t="str">
        <f aca="false">IF(OR(E299="",A299=""),"",IF(AND(COUNTIFS(Scoresheet!$C$2:$C$501,A299,Scoresheet!$U$2:$U$501,1,Scoresheet!$H$2:$H$501,"No")&gt;0,COUNTIFS(Scoresheet!$C$2:$C$501,A299,Scoresheet!$U$2:$U$501,1,Scoresheet!$J$2:$J$501,"No")&gt;0),"🚩 Budget  ·  🚩 No one on camera",IF(COUNTIFS(Scoresheet!$C$2:$C$501,A299,Scoresheet!$U$2:$U$501,1,Scoresheet!$H$2:$H$501,"No")&gt;0,"🚩 Budget under AED 5k",IF(COUNTIFS(Scoresheet!$C$2:$C$501,A299,Scoresheet!$U$2:$U$501,1,Scoresheet!$J$2:$J$501,"No")&gt;0,"🚩 No one on camera",""))))</f>
        <v/>
      </c>
      <c r="T299" s="17"/>
      <c r="U299" s="17"/>
      <c r="V299" s="40"/>
      <c r="W299" s="17"/>
      <c r="X299" s="45" t="str">
        <f aca="false">IF(OR(E299="",V299="",OR(U299="Contract signed + paid",U299="Closed – No response",U299="Lost"),N(W299)&gt;=Settings!$S$3),"",V299+Settings!$S$2)</f>
        <v/>
      </c>
      <c r="Y299" s="40"/>
      <c r="Z299" s="41"/>
      <c r="AA299" s="17"/>
      <c r="AB299" s="17"/>
      <c r="AC299" s="17"/>
      <c r="AD299" s="46" t="str">
        <f aca="true">IF(OR(E299="",B299=""),"",INT(TODAY()-B299))</f>
        <v/>
      </c>
      <c r="AE299" s="44" t="str">
        <f aca="true">IF(E299="","",IF(OR(COUNTIFS(Clients!$C$2:$C$501,E299,Clients!$S$2:$S$501,"Paid")&gt;0,AND(I299&lt;&gt;"",COUNTIFS(Clients!$E$2:$E$501,I299,Clients!$S$2:$S$501,"Paid")&gt;0)),"⚠ Refunded before – no free video",IF(OR(U299="Contract signed + paid",U299="Closed – No response",U299="Lost"),"",IF(U299="","Set a stage",IF(AND(U299="Proposal sent",SUMIFS(Scoresheet!$N$2:$N$501,Scoresheet!$C$2:$C$501,A299,Scoresheet!$U$2:$U$501,1)&lt;6),"Score this lead – fill the call scoresheet",IF(N(W299)&gt;=Settings!$S$3,"Close – 4 follow-ups sent",IF(X299="",IF(V299="","Make first contact",""),IF(TODAY()&gt;X299,"OVERDUE follow-up",IF(TODAY()=X299,"Follow up today","")))))))))</f>
        <v/>
      </c>
    </row>
    <row r="300" customFormat="false" ht="15" hidden="false" customHeight="false" outlineLevel="0" collapsed="false">
      <c r="A300" s="17"/>
      <c r="B300" s="40"/>
      <c r="C300" s="41"/>
      <c r="D300" s="17"/>
      <c r="E300" s="17"/>
      <c r="F300" s="17"/>
      <c r="G300" s="17"/>
      <c r="H300" s="17"/>
      <c r="I300" s="42"/>
      <c r="J300" s="17"/>
      <c r="K300" s="17"/>
      <c r="L300" s="17"/>
      <c r="M300" s="17"/>
      <c r="N300" s="40"/>
      <c r="O300" s="41"/>
      <c r="P300" s="43" t="str">
        <f aca="false">IF(OR(B300="",N300=""),"",ROUND(((N300+N(O300))-(B300+N(C300)))*24,1))</f>
        <v/>
      </c>
      <c r="Q300" s="44" t="str">
        <f aca="false">IF(OR(E300="",A300="",COUNTIFS(Scoresheet!$C$2:$C$501,A300,Scoresheet!$U$2:$U$501,1)=0),"",SUMIFS(Scoresheet!$O$2:$O$501,Scoresheet!$C$2:$C$501,A300,Scoresheet!$U$2:$U$501,1))</f>
        <v/>
      </c>
      <c r="R300" s="44" t="str">
        <f aca="false">IF(E300="","",IF(OR(A300="",COUNTIFS(Scoresheet!$C$2:$C$501,A300,Scoresheet!$U$2:$U$501,1)=0),"No scoresheet yet",IF(SUMIFS(Scoresheet!$N$2:$N$501,Scoresheet!$C$2:$C$501,A300,Scoresheet!$U$2:$U$501,1)&lt;6,"Partly scored ("&amp;SUMIFS(Scoresheet!$N$2:$N$501,Scoresheet!$C$2:$C$501,A300,Scoresheet!$U$2:$U$501,1)&amp;"/6)",IF(Q300&gt;=Settings!$S$8,"Hot",IF(Q300&gt;=Settings!$S$9,"Warm","Cold")))))</f>
        <v/>
      </c>
      <c r="S300" s="44" t="str">
        <f aca="false">IF(OR(E300="",A300=""),"",IF(AND(COUNTIFS(Scoresheet!$C$2:$C$501,A300,Scoresheet!$U$2:$U$501,1,Scoresheet!$H$2:$H$501,"No")&gt;0,COUNTIFS(Scoresheet!$C$2:$C$501,A300,Scoresheet!$U$2:$U$501,1,Scoresheet!$J$2:$J$501,"No")&gt;0),"🚩 Budget  ·  🚩 No one on camera",IF(COUNTIFS(Scoresheet!$C$2:$C$501,A300,Scoresheet!$U$2:$U$501,1,Scoresheet!$H$2:$H$501,"No")&gt;0,"🚩 Budget under AED 5k",IF(COUNTIFS(Scoresheet!$C$2:$C$501,A300,Scoresheet!$U$2:$U$501,1,Scoresheet!$J$2:$J$501,"No")&gt;0,"🚩 No one on camera",""))))</f>
        <v/>
      </c>
      <c r="T300" s="17"/>
      <c r="U300" s="17"/>
      <c r="V300" s="40"/>
      <c r="W300" s="17"/>
      <c r="X300" s="45" t="str">
        <f aca="false">IF(OR(E300="",V300="",OR(U300="Contract signed + paid",U300="Closed – No response",U300="Lost"),N(W300)&gt;=Settings!$S$3),"",V300+Settings!$S$2)</f>
        <v/>
      </c>
      <c r="Y300" s="40"/>
      <c r="Z300" s="41"/>
      <c r="AA300" s="17"/>
      <c r="AB300" s="17"/>
      <c r="AC300" s="17"/>
      <c r="AD300" s="46" t="str">
        <f aca="true">IF(OR(E300="",B300=""),"",INT(TODAY()-B300))</f>
        <v/>
      </c>
      <c r="AE300" s="44" t="str">
        <f aca="true">IF(E300="","",IF(OR(COUNTIFS(Clients!$C$2:$C$501,E300,Clients!$S$2:$S$501,"Paid")&gt;0,AND(I300&lt;&gt;"",COUNTIFS(Clients!$E$2:$E$501,I300,Clients!$S$2:$S$501,"Paid")&gt;0)),"⚠ Refunded before – no free video",IF(OR(U300="Contract signed + paid",U300="Closed – No response",U300="Lost"),"",IF(U300="","Set a stage",IF(AND(U300="Proposal sent",SUMIFS(Scoresheet!$N$2:$N$501,Scoresheet!$C$2:$C$501,A300,Scoresheet!$U$2:$U$501,1)&lt;6),"Score this lead – fill the call scoresheet",IF(N(W300)&gt;=Settings!$S$3,"Close – 4 follow-ups sent",IF(X300="",IF(V300="","Make first contact",""),IF(TODAY()&gt;X300,"OVERDUE follow-up",IF(TODAY()=X300,"Follow up today","")))))))))</f>
        <v/>
      </c>
    </row>
    <row r="301" customFormat="false" ht="15" hidden="false" customHeight="false" outlineLevel="0" collapsed="false">
      <c r="A301" s="17"/>
      <c r="B301" s="40"/>
      <c r="C301" s="41"/>
      <c r="D301" s="17"/>
      <c r="E301" s="17"/>
      <c r="F301" s="17"/>
      <c r="G301" s="17"/>
      <c r="H301" s="17"/>
      <c r="I301" s="42"/>
      <c r="J301" s="17"/>
      <c r="K301" s="17"/>
      <c r="L301" s="17"/>
      <c r="M301" s="17"/>
      <c r="N301" s="40"/>
      <c r="O301" s="41"/>
      <c r="P301" s="43" t="str">
        <f aca="false">IF(OR(B301="",N301=""),"",ROUND(((N301+N(O301))-(B301+N(C301)))*24,1))</f>
        <v/>
      </c>
      <c r="Q301" s="44" t="str">
        <f aca="false">IF(OR(E301="",A301="",COUNTIFS(Scoresheet!$C$2:$C$501,A301,Scoresheet!$U$2:$U$501,1)=0),"",SUMIFS(Scoresheet!$O$2:$O$501,Scoresheet!$C$2:$C$501,A301,Scoresheet!$U$2:$U$501,1))</f>
        <v/>
      </c>
      <c r="R301" s="44" t="str">
        <f aca="false">IF(E301="","",IF(OR(A301="",COUNTIFS(Scoresheet!$C$2:$C$501,A301,Scoresheet!$U$2:$U$501,1)=0),"No scoresheet yet",IF(SUMIFS(Scoresheet!$N$2:$N$501,Scoresheet!$C$2:$C$501,A301,Scoresheet!$U$2:$U$501,1)&lt;6,"Partly scored ("&amp;SUMIFS(Scoresheet!$N$2:$N$501,Scoresheet!$C$2:$C$501,A301,Scoresheet!$U$2:$U$501,1)&amp;"/6)",IF(Q301&gt;=Settings!$S$8,"Hot",IF(Q301&gt;=Settings!$S$9,"Warm","Cold")))))</f>
        <v/>
      </c>
      <c r="S301" s="44" t="str">
        <f aca="false">IF(OR(E301="",A301=""),"",IF(AND(COUNTIFS(Scoresheet!$C$2:$C$501,A301,Scoresheet!$U$2:$U$501,1,Scoresheet!$H$2:$H$501,"No")&gt;0,COUNTIFS(Scoresheet!$C$2:$C$501,A301,Scoresheet!$U$2:$U$501,1,Scoresheet!$J$2:$J$501,"No")&gt;0),"🚩 Budget  ·  🚩 No one on camera",IF(COUNTIFS(Scoresheet!$C$2:$C$501,A301,Scoresheet!$U$2:$U$501,1,Scoresheet!$H$2:$H$501,"No")&gt;0,"🚩 Budget under AED 5k",IF(COUNTIFS(Scoresheet!$C$2:$C$501,A301,Scoresheet!$U$2:$U$501,1,Scoresheet!$J$2:$J$501,"No")&gt;0,"🚩 No one on camera",""))))</f>
        <v/>
      </c>
      <c r="T301" s="17"/>
      <c r="U301" s="17"/>
      <c r="V301" s="40"/>
      <c r="W301" s="17"/>
      <c r="X301" s="45" t="str">
        <f aca="false">IF(OR(E301="",V301="",OR(U301="Contract signed + paid",U301="Closed – No response",U301="Lost"),N(W301)&gt;=Settings!$S$3),"",V301+Settings!$S$2)</f>
        <v/>
      </c>
      <c r="Y301" s="40"/>
      <c r="Z301" s="41"/>
      <c r="AA301" s="17"/>
      <c r="AB301" s="17"/>
      <c r="AC301" s="17"/>
      <c r="AD301" s="46" t="str">
        <f aca="true">IF(OR(E301="",B301=""),"",INT(TODAY()-B301))</f>
        <v/>
      </c>
      <c r="AE301" s="44" t="str">
        <f aca="true">IF(E301="","",IF(OR(COUNTIFS(Clients!$C$2:$C$501,E301,Clients!$S$2:$S$501,"Paid")&gt;0,AND(I301&lt;&gt;"",COUNTIFS(Clients!$E$2:$E$501,I301,Clients!$S$2:$S$501,"Paid")&gt;0)),"⚠ Refunded before – no free video",IF(OR(U301="Contract signed + paid",U301="Closed – No response",U301="Lost"),"",IF(U301="","Set a stage",IF(AND(U301="Proposal sent",SUMIFS(Scoresheet!$N$2:$N$501,Scoresheet!$C$2:$C$501,A301,Scoresheet!$U$2:$U$501,1)&lt;6),"Score this lead – fill the call scoresheet",IF(N(W301)&gt;=Settings!$S$3,"Close – 4 follow-ups sent",IF(X301="",IF(V301="","Make first contact",""),IF(TODAY()&gt;X301,"OVERDUE follow-up",IF(TODAY()=X301,"Follow up today","")))))))))</f>
        <v/>
      </c>
    </row>
    <row r="302" customFormat="false" ht="15" hidden="false" customHeight="false" outlineLevel="0" collapsed="false">
      <c r="A302" s="17"/>
      <c r="B302" s="40"/>
      <c r="C302" s="41"/>
      <c r="D302" s="17"/>
      <c r="E302" s="17"/>
      <c r="F302" s="17"/>
      <c r="G302" s="17"/>
      <c r="H302" s="17"/>
      <c r="I302" s="42"/>
      <c r="J302" s="17"/>
      <c r="K302" s="17"/>
      <c r="L302" s="17"/>
      <c r="M302" s="17"/>
      <c r="N302" s="40"/>
      <c r="O302" s="41"/>
      <c r="P302" s="43" t="str">
        <f aca="false">IF(OR(B302="",N302=""),"",ROUND(((N302+N(O302))-(B302+N(C302)))*24,1))</f>
        <v/>
      </c>
      <c r="Q302" s="44" t="str">
        <f aca="false">IF(OR(E302="",A302="",COUNTIFS(Scoresheet!$C$2:$C$501,A302,Scoresheet!$U$2:$U$501,1)=0),"",SUMIFS(Scoresheet!$O$2:$O$501,Scoresheet!$C$2:$C$501,A302,Scoresheet!$U$2:$U$501,1))</f>
        <v/>
      </c>
      <c r="R302" s="44" t="str">
        <f aca="false">IF(E302="","",IF(OR(A302="",COUNTIFS(Scoresheet!$C$2:$C$501,A302,Scoresheet!$U$2:$U$501,1)=0),"No scoresheet yet",IF(SUMIFS(Scoresheet!$N$2:$N$501,Scoresheet!$C$2:$C$501,A302,Scoresheet!$U$2:$U$501,1)&lt;6,"Partly scored ("&amp;SUMIFS(Scoresheet!$N$2:$N$501,Scoresheet!$C$2:$C$501,A302,Scoresheet!$U$2:$U$501,1)&amp;"/6)",IF(Q302&gt;=Settings!$S$8,"Hot",IF(Q302&gt;=Settings!$S$9,"Warm","Cold")))))</f>
        <v/>
      </c>
      <c r="S302" s="44" t="str">
        <f aca="false">IF(OR(E302="",A302=""),"",IF(AND(COUNTIFS(Scoresheet!$C$2:$C$501,A302,Scoresheet!$U$2:$U$501,1,Scoresheet!$H$2:$H$501,"No")&gt;0,COUNTIFS(Scoresheet!$C$2:$C$501,A302,Scoresheet!$U$2:$U$501,1,Scoresheet!$J$2:$J$501,"No")&gt;0),"🚩 Budget  ·  🚩 No one on camera",IF(COUNTIFS(Scoresheet!$C$2:$C$501,A302,Scoresheet!$U$2:$U$501,1,Scoresheet!$H$2:$H$501,"No")&gt;0,"🚩 Budget under AED 5k",IF(COUNTIFS(Scoresheet!$C$2:$C$501,A302,Scoresheet!$U$2:$U$501,1,Scoresheet!$J$2:$J$501,"No")&gt;0,"🚩 No one on camera",""))))</f>
        <v/>
      </c>
      <c r="T302" s="17"/>
      <c r="U302" s="17"/>
      <c r="V302" s="40"/>
      <c r="W302" s="17"/>
      <c r="X302" s="45" t="str">
        <f aca="false">IF(OR(E302="",V302="",OR(U302="Contract signed + paid",U302="Closed – No response",U302="Lost"),N(W302)&gt;=Settings!$S$3),"",V302+Settings!$S$2)</f>
        <v/>
      </c>
      <c r="Y302" s="40"/>
      <c r="Z302" s="41"/>
      <c r="AA302" s="17"/>
      <c r="AB302" s="17"/>
      <c r="AC302" s="17"/>
      <c r="AD302" s="46" t="str">
        <f aca="true">IF(OR(E302="",B302=""),"",INT(TODAY()-B302))</f>
        <v/>
      </c>
      <c r="AE302" s="44" t="str">
        <f aca="true">IF(E302="","",IF(OR(COUNTIFS(Clients!$C$2:$C$501,E302,Clients!$S$2:$S$501,"Paid")&gt;0,AND(I302&lt;&gt;"",COUNTIFS(Clients!$E$2:$E$501,I302,Clients!$S$2:$S$501,"Paid")&gt;0)),"⚠ Refunded before – no free video",IF(OR(U302="Contract signed + paid",U302="Closed – No response",U302="Lost"),"",IF(U302="","Set a stage",IF(AND(U302="Proposal sent",SUMIFS(Scoresheet!$N$2:$N$501,Scoresheet!$C$2:$C$501,A302,Scoresheet!$U$2:$U$501,1)&lt;6),"Score this lead – fill the call scoresheet",IF(N(W302)&gt;=Settings!$S$3,"Close – 4 follow-ups sent",IF(X302="",IF(V302="","Make first contact",""),IF(TODAY()&gt;X302,"OVERDUE follow-up",IF(TODAY()=X302,"Follow up today","")))))))))</f>
        <v/>
      </c>
    </row>
    <row r="303" customFormat="false" ht="15" hidden="false" customHeight="false" outlineLevel="0" collapsed="false">
      <c r="A303" s="17"/>
      <c r="B303" s="40"/>
      <c r="C303" s="41"/>
      <c r="D303" s="17"/>
      <c r="E303" s="17"/>
      <c r="F303" s="17"/>
      <c r="G303" s="17"/>
      <c r="H303" s="17"/>
      <c r="I303" s="42"/>
      <c r="J303" s="17"/>
      <c r="K303" s="17"/>
      <c r="L303" s="17"/>
      <c r="M303" s="17"/>
      <c r="N303" s="40"/>
      <c r="O303" s="41"/>
      <c r="P303" s="43" t="str">
        <f aca="false">IF(OR(B303="",N303=""),"",ROUND(((N303+N(O303))-(B303+N(C303)))*24,1))</f>
        <v/>
      </c>
      <c r="Q303" s="44" t="str">
        <f aca="false">IF(OR(E303="",A303="",COUNTIFS(Scoresheet!$C$2:$C$501,A303,Scoresheet!$U$2:$U$501,1)=0),"",SUMIFS(Scoresheet!$O$2:$O$501,Scoresheet!$C$2:$C$501,A303,Scoresheet!$U$2:$U$501,1))</f>
        <v/>
      </c>
      <c r="R303" s="44" t="str">
        <f aca="false">IF(E303="","",IF(OR(A303="",COUNTIFS(Scoresheet!$C$2:$C$501,A303,Scoresheet!$U$2:$U$501,1)=0),"No scoresheet yet",IF(SUMIFS(Scoresheet!$N$2:$N$501,Scoresheet!$C$2:$C$501,A303,Scoresheet!$U$2:$U$501,1)&lt;6,"Partly scored ("&amp;SUMIFS(Scoresheet!$N$2:$N$501,Scoresheet!$C$2:$C$501,A303,Scoresheet!$U$2:$U$501,1)&amp;"/6)",IF(Q303&gt;=Settings!$S$8,"Hot",IF(Q303&gt;=Settings!$S$9,"Warm","Cold")))))</f>
        <v/>
      </c>
      <c r="S303" s="44" t="str">
        <f aca="false">IF(OR(E303="",A303=""),"",IF(AND(COUNTIFS(Scoresheet!$C$2:$C$501,A303,Scoresheet!$U$2:$U$501,1,Scoresheet!$H$2:$H$501,"No")&gt;0,COUNTIFS(Scoresheet!$C$2:$C$501,A303,Scoresheet!$U$2:$U$501,1,Scoresheet!$J$2:$J$501,"No")&gt;0),"🚩 Budget  ·  🚩 No one on camera",IF(COUNTIFS(Scoresheet!$C$2:$C$501,A303,Scoresheet!$U$2:$U$501,1,Scoresheet!$H$2:$H$501,"No")&gt;0,"🚩 Budget under AED 5k",IF(COUNTIFS(Scoresheet!$C$2:$C$501,A303,Scoresheet!$U$2:$U$501,1,Scoresheet!$J$2:$J$501,"No")&gt;0,"🚩 No one on camera",""))))</f>
        <v/>
      </c>
      <c r="T303" s="17"/>
      <c r="U303" s="17"/>
      <c r="V303" s="40"/>
      <c r="W303" s="17"/>
      <c r="X303" s="45" t="str">
        <f aca="false">IF(OR(E303="",V303="",OR(U303="Contract signed + paid",U303="Closed – No response",U303="Lost"),N(W303)&gt;=Settings!$S$3),"",V303+Settings!$S$2)</f>
        <v/>
      </c>
      <c r="Y303" s="40"/>
      <c r="Z303" s="41"/>
      <c r="AA303" s="17"/>
      <c r="AB303" s="17"/>
      <c r="AC303" s="17"/>
      <c r="AD303" s="46" t="str">
        <f aca="true">IF(OR(E303="",B303=""),"",INT(TODAY()-B303))</f>
        <v/>
      </c>
      <c r="AE303" s="44" t="str">
        <f aca="true">IF(E303="","",IF(OR(COUNTIFS(Clients!$C$2:$C$501,E303,Clients!$S$2:$S$501,"Paid")&gt;0,AND(I303&lt;&gt;"",COUNTIFS(Clients!$E$2:$E$501,I303,Clients!$S$2:$S$501,"Paid")&gt;0)),"⚠ Refunded before – no free video",IF(OR(U303="Contract signed + paid",U303="Closed – No response",U303="Lost"),"",IF(U303="","Set a stage",IF(AND(U303="Proposal sent",SUMIFS(Scoresheet!$N$2:$N$501,Scoresheet!$C$2:$C$501,A303,Scoresheet!$U$2:$U$501,1)&lt;6),"Score this lead – fill the call scoresheet",IF(N(W303)&gt;=Settings!$S$3,"Close – 4 follow-ups sent",IF(X303="",IF(V303="","Make first contact",""),IF(TODAY()&gt;X303,"OVERDUE follow-up",IF(TODAY()=X303,"Follow up today","")))))))))</f>
        <v/>
      </c>
    </row>
    <row r="304" customFormat="false" ht="15" hidden="false" customHeight="false" outlineLevel="0" collapsed="false">
      <c r="A304" s="17"/>
      <c r="B304" s="40"/>
      <c r="C304" s="41"/>
      <c r="D304" s="17"/>
      <c r="E304" s="17"/>
      <c r="F304" s="17"/>
      <c r="G304" s="17"/>
      <c r="H304" s="17"/>
      <c r="I304" s="42"/>
      <c r="J304" s="17"/>
      <c r="K304" s="17"/>
      <c r="L304" s="17"/>
      <c r="M304" s="17"/>
      <c r="N304" s="40"/>
      <c r="O304" s="41"/>
      <c r="P304" s="43" t="str">
        <f aca="false">IF(OR(B304="",N304=""),"",ROUND(((N304+N(O304))-(B304+N(C304)))*24,1))</f>
        <v/>
      </c>
      <c r="Q304" s="44" t="str">
        <f aca="false">IF(OR(E304="",A304="",COUNTIFS(Scoresheet!$C$2:$C$501,A304,Scoresheet!$U$2:$U$501,1)=0),"",SUMIFS(Scoresheet!$O$2:$O$501,Scoresheet!$C$2:$C$501,A304,Scoresheet!$U$2:$U$501,1))</f>
        <v/>
      </c>
      <c r="R304" s="44" t="str">
        <f aca="false">IF(E304="","",IF(OR(A304="",COUNTIFS(Scoresheet!$C$2:$C$501,A304,Scoresheet!$U$2:$U$501,1)=0),"No scoresheet yet",IF(SUMIFS(Scoresheet!$N$2:$N$501,Scoresheet!$C$2:$C$501,A304,Scoresheet!$U$2:$U$501,1)&lt;6,"Partly scored ("&amp;SUMIFS(Scoresheet!$N$2:$N$501,Scoresheet!$C$2:$C$501,A304,Scoresheet!$U$2:$U$501,1)&amp;"/6)",IF(Q304&gt;=Settings!$S$8,"Hot",IF(Q304&gt;=Settings!$S$9,"Warm","Cold")))))</f>
        <v/>
      </c>
      <c r="S304" s="44" t="str">
        <f aca="false">IF(OR(E304="",A304=""),"",IF(AND(COUNTIFS(Scoresheet!$C$2:$C$501,A304,Scoresheet!$U$2:$U$501,1,Scoresheet!$H$2:$H$501,"No")&gt;0,COUNTIFS(Scoresheet!$C$2:$C$501,A304,Scoresheet!$U$2:$U$501,1,Scoresheet!$J$2:$J$501,"No")&gt;0),"🚩 Budget  ·  🚩 No one on camera",IF(COUNTIFS(Scoresheet!$C$2:$C$501,A304,Scoresheet!$U$2:$U$501,1,Scoresheet!$H$2:$H$501,"No")&gt;0,"🚩 Budget under AED 5k",IF(COUNTIFS(Scoresheet!$C$2:$C$501,A304,Scoresheet!$U$2:$U$501,1,Scoresheet!$J$2:$J$501,"No")&gt;0,"🚩 No one on camera",""))))</f>
        <v/>
      </c>
      <c r="T304" s="17"/>
      <c r="U304" s="17"/>
      <c r="V304" s="40"/>
      <c r="W304" s="17"/>
      <c r="X304" s="45" t="str">
        <f aca="false">IF(OR(E304="",V304="",OR(U304="Contract signed + paid",U304="Closed – No response",U304="Lost"),N(W304)&gt;=Settings!$S$3),"",V304+Settings!$S$2)</f>
        <v/>
      </c>
      <c r="Y304" s="40"/>
      <c r="Z304" s="41"/>
      <c r="AA304" s="17"/>
      <c r="AB304" s="17"/>
      <c r="AC304" s="17"/>
      <c r="AD304" s="46" t="str">
        <f aca="true">IF(OR(E304="",B304=""),"",INT(TODAY()-B304))</f>
        <v/>
      </c>
      <c r="AE304" s="44" t="str">
        <f aca="true">IF(E304="","",IF(OR(COUNTIFS(Clients!$C$2:$C$501,E304,Clients!$S$2:$S$501,"Paid")&gt;0,AND(I304&lt;&gt;"",COUNTIFS(Clients!$E$2:$E$501,I304,Clients!$S$2:$S$501,"Paid")&gt;0)),"⚠ Refunded before – no free video",IF(OR(U304="Contract signed + paid",U304="Closed – No response",U304="Lost"),"",IF(U304="","Set a stage",IF(AND(U304="Proposal sent",SUMIFS(Scoresheet!$N$2:$N$501,Scoresheet!$C$2:$C$501,A304,Scoresheet!$U$2:$U$501,1)&lt;6),"Score this lead – fill the call scoresheet",IF(N(W304)&gt;=Settings!$S$3,"Close – 4 follow-ups sent",IF(X304="",IF(V304="","Make first contact",""),IF(TODAY()&gt;X304,"OVERDUE follow-up",IF(TODAY()=X304,"Follow up today","")))))))))</f>
        <v/>
      </c>
    </row>
    <row r="305" customFormat="false" ht="15" hidden="false" customHeight="false" outlineLevel="0" collapsed="false">
      <c r="A305" s="17"/>
      <c r="B305" s="40"/>
      <c r="C305" s="41"/>
      <c r="D305" s="17"/>
      <c r="E305" s="17"/>
      <c r="F305" s="17"/>
      <c r="G305" s="17"/>
      <c r="H305" s="17"/>
      <c r="I305" s="42"/>
      <c r="J305" s="17"/>
      <c r="K305" s="17"/>
      <c r="L305" s="17"/>
      <c r="M305" s="17"/>
      <c r="N305" s="40"/>
      <c r="O305" s="41"/>
      <c r="P305" s="43" t="str">
        <f aca="false">IF(OR(B305="",N305=""),"",ROUND(((N305+N(O305))-(B305+N(C305)))*24,1))</f>
        <v/>
      </c>
      <c r="Q305" s="44" t="str">
        <f aca="false">IF(OR(E305="",A305="",COUNTIFS(Scoresheet!$C$2:$C$501,A305,Scoresheet!$U$2:$U$501,1)=0),"",SUMIFS(Scoresheet!$O$2:$O$501,Scoresheet!$C$2:$C$501,A305,Scoresheet!$U$2:$U$501,1))</f>
        <v/>
      </c>
      <c r="R305" s="44" t="str">
        <f aca="false">IF(E305="","",IF(OR(A305="",COUNTIFS(Scoresheet!$C$2:$C$501,A305,Scoresheet!$U$2:$U$501,1)=0),"No scoresheet yet",IF(SUMIFS(Scoresheet!$N$2:$N$501,Scoresheet!$C$2:$C$501,A305,Scoresheet!$U$2:$U$501,1)&lt;6,"Partly scored ("&amp;SUMIFS(Scoresheet!$N$2:$N$501,Scoresheet!$C$2:$C$501,A305,Scoresheet!$U$2:$U$501,1)&amp;"/6)",IF(Q305&gt;=Settings!$S$8,"Hot",IF(Q305&gt;=Settings!$S$9,"Warm","Cold")))))</f>
        <v/>
      </c>
      <c r="S305" s="44" t="str">
        <f aca="false">IF(OR(E305="",A305=""),"",IF(AND(COUNTIFS(Scoresheet!$C$2:$C$501,A305,Scoresheet!$U$2:$U$501,1,Scoresheet!$H$2:$H$501,"No")&gt;0,COUNTIFS(Scoresheet!$C$2:$C$501,A305,Scoresheet!$U$2:$U$501,1,Scoresheet!$J$2:$J$501,"No")&gt;0),"🚩 Budget  ·  🚩 No one on camera",IF(COUNTIFS(Scoresheet!$C$2:$C$501,A305,Scoresheet!$U$2:$U$501,1,Scoresheet!$H$2:$H$501,"No")&gt;0,"🚩 Budget under AED 5k",IF(COUNTIFS(Scoresheet!$C$2:$C$501,A305,Scoresheet!$U$2:$U$501,1,Scoresheet!$J$2:$J$501,"No")&gt;0,"🚩 No one on camera",""))))</f>
        <v/>
      </c>
      <c r="T305" s="17"/>
      <c r="U305" s="17"/>
      <c r="V305" s="40"/>
      <c r="W305" s="17"/>
      <c r="X305" s="45" t="str">
        <f aca="false">IF(OR(E305="",V305="",OR(U305="Contract signed + paid",U305="Closed – No response",U305="Lost"),N(W305)&gt;=Settings!$S$3),"",V305+Settings!$S$2)</f>
        <v/>
      </c>
      <c r="Y305" s="40"/>
      <c r="Z305" s="41"/>
      <c r="AA305" s="17"/>
      <c r="AB305" s="17"/>
      <c r="AC305" s="17"/>
      <c r="AD305" s="46" t="str">
        <f aca="true">IF(OR(E305="",B305=""),"",INT(TODAY()-B305))</f>
        <v/>
      </c>
      <c r="AE305" s="44" t="str">
        <f aca="true">IF(E305="","",IF(OR(COUNTIFS(Clients!$C$2:$C$501,E305,Clients!$S$2:$S$501,"Paid")&gt;0,AND(I305&lt;&gt;"",COUNTIFS(Clients!$E$2:$E$501,I305,Clients!$S$2:$S$501,"Paid")&gt;0)),"⚠ Refunded before – no free video",IF(OR(U305="Contract signed + paid",U305="Closed – No response",U305="Lost"),"",IF(U305="","Set a stage",IF(AND(U305="Proposal sent",SUMIFS(Scoresheet!$N$2:$N$501,Scoresheet!$C$2:$C$501,A305,Scoresheet!$U$2:$U$501,1)&lt;6),"Score this lead – fill the call scoresheet",IF(N(W305)&gt;=Settings!$S$3,"Close – 4 follow-ups sent",IF(X305="",IF(V305="","Make first contact",""),IF(TODAY()&gt;X305,"OVERDUE follow-up",IF(TODAY()=X305,"Follow up today","")))))))))</f>
        <v/>
      </c>
    </row>
    <row r="306" customFormat="false" ht="15" hidden="false" customHeight="false" outlineLevel="0" collapsed="false">
      <c r="A306" s="17"/>
      <c r="B306" s="40"/>
      <c r="C306" s="41"/>
      <c r="D306" s="17"/>
      <c r="E306" s="17"/>
      <c r="F306" s="17"/>
      <c r="G306" s="17"/>
      <c r="H306" s="17"/>
      <c r="I306" s="42"/>
      <c r="J306" s="17"/>
      <c r="K306" s="17"/>
      <c r="L306" s="17"/>
      <c r="M306" s="17"/>
      <c r="N306" s="40"/>
      <c r="O306" s="41"/>
      <c r="P306" s="43" t="str">
        <f aca="false">IF(OR(B306="",N306=""),"",ROUND(((N306+N(O306))-(B306+N(C306)))*24,1))</f>
        <v/>
      </c>
      <c r="Q306" s="44" t="str">
        <f aca="false">IF(OR(E306="",A306="",COUNTIFS(Scoresheet!$C$2:$C$501,A306,Scoresheet!$U$2:$U$501,1)=0),"",SUMIFS(Scoresheet!$O$2:$O$501,Scoresheet!$C$2:$C$501,A306,Scoresheet!$U$2:$U$501,1))</f>
        <v/>
      </c>
      <c r="R306" s="44" t="str">
        <f aca="false">IF(E306="","",IF(OR(A306="",COUNTIFS(Scoresheet!$C$2:$C$501,A306,Scoresheet!$U$2:$U$501,1)=0),"No scoresheet yet",IF(SUMIFS(Scoresheet!$N$2:$N$501,Scoresheet!$C$2:$C$501,A306,Scoresheet!$U$2:$U$501,1)&lt;6,"Partly scored ("&amp;SUMIFS(Scoresheet!$N$2:$N$501,Scoresheet!$C$2:$C$501,A306,Scoresheet!$U$2:$U$501,1)&amp;"/6)",IF(Q306&gt;=Settings!$S$8,"Hot",IF(Q306&gt;=Settings!$S$9,"Warm","Cold")))))</f>
        <v/>
      </c>
      <c r="S306" s="44" t="str">
        <f aca="false">IF(OR(E306="",A306=""),"",IF(AND(COUNTIFS(Scoresheet!$C$2:$C$501,A306,Scoresheet!$U$2:$U$501,1,Scoresheet!$H$2:$H$501,"No")&gt;0,COUNTIFS(Scoresheet!$C$2:$C$501,A306,Scoresheet!$U$2:$U$501,1,Scoresheet!$J$2:$J$501,"No")&gt;0),"🚩 Budget  ·  🚩 No one on camera",IF(COUNTIFS(Scoresheet!$C$2:$C$501,A306,Scoresheet!$U$2:$U$501,1,Scoresheet!$H$2:$H$501,"No")&gt;0,"🚩 Budget under AED 5k",IF(COUNTIFS(Scoresheet!$C$2:$C$501,A306,Scoresheet!$U$2:$U$501,1,Scoresheet!$J$2:$J$501,"No")&gt;0,"🚩 No one on camera",""))))</f>
        <v/>
      </c>
      <c r="T306" s="17"/>
      <c r="U306" s="17"/>
      <c r="V306" s="40"/>
      <c r="W306" s="17"/>
      <c r="X306" s="45" t="str">
        <f aca="false">IF(OR(E306="",V306="",OR(U306="Contract signed + paid",U306="Closed – No response",U306="Lost"),N(W306)&gt;=Settings!$S$3),"",V306+Settings!$S$2)</f>
        <v/>
      </c>
      <c r="Y306" s="40"/>
      <c r="Z306" s="41"/>
      <c r="AA306" s="17"/>
      <c r="AB306" s="17"/>
      <c r="AC306" s="17"/>
      <c r="AD306" s="46" t="str">
        <f aca="true">IF(OR(E306="",B306=""),"",INT(TODAY()-B306))</f>
        <v/>
      </c>
      <c r="AE306" s="44" t="str">
        <f aca="true">IF(E306="","",IF(OR(COUNTIFS(Clients!$C$2:$C$501,E306,Clients!$S$2:$S$501,"Paid")&gt;0,AND(I306&lt;&gt;"",COUNTIFS(Clients!$E$2:$E$501,I306,Clients!$S$2:$S$501,"Paid")&gt;0)),"⚠ Refunded before – no free video",IF(OR(U306="Contract signed + paid",U306="Closed – No response",U306="Lost"),"",IF(U306="","Set a stage",IF(AND(U306="Proposal sent",SUMIFS(Scoresheet!$N$2:$N$501,Scoresheet!$C$2:$C$501,A306,Scoresheet!$U$2:$U$501,1)&lt;6),"Score this lead – fill the call scoresheet",IF(N(W306)&gt;=Settings!$S$3,"Close – 4 follow-ups sent",IF(X306="",IF(V306="","Make first contact",""),IF(TODAY()&gt;X306,"OVERDUE follow-up",IF(TODAY()=X306,"Follow up today","")))))))))</f>
        <v/>
      </c>
    </row>
    <row r="307" customFormat="false" ht="15" hidden="false" customHeight="false" outlineLevel="0" collapsed="false">
      <c r="A307" s="17"/>
      <c r="B307" s="40"/>
      <c r="C307" s="41"/>
      <c r="D307" s="17"/>
      <c r="E307" s="17"/>
      <c r="F307" s="17"/>
      <c r="G307" s="17"/>
      <c r="H307" s="17"/>
      <c r="I307" s="42"/>
      <c r="J307" s="17"/>
      <c r="K307" s="17"/>
      <c r="L307" s="17"/>
      <c r="M307" s="17"/>
      <c r="N307" s="40"/>
      <c r="O307" s="41"/>
      <c r="P307" s="43" t="str">
        <f aca="false">IF(OR(B307="",N307=""),"",ROUND(((N307+N(O307))-(B307+N(C307)))*24,1))</f>
        <v/>
      </c>
      <c r="Q307" s="44" t="str">
        <f aca="false">IF(OR(E307="",A307="",COUNTIFS(Scoresheet!$C$2:$C$501,A307,Scoresheet!$U$2:$U$501,1)=0),"",SUMIFS(Scoresheet!$O$2:$O$501,Scoresheet!$C$2:$C$501,A307,Scoresheet!$U$2:$U$501,1))</f>
        <v/>
      </c>
      <c r="R307" s="44" t="str">
        <f aca="false">IF(E307="","",IF(OR(A307="",COUNTIFS(Scoresheet!$C$2:$C$501,A307,Scoresheet!$U$2:$U$501,1)=0),"No scoresheet yet",IF(SUMIFS(Scoresheet!$N$2:$N$501,Scoresheet!$C$2:$C$501,A307,Scoresheet!$U$2:$U$501,1)&lt;6,"Partly scored ("&amp;SUMIFS(Scoresheet!$N$2:$N$501,Scoresheet!$C$2:$C$501,A307,Scoresheet!$U$2:$U$501,1)&amp;"/6)",IF(Q307&gt;=Settings!$S$8,"Hot",IF(Q307&gt;=Settings!$S$9,"Warm","Cold")))))</f>
        <v/>
      </c>
      <c r="S307" s="44" t="str">
        <f aca="false">IF(OR(E307="",A307=""),"",IF(AND(COUNTIFS(Scoresheet!$C$2:$C$501,A307,Scoresheet!$U$2:$U$501,1,Scoresheet!$H$2:$H$501,"No")&gt;0,COUNTIFS(Scoresheet!$C$2:$C$501,A307,Scoresheet!$U$2:$U$501,1,Scoresheet!$J$2:$J$501,"No")&gt;0),"🚩 Budget  ·  🚩 No one on camera",IF(COUNTIFS(Scoresheet!$C$2:$C$501,A307,Scoresheet!$U$2:$U$501,1,Scoresheet!$H$2:$H$501,"No")&gt;0,"🚩 Budget under AED 5k",IF(COUNTIFS(Scoresheet!$C$2:$C$501,A307,Scoresheet!$U$2:$U$501,1,Scoresheet!$J$2:$J$501,"No")&gt;0,"🚩 No one on camera",""))))</f>
        <v/>
      </c>
      <c r="T307" s="17"/>
      <c r="U307" s="17"/>
      <c r="V307" s="40"/>
      <c r="W307" s="17"/>
      <c r="X307" s="45" t="str">
        <f aca="false">IF(OR(E307="",V307="",OR(U307="Contract signed + paid",U307="Closed – No response",U307="Lost"),N(W307)&gt;=Settings!$S$3),"",V307+Settings!$S$2)</f>
        <v/>
      </c>
      <c r="Y307" s="40"/>
      <c r="Z307" s="41"/>
      <c r="AA307" s="17"/>
      <c r="AB307" s="17"/>
      <c r="AC307" s="17"/>
      <c r="AD307" s="46" t="str">
        <f aca="true">IF(OR(E307="",B307=""),"",INT(TODAY()-B307))</f>
        <v/>
      </c>
      <c r="AE307" s="44" t="str">
        <f aca="true">IF(E307="","",IF(OR(COUNTIFS(Clients!$C$2:$C$501,E307,Clients!$S$2:$S$501,"Paid")&gt;0,AND(I307&lt;&gt;"",COUNTIFS(Clients!$E$2:$E$501,I307,Clients!$S$2:$S$501,"Paid")&gt;0)),"⚠ Refunded before – no free video",IF(OR(U307="Contract signed + paid",U307="Closed – No response",U307="Lost"),"",IF(U307="","Set a stage",IF(AND(U307="Proposal sent",SUMIFS(Scoresheet!$N$2:$N$501,Scoresheet!$C$2:$C$501,A307,Scoresheet!$U$2:$U$501,1)&lt;6),"Score this lead – fill the call scoresheet",IF(N(W307)&gt;=Settings!$S$3,"Close – 4 follow-ups sent",IF(X307="",IF(V307="","Make first contact",""),IF(TODAY()&gt;X307,"OVERDUE follow-up",IF(TODAY()=X307,"Follow up today","")))))))))</f>
        <v/>
      </c>
    </row>
    <row r="308" customFormat="false" ht="15" hidden="false" customHeight="false" outlineLevel="0" collapsed="false">
      <c r="A308" s="17"/>
      <c r="B308" s="40"/>
      <c r="C308" s="41"/>
      <c r="D308" s="17"/>
      <c r="E308" s="17"/>
      <c r="F308" s="17"/>
      <c r="G308" s="17"/>
      <c r="H308" s="17"/>
      <c r="I308" s="42"/>
      <c r="J308" s="17"/>
      <c r="K308" s="17"/>
      <c r="L308" s="17"/>
      <c r="M308" s="17"/>
      <c r="N308" s="40"/>
      <c r="O308" s="41"/>
      <c r="P308" s="43" t="str">
        <f aca="false">IF(OR(B308="",N308=""),"",ROUND(((N308+N(O308))-(B308+N(C308)))*24,1))</f>
        <v/>
      </c>
      <c r="Q308" s="44" t="str">
        <f aca="false">IF(OR(E308="",A308="",COUNTIFS(Scoresheet!$C$2:$C$501,A308,Scoresheet!$U$2:$U$501,1)=0),"",SUMIFS(Scoresheet!$O$2:$O$501,Scoresheet!$C$2:$C$501,A308,Scoresheet!$U$2:$U$501,1))</f>
        <v/>
      </c>
      <c r="R308" s="44" t="str">
        <f aca="false">IF(E308="","",IF(OR(A308="",COUNTIFS(Scoresheet!$C$2:$C$501,A308,Scoresheet!$U$2:$U$501,1)=0),"No scoresheet yet",IF(SUMIFS(Scoresheet!$N$2:$N$501,Scoresheet!$C$2:$C$501,A308,Scoresheet!$U$2:$U$501,1)&lt;6,"Partly scored ("&amp;SUMIFS(Scoresheet!$N$2:$N$501,Scoresheet!$C$2:$C$501,A308,Scoresheet!$U$2:$U$501,1)&amp;"/6)",IF(Q308&gt;=Settings!$S$8,"Hot",IF(Q308&gt;=Settings!$S$9,"Warm","Cold")))))</f>
        <v/>
      </c>
      <c r="S308" s="44" t="str">
        <f aca="false">IF(OR(E308="",A308=""),"",IF(AND(COUNTIFS(Scoresheet!$C$2:$C$501,A308,Scoresheet!$U$2:$U$501,1,Scoresheet!$H$2:$H$501,"No")&gt;0,COUNTIFS(Scoresheet!$C$2:$C$501,A308,Scoresheet!$U$2:$U$501,1,Scoresheet!$J$2:$J$501,"No")&gt;0),"🚩 Budget  ·  🚩 No one on camera",IF(COUNTIFS(Scoresheet!$C$2:$C$501,A308,Scoresheet!$U$2:$U$501,1,Scoresheet!$H$2:$H$501,"No")&gt;0,"🚩 Budget under AED 5k",IF(COUNTIFS(Scoresheet!$C$2:$C$501,A308,Scoresheet!$U$2:$U$501,1,Scoresheet!$J$2:$J$501,"No")&gt;0,"🚩 No one on camera",""))))</f>
        <v/>
      </c>
      <c r="T308" s="17"/>
      <c r="U308" s="17"/>
      <c r="V308" s="40"/>
      <c r="W308" s="17"/>
      <c r="X308" s="45" t="str">
        <f aca="false">IF(OR(E308="",V308="",OR(U308="Contract signed + paid",U308="Closed – No response",U308="Lost"),N(W308)&gt;=Settings!$S$3),"",V308+Settings!$S$2)</f>
        <v/>
      </c>
      <c r="Y308" s="40"/>
      <c r="Z308" s="41"/>
      <c r="AA308" s="17"/>
      <c r="AB308" s="17"/>
      <c r="AC308" s="17"/>
      <c r="AD308" s="46" t="str">
        <f aca="true">IF(OR(E308="",B308=""),"",INT(TODAY()-B308))</f>
        <v/>
      </c>
      <c r="AE308" s="44" t="str">
        <f aca="true">IF(E308="","",IF(OR(COUNTIFS(Clients!$C$2:$C$501,E308,Clients!$S$2:$S$501,"Paid")&gt;0,AND(I308&lt;&gt;"",COUNTIFS(Clients!$E$2:$E$501,I308,Clients!$S$2:$S$501,"Paid")&gt;0)),"⚠ Refunded before – no free video",IF(OR(U308="Contract signed + paid",U308="Closed – No response",U308="Lost"),"",IF(U308="","Set a stage",IF(AND(U308="Proposal sent",SUMIFS(Scoresheet!$N$2:$N$501,Scoresheet!$C$2:$C$501,A308,Scoresheet!$U$2:$U$501,1)&lt;6),"Score this lead – fill the call scoresheet",IF(N(W308)&gt;=Settings!$S$3,"Close – 4 follow-ups sent",IF(X308="",IF(V308="","Make first contact",""),IF(TODAY()&gt;X308,"OVERDUE follow-up",IF(TODAY()=X308,"Follow up today","")))))))))</f>
        <v/>
      </c>
    </row>
    <row r="309" customFormat="false" ht="15" hidden="false" customHeight="false" outlineLevel="0" collapsed="false">
      <c r="A309" s="17"/>
      <c r="B309" s="40"/>
      <c r="C309" s="41"/>
      <c r="D309" s="17"/>
      <c r="E309" s="17"/>
      <c r="F309" s="17"/>
      <c r="G309" s="17"/>
      <c r="H309" s="17"/>
      <c r="I309" s="42"/>
      <c r="J309" s="17"/>
      <c r="K309" s="17"/>
      <c r="L309" s="17"/>
      <c r="M309" s="17"/>
      <c r="N309" s="40"/>
      <c r="O309" s="41"/>
      <c r="P309" s="43" t="str">
        <f aca="false">IF(OR(B309="",N309=""),"",ROUND(((N309+N(O309))-(B309+N(C309)))*24,1))</f>
        <v/>
      </c>
      <c r="Q309" s="44" t="str">
        <f aca="false">IF(OR(E309="",A309="",COUNTIFS(Scoresheet!$C$2:$C$501,A309,Scoresheet!$U$2:$U$501,1)=0),"",SUMIFS(Scoresheet!$O$2:$O$501,Scoresheet!$C$2:$C$501,A309,Scoresheet!$U$2:$U$501,1))</f>
        <v/>
      </c>
      <c r="R309" s="44" t="str">
        <f aca="false">IF(E309="","",IF(OR(A309="",COUNTIFS(Scoresheet!$C$2:$C$501,A309,Scoresheet!$U$2:$U$501,1)=0),"No scoresheet yet",IF(SUMIFS(Scoresheet!$N$2:$N$501,Scoresheet!$C$2:$C$501,A309,Scoresheet!$U$2:$U$501,1)&lt;6,"Partly scored ("&amp;SUMIFS(Scoresheet!$N$2:$N$501,Scoresheet!$C$2:$C$501,A309,Scoresheet!$U$2:$U$501,1)&amp;"/6)",IF(Q309&gt;=Settings!$S$8,"Hot",IF(Q309&gt;=Settings!$S$9,"Warm","Cold")))))</f>
        <v/>
      </c>
      <c r="S309" s="44" t="str">
        <f aca="false">IF(OR(E309="",A309=""),"",IF(AND(COUNTIFS(Scoresheet!$C$2:$C$501,A309,Scoresheet!$U$2:$U$501,1,Scoresheet!$H$2:$H$501,"No")&gt;0,COUNTIFS(Scoresheet!$C$2:$C$501,A309,Scoresheet!$U$2:$U$501,1,Scoresheet!$J$2:$J$501,"No")&gt;0),"🚩 Budget  ·  🚩 No one on camera",IF(COUNTIFS(Scoresheet!$C$2:$C$501,A309,Scoresheet!$U$2:$U$501,1,Scoresheet!$H$2:$H$501,"No")&gt;0,"🚩 Budget under AED 5k",IF(COUNTIFS(Scoresheet!$C$2:$C$501,A309,Scoresheet!$U$2:$U$501,1,Scoresheet!$J$2:$J$501,"No")&gt;0,"🚩 No one on camera",""))))</f>
        <v/>
      </c>
      <c r="T309" s="17"/>
      <c r="U309" s="17"/>
      <c r="V309" s="40"/>
      <c r="W309" s="17"/>
      <c r="X309" s="45" t="str">
        <f aca="false">IF(OR(E309="",V309="",OR(U309="Contract signed + paid",U309="Closed – No response",U309="Lost"),N(W309)&gt;=Settings!$S$3),"",V309+Settings!$S$2)</f>
        <v/>
      </c>
      <c r="Y309" s="40"/>
      <c r="Z309" s="41"/>
      <c r="AA309" s="17"/>
      <c r="AB309" s="17"/>
      <c r="AC309" s="17"/>
      <c r="AD309" s="46" t="str">
        <f aca="true">IF(OR(E309="",B309=""),"",INT(TODAY()-B309))</f>
        <v/>
      </c>
      <c r="AE309" s="44" t="str">
        <f aca="true">IF(E309="","",IF(OR(COUNTIFS(Clients!$C$2:$C$501,E309,Clients!$S$2:$S$501,"Paid")&gt;0,AND(I309&lt;&gt;"",COUNTIFS(Clients!$E$2:$E$501,I309,Clients!$S$2:$S$501,"Paid")&gt;0)),"⚠ Refunded before – no free video",IF(OR(U309="Contract signed + paid",U309="Closed – No response",U309="Lost"),"",IF(U309="","Set a stage",IF(AND(U309="Proposal sent",SUMIFS(Scoresheet!$N$2:$N$501,Scoresheet!$C$2:$C$501,A309,Scoresheet!$U$2:$U$501,1)&lt;6),"Score this lead – fill the call scoresheet",IF(N(W309)&gt;=Settings!$S$3,"Close – 4 follow-ups sent",IF(X309="",IF(V309="","Make first contact",""),IF(TODAY()&gt;X309,"OVERDUE follow-up",IF(TODAY()=X309,"Follow up today","")))))))))</f>
        <v/>
      </c>
    </row>
    <row r="310" customFormat="false" ht="15" hidden="false" customHeight="false" outlineLevel="0" collapsed="false">
      <c r="A310" s="17"/>
      <c r="B310" s="40"/>
      <c r="C310" s="41"/>
      <c r="D310" s="17"/>
      <c r="E310" s="17"/>
      <c r="F310" s="17"/>
      <c r="G310" s="17"/>
      <c r="H310" s="17"/>
      <c r="I310" s="42"/>
      <c r="J310" s="17"/>
      <c r="K310" s="17"/>
      <c r="L310" s="17"/>
      <c r="M310" s="17"/>
      <c r="N310" s="40"/>
      <c r="O310" s="41"/>
      <c r="P310" s="43" t="str">
        <f aca="false">IF(OR(B310="",N310=""),"",ROUND(((N310+N(O310))-(B310+N(C310)))*24,1))</f>
        <v/>
      </c>
      <c r="Q310" s="44" t="str">
        <f aca="false">IF(OR(E310="",A310="",COUNTIFS(Scoresheet!$C$2:$C$501,A310,Scoresheet!$U$2:$U$501,1)=0),"",SUMIFS(Scoresheet!$O$2:$O$501,Scoresheet!$C$2:$C$501,A310,Scoresheet!$U$2:$U$501,1))</f>
        <v/>
      </c>
      <c r="R310" s="44" t="str">
        <f aca="false">IF(E310="","",IF(OR(A310="",COUNTIFS(Scoresheet!$C$2:$C$501,A310,Scoresheet!$U$2:$U$501,1)=0),"No scoresheet yet",IF(SUMIFS(Scoresheet!$N$2:$N$501,Scoresheet!$C$2:$C$501,A310,Scoresheet!$U$2:$U$501,1)&lt;6,"Partly scored ("&amp;SUMIFS(Scoresheet!$N$2:$N$501,Scoresheet!$C$2:$C$501,A310,Scoresheet!$U$2:$U$501,1)&amp;"/6)",IF(Q310&gt;=Settings!$S$8,"Hot",IF(Q310&gt;=Settings!$S$9,"Warm","Cold")))))</f>
        <v/>
      </c>
      <c r="S310" s="44" t="str">
        <f aca="false">IF(OR(E310="",A310=""),"",IF(AND(COUNTIFS(Scoresheet!$C$2:$C$501,A310,Scoresheet!$U$2:$U$501,1,Scoresheet!$H$2:$H$501,"No")&gt;0,COUNTIFS(Scoresheet!$C$2:$C$501,A310,Scoresheet!$U$2:$U$501,1,Scoresheet!$J$2:$J$501,"No")&gt;0),"🚩 Budget  ·  🚩 No one on camera",IF(COUNTIFS(Scoresheet!$C$2:$C$501,A310,Scoresheet!$U$2:$U$501,1,Scoresheet!$H$2:$H$501,"No")&gt;0,"🚩 Budget under AED 5k",IF(COUNTIFS(Scoresheet!$C$2:$C$501,A310,Scoresheet!$U$2:$U$501,1,Scoresheet!$J$2:$J$501,"No")&gt;0,"🚩 No one on camera",""))))</f>
        <v/>
      </c>
      <c r="T310" s="17"/>
      <c r="U310" s="17"/>
      <c r="V310" s="40"/>
      <c r="W310" s="17"/>
      <c r="X310" s="45" t="str">
        <f aca="false">IF(OR(E310="",V310="",OR(U310="Contract signed + paid",U310="Closed – No response",U310="Lost"),N(W310)&gt;=Settings!$S$3),"",V310+Settings!$S$2)</f>
        <v/>
      </c>
      <c r="Y310" s="40"/>
      <c r="Z310" s="41"/>
      <c r="AA310" s="17"/>
      <c r="AB310" s="17"/>
      <c r="AC310" s="17"/>
      <c r="AD310" s="46" t="str">
        <f aca="true">IF(OR(E310="",B310=""),"",INT(TODAY()-B310))</f>
        <v/>
      </c>
      <c r="AE310" s="44" t="str">
        <f aca="true">IF(E310="","",IF(OR(COUNTIFS(Clients!$C$2:$C$501,E310,Clients!$S$2:$S$501,"Paid")&gt;0,AND(I310&lt;&gt;"",COUNTIFS(Clients!$E$2:$E$501,I310,Clients!$S$2:$S$501,"Paid")&gt;0)),"⚠ Refunded before – no free video",IF(OR(U310="Contract signed + paid",U310="Closed – No response",U310="Lost"),"",IF(U310="","Set a stage",IF(AND(U310="Proposal sent",SUMIFS(Scoresheet!$N$2:$N$501,Scoresheet!$C$2:$C$501,A310,Scoresheet!$U$2:$U$501,1)&lt;6),"Score this lead – fill the call scoresheet",IF(N(W310)&gt;=Settings!$S$3,"Close – 4 follow-ups sent",IF(X310="",IF(V310="","Make first contact",""),IF(TODAY()&gt;X310,"OVERDUE follow-up",IF(TODAY()=X310,"Follow up today","")))))))))</f>
        <v/>
      </c>
    </row>
    <row r="311" customFormat="false" ht="15" hidden="false" customHeight="false" outlineLevel="0" collapsed="false">
      <c r="A311" s="17"/>
      <c r="B311" s="40"/>
      <c r="C311" s="41"/>
      <c r="D311" s="17"/>
      <c r="E311" s="17"/>
      <c r="F311" s="17"/>
      <c r="G311" s="17"/>
      <c r="H311" s="17"/>
      <c r="I311" s="42"/>
      <c r="J311" s="17"/>
      <c r="K311" s="17"/>
      <c r="L311" s="17"/>
      <c r="M311" s="17"/>
      <c r="N311" s="40"/>
      <c r="O311" s="41"/>
      <c r="P311" s="43" t="str">
        <f aca="false">IF(OR(B311="",N311=""),"",ROUND(((N311+N(O311))-(B311+N(C311)))*24,1))</f>
        <v/>
      </c>
      <c r="Q311" s="44" t="str">
        <f aca="false">IF(OR(E311="",A311="",COUNTIFS(Scoresheet!$C$2:$C$501,A311,Scoresheet!$U$2:$U$501,1)=0),"",SUMIFS(Scoresheet!$O$2:$O$501,Scoresheet!$C$2:$C$501,A311,Scoresheet!$U$2:$U$501,1))</f>
        <v/>
      </c>
      <c r="R311" s="44" t="str">
        <f aca="false">IF(E311="","",IF(OR(A311="",COUNTIFS(Scoresheet!$C$2:$C$501,A311,Scoresheet!$U$2:$U$501,1)=0),"No scoresheet yet",IF(SUMIFS(Scoresheet!$N$2:$N$501,Scoresheet!$C$2:$C$501,A311,Scoresheet!$U$2:$U$501,1)&lt;6,"Partly scored ("&amp;SUMIFS(Scoresheet!$N$2:$N$501,Scoresheet!$C$2:$C$501,A311,Scoresheet!$U$2:$U$501,1)&amp;"/6)",IF(Q311&gt;=Settings!$S$8,"Hot",IF(Q311&gt;=Settings!$S$9,"Warm","Cold")))))</f>
        <v/>
      </c>
      <c r="S311" s="44" t="str">
        <f aca="false">IF(OR(E311="",A311=""),"",IF(AND(COUNTIFS(Scoresheet!$C$2:$C$501,A311,Scoresheet!$U$2:$U$501,1,Scoresheet!$H$2:$H$501,"No")&gt;0,COUNTIFS(Scoresheet!$C$2:$C$501,A311,Scoresheet!$U$2:$U$501,1,Scoresheet!$J$2:$J$501,"No")&gt;0),"🚩 Budget  ·  🚩 No one on camera",IF(COUNTIFS(Scoresheet!$C$2:$C$501,A311,Scoresheet!$U$2:$U$501,1,Scoresheet!$H$2:$H$501,"No")&gt;0,"🚩 Budget under AED 5k",IF(COUNTIFS(Scoresheet!$C$2:$C$501,A311,Scoresheet!$U$2:$U$501,1,Scoresheet!$J$2:$J$501,"No")&gt;0,"🚩 No one on camera",""))))</f>
        <v/>
      </c>
      <c r="T311" s="17"/>
      <c r="U311" s="17"/>
      <c r="V311" s="40"/>
      <c r="W311" s="17"/>
      <c r="X311" s="45" t="str">
        <f aca="false">IF(OR(E311="",V311="",OR(U311="Contract signed + paid",U311="Closed – No response",U311="Lost"),N(W311)&gt;=Settings!$S$3),"",V311+Settings!$S$2)</f>
        <v/>
      </c>
      <c r="Y311" s="40"/>
      <c r="Z311" s="41"/>
      <c r="AA311" s="17"/>
      <c r="AB311" s="17"/>
      <c r="AC311" s="17"/>
      <c r="AD311" s="46" t="str">
        <f aca="true">IF(OR(E311="",B311=""),"",INT(TODAY()-B311))</f>
        <v/>
      </c>
      <c r="AE311" s="44" t="str">
        <f aca="true">IF(E311="","",IF(OR(COUNTIFS(Clients!$C$2:$C$501,E311,Clients!$S$2:$S$501,"Paid")&gt;0,AND(I311&lt;&gt;"",COUNTIFS(Clients!$E$2:$E$501,I311,Clients!$S$2:$S$501,"Paid")&gt;0)),"⚠ Refunded before – no free video",IF(OR(U311="Contract signed + paid",U311="Closed – No response",U311="Lost"),"",IF(U311="","Set a stage",IF(AND(U311="Proposal sent",SUMIFS(Scoresheet!$N$2:$N$501,Scoresheet!$C$2:$C$501,A311,Scoresheet!$U$2:$U$501,1)&lt;6),"Score this lead – fill the call scoresheet",IF(N(W311)&gt;=Settings!$S$3,"Close – 4 follow-ups sent",IF(X311="",IF(V311="","Make first contact",""),IF(TODAY()&gt;X311,"OVERDUE follow-up",IF(TODAY()=X311,"Follow up today","")))))))))</f>
        <v/>
      </c>
    </row>
    <row r="312" customFormat="false" ht="15" hidden="false" customHeight="false" outlineLevel="0" collapsed="false">
      <c r="A312" s="17"/>
      <c r="B312" s="40"/>
      <c r="C312" s="41"/>
      <c r="D312" s="17"/>
      <c r="E312" s="17"/>
      <c r="F312" s="17"/>
      <c r="G312" s="17"/>
      <c r="H312" s="17"/>
      <c r="I312" s="42"/>
      <c r="J312" s="17"/>
      <c r="K312" s="17"/>
      <c r="L312" s="17"/>
      <c r="M312" s="17"/>
      <c r="N312" s="40"/>
      <c r="O312" s="41"/>
      <c r="P312" s="43" t="str">
        <f aca="false">IF(OR(B312="",N312=""),"",ROUND(((N312+N(O312))-(B312+N(C312)))*24,1))</f>
        <v/>
      </c>
      <c r="Q312" s="44" t="str">
        <f aca="false">IF(OR(E312="",A312="",COUNTIFS(Scoresheet!$C$2:$C$501,A312,Scoresheet!$U$2:$U$501,1)=0),"",SUMIFS(Scoresheet!$O$2:$O$501,Scoresheet!$C$2:$C$501,A312,Scoresheet!$U$2:$U$501,1))</f>
        <v/>
      </c>
      <c r="R312" s="44" t="str">
        <f aca="false">IF(E312="","",IF(OR(A312="",COUNTIFS(Scoresheet!$C$2:$C$501,A312,Scoresheet!$U$2:$U$501,1)=0),"No scoresheet yet",IF(SUMIFS(Scoresheet!$N$2:$N$501,Scoresheet!$C$2:$C$501,A312,Scoresheet!$U$2:$U$501,1)&lt;6,"Partly scored ("&amp;SUMIFS(Scoresheet!$N$2:$N$501,Scoresheet!$C$2:$C$501,A312,Scoresheet!$U$2:$U$501,1)&amp;"/6)",IF(Q312&gt;=Settings!$S$8,"Hot",IF(Q312&gt;=Settings!$S$9,"Warm","Cold")))))</f>
        <v/>
      </c>
      <c r="S312" s="44" t="str">
        <f aca="false">IF(OR(E312="",A312=""),"",IF(AND(COUNTIFS(Scoresheet!$C$2:$C$501,A312,Scoresheet!$U$2:$U$501,1,Scoresheet!$H$2:$H$501,"No")&gt;0,COUNTIFS(Scoresheet!$C$2:$C$501,A312,Scoresheet!$U$2:$U$501,1,Scoresheet!$J$2:$J$501,"No")&gt;0),"🚩 Budget  ·  🚩 No one on camera",IF(COUNTIFS(Scoresheet!$C$2:$C$501,A312,Scoresheet!$U$2:$U$501,1,Scoresheet!$H$2:$H$501,"No")&gt;0,"🚩 Budget under AED 5k",IF(COUNTIFS(Scoresheet!$C$2:$C$501,A312,Scoresheet!$U$2:$U$501,1,Scoresheet!$J$2:$J$501,"No")&gt;0,"🚩 No one on camera",""))))</f>
        <v/>
      </c>
      <c r="T312" s="17"/>
      <c r="U312" s="17"/>
      <c r="V312" s="40"/>
      <c r="W312" s="17"/>
      <c r="X312" s="45" t="str">
        <f aca="false">IF(OR(E312="",V312="",OR(U312="Contract signed + paid",U312="Closed – No response",U312="Lost"),N(W312)&gt;=Settings!$S$3),"",V312+Settings!$S$2)</f>
        <v/>
      </c>
      <c r="Y312" s="40"/>
      <c r="Z312" s="41"/>
      <c r="AA312" s="17"/>
      <c r="AB312" s="17"/>
      <c r="AC312" s="17"/>
      <c r="AD312" s="46" t="str">
        <f aca="true">IF(OR(E312="",B312=""),"",INT(TODAY()-B312))</f>
        <v/>
      </c>
      <c r="AE312" s="44" t="str">
        <f aca="true">IF(E312="","",IF(OR(COUNTIFS(Clients!$C$2:$C$501,E312,Clients!$S$2:$S$501,"Paid")&gt;0,AND(I312&lt;&gt;"",COUNTIFS(Clients!$E$2:$E$501,I312,Clients!$S$2:$S$501,"Paid")&gt;0)),"⚠ Refunded before – no free video",IF(OR(U312="Contract signed + paid",U312="Closed – No response",U312="Lost"),"",IF(U312="","Set a stage",IF(AND(U312="Proposal sent",SUMIFS(Scoresheet!$N$2:$N$501,Scoresheet!$C$2:$C$501,A312,Scoresheet!$U$2:$U$501,1)&lt;6),"Score this lead – fill the call scoresheet",IF(N(W312)&gt;=Settings!$S$3,"Close – 4 follow-ups sent",IF(X312="",IF(V312="","Make first contact",""),IF(TODAY()&gt;X312,"OVERDUE follow-up",IF(TODAY()=X312,"Follow up today","")))))))))</f>
        <v/>
      </c>
    </row>
    <row r="313" customFormat="false" ht="15" hidden="false" customHeight="false" outlineLevel="0" collapsed="false">
      <c r="A313" s="17"/>
      <c r="B313" s="40"/>
      <c r="C313" s="41"/>
      <c r="D313" s="17"/>
      <c r="E313" s="17"/>
      <c r="F313" s="17"/>
      <c r="G313" s="17"/>
      <c r="H313" s="17"/>
      <c r="I313" s="42"/>
      <c r="J313" s="17"/>
      <c r="K313" s="17"/>
      <c r="L313" s="17"/>
      <c r="M313" s="17"/>
      <c r="N313" s="40"/>
      <c r="O313" s="41"/>
      <c r="P313" s="43" t="str">
        <f aca="false">IF(OR(B313="",N313=""),"",ROUND(((N313+N(O313))-(B313+N(C313)))*24,1))</f>
        <v/>
      </c>
      <c r="Q313" s="44" t="str">
        <f aca="false">IF(OR(E313="",A313="",COUNTIFS(Scoresheet!$C$2:$C$501,A313,Scoresheet!$U$2:$U$501,1)=0),"",SUMIFS(Scoresheet!$O$2:$O$501,Scoresheet!$C$2:$C$501,A313,Scoresheet!$U$2:$U$501,1))</f>
        <v/>
      </c>
      <c r="R313" s="44" t="str">
        <f aca="false">IF(E313="","",IF(OR(A313="",COUNTIFS(Scoresheet!$C$2:$C$501,A313,Scoresheet!$U$2:$U$501,1)=0),"No scoresheet yet",IF(SUMIFS(Scoresheet!$N$2:$N$501,Scoresheet!$C$2:$C$501,A313,Scoresheet!$U$2:$U$501,1)&lt;6,"Partly scored ("&amp;SUMIFS(Scoresheet!$N$2:$N$501,Scoresheet!$C$2:$C$501,A313,Scoresheet!$U$2:$U$501,1)&amp;"/6)",IF(Q313&gt;=Settings!$S$8,"Hot",IF(Q313&gt;=Settings!$S$9,"Warm","Cold")))))</f>
        <v/>
      </c>
      <c r="S313" s="44" t="str">
        <f aca="false">IF(OR(E313="",A313=""),"",IF(AND(COUNTIFS(Scoresheet!$C$2:$C$501,A313,Scoresheet!$U$2:$U$501,1,Scoresheet!$H$2:$H$501,"No")&gt;0,COUNTIFS(Scoresheet!$C$2:$C$501,A313,Scoresheet!$U$2:$U$501,1,Scoresheet!$J$2:$J$501,"No")&gt;0),"🚩 Budget  ·  🚩 No one on camera",IF(COUNTIFS(Scoresheet!$C$2:$C$501,A313,Scoresheet!$U$2:$U$501,1,Scoresheet!$H$2:$H$501,"No")&gt;0,"🚩 Budget under AED 5k",IF(COUNTIFS(Scoresheet!$C$2:$C$501,A313,Scoresheet!$U$2:$U$501,1,Scoresheet!$J$2:$J$501,"No")&gt;0,"🚩 No one on camera",""))))</f>
        <v/>
      </c>
      <c r="T313" s="17"/>
      <c r="U313" s="17"/>
      <c r="V313" s="40"/>
      <c r="W313" s="17"/>
      <c r="X313" s="45" t="str">
        <f aca="false">IF(OR(E313="",V313="",OR(U313="Contract signed + paid",U313="Closed – No response",U313="Lost"),N(W313)&gt;=Settings!$S$3),"",V313+Settings!$S$2)</f>
        <v/>
      </c>
      <c r="Y313" s="40"/>
      <c r="Z313" s="41"/>
      <c r="AA313" s="17"/>
      <c r="AB313" s="17"/>
      <c r="AC313" s="17"/>
      <c r="AD313" s="46" t="str">
        <f aca="true">IF(OR(E313="",B313=""),"",INT(TODAY()-B313))</f>
        <v/>
      </c>
      <c r="AE313" s="44" t="str">
        <f aca="true">IF(E313="","",IF(OR(COUNTIFS(Clients!$C$2:$C$501,E313,Clients!$S$2:$S$501,"Paid")&gt;0,AND(I313&lt;&gt;"",COUNTIFS(Clients!$E$2:$E$501,I313,Clients!$S$2:$S$501,"Paid")&gt;0)),"⚠ Refunded before – no free video",IF(OR(U313="Contract signed + paid",U313="Closed – No response",U313="Lost"),"",IF(U313="","Set a stage",IF(AND(U313="Proposal sent",SUMIFS(Scoresheet!$N$2:$N$501,Scoresheet!$C$2:$C$501,A313,Scoresheet!$U$2:$U$501,1)&lt;6),"Score this lead – fill the call scoresheet",IF(N(W313)&gt;=Settings!$S$3,"Close – 4 follow-ups sent",IF(X313="",IF(V313="","Make first contact",""),IF(TODAY()&gt;X313,"OVERDUE follow-up",IF(TODAY()=X313,"Follow up today","")))))))))</f>
        <v/>
      </c>
    </row>
    <row r="314" customFormat="false" ht="15" hidden="false" customHeight="false" outlineLevel="0" collapsed="false">
      <c r="A314" s="17"/>
      <c r="B314" s="40"/>
      <c r="C314" s="41"/>
      <c r="D314" s="17"/>
      <c r="E314" s="17"/>
      <c r="F314" s="17"/>
      <c r="G314" s="17"/>
      <c r="H314" s="17"/>
      <c r="I314" s="42"/>
      <c r="J314" s="17"/>
      <c r="K314" s="17"/>
      <c r="L314" s="17"/>
      <c r="M314" s="17"/>
      <c r="N314" s="40"/>
      <c r="O314" s="41"/>
      <c r="P314" s="43" t="str">
        <f aca="false">IF(OR(B314="",N314=""),"",ROUND(((N314+N(O314))-(B314+N(C314)))*24,1))</f>
        <v/>
      </c>
      <c r="Q314" s="44" t="str">
        <f aca="false">IF(OR(E314="",A314="",COUNTIFS(Scoresheet!$C$2:$C$501,A314,Scoresheet!$U$2:$U$501,1)=0),"",SUMIFS(Scoresheet!$O$2:$O$501,Scoresheet!$C$2:$C$501,A314,Scoresheet!$U$2:$U$501,1))</f>
        <v/>
      </c>
      <c r="R314" s="44" t="str">
        <f aca="false">IF(E314="","",IF(OR(A314="",COUNTIFS(Scoresheet!$C$2:$C$501,A314,Scoresheet!$U$2:$U$501,1)=0),"No scoresheet yet",IF(SUMIFS(Scoresheet!$N$2:$N$501,Scoresheet!$C$2:$C$501,A314,Scoresheet!$U$2:$U$501,1)&lt;6,"Partly scored ("&amp;SUMIFS(Scoresheet!$N$2:$N$501,Scoresheet!$C$2:$C$501,A314,Scoresheet!$U$2:$U$501,1)&amp;"/6)",IF(Q314&gt;=Settings!$S$8,"Hot",IF(Q314&gt;=Settings!$S$9,"Warm","Cold")))))</f>
        <v/>
      </c>
      <c r="S314" s="44" t="str">
        <f aca="false">IF(OR(E314="",A314=""),"",IF(AND(COUNTIFS(Scoresheet!$C$2:$C$501,A314,Scoresheet!$U$2:$U$501,1,Scoresheet!$H$2:$H$501,"No")&gt;0,COUNTIFS(Scoresheet!$C$2:$C$501,A314,Scoresheet!$U$2:$U$501,1,Scoresheet!$J$2:$J$501,"No")&gt;0),"🚩 Budget  ·  🚩 No one on camera",IF(COUNTIFS(Scoresheet!$C$2:$C$501,A314,Scoresheet!$U$2:$U$501,1,Scoresheet!$H$2:$H$501,"No")&gt;0,"🚩 Budget under AED 5k",IF(COUNTIFS(Scoresheet!$C$2:$C$501,A314,Scoresheet!$U$2:$U$501,1,Scoresheet!$J$2:$J$501,"No")&gt;0,"🚩 No one on camera",""))))</f>
        <v/>
      </c>
      <c r="T314" s="17"/>
      <c r="U314" s="17"/>
      <c r="V314" s="40"/>
      <c r="W314" s="17"/>
      <c r="X314" s="45" t="str">
        <f aca="false">IF(OR(E314="",V314="",OR(U314="Contract signed + paid",U314="Closed – No response",U314="Lost"),N(W314)&gt;=Settings!$S$3),"",V314+Settings!$S$2)</f>
        <v/>
      </c>
      <c r="Y314" s="40"/>
      <c r="Z314" s="41"/>
      <c r="AA314" s="17"/>
      <c r="AB314" s="17"/>
      <c r="AC314" s="17"/>
      <c r="AD314" s="46" t="str">
        <f aca="true">IF(OR(E314="",B314=""),"",INT(TODAY()-B314))</f>
        <v/>
      </c>
      <c r="AE314" s="44" t="str">
        <f aca="true">IF(E314="","",IF(OR(COUNTIFS(Clients!$C$2:$C$501,E314,Clients!$S$2:$S$501,"Paid")&gt;0,AND(I314&lt;&gt;"",COUNTIFS(Clients!$E$2:$E$501,I314,Clients!$S$2:$S$501,"Paid")&gt;0)),"⚠ Refunded before – no free video",IF(OR(U314="Contract signed + paid",U314="Closed – No response",U314="Lost"),"",IF(U314="","Set a stage",IF(AND(U314="Proposal sent",SUMIFS(Scoresheet!$N$2:$N$501,Scoresheet!$C$2:$C$501,A314,Scoresheet!$U$2:$U$501,1)&lt;6),"Score this lead – fill the call scoresheet",IF(N(W314)&gt;=Settings!$S$3,"Close – 4 follow-ups sent",IF(X314="",IF(V314="","Make first contact",""),IF(TODAY()&gt;X314,"OVERDUE follow-up",IF(TODAY()=X314,"Follow up today","")))))))))</f>
        <v/>
      </c>
    </row>
    <row r="315" customFormat="false" ht="15" hidden="false" customHeight="false" outlineLevel="0" collapsed="false">
      <c r="A315" s="17"/>
      <c r="B315" s="40"/>
      <c r="C315" s="41"/>
      <c r="D315" s="17"/>
      <c r="E315" s="17"/>
      <c r="F315" s="17"/>
      <c r="G315" s="17"/>
      <c r="H315" s="17"/>
      <c r="I315" s="42"/>
      <c r="J315" s="17"/>
      <c r="K315" s="17"/>
      <c r="L315" s="17"/>
      <c r="M315" s="17"/>
      <c r="N315" s="40"/>
      <c r="O315" s="41"/>
      <c r="P315" s="43" t="str">
        <f aca="false">IF(OR(B315="",N315=""),"",ROUND(((N315+N(O315))-(B315+N(C315)))*24,1))</f>
        <v/>
      </c>
      <c r="Q315" s="44" t="str">
        <f aca="false">IF(OR(E315="",A315="",COUNTIFS(Scoresheet!$C$2:$C$501,A315,Scoresheet!$U$2:$U$501,1)=0),"",SUMIFS(Scoresheet!$O$2:$O$501,Scoresheet!$C$2:$C$501,A315,Scoresheet!$U$2:$U$501,1))</f>
        <v/>
      </c>
      <c r="R315" s="44" t="str">
        <f aca="false">IF(E315="","",IF(OR(A315="",COUNTIFS(Scoresheet!$C$2:$C$501,A315,Scoresheet!$U$2:$U$501,1)=0),"No scoresheet yet",IF(SUMIFS(Scoresheet!$N$2:$N$501,Scoresheet!$C$2:$C$501,A315,Scoresheet!$U$2:$U$501,1)&lt;6,"Partly scored ("&amp;SUMIFS(Scoresheet!$N$2:$N$501,Scoresheet!$C$2:$C$501,A315,Scoresheet!$U$2:$U$501,1)&amp;"/6)",IF(Q315&gt;=Settings!$S$8,"Hot",IF(Q315&gt;=Settings!$S$9,"Warm","Cold")))))</f>
        <v/>
      </c>
      <c r="S315" s="44" t="str">
        <f aca="false">IF(OR(E315="",A315=""),"",IF(AND(COUNTIFS(Scoresheet!$C$2:$C$501,A315,Scoresheet!$U$2:$U$501,1,Scoresheet!$H$2:$H$501,"No")&gt;0,COUNTIFS(Scoresheet!$C$2:$C$501,A315,Scoresheet!$U$2:$U$501,1,Scoresheet!$J$2:$J$501,"No")&gt;0),"🚩 Budget  ·  🚩 No one on camera",IF(COUNTIFS(Scoresheet!$C$2:$C$501,A315,Scoresheet!$U$2:$U$501,1,Scoresheet!$H$2:$H$501,"No")&gt;0,"🚩 Budget under AED 5k",IF(COUNTIFS(Scoresheet!$C$2:$C$501,A315,Scoresheet!$U$2:$U$501,1,Scoresheet!$J$2:$J$501,"No")&gt;0,"🚩 No one on camera",""))))</f>
        <v/>
      </c>
      <c r="T315" s="17"/>
      <c r="U315" s="17"/>
      <c r="V315" s="40"/>
      <c r="W315" s="17"/>
      <c r="X315" s="45" t="str">
        <f aca="false">IF(OR(E315="",V315="",OR(U315="Contract signed + paid",U315="Closed – No response",U315="Lost"),N(W315)&gt;=Settings!$S$3),"",V315+Settings!$S$2)</f>
        <v/>
      </c>
      <c r="Y315" s="40"/>
      <c r="Z315" s="41"/>
      <c r="AA315" s="17"/>
      <c r="AB315" s="17"/>
      <c r="AC315" s="17"/>
      <c r="AD315" s="46" t="str">
        <f aca="true">IF(OR(E315="",B315=""),"",INT(TODAY()-B315))</f>
        <v/>
      </c>
      <c r="AE315" s="44" t="str">
        <f aca="true">IF(E315="","",IF(OR(COUNTIFS(Clients!$C$2:$C$501,E315,Clients!$S$2:$S$501,"Paid")&gt;0,AND(I315&lt;&gt;"",COUNTIFS(Clients!$E$2:$E$501,I315,Clients!$S$2:$S$501,"Paid")&gt;0)),"⚠ Refunded before – no free video",IF(OR(U315="Contract signed + paid",U315="Closed – No response",U315="Lost"),"",IF(U315="","Set a stage",IF(AND(U315="Proposal sent",SUMIFS(Scoresheet!$N$2:$N$501,Scoresheet!$C$2:$C$501,A315,Scoresheet!$U$2:$U$501,1)&lt;6),"Score this lead – fill the call scoresheet",IF(N(W315)&gt;=Settings!$S$3,"Close – 4 follow-ups sent",IF(X315="",IF(V315="","Make first contact",""),IF(TODAY()&gt;X315,"OVERDUE follow-up",IF(TODAY()=X315,"Follow up today","")))))))))</f>
        <v/>
      </c>
    </row>
    <row r="316" customFormat="false" ht="15" hidden="false" customHeight="false" outlineLevel="0" collapsed="false">
      <c r="A316" s="17"/>
      <c r="B316" s="40"/>
      <c r="C316" s="41"/>
      <c r="D316" s="17"/>
      <c r="E316" s="17"/>
      <c r="F316" s="17"/>
      <c r="G316" s="17"/>
      <c r="H316" s="17"/>
      <c r="I316" s="42"/>
      <c r="J316" s="17"/>
      <c r="K316" s="17"/>
      <c r="L316" s="17"/>
      <c r="M316" s="17"/>
      <c r="N316" s="40"/>
      <c r="O316" s="41"/>
      <c r="P316" s="43" t="str">
        <f aca="false">IF(OR(B316="",N316=""),"",ROUND(((N316+N(O316))-(B316+N(C316)))*24,1))</f>
        <v/>
      </c>
      <c r="Q316" s="44" t="str">
        <f aca="false">IF(OR(E316="",A316="",COUNTIFS(Scoresheet!$C$2:$C$501,A316,Scoresheet!$U$2:$U$501,1)=0),"",SUMIFS(Scoresheet!$O$2:$O$501,Scoresheet!$C$2:$C$501,A316,Scoresheet!$U$2:$U$501,1))</f>
        <v/>
      </c>
      <c r="R316" s="44" t="str">
        <f aca="false">IF(E316="","",IF(OR(A316="",COUNTIFS(Scoresheet!$C$2:$C$501,A316,Scoresheet!$U$2:$U$501,1)=0),"No scoresheet yet",IF(SUMIFS(Scoresheet!$N$2:$N$501,Scoresheet!$C$2:$C$501,A316,Scoresheet!$U$2:$U$501,1)&lt;6,"Partly scored ("&amp;SUMIFS(Scoresheet!$N$2:$N$501,Scoresheet!$C$2:$C$501,A316,Scoresheet!$U$2:$U$501,1)&amp;"/6)",IF(Q316&gt;=Settings!$S$8,"Hot",IF(Q316&gt;=Settings!$S$9,"Warm","Cold")))))</f>
        <v/>
      </c>
      <c r="S316" s="44" t="str">
        <f aca="false">IF(OR(E316="",A316=""),"",IF(AND(COUNTIFS(Scoresheet!$C$2:$C$501,A316,Scoresheet!$U$2:$U$501,1,Scoresheet!$H$2:$H$501,"No")&gt;0,COUNTIFS(Scoresheet!$C$2:$C$501,A316,Scoresheet!$U$2:$U$501,1,Scoresheet!$J$2:$J$501,"No")&gt;0),"🚩 Budget  ·  🚩 No one on camera",IF(COUNTIFS(Scoresheet!$C$2:$C$501,A316,Scoresheet!$U$2:$U$501,1,Scoresheet!$H$2:$H$501,"No")&gt;0,"🚩 Budget under AED 5k",IF(COUNTIFS(Scoresheet!$C$2:$C$501,A316,Scoresheet!$U$2:$U$501,1,Scoresheet!$J$2:$J$501,"No")&gt;0,"🚩 No one on camera",""))))</f>
        <v/>
      </c>
      <c r="T316" s="17"/>
      <c r="U316" s="17"/>
      <c r="V316" s="40"/>
      <c r="W316" s="17"/>
      <c r="X316" s="45" t="str">
        <f aca="false">IF(OR(E316="",V316="",OR(U316="Contract signed + paid",U316="Closed – No response",U316="Lost"),N(W316)&gt;=Settings!$S$3),"",V316+Settings!$S$2)</f>
        <v/>
      </c>
      <c r="Y316" s="40"/>
      <c r="Z316" s="41"/>
      <c r="AA316" s="17"/>
      <c r="AB316" s="17"/>
      <c r="AC316" s="17"/>
      <c r="AD316" s="46" t="str">
        <f aca="true">IF(OR(E316="",B316=""),"",INT(TODAY()-B316))</f>
        <v/>
      </c>
      <c r="AE316" s="44" t="str">
        <f aca="true">IF(E316="","",IF(OR(COUNTIFS(Clients!$C$2:$C$501,E316,Clients!$S$2:$S$501,"Paid")&gt;0,AND(I316&lt;&gt;"",COUNTIFS(Clients!$E$2:$E$501,I316,Clients!$S$2:$S$501,"Paid")&gt;0)),"⚠ Refunded before – no free video",IF(OR(U316="Contract signed + paid",U316="Closed – No response",U316="Lost"),"",IF(U316="","Set a stage",IF(AND(U316="Proposal sent",SUMIFS(Scoresheet!$N$2:$N$501,Scoresheet!$C$2:$C$501,A316,Scoresheet!$U$2:$U$501,1)&lt;6),"Score this lead – fill the call scoresheet",IF(N(W316)&gt;=Settings!$S$3,"Close – 4 follow-ups sent",IF(X316="",IF(V316="","Make first contact",""),IF(TODAY()&gt;X316,"OVERDUE follow-up",IF(TODAY()=X316,"Follow up today","")))))))))</f>
        <v/>
      </c>
    </row>
    <row r="317" customFormat="false" ht="15" hidden="false" customHeight="false" outlineLevel="0" collapsed="false">
      <c r="A317" s="17"/>
      <c r="B317" s="40"/>
      <c r="C317" s="41"/>
      <c r="D317" s="17"/>
      <c r="E317" s="17"/>
      <c r="F317" s="17"/>
      <c r="G317" s="17"/>
      <c r="H317" s="17"/>
      <c r="I317" s="42"/>
      <c r="J317" s="17"/>
      <c r="K317" s="17"/>
      <c r="L317" s="17"/>
      <c r="M317" s="17"/>
      <c r="N317" s="40"/>
      <c r="O317" s="41"/>
      <c r="P317" s="43" t="str">
        <f aca="false">IF(OR(B317="",N317=""),"",ROUND(((N317+N(O317))-(B317+N(C317)))*24,1))</f>
        <v/>
      </c>
      <c r="Q317" s="44" t="str">
        <f aca="false">IF(OR(E317="",A317="",COUNTIFS(Scoresheet!$C$2:$C$501,A317,Scoresheet!$U$2:$U$501,1)=0),"",SUMIFS(Scoresheet!$O$2:$O$501,Scoresheet!$C$2:$C$501,A317,Scoresheet!$U$2:$U$501,1))</f>
        <v/>
      </c>
      <c r="R317" s="44" t="str">
        <f aca="false">IF(E317="","",IF(OR(A317="",COUNTIFS(Scoresheet!$C$2:$C$501,A317,Scoresheet!$U$2:$U$501,1)=0),"No scoresheet yet",IF(SUMIFS(Scoresheet!$N$2:$N$501,Scoresheet!$C$2:$C$501,A317,Scoresheet!$U$2:$U$501,1)&lt;6,"Partly scored ("&amp;SUMIFS(Scoresheet!$N$2:$N$501,Scoresheet!$C$2:$C$501,A317,Scoresheet!$U$2:$U$501,1)&amp;"/6)",IF(Q317&gt;=Settings!$S$8,"Hot",IF(Q317&gt;=Settings!$S$9,"Warm","Cold")))))</f>
        <v/>
      </c>
      <c r="S317" s="44" t="str">
        <f aca="false">IF(OR(E317="",A317=""),"",IF(AND(COUNTIFS(Scoresheet!$C$2:$C$501,A317,Scoresheet!$U$2:$U$501,1,Scoresheet!$H$2:$H$501,"No")&gt;0,COUNTIFS(Scoresheet!$C$2:$C$501,A317,Scoresheet!$U$2:$U$501,1,Scoresheet!$J$2:$J$501,"No")&gt;0),"🚩 Budget  ·  🚩 No one on camera",IF(COUNTIFS(Scoresheet!$C$2:$C$501,A317,Scoresheet!$U$2:$U$501,1,Scoresheet!$H$2:$H$501,"No")&gt;0,"🚩 Budget under AED 5k",IF(COUNTIFS(Scoresheet!$C$2:$C$501,A317,Scoresheet!$U$2:$U$501,1,Scoresheet!$J$2:$J$501,"No")&gt;0,"🚩 No one on camera",""))))</f>
        <v/>
      </c>
      <c r="T317" s="17"/>
      <c r="U317" s="17"/>
      <c r="V317" s="40"/>
      <c r="W317" s="17"/>
      <c r="X317" s="45" t="str">
        <f aca="false">IF(OR(E317="",V317="",OR(U317="Contract signed + paid",U317="Closed – No response",U317="Lost"),N(W317)&gt;=Settings!$S$3),"",V317+Settings!$S$2)</f>
        <v/>
      </c>
      <c r="Y317" s="40"/>
      <c r="Z317" s="41"/>
      <c r="AA317" s="17"/>
      <c r="AB317" s="17"/>
      <c r="AC317" s="17"/>
      <c r="AD317" s="46" t="str">
        <f aca="true">IF(OR(E317="",B317=""),"",INT(TODAY()-B317))</f>
        <v/>
      </c>
      <c r="AE317" s="44" t="str">
        <f aca="true">IF(E317="","",IF(OR(COUNTIFS(Clients!$C$2:$C$501,E317,Clients!$S$2:$S$501,"Paid")&gt;0,AND(I317&lt;&gt;"",COUNTIFS(Clients!$E$2:$E$501,I317,Clients!$S$2:$S$501,"Paid")&gt;0)),"⚠ Refunded before – no free video",IF(OR(U317="Contract signed + paid",U317="Closed – No response",U317="Lost"),"",IF(U317="","Set a stage",IF(AND(U317="Proposal sent",SUMIFS(Scoresheet!$N$2:$N$501,Scoresheet!$C$2:$C$501,A317,Scoresheet!$U$2:$U$501,1)&lt;6),"Score this lead – fill the call scoresheet",IF(N(W317)&gt;=Settings!$S$3,"Close – 4 follow-ups sent",IF(X317="",IF(V317="","Make first contact",""),IF(TODAY()&gt;X317,"OVERDUE follow-up",IF(TODAY()=X317,"Follow up today","")))))))))</f>
        <v/>
      </c>
    </row>
    <row r="318" customFormat="false" ht="15" hidden="false" customHeight="false" outlineLevel="0" collapsed="false">
      <c r="A318" s="17"/>
      <c r="B318" s="40"/>
      <c r="C318" s="41"/>
      <c r="D318" s="17"/>
      <c r="E318" s="17"/>
      <c r="F318" s="17"/>
      <c r="G318" s="17"/>
      <c r="H318" s="17"/>
      <c r="I318" s="42"/>
      <c r="J318" s="17"/>
      <c r="K318" s="17"/>
      <c r="L318" s="17"/>
      <c r="M318" s="17"/>
      <c r="N318" s="40"/>
      <c r="O318" s="41"/>
      <c r="P318" s="43" t="str">
        <f aca="false">IF(OR(B318="",N318=""),"",ROUND(((N318+N(O318))-(B318+N(C318)))*24,1))</f>
        <v/>
      </c>
      <c r="Q318" s="44" t="str">
        <f aca="false">IF(OR(E318="",A318="",COUNTIFS(Scoresheet!$C$2:$C$501,A318,Scoresheet!$U$2:$U$501,1)=0),"",SUMIFS(Scoresheet!$O$2:$O$501,Scoresheet!$C$2:$C$501,A318,Scoresheet!$U$2:$U$501,1))</f>
        <v/>
      </c>
      <c r="R318" s="44" t="str">
        <f aca="false">IF(E318="","",IF(OR(A318="",COUNTIFS(Scoresheet!$C$2:$C$501,A318,Scoresheet!$U$2:$U$501,1)=0),"No scoresheet yet",IF(SUMIFS(Scoresheet!$N$2:$N$501,Scoresheet!$C$2:$C$501,A318,Scoresheet!$U$2:$U$501,1)&lt;6,"Partly scored ("&amp;SUMIFS(Scoresheet!$N$2:$N$501,Scoresheet!$C$2:$C$501,A318,Scoresheet!$U$2:$U$501,1)&amp;"/6)",IF(Q318&gt;=Settings!$S$8,"Hot",IF(Q318&gt;=Settings!$S$9,"Warm","Cold")))))</f>
        <v/>
      </c>
      <c r="S318" s="44" t="str">
        <f aca="false">IF(OR(E318="",A318=""),"",IF(AND(COUNTIFS(Scoresheet!$C$2:$C$501,A318,Scoresheet!$U$2:$U$501,1,Scoresheet!$H$2:$H$501,"No")&gt;0,COUNTIFS(Scoresheet!$C$2:$C$501,A318,Scoresheet!$U$2:$U$501,1,Scoresheet!$J$2:$J$501,"No")&gt;0),"🚩 Budget  ·  🚩 No one on camera",IF(COUNTIFS(Scoresheet!$C$2:$C$501,A318,Scoresheet!$U$2:$U$501,1,Scoresheet!$H$2:$H$501,"No")&gt;0,"🚩 Budget under AED 5k",IF(COUNTIFS(Scoresheet!$C$2:$C$501,A318,Scoresheet!$U$2:$U$501,1,Scoresheet!$J$2:$J$501,"No")&gt;0,"🚩 No one on camera",""))))</f>
        <v/>
      </c>
      <c r="T318" s="17"/>
      <c r="U318" s="17"/>
      <c r="V318" s="40"/>
      <c r="W318" s="17"/>
      <c r="X318" s="45" t="str">
        <f aca="false">IF(OR(E318="",V318="",OR(U318="Contract signed + paid",U318="Closed – No response",U318="Lost"),N(W318)&gt;=Settings!$S$3),"",V318+Settings!$S$2)</f>
        <v/>
      </c>
      <c r="Y318" s="40"/>
      <c r="Z318" s="41"/>
      <c r="AA318" s="17"/>
      <c r="AB318" s="17"/>
      <c r="AC318" s="17"/>
      <c r="AD318" s="46" t="str">
        <f aca="true">IF(OR(E318="",B318=""),"",INT(TODAY()-B318))</f>
        <v/>
      </c>
      <c r="AE318" s="44" t="str">
        <f aca="true">IF(E318="","",IF(OR(COUNTIFS(Clients!$C$2:$C$501,E318,Clients!$S$2:$S$501,"Paid")&gt;0,AND(I318&lt;&gt;"",COUNTIFS(Clients!$E$2:$E$501,I318,Clients!$S$2:$S$501,"Paid")&gt;0)),"⚠ Refunded before – no free video",IF(OR(U318="Contract signed + paid",U318="Closed – No response",U318="Lost"),"",IF(U318="","Set a stage",IF(AND(U318="Proposal sent",SUMIFS(Scoresheet!$N$2:$N$501,Scoresheet!$C$2:$C$501,A318,Scoresheet!$U$2:$U$501,1)&lt;6),"Score this lead – fill the call scoresheet",IF(N(W318)&gt;=Settings!$S$3,"Close – 4 follow-ups sent",IF(X318="",IF(V318="","Make first contact",""),IF(TODAY()&gt;X318,"OVERDUE follow-up",IF(TODAY()=X318,"Follow up today","")))))))))</f>
        <v/>
      </c>
    </row>
    <row r="319" customFormat="false" ht="15" hidden="false" customHeight="false" outlineLevel="0" collapsed="false">
      <c r="A319" s="17"/>
      <c r="B319" s="40"/>
      <c r="C319" s="41"/>
      <c r="D319" s="17"/>
      <c r="E319" s="17"/>
      <c r="F319" s="17"/>
      <c r="G319" s="17"/>
      <c r="H319" s="17"/>
      <c r="I319" s="42"/>
      <c r="J319" s="17"/>
      <c r="K319" s="17"/>
      <c r="L319" s="17"/>
      <c r="M319" s="17"/>
      <c r="N319" s="40"/>
      <c r="O319" s="41"/>
      <c r="P319" s="43" t="str">
        <f aca="false">IF(OR(B319="",N319=""),"",ROUND(((N319+N(O319))-(B319+N(C319)))*24,1))</f>
        <v/>
      </c>
      <c r="Q319" s="44" t="str">
        <f aca="false">IF(OR(E319="",A319="",COUNTIFS(Scoresheet!$C$2:$C$501,A319,Scoresheet!$U$2:$U$501,1)=0),"",SUMIFS(Scoresheet!$O$2:$O$501,Scoresheet!$C$2:$C$501,A319,Scoresheet!$U$2:$U$501,1))</f>
        <v/>
      </c>
      <c r="R319" s="44" t="str">
        <f aca="false">IF(E319="","",IF(OR(A319="",COUNTIFS(Scoresheet!$C$2:$C$501,A319,Scoresheet!$U$2:$U$501,1)=0),"No scoresheet yet",IF(SUMIFS(Scoresheet!$N$2:$N$501,Scoresheet!$C$2:$C$501,A319,Scoresheet!$U$2:$U$501,1)&lt;6,"Partly scored ("&amp;SUMIFS(Scoresheet!$N$2:$N$501,Scoresheet!$C$2:$C$501,A319,Scoresheet!$U$2:$U$501,1)&amp;"/6)",IF(Q319&gt;=Settings!$S$8,"Hot",IF(Q319&gt;=Settings!$S$9,"Warm","Cold")))))</f>
        <v/>
      </c>
      <c r="S319" s="44" t="str">
        <f aca="false">IF(OR(E319="",A319=""),"",IF(AND(COUNTIFS(Scoresheet!$C$2:$C$501,A319,Scoresheet!$U$2:$U$501,1,Scoresheet!$H$2:$H$501,"No")&gt;0,COUNTIFS(Scoresheet!$C$2:$C$501,A319,Scoresheet!$U$2:$U$501,1,Scoresheet!$J$2:$J$501,"No")&gt;0),"🚩 Budget  ·  🚩 No one on camera",IF(COUNTIFS(Scoresheet!$C$2:$C$501,A319,Scoresheet!$U$2:$U$501,1,Scoresheet!$H$2:$H$501,"No")&gt;0,"🚩 Budget under AED 5k",IF(COUNTIFS(Scoresheet!$C$2:$C$501,A319,Scoresheet!$U$2:$U$501,1,Scoresheet!$J$2:$J$501,"No")&gt;0,"🚩 No one on camera",""))))</f>
        <v/>
      </c>
      <c r="T319" s="17"/>
      <c r="U319" s="17"/>
      <c r="V319" s="40"/>
      <c r="W319" s="17"/>
      <c r="X319" s="45" t="str">
        <f aca="false">IF(OR(E319="",V319="",OR(U319="Contract signed + paid",U319="Closed – No response",U319="Lost"),N(W319)&gt;=Settings!$S$3),"",V319+Settings!$S$2)</f>
        <v/>
      </c>
      <c r="Y319" s="40"/>
      <c r="Z319" s="41"/>
      <c r="AA319" s="17"/>
      <c r="AB319" s="17"/>
      <c r="AC319" s="17"/>
      <c r="AD319" s="46" t="str">
        <f aca="true">IF(OR(E319="",B319=""),"",INT(TODAY()-B319))</f>
        <v/>
      </c>
      <c r="AE319" s="44" t="str">
        <f aca="true">IF(E319="","",IF(OR(COUNTIFS(Clients!$C$2:$C$501,E319,Clients!$S$2:$S$501,"Paid")&gt;0,AND(I319&lt;&gt;"",COUNTIFS(Clients!$E$2:$E$501,I319,Clients!$S$2:$S$501,"Paid")&gt;0)),"⚠ Refunded before – no free video",IF(OR(U319="Contract signed + paid",U319="Closed – No response",U319="Lost"),"",IF(U319="","Set a stage",IF(AND(U319="Proposal sent",SUMIFS(Scoresheet!$N$2:$N$501,Scoresheet!$C$2:$C$501,A319,Scoresheet!$U$2:$U$501,1)&lt;6),"Score this lead – fill the call scoresheet",IF(N(W319)&gt;=Settings!$S$3,"Close – 4 follow-ups sent",IF(X319="",IF(V319="","Make first contact",""),IF(TODAY()&gt;X319,"OVERDUE follow-up",IF(TODAY()=X319,"Follow up today","")))))))))</f>
        <v/>
      </c>
    </row>
    <row r="320" customFormat="false" ht="15" hidden="false" customHeight="false" outlineLevel="0" collapsed="false">
      <c r="A320" s="17"/>
      <c r="B320" s="40"/>
      <c r="C320" s="41"/>
      <c r="D320" s="17"/>
      <c r="E320" s="17"/>
      <c r="F320" s="17"/>
      <c r="G320" s="17"/>
      <c r="H320" s="17"/>
      <c r="I320" s="42"/>
      <c r="J320" s="17"/>
      <c r="K320" s="17"/>
      <c r="L320" s="17"/>
      <c r="M320" s="17"/>
      <c r="N320" s="40"/>
      <c r="O320" s="41"/>
      <c r="P320" s="43" t="str">
        <f aca="false">IF(OR(B320="",N320=""),"",ROUND(((N320+N(O320))-(B320+N(C320)))*24,1))</f>
        <v/>
      </c>
      <c r="Q320" s="44" t="str">
        <f aca="false">IF(OR(E320="",A320="",COUNTIFS(Scoresheet!$C$2:$C$501,A320,Scoresheet!$U$2:$U$501,1)=0),"",SUMIFS(Scoresheet!$O$2:$O$501,Scoresheet!$C$2:$C$501,A320,Scoresheet!$U$2:$U$501,1))</f>
        <v/>
      </c>
      <c r="R320" s="44" t="str">
        <f aca="false">IF(E320="","",IF(OR(A320="",COUNTIFS(Scoresheet!$C$2:$C$501,A320,Scoresheet!$U$2:$U$501,1)=0),"No scoresheet yet",IF(SUMIFS(Scoresheet!$N$2:$N$501,Scoresheet!$C$2:$C$501,A320,Scoresheet!$U$2:$U$501,1)&lt;6,"Partly scored ("&amp;SUMIFS(Scoresheet!$N$2:$N$501,Scoresheet!$C$2:$C$501,A320,Scoresheet!$U$2:$U$501,1)&amp;"/6)",IF(Q320&gt;=Settings!$S$8,"Hot",IF(Q320&gt;=Settings!$S$9,"Warm","Cold")))))</f>
        <v/>
      </c>
      <c r="S320" s="44" t="str">
        <f aca="false">IF(OR(E320="",A320=""),"",IF(AND(COUNTIFS(Scoresheet!$C$2:$C$501,A320,Scoresheet!$U$2:$U$501,1,Scoresheet!$H$2:$H$501,"No")&gt;0,COUNTIFS(Scoresheet!$C$2:$C$501,A320,Scoresheet!$U$2:$U$501,1,Scoresheet!$J$2:$J$501,"No")&gt;0),"🚩 Budget  ·  🚩 No one on camera",IF(COUNTIFS(Scoresheet!$C$2:$C$501,A320,Scoresheet!$U$2:$U$501,1,Scoresheet!$H$2:$H$501,"No")&gt;0,"🚩 Budget under AED 5k",IF(COUNTIFS(Scoresheet!$C$2:$C$501,A320,Scoresheet!$U$2:$U$501,1,Scoresheet!$J$2:$J$501,"No")&gt;0,"🚩 No one on camera",""))))</f>
        <v/>
      </c>
      <c r="T320" s="17"/>
      <c r="U320" s="17"/>
      <c r="V320" s="40"/>
      <c r="W320" s="17"/>
      <c r="X320" s="45" t="str">
        <f aca="false">IF(OR(E320="",V320="",OR(U320="Contract signed + paid",U320="Closed – No response",U320="Lost"),N(W320)&gt;=Settings!$S$3),"",V320+Settings!$S$2)</f>
        <v/>
      </c>
      <c r="Y320" s="40"/>
      <c r="Z320" s="41"/>
      <c r="AA320" s="17"/>
      <c r="AB320" s="17"/>
      <c r="AC320" s="17"/>
      <c r="AD320" s="46" t="str">
        <f aca="true">IF(OR(E320="",B320=""),"",INT(TODAY()-B320))</f>
        <v/>
      </c>
      <c r="AE320" s="44" t="str">
        <f aca="true">IF(E320="","",IF(OR(COUNTIFS(Clients!$C$2:$C$501,E320,Clients!$S$2:$S$501,"Paid")&gt;0,AND(I320&lt;&gt;"",COUNTIFS(Clients!$E$2:$E$501,I320,Clients!$S$2:$S$501,"Paid")&gt;0)),"⚠ Refunded before – no free video",IF(OR(U320="Contract signed + paid",U320="Closed – No response",U320="Lost"),"",IF(U320="","Set a stage",IF(AND(U320="Proposal sent",SUMIFS(Scoresheet!$N$2:$N$501,Scoresheet!$C$2:$C$501,A320,Scoresheet!$U$2:$U$501,1)&lt;6),"Score this lead – fill the call scoresheet",IF(N(W320)&gt;=Settings!$S$3,"Close – 4 follow-ups sent",IF(X320="",IF(V320="","Make first contact",""),IF(TODAY()&gt;X320,"OVERDUE follow-up",IF(TODAY()=X320,"Follow up today","")))))))))</f>
        <v/>
      </c>
    </row>
    <row r="321" customFormat="false" ht="15" hidden="false" customHeight="false" outlineLevel="0" collapsed="false">
      <c r="A321" s="17"/>
      <c r="B321" s="40"/>
      <c r="C321" s="41"/>
      <c r="D321" s="17"/>
      <c r="E321" s="17"/>
      <c r="F321" s="17"/>
      <c r="G321" s="17"/>
      <c r="H321" s="17"/>
      <c r="I321" s="42"/>
      <c r="J321" s="17"/>
      <c r="K321" s="17"/>
      <c r="L321" s="17"/>
      <c r="M321" s="17"/>
      <c r="N321" s="40"/>
      <c r="O321" s="41"/>
      <c r="P321" s="43" t="str">
        <f aca="false">IF(OR(B321="",N321=""),"",ROUND(((N321+N(O321))-(B321+N(C321)))*24,1))</f>
        <v/>
      </c>
      <c r="Q321" s="44" t="str">
        <f aca="false">IF(OR(E321="",A321="",COUNTIFS(Scoresheet!$C$2:$C$501,A321,Scoresheet!$U$2:$U$501,1)=0),"",SUMIFS(Scoresheet!$O$2:$O$501,Scoresheet!$C$2:$C$501,A321,Scoresheet!$U$2:$U$501,1))</f>
        <v/>
      </c>
      <c r="R321" s="44" t="str">
        <f aca="false">IF(E321="","",IF(OR(A321="",COUNTIFS(Scoresheet!$C$2:$C$501,A321,Scoresheet!$U$2:$U$501,1)=0),"No scoresheet yet",IF(SUMIFS(Scoresheet!$N$2:$N$501,Scoresheet!$C$2:$C$501,A321,Scoresheet!$U$2:$U$501,1)&lt;6,"Partly scored ("&amp;SUMIFS(Scoresheet!$N$2:$N$501,Scoresheet!$C$2:$C$501,A321,Scoresheet!$U$2:$U$501,1)&amp;"/6)",IF(Q321&gt;=Settings!$S$8,"Hot",IF(Q321&gt;=Settings!$S$9,"Warm","Cold")))))</f>
        <v/>
      </c>
      <c r="S321" s="44" t="str">
        <f aca="false">IF(OR(E321="",A321=""),"",IF(AND(COUNTIFS(Scoresheet!$C$2:$C$501,A321,Scoresheet!$U$2:$U$501,1,Scoresheet!$H$2:$H$501,"No")&gt;0,COUNTIFS(Scoresheet!$C$2:$C$501,A321,Scoresheet!$U$2:$U$501,1,Scoresheet!$J$2:$J$501,"No")&gt;0),"🚩 Budget  ·  🚩 No one on camera",IF(COUNTIFS(Scoresheet!$C$2:$C$501,A321,Scoresheet!$U$2:$U$501,1,Scoresheet!$H$2:$H$501,"No")&gt;0,"🚩 Budget under AED 5k",IF(COUNTIFS(Scoresheet!$C$2:$C$501,A321,Scoresheet!$U$2:$U$501,1,Scoresheet!$J$2:$J$501,"No")&gt;0,"🚩 No one on camera",""))))</f>
        <v/>
      </c>
      <c r="T321" s="17"/>
      <c r="U321" s="17"/>
      <c r="V321" s="40"/>
      <c r="W321" s="17"/>
      <c r="X321" s="45" t="str">
        <f aca="false">IF(OR(E321="",V321="",OR(U321="Contract signed + paid",U321="Closed – No response",U321="Lost"),N(W321)&gt;=Settings!$S$3),"",V321+Settings!$S$2)</f>
        <v/>
      </c>
      <c r="Y321" s="40"/>
      <c r="Z321" s="41"/>
      <c r="AA321" s="17"/>
      <c r="AB321" s="17"/>
      <c r="AC321" s="17"/>
      <c r="AD321" s="46" t="str">
        <f aca="true">IF(OR(E321="",B321=""),"",INT(TODAY()-B321))</f>
        <v/>
      </c>
      <c r="AE321" s="44" t="str">
        <f aca="true">IF(E321="","",IF(OR(COUNTIFS(Clients!$C$2:$C$501,E321,Clients!$S$2:$S$501,"Paid")&gt;0,AND(I321&lt;&gt;"",COUNTIFS(Clients!$E$2:$E$501,I321,Clients!$S$2:$S$501,"Paid")&gt;0)),"⚠ Refunded before – no free video",IF(OR(U321="Contract signed + paid",U321="Closed – No response",U321="Lost"),"",IF(U321="","Set a stage",IF(AND(U321="Proposal sent",SUMIFS(Scoresheet!$N$2:$N$501,Scoresheet!$C$2:$C$501,A321,Scoresheet!$U$2:$U$501,1)&lt;6),"Score this lead – fill the call scoresheet",IF(N(W321)&gt;=Settings!$S$3,"Close – 4 follow-ups sent",IF(X321="",IF(V321="","Make first contact",""),IF(TODAY()&gt;X321,"OVERDUE follow-up",IF(TODAY()=X321,"Follow up today","")))))))))</f>
        <v/>
      </c>
    </row>
    <row r="322" customFormat="false" ht="15" hidden="false" customHeight="false" outlineLevel="0" collapsed="false">
      <c r="A322" s="17"/>
      <c r="B322" s="40"/>
      <c r="C322" s="41"/>
      <c r="D322" s="17"/>
      <c r="E322" s="17"/>
      <c r="F322" s="17"/>
      <c r="G322" s="17"/>
      <c r="H322" s="17"/>
      <c r="I322" s="42"/>
      <c r="J322" s="17"/>
      <c r="K322" s="17"/>
      <c r="L322" s="17"/>
      <c r="M322" s="17"/>
      <c r="N322" s="40"/>
      <c r="O322" s="41"/>
      <c r="P322" s="43" t="str">
        <f aca="false">IF(OR(B322="",N322=""),"",ROUND(((N322+N(O322))-(B322+N(C322)))*24,1))</f>
        <v/>
      </c>
      <c r="Q322" s="44" t="str">
        <f aca="false">IF(OR(E322="",A322="",COUNTIFS(Scoresheet!$C$2:$C$501,A322,Scoresheet!$U$2:$U$501,1)=0),"",SUMIFS(Scoresheet!$O$2:$O$501,Scoresheet!$C$2:$C$501,A322,Scoresheet!$U$2:$U$501,1))</f>
        <v/>
      </c>
      <c r="R322" s="44" t="str">
        <f aca="false">IF(E322="","",IF(OR(A322="",COUNTIFS(Scoresheet!$C$2:$C$501,A322,Scoresheet!$U$2:$U$501,1)=0),"No scoresheet yet",IF(SUMIFS(Scoresheet!$N$2:$N$501,Scoresheet!$C$2:$C$501,A322,Scoresheet!$U$2:$U$501,1)&lt;6,"Partly scored ("&amp;SUMIFS(Scoresheet!$N$2:$N$501,Scoresheet!$C$2:$C$501,A322,Scoresheet!$U$2:$U$501,1)&amp;"/6)",IF(Q322&gt;=Settings!$S$8,"Hot",IF(Q322&gt;=Settings!$S$9,"Warm","Cold")))))</f>
        <v/>
      </c>
      <c r="S322" s="44" t="str">
        <f aca="false">IF(OR(E322="",A322=""),"",IF(AND(COUNTIFS(Scoresheet!$C$2:$C$501,A322,Scoresheet!$U$2:$U$501,1,Scoresheet!$H$2:$H$501,"No")&gt;0,COUNTIFS(Scoresheet!$C$2:$C$501,A322,Scoresheet!$U$2:$U$501,1,Scoresheet!$J$2:$J$501,"No")&gt;0),"🚩 Budget  ·  🚩 No one on camera",IF(COUNTIFS(Scoresheet!$C$2:$C$501,A322,Scoresheet!$U$2:$U$501,1,Scoresheet!$H$2:$H$501,"No")&gt;0,"🚩 Budget under AED 5k",IF(COUNTIFS(Scoresheet!$C$2:$C$501,A322,Scoresheet!$U$2:$U$501,1,Scoresheet!$J$2:$J$501,"No")&gt;0,"🚩 No one on camera",""))))</f>
        <v/>
      </c>
      <c r="T322" s="17"/>
      <c r="U322" s="17"/>
      <c r="V322" s="40"/>
      <c r="W322" s="17"/>
      <c r="X322" s="45" t="str">
        <f aca="false">IF(OR(E322="",V322="",OR(U322="Contract signed + paid",U322="Closed – No response",U322="Lost"),N(W322)&gt;=Settings!$S$3),"",V322+Settings!$S$2)</f>
        <v/>
      </c>
      <c r="Y322" s="40"/>
      <c r="Z322" s="41"/>
      <c r="AA322" s="17"/>
      <c r="AB322" s="17"/>
      <c r="AC322" s="17"/>
      <c r="AD322" s="46" t="str">
        <f aca="true">IF(OR(E322="",B322=""),"",INT(TODAY()-B322))</f>
        <v/>
      </c>
      <c r="AE322" s="44" t="str">
        <f aca="true">IF(E322="","",IF(OR(COUNTIFS(Clients!$C$2:$C$501,E322,Clients!$S$2:$S$501,"Paid")&gt;0,AND(I322&lt;&gt;"",COUNTIFS(Clients!$E$2:$E$501,I322,Clients!$S$2:$S$501,"Paid")&gt;0)),"⚠ Refunded before – no free video",IF(OR(U322="Contract signed + paid",U322="Closed – No response",U322="Lost"),"",IF(U322="","Set a stage",IF(AND(U322="Proposal sent",SUMIFS(Scoresheet!$N$2:$N$501,Scoresheet!$C$2:$C$501,A322,Scoresheet!$U$2:$U$501,1)&lt;6),"Score this lead – fill the call scoresheet",IF(N(W322)&gt;=Settings!$S$3,"Close – 4 follow-ups sent",IF(X322="",IF(V322="","Make first contact",""),IF(TODAY()&gt;X322,"OVERDUE follow-up",IF(TODAY()=X322,"Follow up today","")))))))))</f>
        <v/>
      </c>
    </row>
    <row r="323" customFormat="false" ht="15" hidden="false" customHeight="false" outlineLevel="0" collapsed="false">
      <c r="A323" s="17"/>
      <c r="B323" s="40"/>
      <c r="C323" s="41"/>
      <c r="D323" s="17"/>
      <c r="E323" s="17"/>
      <c r="F323" s="17"/>
      <c r="G323" s="17"/>
      <c r="H323" s="17"/>
      <c r="I323" s="42"/>
      <c r="J323" s="17"/>
      <c r="K323" s="17"/>
      <c r="L323" s="17"/>
      <c r="M323" s="17"/>
      <c r="N323" s="40"/>
      <c r="O323" s="41"/>
      <c r="P323" s="43" t="str">
        <f aca="false">IF(OR(B323="",N323=""),"",ROUND(((N323+N(O323))-(B323+N(C323)))*24,1))</f>
        <v/>
      </c>
      <c r="Q323" s="44" t="str">
        <f aca="false">IF(OR(E323="",A323="",COUNTIFS(Scoresheet!$C$2:$C$501,A323,Scoresheet!$U$2:$U$501,1)=0),"",SUMIFS(Scoresheet!$O$2:$O$501,Scoresheet!$C$2:$C$501,A323,Scoresheet!$U$2:$U$501,1))</f>
        <v/>
      </c>
      <c r="R323" s="44" t="str">
        <f aca="false">IF(E323="","",IF(OR(A323="",COUNTIFS(Scoresheet!$C$2:$C$501,A323,Scoresheet!$U$2:$U$501,1)=0),"No scoresheet yet",IF(SUMIFS(Scoresheet!$N$2:$N$501,Scoresheet!$C$2:$C$501,A323,Scoresheet!$U$2:$U$501,1)&lt;6,"Partly scored ("&amp;SUMIFS(Scoresheet!$N$2:$N$501,Scoresheet!$C$2:$C$501,A323,Scoresheet!$U$2:$U$501,1)&amp;"/6)",IF(Q323&gt;=Settings!$S$8,"Hot",IF(Q323&gt;=Settings!$S$9,"Warm","Cold")))))</f>
        <v/>
      </c>
      <c r="S323" s="44" t="str">
        <f aca="false">IF(OR(E323="",A323=""),"",IF(AND(COUNTIFS(Scoresheet!$C$2:$C$501,A323,Scoresheet!$U$2:$U$501,1,Scoresheet!$H$2:$H$501,"No")&gt;0,COUNTIFS(Scoresheet!$C$2:$C$501,A323,Scoresheet!$U$2:$U$501,1,Scoresheet!$J$2:$J$501,"No")&gt;0),"🚩 Budget  ·  🚩 No one on camera",IF(COUNTIFS(Scoresheet!$C$2:$C$501,A323,Scoresheet!$U$2:$U$501,1,Scoresheet!$H$2:$H$501,"No")&gt;0,"🚩 Budget under AED 5k",IF(COUNTIFS(Scoresheet!$C$2:$C$501,A323,Scoresheet!$U$2:$U$501,1,Scoresheet!$J$2:$J$501,"No")&gt;0,"🚩 No one on camera",""))))</f>
        <v/>
      </c>
      <c r="T323" s="17"/>
      <c r="U323" s="17"/>
      <c r="V323" s="40"/>
      <c r="W323" s="17"/>
      <c r="X323" s="45" t="str">
        <f aca="false">IF(OR(E323="",V323="",OR(U323="Contract signed + paid",U323="Closed – No response",U323="Lost"),N(W323)&gt;=Settings!$S$3),"",V323+Settings!$S$2)</f>
        <v/>
      </c>
      <c r="Y323" s="40"/>
      <c r="Z323" s="41"/>
      <c r="AA323" s="17"/>
      <c r="AB323" s="17"/>
      <c r="AC323" s="17"/>
      <c r="AD323" s="46" t="str">
        <f aca="true">IF(OR(E323="",B323=""),"",INT(TODAY()-B323))</f>
        <v/>
      </c>
      <c r="AE323" s="44" t="str">
        <f aca="true">IF(E323="","",IF(OR(COUNTIFS(Clients!$C$2:$C$501,E323,Clients!$S$2:$S$501,"Paid")&gt;0,AND(I323&lt;&gt;"",COUNTIFS(Clients!$E$2:$E$501,I323,Clients!$S$2:$S$501,"Paid")&gt;0)),"⚠ Refunded before – no free video",IF(OR(U323="Contract signed + paid",U323="Closed – No response",U323="Lost"),"",IF(U323="","Set a stage",IF(AND(U323="Proposal sent",SUMIFS(Scoresheet!$N$2:$N$501,Scoresheet!$C$2:$C$501,A323,Scoresheet!$U$2:$U$501,1)&lt;6),"Score this lead – fill the call scoresheet",IF(N(W323)&gt;=Settings!$S$3,"Close – 4 follow-ups sent",IF(X323="",IF(V323="","Make first contact",""),IF(TODAY()&gt;X323,"OVERDUE follow-up",IF(TODAY()=X323,"Follow up today","")))))))))</f>
        <v/>
      </c>
    </row>
    <row r="324" customFormat="false" ht="15" hidden="false" customHeight="false" outlineLevel="0" collapsed="false">
      <c r="A324" s="17"/>
      <c r="B324" s="40"/>
      <c r="C324" s="41"/>
      <c r="D324" s="17"/>
      <c r="E324" s="17"/>
      <c r="F324" s="17"/>
      <c r="G324" s="17"/>
      <c r="H324" s="17"/>
      <c r="I324" s="42"/>
      <c r="J324" s="17"/>
      <c r="K324" s="17"/>
      <c r="L324" s="17"/>
      <c r="M324" s="17"/>
      <c r="N324" s="40"/>
      <c r="O324" s="41"/>
      <c r="P324" s="43" t="str">
        <f aca="false">IF(OR(B324="",N324=""),"",ROUND(((N324+N(O324))-(B324+N(C324)))*24,1))</f>
        <v/>
      </c>
      <c r="Q324" s="44" t="str">
        <f aca="false">IF(OR(E324="",A324="",COUNTIFS(Scoresheet!$C$2:$C$501,A324,Scoresheet!$U$2:$U$501,1)=0),"",SUMIFS(Scoresheet!$O$2:$O$501,Scoresheet!$C$2:$C$501,A324,Scoresheet!$U$2:$U$501,1))</f>
        <v/>
      </c>
      <c r="R324" s="44" t="str">
        <f aca="false">IF(E324="","",IF(OR(A324="",COUNTIFS(Scoresheet!$C$2:$C$501,A324,Scoresheet!$U$2:$U$501,1)=0),"No scoresheet yet",IF(SUMIFS(Scoresheet!$N$2:$N$501,Scoresheet!$C$2:$C$501,A324,Scoresheet!$U$2:$U$501,1)&lt;6,"Partly scored ("&amp;SUMIFS(Scoresheet!$N$2:$N$501,Scoresheet!$C$2:$C$501,A324,Scoresheet!$U$2:$U$501,1)&amp;"/6)",IF(Q324&gt;=Settings!$S$8,"Hot",IF(Q324&gt;=Settings!$S$9,"Warm","Cold")))))</f>
        <v/>
      </c>
      <c r="S324" s="44" t="str">
        <f aca="false">IF(OR(E324="",A324=""),"",IF(AND(COUNTIFS(Scoresheet!$C$2:$C$501,A324,Scoresheet!$U$2:$U$501,1,Scoresheet!$H$2:$H$501,"No")&gt;0,COUNTIFS(Scoresheet!$C$2:$C$501,A324,Scoresheet!$U$2:$U$501,1,Scoresheet!$J$2:$J$501,"No")&gt;0),"🚩 Budget  ·  🚩 No one on camera",IF(COUNTIFS(Scoresheet!$C$2:$C$501,A324,Scoresheet!$U$2:$U$501,1,Scoresheet!$H$2:$H$501,"No")&gt;0,"🚩 Budget under AED 5k",IF(COUNTIFS(Scoresheet!$C$2:$C$501,A324,Scoresheet!$U$2:$U$501,1,Scoresheet!$J$2:$J$501,"No")&gt;0,"🚩 No one on camera",""))))</f>
        <v/>
      </c>
      <c r="T324" s="17"/>
      <c r="U324" s="17"/>
      <c r="V324" s="40"/>
      <c r="W324" s="17"/>
      <c r="X324" s="45" t="str">
        <f aca="false">IF(OR(E324="",V324="",OR(U324="Contract signed + paid",U324="Closed – No response",U324="Lost"),N(W324)&gt;=Settings!$S$3),"",V324+Settings!$S$2)</f>
        <v/>
      </c>
      <c r="Y324" s="40"/>
      <c r="Z324" s="41"/>
      <c r="AA324" s="17"/>
      <c r="AB324" s="17"/>
      <c r="AC324" s="17"/>
      <c r="AD324" s="46" t="str">
        <f aca="true">IF(OR(E324="",B324=""),"",INT(TODAY()-B324))</f>
        <v/>
      </c>
      <c r="AE324" s="44" t="str">
        <f aca="true">IF(E324="","",IF(OR(COUNTIFS(Clients!$C$2:$C$501,E324,Clients!$S$2:$S$501,"Paid")&gt;0,AND(I324&lt;&gt;"",COUNTIFS(Clients!$E$2:$E$501,I324,Clients!$S$2:$S$501,"Paid")&gt;0)),"⚠ Refunded before – no free video",IF(OR(U324="Contract signed + paid",U324="Closed – No response",U324="Lost"),"",IF(U324="","Set a stage",IF(AND(U324="Proposal sent",SUMIFS(Scoresheet!$N$2:$N$501,Scoresheet!$C$2:$C$501,A324,Scoresheet!$U$2:$U$501,1)&lt;6),"Score this lead – fill the call scoresheet",IF(N(W324)&gt;=Settings!$S$3,"Close – 4 follow-ups sent",IF(X324="",IF(V324="","Make first contact",""),IF(TODAY()&gt;X324,"OVERDUE follow-up",IF(TODAY()=X324,"Follow up today","")))))))))</f>
        <v/>
      </c>
    </row>
    <row r="325" customFormat="false" ht="15" hidden="false" customHeight="false" outlineLevel="0" collapsed="false">
      <c r="A325" s="17"/>
      <c r="B325" s="40"/>
      <c r="C325" s="41"/>
      <c r="D325" s="17"/>
      <c r="E325" s="17"/>
      <c r="F325" s="17"/>
      <c r="G325" s="17"/>
      <c r="H325" s="17"/>
      <c r="I325" s="42"/>
      <c r="J325" s="17"/>
      <c r="K325" s="17"/>
      <c r="L325" s="17"/>
      <c r="M325" s="17"/>
      <c r="N325" s="40"/>
      <c r="O325" s="41"/>
      <c r="P325" s="43" t="str">
        <f aca="false">IF(OR(B325="",N325=""),"",ROUND(((N325+N(O325))-(B325+N(C325)))*24,1))</f>
        <v/>
      </c>
      <c r="Q325" s="44" t="str">
        <f aca="false">IF(OR(E325="",A325="",COUNTIFS(Scoresheet!$C$2:$C$501,A325,Scoresheet!$U$2:$U$501,1)=0),"",SUMIFS(Scoresheet!$O$2:$O$501,Scoresheet!$C$2:$C$501,A325,Scoresheet!$U$2:$U$501,1))</f>
        <v/>
      </c>
      <c r="R325" s="44" t="str">
        <f aca="false">IF(E325="","",IF(OR(A325="",COUNTIFS(Scoresheet!$C$2:$C$501,A325,Scoresheet!$U$2:$U$501,1)=0),"No scoresheet yet",IF(SUMIFS(Scoresheet!$N$2:$N$501,Scoresheet!$C$2:$C$501,A325,Scoresheet!$U$2:$U$501,1)&lt;6,"Partly scored ("&amp;SUMIFS(Scoresheet!$N$2:$N$501,Scoresheet!$C$2:$C$501,A325,Scoresheet!$U$2:$U$501,1)&amp;"/6)",IF(Q325&gt;=Settings!$S$8,"Hot",IF(Q325&gt;=Settings!$S$9,"Warm","Cold")))))</f>
        <v/>
      </c>
      <c r="S325" s="44" t="str">
        <f aca="false">IF(OR(E325="",A325=""),"",IF(AND(COUNTIFS(Scoresheet!$C$2:$C$501,A325,Scoresheet!$U$2:$U$501,1,Scoresheet!$H$2:$H$501,"No")&gt;0,COUNTIFS(Scoresheet!$C$2:$C$501,A325,Scoresheet!$U$2:$U$501,1,Scoresheet!$J$2:$J$501,"No")&gt;0),"🚩 Budget  ·  🚩 No one on camera",IF(COUNTIFS(Scoresheet!$C$2:$C$501,A325,Scoresheet!$U$2:$U$501,1,Scoresheet!$H$2:$H$501,"No")&gt;0,"🚩 Budget under AED 5k",IF(COUNTIFS(Scoresheet!$C$2:$C$501,A325,Scoresheet!$U$2:$U$501,1,Scoresheet!$J$2:$J$501,"No")&gt;0,"🚩 No one on camera",""))))</f>
        <v/>
      </c>
      <c r="T325" s="17"/>
      <c r="U325" s="17"/>
      <c r="V325" s="40"/>
      <c r="W325" s="17"/>
      <c r="X325" s="45" t="str">
        <f aca="false">IF(OR(E325="",V325="",OR(U325="Contract signed + paid",U325="Closed – No response",U325="Lost"),N(W325)&gt;=Settings!$S$3),"",V325+Settings!$S$2)</f>
        <v/>
      </c>
      <c r="Y325" s="40"/>
      <c r="Z325" s="41"/>
      <c r="AA325" s="17"/>
      <c r="AB325" s="17"/>
      <c r="AC325" s="17"/>
      <c r="AD325" s="46" t="str">
        <f aca="true">IF(OR(E325="",B325=""),"",INT(TODAY()-B325))</f>
        <v/>
      </c>
      <c r="AE325" s="44" t="str">
        <f aca="true">IF(E325="","",IF(OR(COUNTIFS(Clients!$C$2:$C$501,E325,Clients!$S$2:$S$501,"Paid")&gt;0,AND(I325&lt;&gt;"",COUNTIFS(Clients!$E$2:$E$501,I325,Clients!$S$2:$S$501,"Paid")&gt;0)),"⚠ Refunded before – no free video",IF(OR(U325="Contract signed + paid",U325="Closed – No response",U325="Lost"),"",IF(U325="","Set a stage",IF(AND(U325="Proposal sent",SUMIFS(Scoresheet!$N$2:$N$501,Scoresheet!$C$2:$C$501,A325,Scoresheet!$U$2:$U$501,1)&lt;6),"Score this lead – fill the call scoresheet",IF(N(W325)&gt;=Settings!$S$3,"Close – 4 follow-ups sent",IF(X325="",IF(V325="","Make first contact",""),IF(TODAY()&gt;X325,"OVERDUE follow-up",IF(TODAY()=X325,"Follow up today","")))))))))</f>
        <v/>
      </c>
    </row>
    <row r="326" customFormat="false" ht="15" hidden="false" customHeight="false" outlineLevel="0" collapsed="false">
      <c r="A326" s="17"/>
      <c r="B326" s="40"/>
      <c r="C326" s="41"/>
      <c r="D326" s="17"/>
      <c r="E326" s="17"/>
      <c r="F326" s="17"/>
      <c r="G326" s="17"/>
      <c r="H326" s="17"/>
      <c r="I326" s="42"/>
      <c r="J326" s="17"/>
      <c r="K326" s="17"/>
      <c r="L326" s="17"/>
      <c r="M326" s="17"/>
      <c r="N326" s="40"/>
      <c r="O326" s="41"/>
      <c r="P326" s="43" t="str">
        <f aca="false">IF(OR(B326="",N326=""),"",ROUND(((N326+N(O326))-(B326+N(C326)))*24,1))</f>
        <v/>
      </c>
      <c r="Q326" s="44" t="str">
        <f aca="false">IF(OR(E326="",A326="",COUNTIFS(Scoresheet!$C$2:$C$501,A326,Scoresheet!$U$2:$U$501,1)=0),"",SUMIFS(Scoresheet!$O$2:$O$501,Scoresheet!$C$2:$C$501,A326,Scoresheet!$U$2:$U$501,1))</f>
        <v/>
      </c>
      <c r="R326" s="44" t="str">
        <f aca="false">IF(E326="","",IF(OR(A326="",COUNTIFS(Scoresheet!$C$2:$C$501,A326,Scoresheet!$U$2:$U$501,1)=0),"No scoresheet yet",IF(SUMIFS(Scoresheet!$N$2:$N$501,Scoresheet!$C$2:$C$501,A326,Scoresheet!$U$2:$U$501,1)&lt;6,"Partly scored ("&amp;SUMIFS(Scoresheet!$N$2:$N$501,Scoresheet!$C$2:$C$501,A326,Scoresheet!$U$2:$U$501,1)&amp;"/6)",IF(Q326&gt;=Settings!$S$8,"Hot",IF(Q326&gt;=Settings!$S$9,"Warm","Cold")))))</f>
        <v/>
      </c>
      <c r="S326" s="44" t="str">
        <f aca="false">IF(OR(E326="",A326=""),"",IF(AND(COUNTIFS(Scoresheet!$C$2:$C$501,A326,Scoresheet!$U$2:$U$501,1,Scoresheet!$H$2:$H$501,"No")&gt;0,COUNTIFS(Scoresheet!$C$2:$C$501,A326,Scoresheet!$U$2:$U$501,1,Scoresheet!$J$2:$J$501,"No")&gt;0),"🚩 Budget  ·  🚩 No one on camera",IF(COUNTIFS(Scoresheet!$C$2:$C$501,A326,Scoresheet!$U$2:$U$501,1,Scoresheet!$H$2:$H$501,"No")&gt;0,"🚩 Budget under AED 5k",IF(COUNTIFS(Scoresheet!$C$2:$C$501,A326,Scoresheet!$U$2:$U$501,1,Scoresheet!$J$2:$J$501,"No")&gt;0,"🚩 No one on camera",""))))</f>
        <v/>
      </c>
      <c r="T326" s="17"/>
      <c r="U326" s="17"/>
      <c r="V326" s="40"/>
      <c r="W326" s="17"/>
      <c r="X326" s="45" t="str">
        <f aca="false">IF(OR(E326="",V326="",OR(U326="Contract signed + paid",U326="Closed – No response",U326="Lost"),N(W326)&gt;=Settings!$S$3),"",V326+Settings!$S$2)</f>
        <v/>
      </c>
      <c r="Y326" s="40"/>
      <c r="Z326" s="41"/>
      <c r="AA326" s="17"/>
      <c r="AB326" s="17"/>
      <c r="AC326" s="17"/>
      <c r="AD326" s="46" t="str">
        <f aca="true">IF(OR(E326="",B326=""),"",INT(TODAY()-B326))</f>
        <v/>
      </c>
      <c r="AE326" s="44" t="str">
        <f aca="true">IF(E326="","",IF(OR(COUNTIFS(Clients!$C$2:$C$501,E326,Clients!$S$2:$S$501,"Paid")&gt;0,AND(I326&lt;&gt;"",COUNTIFS(Clients!$E$2:$E$501,I326,Clients!$S$2:$S$501,"Paid")&gt;0)),"⚠ Refunded before – no free video",IF(OR(U326="Contract signed + paid",U326="Closed – No response",U326="Lost"),"",IF(U326="","Set a stage",IF(AND(U326="Proposal sent",SUMIFS(Scoresheet!$N$2:$N$501,Scoresheet!$C$2:$C$501,A326,Scoresheet!$U$2:$U$501,1)&lt;6),"Score this lead – fill the call scoresheet",IF(N(W326)&gt;=Settings!$S$3,"Close – 4 follow-ups sent",IF(X326="",IF(V326="","Make first contact",""),IF(TODAY()&gt;X326,"OVERDUE follow-up",IF(TODAY()=X326,"Follow up today","")))))))))</f>
        <v/>
      </c>
    </row>
    <row r="327" customFormat="false" ht="15" hidden="false" customHeight="false" outlineLevel="0" collapsed="false">
      <c r="A327" s="17"/>
      <c r="B327" s="40"/>
      <c r="C327" s="41"/>
      <c r="D327" s="17"/>
      <c r="E327" s="17"/>
      <c r="F327" s="17"/>
      <c r="G327" s="17"/>
      <c r="H327" s="17"/>
      <c r="I327" s="42"/>
      <c r="J327" s="17"/>
      <c r="K327" s="17"/>
      <c r="L327" s="17"/>
      <c r="M327" s="17"/>
      <c r="N327" s="40"/>
      <c r="O327" s="41"/>
      <c r="P327" s="43" t="str">
        <f aca="false">IF(OR(B327="",N327=""),"",ROUND(((N327+N(O327))-(B327+N(C327)))*24,1))</f>
        <v/>
      </c>
      <c r="Q327" s="44" t="str">
        <f aca="false">IF(OR(E327="",A327="",COUNTIFS(Scoresheet!$C$2:$C$501,A327,Scoresheet!$U$2:$U$501,1)=0),"",SUMIFS(Scoresheet!$O$2:$O$501,Scoresheet!$C$2:$C$501,A327,Scoresheet!$U$2:$U$501,1))</f>
        <v/>
      </c>
      <c r="R327" s="44" t="str">
        <f aca="false">IF(E327="","",IF(OR(A327="",COUNTIFS(Scoresheet!$C$2:$C$501,A327,Scoresheet!$U$2:$U$501,1)=0),"No scoresheet yet",IF(SUMIFS(Scoresheet!$N$2:$N$501,Scoresheet!$C$2:$C$501,A327,Scoresheet!$U$2:$U$501,1)&lt;6,"Partly scored ("&amp;SUMIFS(Scoresheet!$N$2:$N$501,Scoresheet!$C$2:$C$501,A327,Scoresheet!$U$2:$U$501,1)&amp;"/6)",IF(Q327&gt;=Settings!$S$8,"Hot",IF(Q327&gt;=Settings!$S$9,"Warm","Cold")))))</f>
        <v/>
      </c>
      <c r="S327" s="44" t="str">
        <f aca="false">IF(OR(E327="",A327=""),"",IF(AND(COUNTIFS(Scoresheet!$C$2:$C$501,A327,Scoresheet!$U$2:$U$501,1,Scoresheet!$H$2:$H$501,"No")&gt;0,COUNTIFS(Scoresheet!$C$2:$C$501,A327,Scoresheet!$U$2:$U$501,1,Scoresheet!$J$2:$J$501,"No")&gt;0),"🚩 Budget  ·  🚩 No one on camera",IF(COUNTIFS(Scoresheet!$C$2:$C$501,A327,Scoresheet!$U$2:$U$501,1,Scoresheet!$H$2:$H$501,"No")&gt;0,"🚩 Budget under AED 5k",IF(COUNTIFS(Scoresheet!$C$2:$C$501,A327,Scoresheet!$U$2:$U$501,1,Scoresheet!$J$2:$J$501,"No")&gt;0,"🚩 No one on camera",""))))</f>
        <v/>
      </c>
      <c r="T327" s="17"/>
      <c r="U327" s="17"/>
      <c r="V327" s="40"/>
      <c r="W327" s="17"/>
      <c r="X327" s="45" t="str">
        <f aca="false">IF(OR(E327="",V327="",OR(U327="Contract signed + paid",U327="Closed – No response",U327="Lost"),N(W327)&gt;=Settings!$S$3),"",V327+Settings!$S$2)</f>
        <v/>
      </c>
      <c r="Y327" s="40"/>
      <c r="Z327" s="41"/>
      <c r="AA327" s="17"/>
      <c r="AB327" s="17"/>
      <c r="AC327" s="17"/>
      <c r="AD327" s="46" t="str">
        <f aca="true">IF(OR(E327="",B327=""),"",INT(TODAY()-B327))</f>
        <v/>
      </c>
      <c r="AE327" s="44" t="str">
        <f aca="true">IF(E327="","",IF(OR(COUNTIFS(Clients!$C$2:$C$501,E327,Clients!$S$2:$S$501,"Paid")&gt;0,AND(I327&lt;&gt;"",COUNTIFS(Clients!$E$2:$E$501,I327,Clients!$S$2:$S$501,"Paid")&gt;0)),"⚠ Refunded before – no free video",IF(OR(U327="Contract signed + paid",U327="Closed – No response",U327="Lost"),"",IF(U327="","Set a stage",IF(AND(U327="Proposal sent",SUMIFS(Scoresheet!$N$2:$N$501,Scoresheet!$C$2:$C$501,A327,Scoresheet!$U$2:$U$501,1)&lt;6),"Score this lead – fill the call scoresheet",IF(N(W327)&gt;=Settings!$S$3,"Close – 4 follow-ups sent",IF(X327="",IF(V327="","Make first contact",""),IF(TODAY()&gt;X327,"OVERDUE follow-up",IF(TODAY()=X327,"Follow up today","")))))))))</f>
        <v/>
      </c>
    </row>
    <row r="328" customFormat="false" ht="15" hidden="false" customHeight="false" outlineLevel="0" collapsed="false">
      <c r="A328" s="17"/>
      <c r="B328" s="40"/>
      <c r="C328" s="41"/>
      <c r="D328" s="17"/>
      <c r="E328" s="17"/>
      <c r="F328" s="17"/>
      <c r="G328" s="17"/>
      <c r="H328" s="17"/>
      <c r="I328" s="42"/>
      <c r="J328" s="17"/>
      <c r="K328" s="17"/>
      <c r="L328" s="17"/>
      <c r="M328" s="17"/>
      <c r="N328" s="40"/>
      <c r="O328" s="41"/>
      <c r="P328" s="43" t="str">
        <f aca="false">IF(OR(B328="",N328=""),"",ROUND(((N328+N(O328))-(B328+N(C328)))*24,1))</f>
        <v/>
      </c>
      <c r="Q328" s="44" t="str">
        <f aca="false">IF(OR(E328="",A328="",COUNTIFS(Scoresheet!$C$2:$C$501,A328,Scoresheet!$U$2:$U$501,1)=0),"",SUMIFS(Scoresheet!$O$2:$O$501,Scoresheet!$C$2:$C$501,A328,Scoresheet!$U$2:$U$501,1))</f>
        <v/>
      </c>
      <c r="R328" s="44" t="str">
        <f aca="false">IF(E328="","",IF(OR(A328="",COUNTIFS(Scoresheet!$C$2:$C$501,A328,Scoresheet!$U$2:$U$501,1)=0),"No scoresheet yet",IF(SUMIFS(Scoresheet!$N$2:$N$501,Scoresheet!$C$2:$C$501,A328,Scoresheet!$U$2:$U$501,1)&lt;6,"Partly scored ("&amp;SUMIFS(Scoresheet!$N$2:$N$501,Scoresheet!$C$2:$C$501,A328,Scoresheet!$U$2:$U$501,1)&amp;"/6)",IF(Q328&gt;=Settings!$S$8,"Hot",IF(Q328&gt;=Settings!$S$9,"Warm","Cold")))))</f>
        <v/>
      </c>
      <c r="S328" s="44" t="str">
        <f aca="false">IF(OR(E328="",A328=""),"",IF(AND(COUNTIFS(Scoresheet!$C$2:$C$501,A328,Scoresheet!$U$2:$U$501,1,Scoresheet!$H$2:$H$501,"No")&gt;0,COUNTIFS(Scoresheet!$C$2:$C$501,A328,Scoresheet!$U$2:$U$501,1,Scoresheet!$J$2:$J$501,"No")&gt;0),"🚩 Budget  ·  🚩 No one on camera",IF(COUNTIFS(Scoresheet!$C$2:$C$501,A328,Scoresheet!$U$2:$U$501,1,Scoresheet!$H$2:$H$501,"No")&gt;0,"🚩 Budget under AED 5k",IF(COUNTIFS(Scoresheet!$C$2:$C$501,A328,Scoresheet!$U$2:$U$501,1,Scoresheet!$J$2:$J$501,"No")&gt;0,"🚩 No one on camera",""))))</f>
        <v/>
      </c>
      <c r="T328" s="17"/>
      <c r="U328" s="17"/>
      <c r="V328" s="40"/>
      <c r="W328" s="17"/>
      <c r="X328" s="45" t="str">
        <f aca="false">IF(OR(E328="",V328="",OR(U328="Contract signed + paid",U328="Closed – No response",U328="Lost"),N(W328)&gt;=Settings!$S$3),"",V328+Settings!$S$2)</f>
        <v/>
      </c>
      <c r="Y328" s="40"/>
      <c r="Z328" s="41"/>
      <c r="AA328" s="17"/>
      <c r="AB328" s="17"/>
      <c r="AC328" s="17"/>
      <c r="AD328" s="46" t="str">
        <f aca="true">IF(OR(E328="",B328=""),"",INT(TODAY()-B328))</f>
        <v/>
      </c>
      <c r="AE328" s="44" t="str">
        <f aca="true">IF(E328="","",IF(OR(COUNTIFS(Clients!$C$2:$C$501,E328,Clients!$S$2:$S$501,"Paid")&gt;0,AND(I328&lt;&gt;"",COUNTIFS(Clients!$E$2:$E$501,I328,Clients!$S$2:$S$501,"Paid")&gt;0)),"⚠ Refunded before – no free video",IF(OR(U328="Contract signed + paid",U328="Closed – No response",U328="Lost"),"",IF(U328="","Set a stage",IF(AND(U328="Proposal sent",SUMIFS(Scoresheet!$N$2:$N$501,Scoresheet!$C$2:$C$501,A328,Scoresheet!$U$2:$U$501,1)&lt;6),"Score this lead – fill the call scoresheet",IF(N(W328)&gt;=Settings!$S$3,"Close – 4 follow-ups sent",IF(X328="",IF(V328="","Make first contact",""),IF(TODAY()&gt;X328,"OVERDUE follow-up",IF(TODAY()=X328,"Follow up today","")))))))))</f>
        <v/>
      </c>
    </row>
    <row r="329" customFormat="false" ht="15" hidden="false" customHeight="false" outlineLevel="0" collapsed="false">
      <c r="A329" s="17"/>
      <c r="B329" s="40"/>
      <c r="C329" s="41"/>
      <c r="D329" s="17"/>
      <c r="E329" s="17"/>
      <c r="F329" s="17"/>
      <c r="G329" s="17"/>
      <c r="H329" s="17"/>
      <c r="I329" s="42"/>
      <c r="J329" s="17"/>
      <c r="K329" s="17"/>
      <c r="L329" s="17"/>
      <c r="M329" s="17"/>
      <c r="N329" s="40"/>
      <c r="O329" s="41"/>
      <c r="P329" s="43" t="str">
        <f aca="false">IF(OR(B329="",N329=""),"",ROUND(((N329+N(O329))-(B329+N(C329)))*24,1))</f>
        <v/>
      </c>
      <c r="Q329" s="44" t="str">
        <f aca="false">IF(OR(E329="",A329="",COUNTIFS(Scoresheet!$C$2:$C$501,A329,Scoresheet!$U$2:$U$501,1)=0),"",SUMIFS(Scoresheet!$O$2:$O$501,Scoresheet!$C$2:$C$501,A329,Scoresheet!$U$2:$U$501,1))</f>
        <v/>
      </c>
      <c r="R329" s="44" t="str">
        <f aca="false">IF(E329="","",IF(OR(A329="",COUNTIFS(Scoresheet!$C$2:$C$501,A329,Scoresheet!$U$2:$U$501,1)=0),"No scoresheet yet",IF(SUMIFS(Scoresheet!$N$2:$N$501,Scoresheet!$C$2:$C$501,A329,Scoresheet!$U$2:$U$501,1)&lt;6,"Partly scored ("&amp;SUMIFS(Scoresheet!$N$2:$N$501,Scoresheet!$C$2:$C$501,A329,Scoresheet!$U$2:$U$501,1)&amp;"/6)",IF(Q329&gt;=Settings!$S$8,"Hot",IF(Q329&gt;=Settings!$S$9,"Warm","Cold")))))</f>
        <v/>
      </c>
      <c r="S329" s="44" t="str">
        <f aca="false">IF(OR(E329="",A329=""),"",IF(AND(COUNTIFS(Scoresheet!$C$2:$C$501,A329,Scoresheet!$U$2:$U$501,1,Scoresheet!$H$2:$H$501,"No")&gt;0,COUNTIFS(Scoresheet!$C$2:$C$501,A329,Scoresheet!$U$2:$U$501,1,Scoresheet!$J$2:$J$501,"No")&gt;0),"🚩 Budget  ·  🚩 No one on camera",IF(COUNTIFS(Scoresheet!$C$2:$C$501,A329,Scoresheet!$U$2:$U$501,1,Scoresheet!$H$2:$H$501,"No")&gt;0,"🚩 Budget under AED 5k",IF(COUNTIFS(Scoresheet!$C$2:$C$501,A329,Scoresheet!$U$2:$U$501,1,Scoresheet!$J$2:$J$501,"No")&gt;0,"🚩 No one on camera",""))))</f>
        <v/>
      </c>
      <c r="T329" s="17"/>
      <c r="U329" s="17"/>
      <c r="V329" s="40"/>
      <c r="W329" s="17"/>
      <c r="X329" s="45" t="str">
        <f aca="false">IF(OR(E329="",V329="",OR(U329="Contract signed + paid",U329="Closed – No response",U329="Lost"),N(W329)&gt;=Settings!$S$3),"",V329+Settings!$S$2)</f>
        <v/>
      </c>
      <c r="Y329" s="40"/>
      <c r="Z329" s="41"/>
      <c r="AA329" s="17"/>
      <c r="AB329" s="17"/>
      <c r="AC329" s="17"/>
      <c r="AD329" s="46" t="str">
        <f aca="true">IF(OR(E329="",B329=""),"",INT(TODAY()-B329))</f>
        <v/>
      </c>
      <c r="AE329" s="44" t="str">
        <f aca="true">IF(E329="","",IF(OR(COUNTIFS(Clients!$C$2:$C$501,E329,Clients!$S$2:$S$501,"Paid")&gt;0,AND(I329&lt;&gt;"",COUNTIFS(Clients!$E$2:$E$501,I329,Clients!$S$2:$S$501,"Paid")&gt;0)),"⚠ Refunded before – no free video",IF(OR(U329="Contract signed + paid",U329="Closed – No response",U329="Lost"),"",IF(U329="","Set a stage",IF(AND(U329="Proposal sent",SUMIFS(Scoresheet!$N$2:$N$501,Scoresheet!$C$2:$C$501,A329,Scoresheet!$U$2:$U$501,1)&lt;6),"Score this lead – fill the call scoresheet",IF(N(W329)&gt;=Settings!$S$3,"Close – 4 follow-ups sent",IF(X329="",IF(V329="","Make first contact",""),IF(TODAY()&gt;X329,"OVERDUE follow-up",IF(TODAY()=X329,"Follow up today","")))))))))</f>
        <v/>
      </c>
    </row>
    <row r="330" customFormat="false" ht="15" hidden="false" customHeight="false" outlineLevel="0" collapsed="false">
      <c r="A330" s="17"/>
      <c r="B330" s="40"/>
      <c r="C330" s="41"/>
      <c r="D330" s="17"/>
      <c r="E330" s="17"/>
      <c r="F330" s="17"/>
      <c r="G330" s="17"/>
      <c r="H330" s="17"/>
      <c r="I330" s="42"/>
      <c r="J330" s="17"/>
      <c r="K330" s="17"/>
      <c r="L330" s="17"/>
      <c r="M330" s="17"/>
      <c r="N330" s="40"/>
      <c r="O330" s="41"/>
      <c r="P330" s="43" t="str">
        <f aca="false">IF(OR(B330="",N330=""),"",ROUND(((N330+N(O330))-(B330+N(C330)))*24,1))</f>
        <v/>
      </c>
      <c r="Q330" s="44" t="str">
        <f aca="false">IF(OR(E330="",A330="",COUNTIFS(Scoresheet!$C$2:$C$501,A330,Scoresheet!$U$2:$U$501,1)=0),"",SUMIFS(Scoresheet!$O$2:$O$501,Scoresheet!$C$2:$C$501,A330,Scoresheet!$U$2:$U$501,1))</f>
        <v/>
      </c>
      <c r="R330" s="44" t="str">
        <f aca="false">IF(E330="","",IF(OR(A330="",COUNTIFS(Scoresheet!$C$2:$C$501,A330,Scoresheet!$U$2:$U$501,1)=0),"No scoresheet yet",IF(SUMIFS(Scoresheet!$N$2:$N$501,Scoresheet!$C$2:$C$501,A330,Scoresheet!$U$2:$U$501,1)&lt;6,"Partly scored ("&amp;SUMIFS(Scoresheet!$N$2:$N$501,Scoresheet!$C$2:$C$501,A330,Scoresheet!$U$2:$U$501,1)&amp;"/6)",IF(Q330&gt;=Settings!$S$8,"Hot",IF(Q330&gt;=Settings!$S$9,"Warm","Cold")))))</f>
        <v/>
      </c>
      <c r="S330" s="44" t="str">
        <f aca="false">IF(OR(E330="",A330=""),"",IF(AND(COUNTIFS(Scoresheet!$C$2:$C$501,A330,Scoresheet!$U$2:$U$501,1,Scoresheet!$H$2:$H$501,"No")&gt;0,COUNTIFS(Scoresheet!$C$2:$C$501,A330,Scoresheet!$U$2:$U$501,1,Scoresheet!$J$2:$J$501,"No")&gt;0),"🚩 Budget  ·  🚩 No one on camera",IF(COUNTIFS(Scoresheet!$C$2:$C$501,A330,Scoresheet!$U$2:$U$501,1,Scoresheet!$H$2:$H$501,"No")&gt;0,"🚩 Budget under AED 5k",IF(COUNTIFS(Scoresheet!$C$2:$C$501,A330,Scoresheet!$U$2:$U$501,1,Scoresheet!$J$2:$J$501,"No")&gt;0,"🚩 No one on camera",""))))</f>
        <v/>
      </c>
      <c r="T330" s="17"/>
      <c r="U330" s="17"/>
      <c r="V330" s="40"/>
      <c r="W330" s="17"/>
      <c r="X330" s="45" t="str">
        <f aca="false">IF(OR(E330="",V330="",OR(U330="Contract signed + paid",U330="Closed – No response",U330="Lost"),N(W330)&gt;=Settings!$S$3),"",V330+Settings!$S$2)</f>
        <v/>
      </c>
      <c r="Y330" s="40"/>
      <c r="Z330" s="41"/>
      <c r="AA330" s="17"/>
      <c r="AB330" s="17"/>
      <c r="AC330" s="17"/>
      <c r="AD330" s="46" t="str">
        <f aca="true">IF(OR(E330="",B330=""),"",INT(TODAY()-B330))</f>
        <v/>
      </c>
      <c r="AE330" s="44" t="str">
        <f aca="true">IF(E330="","",IF(OR(COUNTIFS(Clients!$C$2:$C$501,E330,Clients!$S$2:$S$501,"Paid")&gt;0,AND(I330&lt;&gt;"",COUNTIFS(Clients!$E$2:$E$501,I330,Clients!$S$2:$S$501,"Paid")&gt;0)),"⚠ Refunded before – no free video",IF(OR(U330="Contract signed + paid",U330="Closed – No response",U330="Lost"),"",IF(U330="","Set a stage",IF(AND(U330="Proposal sent",SUMIFS(Scoresheet!$N$2:$N$501,Scoresheet!$C$2:$C$501,A330,Scoresheet!$U$2:$U$501,1)&lt;6),"Score this lead – fill the call scoresheet",IF(N(W330)&gt;=Settings!$S$3,"Close – 4 follow-ups sent",IF(X330="",IF(V330="","Make first contact",""),IF(TODAY()&gt;X330,"OVERDUE follow-up",IF(TODAY()=X330,"Follow up today","")))))))))</f>
        <v/>
      </c>
    </row>
    <row r="331" customFormat="false" ht="15" hidden="false" customHeight="false" outlineLevel="0" collapsed="false">
      <c r="A331" s="17"/>
      <c r="B331" s="40"/>
      <c r="C331" s="41"/>
      <c r="D331" s="17"/>
      <c r="E331" s="17"/>
      <c r="F331" s="17"/>
      <c r="G331" s="17"/>
      <c r="H331" s="17"/>
      <c r="I331" s="42"/>
      <c r="J331" s="17"/>
      <c r="K331" s="17"/>
      <c r="L331" s="17"/>
      <c r="M331" s="17"/>
      <c r="N331" s="40"/>
      <c r="O331" s="41"/>
      <c r="P331" s="43" t="str">
        <f aca="false">IF(OR(B331="",N331=""),"",ROUND(((N331+N(O331))-(B331+N(C331)))*24,1))</f>
        <v/>
      </c>
      <c r="Q331" s="44" t="str">
        <f aca="false">IF(OR(E331="",A331="",COUNTIFS(Scoresheet!$C$2:$C$501,A331,Scoresheet!$U$2:$U$501,1)=0),"",SUMIFS(Scoresheet!$O$2:$O$501,Scoresheet!$C$2:$C$501,A331,Scoresheet!$U$2:$U$501,1))</f>
        <v/>
      </c>
      <c r="R331" s="44" t="str">
        <f aca="false">IF(E331="","",IF(OR(A331="",COUNTIFS(Scoresheet!$C$2:$C$501,A331,Scoresheet!$U$2:$U$501,1)=0),"No scoresheet yet",IF(SUMIFS(Scoresheet!$N$2:$N$501,Scoresheet!$C$2:$C$501,A331,Scoresheet!$U$2:$U$501,1)&lt;6,"Partly scored ("&amp;SUMIFS(Scoresheet!$N$2:$N$501,Scoresheet!$C$2:$C$501,A331,Scoresheet!$U$2:$U$501,1)&amp;"/6)",IF(Q331&gt;=Settings!$S$8,"Hot",IF(Q331&gt;=Settings!$S$9,"Warm","Cold")))))</f>
        <v/>
      </c>
      <c r="S331" s="44" t="str">
        <f aca="false">IF(OR(E331="",A331=""),"",IF(AND(COUNTIFS(Scoresheet!$C$2:$C$501,A331,Scoresheet!$U$2:$U$501,1,Scoresheet!$H$2:$H$501,"No")&gt;0,COUNTIFS(Scoresheet!$C$2:$C$501,A331,Scoresheet!$U$2:$U$501,1,Scoresheet!$J$2:$J$501,"No")&gt;0),"🚩 Budget  ·  🚩 No one on camera",IF(COUNTIFS(Scoresheet!$C$2:$C$501,A331,Scoresheet!$U$2:$U$501,1,Scoresheet!$H$2:$H$501,"No")&gt;0,"🚩 Budget under AED 5k",IF(COUNTIFS(Scoresheet!$C$2:$C$501,A331,Scoresheet!$U$2:$U$501,1,Scoresheet!$J$2:$J$501,"No")&gt;0,"🚩 No one on camera",""))))</f>
        <v/>
      </c>
      <c r="T331" s="17"/>
      <c r="U331" s="17"/>
      <c r="V331" s="40"/>
      <c r="W331" s="17"/>
      <c r="X331" s="45" t="str">
        <f aca="false">IF(OR(E331="",V331="",OR(U331="Contract signed + paid",U331="Closed – No response",U331="Lost"),N(W331)&gt;=Settings!$S$3),"",V331+Settings!$S$2)</f>
        <v/>
      </c>
      <c r="Y331" s="40"/>
      <c r="Z331" s="41"/>
      <c r="AA331" s="17"/>
      <c r="AB331" s="17"/>
      <c r="AC331" s="17"/>
      <c r="AD331" s="46" t="str">
        <f aca="true">IF(OR(E331="",B331=""),"",INT(TODAY()-B331))</f>
        <v/>
      </c>
      <c r="AE331" s="44" t="str">
        <f aca="true">IF(E331="","",IF(OR(COUNTIFS(Clients!$C$2:$C$501,E331,Clients!$S$2:$S$501,"Paid")&gt;0,AND(I331&lt;&gt;"",COUNTIFS(Clients!$E$2:$E$501,I331,Clients!$S$2:$S$501,"Paid")&gt;0)),"⚠ Refunded before – no free video",IF(OR(U331="Contract signed + paid",U331="Closed – No response",U331="Lost"),"",IF(U331="","Set a stage",IF(AND(U331="Proposal sent",SUMIFS(Scoresheet!$N$2:$N$501,Scoresheet!$C$2:$C$501,A331,Scoresheet!$U$2:$U$501,1)&lt;6),"Score this lead – fill the call scoresheet",IF(N(W331)&gt;=Settings!$S$3,"Close – 4 follow-ups sent",IF(X331="",IF(V331="","Make first contact",""),IF(TODAY()&gt;X331,"OVERDUE follow-up",IF(TODAY()=X331,"Follow up today","")))))))))</f>
        <v/>
      </c>
    </row>
    <row r="332" customFormat="false" ht="15" hidden="false" customHeight="false" outlineLevel="0" collapsed="false">
      <c r="A332" s="17"/>
      <c r="B332" s="40"/>
      <c r="C332" s="41"/>
      <c r="D332" s="17"/>
      <c r="E332" s="17"/>
      <c r="F332" s="17"/>
      <c r="G332" s="17"/>
      <c r="H332" s="17"/>
      <c r="I332" s="42"/>
      <c r="J332" s="17"/>
      <c r="K332" s="17"/>
      <c r="L332" s="17"/>
      <c r="M332" s="17"/>
      <c r="N332" s="40"/>
      <c r="O332" s="41"/>
      <c r="P332" s="43" t="str">
        <f aca="false">IF(OR(B332="",N332=""),"",ROUND(((N332+N(O332))-(B332+N(C332)))*24,1))</f>
        <v/>
      </c>
      <c r="Q332" s="44" t="str">
        <f aca="false">IF(OR(E332="",A332="",COUNTIFS(Scoresheet!$C$2:$C$501,A332,Scoresheet!$U$2:$U$501,1)=0),"",SUMIFS(Scoresheet!$O$2:$O$501,Scoresheet!$C$2:$C$501,A332,Scoresheet!$U$2:$U$501,1))</f>
        <v/>
      </c>
      <c r="R332" s="44" t="str">
        <f aca="false">IF(E332="","",IF(OR(A332="",COUNTIFS(Scoresheet!$C$2:$C$501,A332,Scoresheet!$U$2:$U$501,1)=0),"No scoresheet yet",IF(SUMIFS(Scoresheet!$N$2:$N$501,Scoresheet!$C$2:$C$501,A332,Scoresheet!$U$2:$U$501,1)&lt;6,"Partly scored ("&amp;SUMIFS(Scoresheet!$N$2:$N$501,Scoresheet!$C$2:$C$501,A332,Scoresheet!$U$2:$U$501,1)&amp;"/6)",IF(Q332&gt;=Settings!$S$8,"Hot",IF(Q332&gt;=Settings!$S$9,"Warm","Cold")))))</f>
        <v/>
      </c>
      <c r="S332" s="44" t="str">
        <f aca="false">IF(OR(E332="",A332=""),"",IF(AND(COUNTIFS(Scoresheet!$C$2:$C$501,A332,Scoresheet!$U$2:$U$501,1,Scoresheet!$H$2:$H$501,"No")&gt;0,COUNTIFS(Scoresheet!$C$2:$C$501,A332,Scoresheet!$U$2:$U$501,1,Scoresheet!$J$2:$J$501,"No")&gt;0),"🚩 Budget  ·  🚩 No one on camera",IF(COUNTIFS(Scoresheet!$C$2:$C$501,A332,Scoresheet!$U$2:$U$501,1,Scoresheet!$H$2:$H$501,"No")&gt;0,"🚩 Budget under AED 5k",IF(COUNTIFS(Scoresheet!$C$2:$C$501,A332,Scoresheet!$U$2:$U$501,1,Scoresheet!$J$2:$J$501,"No")&gt;0,"🚩 No one on camera",""))))</f>
        <v/>
      </c>
      <c r="T332" s="17"/>
      <c r="U332" s="17"/>
      <c r="V332" s="40"/>
      <c r="W332" s="17"/>
      <c r="X332" s="45" t="str">
        <f aca="false">IF(OR(E332="",V332="",OR(U332="Contract signed + paid",U332="Closed – No response",U332="Lost"),N(W332)&gt;=Settings!$S$3),"",V332+Settings!$S$2)</f>
        <v/>
      </c>
      <c r="Y332" s="40"/>
      <c r="Z332" s="41"/>
      <c r="AA332" s="17"/>
      <c r="AB332" s="17"/>
      <c r="AC332" s="17"/>
      <c r="AD332" s="46" t="str">
        <f aca="true">IF(OR(E332="",B332=""),"",INT(TODAY()-B332))</f>
        <v/>
      </c>
      <c r="AE332" s="44" t="str">
        <f aca="true">IF(E332="","",IF(OR(COUNTIFS(Clients!$C$2:$C$501,E332,Clients!$S$2:$S$501,"Paid")&gt;0,AND(I332&lt;&gt;"",COUNTIFS(Clients!$E$2:$E$501,I332,Clients!$S$2:$S$501,"Paid")&gt;0)),"⚠ Refunded before – no free video",IF(OR(U332="Contract signed + paid",U332="Closed – No response",U332="Lost"),"",IF(U332="","Set a stage",IF(AND(U332="Proposal sent",SUMIFS(Scoresheet!$N$2:$N$501,Scoresheet!$C$2:$C$501,A332,Scoresheet!$U$2:$U$501,1)&lt;6),"Score this lead – fill the call scoresheet",IF(N(W332)&gt;=Settings!$S$3,"Close – 4 follow-ups sent",IF(X332="",IF(V332="","Make first contact",""),IF(TODAY()&gt;X332,"OVERDUE follow-up",IF(TODAY()=X332,"Follow up today","")))))))))</f>
        <v/>
      </c>
    </row>
    <row r="333" customFormat="false" ht="15" hidden="false" customHeight="false" outlineLevel="0" collapsed="false">
      <c r="A333" s="17"/>
      <c r="B333" s="40"/>
      <c r="C333" s="41"/>
      <c r="D333" s="17"/>
      <c r="E333" s="17"/>
      <c r="F333" s="17"/>
      <c r="G333" s="17"/>
      <c r="H333" s="17"/>
      <c r="I333" s="42"/>
      <c r="J333" s="17"/>
      <c r="K333" s="17"/>
      <c r="L333" s="17"/>
      <c r="M333" s="17"/>
      <c r="N333" s="40"/>
      <c r="O333" s="41"/>
      <c r="P333" s="43" t="str">
        <f aca="false">IF(OR(B333="",N333=""),"",ROUND(((N333+N(O333))-(B333+N(C333)))*24,1))</f>
        <v/>
      </c>
      <c r="Q333" s="44" t="str">
        <f aca="false">IF(OR(E333="",A333="",COUNTIFS(Scoresheet!$C$2:$C$501,A333,Scoresheet!$U$2:$U$501,1)=0),"",SUMIFS(Scoresheet!$O$2:$O$501,Scoresheet!$C$2:$C$501,A333,Scoresheet!$U$2:$U$501,1))</f>
        <v/>
      </c>
      <c r="R333" s="44" t="str">
        <f aca="false">IF(E333="","",IF(OR(A333="",COUNTIFS(Scoresheet!$C$2:$C$501,A333,Scoresheet!$U$2:$U$501,1)=0),"No scoresheet yet",IF(SUMIFS(Scoresheet!$N$2:$N$501,Scoresheet!$C$2:$C$501,A333,Scoresheet!$U$2:$U$501,1)&lt;6,"Partly scored ("&amp;SUMIFS(Scoresheet!$N$2:$N$501,Scoresheet!$C$2:$C$501,A333,Scoresheet!$U$2:$U$501,1)&amp;"/6)",IF(Q333&gt;=Settings!$S$8,"Hot",IF(Q333&gt;=Settings!$S$9,"Warm","Cold")))))</f>
        <v/>
      </c>
      <c r="S333" s="44" t="str">
        <f aca="false">IF(OR(E333="",A333=""),"",IF(AND(COUNTIFS(Scoresheet!$C$2:$C$501,A333,Scoresheet!$U$2:$U$501,1,Scoresheet!$H$2:$H$501,"No")&gt;0,COUNTIFS(Scoresheet!$C$2:$C$501,A333,Scoresheet!$U$2:$U$501,1,Scoresheet!$J$2:$J$501,"No")&gt;0),"🚩 Budget  ·  🚩 No one on camera",IF(COUNTIFS(Scoresheet!$C$2:$C$501,A333,Scoresheet!$U$2:$U$501,1,Scoresheet!$H$2:$H$501,"No")&gt;0,"🚩 Budget under AED 5k",IF(COUNTIFS(Scoresheet!$C$2:$C$501,A333,Scoresheet!$U$2:$U$501,1,Scoresheet!$J$2:$J$501,"No")&gt;0,"🚩 No one on camera",""))))</f>
        <v/>
      </c>
      <c r="T333" s="17"/>
      <c r="U333" s="17"/>
      <c r="V333" s="40"/>
      <c r="W333" s="17"/>
      <c r="X333" s="45" t="str">
        <f aca="false">IF(OR(E333="",V333="",OR(U333="Contract signed + paid",U333="Closed – No response",U333="Lost"),N(W333)&gt;=Settings!$S$3),"",V333+Settings!$S$2)</f>
        <v/>
      </c>
      <c r="Y333" s="40"/>
      <c r="Z333" s="41"/>
      <c r="AA333" s="17"/>
      <c r="AB333" s="17"/>
      <c r="AC333" s="17"/>
      <c r="AD333" s="46" t="str">
        <f aca="true">IF(OR(E333="",B333=""),"",INT(TODAY()-B333))</f>
        <v/>
      </c>
      <c r="AE333" s="44" t="str">
        <f aca="true">IF(E333="","",IF(OR(COUNTIFS(Clients!$C$2:$C$501,E333,Clients!$S$2:$S$501,"Paid")&gt;0,AND(I333&lt;&gt;"",COUNTIFS(Clients!$E$2:$E$501,I333,Clients!$S$2:$S$501,"Paid")&gt;0)),"⚠ Refunded before – no free video",IF(OR(U333="Contract signed + paid",U333="Closed – No response",U333="Lost"),"",IF(U333="","Set a stage",IF(AND(U333="Proposal sent",SUMIFS(Scoresheet!$N$2:$N$501,Scoresheet!$C$2:$C$501,A333,Scoresheet!$U$2:$U$501,1)&lt;6),"Score this lead – fill the call scoresheet",IF(N(W333)&gt;=Settings!$S$3,"Close – 4 follow-ups sent",IF(X333="",IF(V333="","Make first contact",""),IF(TODAY()&gt;X333,"OVERDUE follow-up",IF(TODAY()=X333,"Follow up today","")))))))))</f>
        <v/>
      </c>
    </row>
    <row r="334" customFormat="false" ht="15" hidden="false" customHeight="false" outlineLevel="0" collapsed="false">
      <c r="A334" s="17"/>
      <c r="B334" s="40"/>
      <c r="C334" s="41"/>
      <c r="D334" s="17"/>
      <c r="E334" s="17"/>
      <c r="F334" s="17"/>
      <c r="G334" s="17"/>
      <c r="H334" s="17"/>
      <c r="I334" s="42"/>
      <c r="J334" s="17"/>
      <c r="K334" s="17"/>
      <c r="L334" s="17"/>
      <c r="M334" s="17"/>
      <c r="N334" s="40"/>
      <c r="O334" s="41"/>
      <c r="P334" s="43" t="str">
        <f aca="false">IF(OR(B334="",N334=""),"",ROUND(((N334+N(O334))-(B334+N(C334)))*24,1))</f>
        <v/>
      </c>
      <c r="Q334" s="44" t="str">
        <f aca="false">IF(OR(E334="",A334="",COUNTIFS(Scoresheet!$C$2:$C$501,A334,Scoresheet!$U$2:$U$501,1)=0),"",SUMIFS(Scoresheet!$O$2:$O$501,Scoresheet!$C$2:$C$501,A334,Scoresheet!$U$2:$U$501,1))</f>
        <v/>
      </c>
      <c r="R334" s="44" t="str">
        <f aca="false">IF(E334="","",IF(OR(A334="",COUNTIFS(Scoresheet!$C$2:$C$501,A334,Scoresheet!$U$2:$U$501,1)=0),"No scoresheet yet",IF(SUMIFS(Scoresheet!$N$2:$N$501,Scoresheet!$C$2:$C$501,A334,Scoresheet!$U$2:$U$501,1)&lt;6,"Partly scored ("&amp;SUMIFS(Scoresheet!$N$2:$N$501,Scoresheet!$C$2:$C$501,A334,Scoresheet!$U$2:$U$501,1)&amp;"/6)",IF(Q334&gt;=Settings!$S$8,"Hot",IF(Q334&gt;=Settings!$S$9,"Warm","Cold")))))</f>
        <v/>
      </c>
      <c r="S334" s="44" t="str">
        <f aca="false">IF(OR(E334="",A334=""),"",IF(AND(COUNTIFS(Scoresheet!$C$2:$C$501,A334,Scoresheet!$U$2:$U$501,1,Scoresheet!$H$2:$H$501,"No")&gt;0,COUNTIFS(Scoresheet!$C$2:$C$501,A334,Scoresheet!$U$2:$U$501,1,Scoresheet!$J$2:$J$501,"No")&gt;0),"🚩 Budget  ·  🚩 No one on camera",IF(COUNTIFS(Scoresheet!$C$2:$C$501,A334,Scoresheet!$U$2:$U$501,1,Scoresheet!$H$2:$H$501,"No")&gt;0,"🚩 Budget under AED 5k",IF(COUNTIFS(Scoresheet!$C$2:$C$501,A334,Scoresheet!$U$2:$U$501,1,Scoresheet!$J$2:$J$501,"No")&gt;0,"🚩 No one on camera",""))))</f>
        <v/>
      </c>
      <c r="T334" s="17"/>
      <c r="U334" s="17"/>
      <c r="V334" s="40"/>
      <c r="W334" s="17"/>
      <c r="X334" s="45" t="str">
        <f aca="false">IF(OR(E334="",V334="",OR(U334="Contract signed + paid",U334="Closed – No response",U334="Lost"),N(W334)&gt;=Settings!$S$3),"",V334+Settings!$S$2)</f>
        <v/>
      </c>
      <c r="Y334" s="40"/>
      <c r="Z334" s="41"/>
      <c r="AA334" s="17"/>
      <c r="AB334" s="17"/>
      <c r="AC334" s="17"/>
      <c r="AD334" s="46" t="str">
        <f aca="true">IF(OR(E334="",B334=""),"",INT(TODAY()-B334))</f>
        <v/>
      </c>
      <c r="AE334" s="44" t="str">
        <f aca="true">IF(E334="","",IF(OR(COUNTIFS(Clients!$C$2:$C$501,E334,Clients!$S$2:$S$501,"Paid")&gt;0,AND(I334&lt;&gt;"",COUNTIFS(Clients!$E$2:$E$501,I334,Clients!$S$2:$S$501,"Paid")&gt;0)),"⚠ Refunded before – no free video",IF(OR(U334="Contract signed + paid",U334="Closed – No response",U334="Lost"),"",IF(U334="","Set a stage",IF(AND(U334="Proposal sent",SUMIFS(Scoresheet!$N$2:$N$501,Scoresheet!$C$2:$C$501,A334,Scoresheet!$U$2:$U$501,1)&lt;6),"Score this lead – fill the call scoresheet",IF(N(W334)&gt;=Settings!$S$3,"Close – 4 follow-ups sent",IF(X334="",IF(V334="","Make first contact",""),IF(TODAY()&gt;X334,"OVERDUE follow-up",IF(TODAY()=X334,"Follow up today","")))))))))</f>
        <v/>
      </c>
    </row>
    <row r="335" customFormat="false" ht="15" hidden="false" customHeight="false" outlineLevel="0" collapsed="false">
      <c r="A335" s="17"/>
      <c r="B335" s="40"/>
      <c r="C335" s="41"/>
      <c r="D335" s="17"/>
      <c r="E335" s="17"/>
      <c r="F335" s="17"/>
      <c r="G335" s="17"/>
      <c r="H335" s="17"/>
      <c r="I335" s="42"/>
      <c r="J335" s="17"/>
      <c r="K335" s="17"/>
      <c r="L335" s="17"/>
      <c r="M335" s="17"/>
      <c r="N335" s="40"/>
      <c r="O335" s="41"/>
      <c r="P335" s="43" t="str">
        <f aca="false">IF(OR(B335="",N335=""),"",ROUND(((N335+N(O335))-(B335+N(C335)))*24,1))</f>
        <v/>
      </c>
      <c r="Q335" s="44" t="str">
        <f aca="false">IF(OR(E335="",A335="",COUNTIFS(Scoresheet!$C$2:$C$501,A335,Scoresheet!$U$2:$U$501,1)=0),"",SUMIFS(Scoresheet!$O$2:$O$501,Scoresheet!$C$2:$C$501,A335,Scoresheet!$U$2:$U$501,1))</f>
        <v/>
      </c>
      <c r="R335" s="44" t="str">
        <f aca="false">IF(E335="","",IF(OR(A335="",COUNTIFS(Scoresheet!$C$2:$C$501,A335,Scoresheet!$U$2:$U$501,1)=0),"No scoresheet yet",IF(SUMIFS(Scoresheet!$N$2:$N$501,Scoresheet!$C$2:$C$501,A335,Scoresheet!$U$2:$U$501,1)&lt;6,"Partly scored ("&amp;SUMIFS(Scoresheet!$N$2:$N$501,Scoresheet!$C$2:$C$501,A335,Scoresheet!$U$2:$U$501,1)&amp;"/6)",IF(Q335&gt;=Settings!$S$8,"Hot",IF(Q335&gt;=Settings!$S$9,"Warm","Cold")))))</f>
        <v/>
      </c>
      <c r="S335" s="44" t="str">
        <f aca="false">IF(OR(E335="",A335=""),"",IF(AND(COUNTIFS(Scoresheet!$C$2:$C$501,A335,Scoresheet!$U$2:$U$501,1,Scoresheet!$H$2:$H$501,"No")&gt;0,COUNTIFS(Scoresheet!$C$2:$C$501,A335,Scoresheet!$U$2:$U$501,1,Scoresheet!$J$2:$J$501,"No")&gt;0),"🚩 Budget  ·  🚩 No one on camera",IF(COUNTIFS(Scoresheet!$C$2:$C$501,A335,Scoresheet!$U$2:$U$501,1,Scoresheet!$H$2:$H$501,"No")&gt;0,"🚩 Budget under AED 5k",IF(COUNTIFS(Scoresheet!$C$2:$C$501,A335,Scoresheet!$U$2:$U$501,1,Scoresheet!$J$2:$J$501,"No")&gt;0,"🚩 No one on camera",""))))</f>
        <v/>
      </c>
      <c r="T335" s="17"/>
      <c r="U335" s="17"/>
      <c r="V335" s="40"/>
      <c r="W335" s="17"/>
      <c r="X335" s="45" t="str">
        <f aca="false">IF(OR(E335="",V335="",OR(U335="Contract signed + paid",U335="Closed – No response",U335="Lost"),N(W335)&gt;=Settings!$S$3),"",V335+Settings!$S$2)</f>
        <v/>
      </c>
      <c r="Y335" s="40"/>
      <c r="Z335" s="41"/>
      <c r="AA335" s="17"/>
      <c r="AB335" s="17"/>
      <c r="AC335" s="17"/>
      <c r="AD335" s="46" t="str">
        <f aca="true">IF(OR(E335="",B335=""),"",INT(TODAY()-B335))</f>
        <v/>
      </c>
      <c r="AE335" s="44" t="str">
        <f aca="true">IF(E335="","",IF(OR(COUNTIFS(Clients!$C$2:$C$501,E335,Clients!$S$2:$S$501,"Paid")&gt;0,AND(I335&lt;&gt;"",COUNTIFS(Clients!$E$2:$E$501,I335,Clients!$S$2:$S$501,"Paid")&gt;0)),"⚠ Refunded before – no free video",IF(OR(U335="Contract signed + paid",U335="Closed – No response",U335="Lost"),"",IF(U335="","Set a stage",IF(AND(U335="Proposal sent",SUMIFS(Scoresheet!$N$2:$N$501,Scoresheet!$C$2:$C$501,A335,Scoresheet!$U$2:$U$501,1)&lt;6),"Score this lead – fill the call scoresheet",IF(N(W335)&gt;=Settings!$S$3,"Close – 4 follow-ups sent",IF(X335="",IF(V335="","Make first contact",""),IF(TODAY()&gt;X335,"OVERDUE follow-up",IF(TODAY()=X335,"Follow up today","")))))))))</f>
        <v/>
      </c>
    </row>
    <row r="336" customFormat="false" ht="15" hidden="false" customHeight="false" outlineLevel="0" collapsed="false">
      <c r="A336" s="17"/>
      <c r="B336" s="40"/>
      <c r="C336" s="41"/>
      <c r="D336" s="17"/>
      <c r="E336" s="17"/>
      <c r="F336" s="17"/>
      <c r="G336" s="17"/>
      <c r="H336" s="17"/>
      <c r="I336" s="42"/>
      <c r="J336" s="17"/>
      <c r="K336" s="17"/>
      <c r="L336" s="17"/>
      <c r="M336" s="17"/>
      <c r="N336" s="40"/>
      <c r="O336" s="41"/>
      <c r="P336" s="43" t="str">
        <f aca="false">IF(OR(B336="",N336=""),"",ROUND(((N336+N(O336))-(B336+N(C336)))*24,1))</f>
        <v/>
      </c>
      <c r="Q336" s="44" t="str">
        <f aca="false">IF(OR(E336="",A336="",COUNTIFS(Scoresheet!$C$2:$C$501,A336,Scoresheet!$U$2:$U$501,1)=0),"",SUMIFS(Scoresheet!$O$2:$O$501,Scoresheet!$C$2:$C$501,A336,Scoresheet!$U$2:$U$501,1))</f>
        <v/>
      </c>
      <c r="R336" s="44" t="str">
        <f aca="false">IF(E336="","",IF(OR(A336="",COUNTIFS(Scoresheet!$C$2:$C$501,A336,Scoresheet!$U$2:$U$501,1)=0),"No scoresheet yet",IF(SUMIFS(Scoresheet!$N$2:$N$501,Scoresheet!$C$2:$C$501,A336,Scoresheet!$U$2:$U$501,1)&lt;6,"Partly scored ("&amp;SUMIFS(Scoresheet!$N$2:$N$501,Scoresheet!$C$2:$C$501,A336,Scoresheet!$U$2:$U$501,1)&amp;"/6)",IF(Q336&gt;=Settings!$S$8,"Hot",IF(Q336&gt;=Settings!$S$9,"Warm","Cold")))))</f>
        <v/>
      </c>
      <c r="S336" s="44" t="str">
        <f aca="false">IF(OR(E336="",A336=""),"",IF(AND(COUNTIFS(Scoresheet!$C$2:$C$501,A336,Scoresheet!$U$2:$U$501,1,Scoresheet!$H$2:$H$501,"No")&gt;0,COUNTIFS(Scoresheet!$C$2:$C$501,A336,Scoresheet!$U$2:$U$501,1,Scoresheet!$J$2:$J$501,"No")&gt;0),"🚩 Budget  ·  🚩 No one on camera",IF(COUNTIFS(Scoresheet!$C$2:$C$501,A336,Scoresheet!$U$2:$U$501,1,Scoresheet!$H$2:$H$501,"No")&gt;0,"🚩 Budget under AED 5k",IF(COUNTIFS(Scoresheet!$C$2:$C$501,A336,Scoresheet!$U$2:$U$501,1,Scoresheet!$J$2:$J$501,"No")&gt;0,"🚩 No one on camera",""))))</f>
        <v/>
      </c>
      <c r="T336" s="17"/>
      <c r="U336" s="17"/>
      <c r="V336" s="40"/>
      <c r="W336" s="17"/>
      <c r="X336" s="45" t="str">
        <f aca="false">IF(OR(E336="",V336="",OR(U336="Contract signed + paid",U336="Closed – No response",U336="Lost"),N(W336)&gt;=Settings!$S$3),"",V336+Settings!$S$2)</f>
        <v/>
      </c>
      <c r="Y336" s="40"/>
      <c r="Z336" s="41"/>
      <c r="AA336" s="17"/>
      <c r="AB336" s="17"/>
      <c r="AC336" s="17"/>
      <c r="AD336" s="46" t="str">
        <f aca="true">IF(OR(E336="",B336=""),"",INT(TODAY()-B336))</f>
        <v/>
      </c>
      <c r="AE336" s="44" t="str">
        <f aca="true">IF(E336="","",IF(OR(COUNTIFS(Clients!$C$2:$C$501,E336,Clients!$S$2:$S$501,"Paid")&gt;0,AND(I336&lt;&gt;"",COUNTIFS(Clients!$E$2:$E$501,I336,Clients!$S$2:$S$501,"Paid")&gt;0)),"⚠ Refunded before – no free video",IF(OR(U336="Contract signed + paid",U336="Closed – No response",U336="Lost"),"",IF(U336="","Set a stage",IF(AND(U336="Proposal sent",SUMIFS(Scoresheet!$N$2:$N$501,Scoresheet!$C$2:$C$501,A336,Scoresheet!$U$2:$U$501,1)&lt;6),"Score this lead – fill the call scoresheet",IF(N(W336)&gt;=Settings!$S$3,"Close – 4 follow-ups sent",IF(X336="",IF(V336="","Make first contact",""),IF(TODAY()&gt;X336,"OVERDUE follow-up",IF(TODAY()=X336,"Follow up today","")))))))))</f>
        <v/>
      </c>
    </row>
    <row r="337" customFormat="false" ht="15" hidden="false" customHeight="false" outlineLevel="0" collapsed="false">
      <c r="A337" s="17"/>
      <c r="B337" s="40"/>
      <c r="C337" s="41"/>
      <c r="D337" s="17"/>
      <c r="E337" s="17"/>
      <c r="F337" s="17"/>
      <c r="G337" s="17"/>
      <c r="H337" s="17"/>
      <c r="I337" s="42"/>
      <c r="J337" s="17"/>
      <c r="K337" s="17"/>
      <c r="L337" s="17"/>
      <c r="M337" s="17"/>
      <c r="N337" s="40"/>
      <c r="O337" s="41"/>
      <c r="P337" s="43" t="str">
        <f aca="false">IF(OR(B337="",N337=""),"",ROUND(((N337+N(O337))-(B337+N(C337)))*24,1))</f>
        <v/>
      </c>
      <c r="Q337" s="44" t="str">
        <f aca="false">IF(OR(E337="",A337="",COUNTIFS(Scoresheet!$C$2:$C$501,A337,Scoresheet!$U$2:$U$501,1)=0),"",SUMIFS(Scoresheet!$O$2:$O$501,Scoresheet!$C$2:$C$501,A337,Scoresheet!$U$2:$U$501,1))</f>
        <v/>
      </c>
      <c r="R337" s="44" t="str">
        <f aca="false">IF(E337="","",IF(OR(A337="",COUNTIFS(Scoresheet!$C$2:$C$501,A337,Scoresheet!$U$2:$U$501,1)=0),"No scoresheet yet",IF(SUMIFS(Scoresheet!$N$2:$N$501,Scoresheet!$C$2:$C$501,A337,Scoresheet!$U$2:$U$501,1)&lt;6,"Partly scored ("&amp;SUMIFS(Scoresheet!$N$2:$N$501,Scoresheet!$C$2:$C$501,A337,Scoresheet!$U$2:$U$501,1)&amp;"/6)",IF(Q337&gt;=Settings!$S$8,"Hot",IF(Q337&gt;=Settings!$S$9,"Warm","Cold")))))</f>
        <v/>
      </c>
      <c r="S337" s="44" t="str">
        <f aca="false">IF(OR(E337="",A337=""),"",IF(AND(COUNTIFS(Scoresheet!$C$2:$C$501,A337,Scoresheet!$U$2:$U$501,1,Scoresheet!$H$2:$H$501,"No")&gt;0,COUNTIFS(Scoresheet!$C$2:$C$501,A337,Scoresheet!$U$2:$U$501,1,Scoresheet!$J$2:$J$501,"No")&gt;0),"🚩 Budget  ·  🚩 No one on camera",IF(COUNTIFS(Scoresheet!$C$2:$C$501,A337,Scoresheet!$U$2:$U$501,1,Scoresheet!$H$2:$H$501,"No")&gt;0,"🚩 Budget under AED 5k",IF(COUNTIFS(Scoresheet!$C$2:$C$501,A337,Scoresheet!$U$2:$U$501,1,Scoresheet!$J$2:$J$501,"No")&gt;0,"🚩 No one on camera",""))))</f>
        <v/>
      </c>
      <c r="T337" s="17"/>
      <c r="U337" s="17"/>
      <c r="V337" s="40"/>
      <c r="W337" s="17"/>
      <c r="X337" s="45" t="str">
        <f aca="false">IF(OR(E337="",V337="",OR(U337="Contract signed + paid",U337="Closed – No response",U337="Lost"),N(W337)&gt;=Settings!$S$3),"",V337+Settings!$S$2)</f>
        <v/>
      </c>
      <c r="Y337" s="40"/>
      <c r="Z337" s="41"/>
      <c r="AA337" s="17"/>
      <c r="AB337" s="17"/>
      <c r="AC337" s="17"/>
      <c r="AD337" s="46" t="str">
        <f aca="true">IF(OR(E337="",B337=""),"",INT(TODAY()-B337))</f>
        <v/>
      </c>
      <c r="AE337" s="44" t="str">
        <f aca="true">IF(E337="","",IF(OR(COUNTIFS(Clients!$C$2:$C$501,E337,Clients!$S$2:$S$501,"Paid")&gt;0,AND(I337&lt;&gt;"",COUNTIFS(Clients!$E$2:$E$501,I337,Clients!$S$2:$S$501,"Paid")&gt;0)),"⚠ Refunded before – no free video",IF(OR(U337="Contract signed + paid",U337="Closed – No response",U337="Lost"),"",IF(U337="","Set a stage",IF(AND(U337="Proposal sent",SUMIFS(Scoresheet!$N$2:$N$501,Scoresheet!$C$2:$C$501,A337,Scoresheet!$U$2:$U$501,1)&lt;6),"Score this lead – fill the call scoresheet",IF(N(W337)&gt;=Settings!$S$3,"Close – 4 follow-ups sent",IF(X337="",IF(V337="","Make first contact",""),IF(TODAY()&gt;X337,"OVERDUE follow-up",IF(TODAY()=X337,"Follow up today","")))))))))</f>
        <v/>
      </c>
    </row>
    <row r="338" customFormat="false" ht="15" hidden="false" customHeight="false" outlineLevel="0" collapsed="false">
      <c r="A338" s="17"/>
      <c r="B338" s="40"/>
      <c r="C338" s="41"/>
      <c r="D338" s="17"/>
      <c r="E338" s="17"/>
      <c r="F338" s="17"/>
      <c r="G338" s="17"/>
      <c r="H338" s="17"/>
      <c r="I338" s="42"/>
      <c r="J338" s="17"/>
      <c r="K338" s="17"/>
      <c r="L338" s="17"/>
      <c r="M338" s="17"/>
      <c r="N338" s="40"/>
      <c r="O338" s="41"/>
      <c r="P338" s="43" t="str">
        <f aca="false">IF(OR(B338="",N338=""),"",ROUND(((N338+N(O338))-(B338+N(C338)))*24,1))</f>
        <v/>
      </c>
      <c r="Q338" s="44" t="str">
        <f aca="false">IF(OR(E338="",A338="",COUNTIFS(Scoresheet!$C$2:$C$501,A338,Scoresheet!$U$2:$U$501,1)=0),"",SUMIFS(Scoresheet!$O$2:$O$501,Scoresheet!$C$2:$C$501,A338,Scoresheet!$U$2:$U$501,1))</f>
        <v/>
      </c>
      <c r="R338" s="44" t="str">
        <f aca="false">IF(E338="","",IF(OR(A338="",COUNTIFS(Scoresheet!$C$2:$C$501,A338,Scoresheet!$U$2:$U$501,1)=0),"No scoresheet yet",IF(SUMIFS(Scoresheet!$N$2:$N$501,Scoresheet!$C$2:$C$501,A338,Scoresheet!$U$2:$U$501,1)&lt;6,"Partly scored ("&amp;SUMIFS(Scoresheet!$N$2:$N$501,Scoresheet!$C$2:$C$501,A338,Scoresheet!$U$2:$U$501,1)&amp;"/6)",IF(Q338&gt;=Settings!$S$8,"Hot",IF(Q338&gt;=Settings!$S$9,"Warm","Cold")))))</f>
        <v/>
      </c>
      <c r="S338" s="44" t="str">
        <f aca="false">IF(OR(E338="",A338=""),"",IF(AND(COUNTIFS(Scoresheet!$C$2:$C$501,A338,Scoresheet!$U$2:$U$501,1,Scoresheet!$H$2:$H$501,"No")&gt;0,COUNTIFS(Scoresheet!$C$2:$C$501,A338,Scoresheet!$U$2:$U$501,1,Scoresheet!$J$2:$J$501,"No")&gt;0),"🚩 Budget  ·  🚩 No one on camera",IF(COUNTIFS(Scoresheet!$C$2:$C$501,A338,Scoresheet!$U$2:$U$501,1,Scoresheet!$H$2:$H$501,"No")&gt;0,"🚩 Budget under AED 5k",IF(COUNTIFS(Scoresheet!$C$2:$C$501,A338,Scoresheet!$U$2:$U$501,1,Scoresheet!$J$2:$J$501,"No")&gt;0,"🚩 No one on camera",""))))</f>
        <v/>
      </c>
      <c r="T338" s="17"/>
      <c r="U338" s="17"/>
      <c r="V338" s="40"/>
      <c r="W338" s="17"/>
      <c r="X338" s="45" t="str">
        <f aca="false">IF(OR(E338="",V338="",OR(U338="Contract signed + paid",U338="Closed – No response",U338="Lost"),N(W338)&gt;=Settings!$S$3),"",V338+Settings!$S$2)</f>
        <v/>
      </c>
      <c r="Y338" s="40"/>
      <c r="Z338" s="41"/>
      <c r="AA338" s="17"/>
      <c r="AB338" s="17"/>
      <c r="AC338" s="17"/>
      <c r="AD338" s="46" t="str">
        <f aca="true">IF(OR(E338="",B338=""),"",INT(TODAY()-B338))</f>
        <v/>
      </c>
      <c r="AE338" s="44" t="str">
        <f aca="true">IF(E338="","",IF(OR(COUNTIFS(Clients!$C$2:$C$501,E338,Clients!$S$2:$S$501,"Paid")&gt;0,AND(I338&lt;&gt;"",COUNTIFS(Clients!$E$2:$E$501,I338,Clients!$S$2:$S$501,"Paid")&gt;0)),"⚠ Refunded before – no free video",IF(OR(U338="Contract signed + paid",U338="Closed – No response",U338="Lost"),"",IF(U338="","Set a stage",IF(AND(U338="Proposal sent",SUMIFS(Scoresheet!$N$2:$N$501,Scoresheet!$C$2:$C$501,A338,Scoresheet!$U$2:$U$501,1)&lt;6),"Score this lead – fill the call scoresheet",IF(N(W338)&gt;=Settings!$S$3,"Close – 4 follow-ups sent",IF(X338="",IF(V338="","Make first contact",""),IF(TODAY()&gt;X338,"OVERDUE follow-up",IF(TODAY()=X338,"Follow up today","")))))))))</f>
        <v/>
      </c>
    </row>
    <row r="339" customFormat="false" ht="15" hidden="false" customHeight="false" outlineLevel="0" collapsed="false">
      <c r="A339" s="17"/>
      <c r="B339" s="40"/>
      <c r="C339" s="41"/>
      <c r="D339" s="17"/>
      <c r="E339" s="17"/>
      <c r="F339" s="17"/>
      <c r="G339" s="17"/>
      <c r="H339" s="17"/>
      <c r="I339" s="42"/>
      <c r="J339" s="17"/>
      <c r="K339" s="17"/>
      <c r="L339" s="17"/>
      <c r="M339" s="17"/>
      <c r="N339" s="40"/>
      <c r="O339" s="41"/>
      <c r="P339" s="43" t="str">
        <f aca="false">IF(OR(B339="",N339=""),"",ROUND(((N339+N(O339))-(B339+N(C339)))*24,1))</f>
        <v/>
      </c>
      <c r="Q339" s="44" t="str">
        <f aca="false">IF(OR(E339="",A339="",COUNTIFS(Scoresheet!$C$2:$C$501,A339,Scoresheet!$U$2:$U$501,1)=0),"",SUMIFS(Scoresheet!$O$2:$O$501,Scoresheet!$C$2:$C$501,A339,Scoresheet!$U$2:$U$501,1))</f>
        <v/>
      </c>
      <c r="R339" s="44" t="str">
        <f aca="false">IF(E339="","",IF(OR(A339="",COUNTIFS(Scoresheet!$C$2:$C$501,A339,Scoresheet!$U$2:$U$501,1)=0),"No scoresheet yet",IF(SUMIFS(Scoresheet!$N$2:$N$501,Scoresheet!$C$2:$C$501,A339,Scoresheet!$U$2:$U$501,1)&lt;6,"Partly scored ("&amp;SUMIFS(Scoresheet!$N$2:$N$501,Scoresheet!$C$2:$C$501,A339,Scoresheet!$U$2:$U$501,1)&amp;"/6)",IF(Q339&gt;=Settings!$S$8,"Hot",IF(Q339&gt;=Settings!$S$9,"Warm","Cold")))))</f>
        <v/>
      </c>
      <c r="S339" s="44" t="str">
        <f aca="false">IF(OR(E339="",A339=""),"",IF(AND(COUNTIFS(Scoresheet!$C$2:$C$501,A339,Scoresheet!$U$2:$U$501,1,Scoresheet!$H$2:$H$501,"No")&gt;0,COUNTIFS(Scoresheet!$C$2:$C$501,A339,Scoresheet!$U$2:$U$501,1,Scoresheet!$J$2:$J$501,"No")&gt;0),"🚩 Budget  ·  🚩 No one on camera",IF(COUNTIFS(Scoresheet!$C$2:$C$501,A339,Scoresheet!$U$2:$U$501,1,Scoresheet!$H$2:$H$501,"No")&gt;0,"🚩 Budget under AED 5k",IF(COUNTIFS(Scoresheet!$C$2:$C$501,A339,Scoresheet!$U$2:$U$501,1,Scoresheet!$J$2:$J$501,"No")&gt;0,"🚩 No one on camera",""))))</f>
        <v/>
      </c>
      <c r="T339" s="17"/>
      <c r="U339" s="17"/>
      <c r="V339" s="40"/>
      <c r="W339" s="17"/>
      <c r="X339" s="45" t="str">
        <f aca="false">IF(OR(E339="",V339="",OR(U339="Contract signed + paid",U339="Closed – No response",U339="Lost"),N(W339)&gt;=Settings!$S$3),"",V339+Settings!$S$2)</f>
        <v/>
      </c>
      <c r="Y339" s="40"/>
      <c r="Z339" s="41"/>
      <c r="AA339" s="17"/>
      <c r="AB339" s="17"/>
      <c r="AC339" s="17"/>
      <c r="AD339" s="46" t="str">
        <f aca="true">IF(OR(E339="",B339=""),"",INT(TODAY()-B339))</f>
        <v/>
      </c>
      <c r="AE339" s="44" t="str">
        <f aca="true">IF(E339="","",IF(OR(COUNTIFS(Clients!$C$2:$C$501,E339,Clients!$S$2:$S$501,"Paid")&gt;0,AND(I339&lt;&gt;"",COUNTIFS(Clients!$E$2:$E$501,I339,Clients!$S$2:$S$501,"Paid")&gt;0)),"⚠ Refunded before – no free video",IF(OR(U339="Contract signed + paid",U339="Closed – No response",U339="Lost"),"",IF(U339="","Set a stage",IF(AND(U339="Proposal sent",SUMIFS(Scoresheet!$N$2:$N$501,Scoresheet!$C$2:$C$501,A339,Scoresheet!$U$2:$U$501,1)&lt;6),"Score this lead – fill the call scoresheet",IF(N(W339)&gt;=Settings!$S$3,"Close – 4 follow-ups sent",IF(X339="",IF(V339="","Make first contact",""),IF(TODAY()&gt;X339,"OVERDUE follow-up",IF(TODAY()=X339,"Follow up today","")))))))))</f>
        <v/>
      </c>
    </row>
    <row r="340" customFormat="false" ht="15" hidden="false" customHeight="false" outlineLevel="0" collapsed="false">
      <c r="A340" s="17"/>
      <c r="B340" s="40"/>
      <c r="C340" s="41"/>
      <c r="D340" s="17"/>
      <c r="E340" s="17"/>
      <c r="F340" s="17"/>
      <c r="G340" s="17"/>
      <c r="H340" s="17"/>
      <c r="I340" s="42"/>
      <c r="J340" s="17"/>
      <c r="K340" s="17"/>
      <c r="L340" s="17"/>
      <c r="M340" s="17"/>
      <c r="N340" s="40"/>
      <c r="O340" s="41"/>
      <c r="P340" s="43" t="str">
        <f aca="false">IF(OR(B340="",N340=""),"",ROUND(((N340+N(O340))-(B340+N(C340)))*24,1))</f>
        <v/>
      </c>
      <c r="Q340" s="44" t="str">
        <f aca="false">IF(OR(E340="",A340="",COUNTIFS(Scoresheet!$C$2:$C$501,A340,Scoresheet!$U$2:$U$501,1)=0),"",SUMIFS(Scoresheet!$O$2:$O$501,Scoresheet!$C$2:$C$501,A340,Scoresheet!$U$2:$U$501,1))</f>
        <v/>
      </c>
      <c r="R340" s="44" t="str">
        <f aca="false">IF(E340="","",IF(OR(A340="",COUNTIFS(Scoresheet!$C$2:$C$501,A340,Scoresheet!$U$2:$U$501,1)=0),"No scoresheet yet",IF(SUMIFS(Scoresheet!$N$2:$N$501,Scoresheet!$C$2:$C$501,A340,Scoresheet!$U$2:$U$501,1)&lt;6,"Partly scored ("&amp;SUMIFS(Scoresheet!$N$2:$N$501,Scoresheet!$C$2:$C$501,A340,Scoresheet!$U$2:$U$501,1)&amp;"/6)",IF(Q340&gt;=Settings!$S$8,"Hot",IF(Q340&gt;=Settings!$S$9,"Warm","Cold")))))</f>
        <v/>
      </c>
      <c r="S340" s="44" t="str">
        <f aca="false">IF(OR(E340="",A340=""),"",IF(AND(COUNTIFS(Scoresheet!$C$2:$C$501,A340,Scoresheet!$U$2:$U$501,1,Scoresheet!$H$2:$H$501,"No")&gt;0,COUNTIFS(Scoresheet!$C$2:$C$501,A340,Scoresheet!$U$2:$U$501,1,Scoresheet!$J$2:$J$501,"No")&gt;0),"🚩 Budget  ·  🚩 No one on camera",IF(COUNTIFS(Scoresheet!$C$2:$C$501,A340,Scoresheet!$U$2:$U$501,1,Scoresheet!$H$2:$H$501,"No")&gt;0,"🚩 Budget under AED 5k",IF(COUNTIFS(Scoresheet!$C$2:$C$501,A340,Scoresheet!$U$2:$U$501,1,Scoresheet!$J$2:$J$501,"No")&gt;0,"🚩 No one on camera",""))))</f>
        <v/>
      </c>
      <c r="T340" s="17"/>
      <c r="U340" s="17"/>
      <c r="V340" s="40"/>
      <c r="W340" s="17"/>
      <c r="X340" s="45" t="str">
        <f aca="false">IF(OR(E340="",V340="",OR(U340="Contract signed + paid",U340="Closed – No response",U340="Lost"),N(W340)&gt;=Settings!$S$3),"",V340+Settings!$S$2)</f>
        <v/>
      </c>
      <c r="Y340" s="40"/>
      <c r="Z340" s="41"/>
      <c r="AA340" s="17"/>
      <c r="AB340" s="17"/>
      <c r="AC340" s="17"/>
      <c r="AD340" s="46" t="str">
        <f aca="true">IF(OR(E340="",B340=""),"",INT(TODAY()-B340))</f>
        <v/>
      </c>
      <c r="AE340" s="44" t="str">
        <f aca="true">IF(E340="","",IF(OR(COUNTIFS(Clients!$C$2:$C$501,E340,Clients!$S$2:$S$501,"Paid")&gt;0,AND(I340&lt;&gt;"",COUNTIFS(Clients!$E$2:$E$501,I340,Clients!$S$2:$S$501,"Paid")&gt;0)),"⚠ Refunded before – no free video",IF(OR(U340="Contract signed + paid",U340="Closed – No response",U340="Lost"),"",IF(U340="","Set a stage",IF(AND(U340="Proposal sent",SUMIFS(Scoresheet!$N$2:$N$501,Scoresheet!$C$2:$C$501,A340,Scoresheet!$U$2:$U$501,1)&lt;6),"Score this lead – fill the call scoresheet",IF(N(W340)&gt;=Settings!$S$3,"Close – 4 follow-ups sent",IF(X340="",IF(V340="","Make first contact",""),IF(TODAY()&gt;X340,"OVERDUE follow-up",IF(TODAY()=X340,"Follow up today","")))))))))</f>
        <v/>
      </c>
    </row>
    <row r="341" customFormat="false" ht="15" hidden="false" customHeight="false" outlineLevel="0" collapsed="false">
      <c r="A341" s="17"/>
      <c r="B341" s="40"/>
      <c r="C341" s="41"/>
      <c r="D341" s="17"/>
      <c r="E341" s="17"/>
      <c r="F341" s="17"/>
      <c r="G341" s="17"/>
      <c r="H341" s="17"/>
      <c r="I341" s="42"/>
      <c r="J341" s="17"/>
      <c r="K341" s="17"/>
      <c r="L341" s="17"/>
      <c r="M341" s="17"/>
      <c r="N341" s="40"/>
      <c r="O341" s="41"/>
      <c r="P341" s="43" t="str">
        <f aca="false">IF(OR(B341="",N341=""),"",ROUND(((N341+N(O341))-(B341+N(C341)))*24,1))</f>
        <v/>
      </c>
      <c r="Q341" s="44" t="str">
        <f aca="false">IF(OR(E341="",A341="",COUNTIFS(Scoresheet!$C$2:$C$501,A341,Scoresheet!$U$2:$U$501,1)=0),"",SUMIFS(Scoresheet!$O$2:$O$501,Scoresheet!$C$2:$C$501,A341,Scoresheet!$U$2:$U$501,1))</f>
        <v/>
      </c>
      <c r="R341" s="44" t="str">
        <f aca="false">IF(E341="","",IF(OR(A341="",COUNTIFS(Scoresheet!$C$2:$C$501,A341,Scoresheet!$U$2:$U$501,1)=0),"No scoresheet yet",IF(SUMIFS(Scoresheet!$N$2:$N$501,Scoresheet!$C$2:$C$501,A341,Scoresheet!$U$2:$U$501,1)&lt;6,"Partly scored ("&amp;SUMIFS(Scoresheet!$N$2:$N$501,Scoresheet!$C$2:$C$501,A341,Scoresheet!$U$2:$U$501,1)&amp;"/6)",IF(Q341&gt;=Settings!$S$8,"Hot",IF(Q341&gt;=Settings!$S$9,"Warm","Cold")))))</f>
        <v/>
      </c>
      <c r="S341" s="44" t="str">
        <f aca="false">IF(OR(E341="",A341=""),"",IF(AND(COUNTIFS(Scoresheet!$C$2:$C$501,A341,Scoresheet!$U$2:$U$501,1,Scoresheet!$H$2:$H$501,"No")&gt;0,COUNTIFS(Scoresheet!$C$2:$C$501,A341,Scoresheet!$U$2:$U$501,1,Scoresheet!$J$2:$J$501,"No")&gt;0),"🚩 Budget  ·  🚩 No one on camera",IF(COUNTIFS(Scoresheet!$C$2:$C$501,A341,Scoresheet!$U$2:$U$501,1,Scoresheet!$H$2:$H$501,"No")&gt;0,"🚩 Budget under AED 5k",IF(COUNTIFS(Scoresheet!$C$2:$C$501,A341,Scoresheet!$U$2:$U$501,1,Scoresheet!$J$2:$J$501,"No")&gt;0,"🚩 No one on camera",""))))</f>
        <v/>
      </c>
      <c r="T341" s="17"/>
      <c r="U341" s="17"/>
      <c r="V341" s="40"/>
      <c r="W341" s="17"/>
      <c r="X341" s="45" t="str">
        <f aca="false">IF(OR(E341="",V341="",OR(U341="Contract signed + paid",U341="Closed – No response",U341="Lost"),N(W341)&gt;=Settings!$S$3),"",V341+Settings!$S$2)</f>
        <v/>
      </c>
      <c r="Y341" s="40"/>
      <c r="Z341" s="41"/>
      <c r="AA341" s="17"/>
      <c r="AB341" s="17"/>
      <c r="AC341" s="17"/>
      <c r="AD341" s="46" t="str">
        <f aca="true">IF(OR(E341="",B341=""),"",INT(TODAY()-B341))</f>
        <v/>
      </c>
      <c r="AE341" s="44" t="str">
        <f aca="true">IF(E341="","",IF(OR(COUNTIFS(Clients!$C$2:$C$501,E341,Clients!$S$2:$S$501,"Paid")&gt;0,AND(I341&lt;&gt;"",COUNTIFS(Clients!$E$2:$E$501,I341,Clients!$S$2:$S$501,"Paid")&gt;0)),"⚠ Refunded before – no free video",IF(OR(U341="Contract signed + paid",U341="Closed – No response",U341="Lost"),"",IF(U341="","Set a stage",IF(AND(U341="Proposal sent",SUMIFS(Scoresheet!$N$2:$N$501,Scoresheet!$C$2:$C$501,A341,Scoresheet!$U$2:$U$501,1)&lt;6),"Score this lead – fill the call scoresheet",IF(N(W341)&gt;=Settings!$S$3,"Close – 4 follow-ups sent",IF(X341="",IF(V341="","Make first contact",""),IF(TODAY()&gt;X341,"OVERDUE follow-up",IF(TODAY()=X341,"Follow up today","")))))))))</f>
        <v/>
      </c>
    </row>
    <row r="342" customFormat="false" ht="15" hidden="false" customHeight="false" outlineLevel="0" collapsed="false">
      <c r="A342" s="17"/>
      <c r="B342" s="40"/>
      <c r="C342" s="41"/>
      <c r="D342" s="17"/>
      <c r="E342" s="17"/>
      <c r="F342" s="17"/>
      <c r="G342" s="17"/>
      <c r="H342" s="17"/>
      <c r="I342" s="42"/>
      <c r="J342" s="17"/>
      <c r="K342" s="17"/>
      <c r="L342" s="17"/>
      <c r="M342" s="17"/>
      <c r="N342" s="40"/>
      <c r="O342" s="41"/>
      <c r="P342" s="43" t="str">
        <f aca="false">IF(OR(B342="",N342=""),"",ROUND(((N342+N(O342))-(B342+N(C342)))*24,1))</f>
        <v/>
      </c>
      <c r="Q342" s="44" t="str">
        <f aca="false">IF(OR(E342="",A342="",COUNTIFS(Scoresheet!$C$2:$C$501,A342,Scoresheet!$U$2:$U$501,1)=0),"",SUMIFS(Scoresheet!$O$2:$O$501,Scoresheet!$C$2:$C$501,A342,Scoresheet!$U$2:$U$501,1))</f>
        <v/>
      </c>
      <c r="R342" s="44" t="str">
        <f aca="false">IF(E342="","",IF(OR(A342="",COUNTIFS(Scoresheet!$C$2:$C$501,A342,Scoresheet!$U$2:$U$501,1)=0),"No scoresheet yet",IF(SUMIFS(Scoresheet!$N$2:$N$501,Scoresheet!$C$2:$C$501,A342,Scoresheet!$U$2:$U$501,1)&lt;6,"Partly scored ("&amp;SUMIFS(Scoresheet!$N$2:$N$501,Scoresheet!$C$2:$C$501,A342,Scoresheet!$U$2:$U$501,1)&amp;"/6)",IF(Q342&gt;=Settings!$S$8,"Hot",IF(Q342&gt;=Settings!$S$9,"Warm","Cold")))))</f>
        <v/>
      </c>
      <c r="S342" s="44" t="str">
        <f aca="false">IF(OR(E342="",A342=""),"",IF(AND(COUNTIFS(Scoresheet!$C$2:$C$501,A342,Scoresheet!$U$2:$U$501,1,Scoresheet!$H$2:$H$501,"No")&gt;0,COUNTIFS(Scoresheet!$C$2:$C$501,A342,Scoresheet!$U$2:$U$501,1,Scoresheet!$J$2:$J$501,"No")&gt;0),"🚩 Budget  ·  🚩 No one on camera",IF(COUNTIFS(Scoresheet!$C$2:$C$501,A342,Scoresheet!$U$2:$U$501,1,Scoresheet!$H$2:$H$501,"No")&gt;0,"🚩 Budget under AED 5k",IF(COUNTIFS(Scoresheet!$C$2:$C$501,A342,Scoresheet!$U$2:$U$501,1,Scoresheet!$J$2:$J$501,"No")&gt;0,"🚩 No one on camera",""))))</f>
        <v/>
      </c>
      <c r="T342" s="17"/>
      <c r="U342" s="17"/>
      <c r="V342" s="40"/>
      <c r="W342" s="17"/>
      <c r="X342" s="45" t="str">
        <f aca="false">IF(OR(E342="",V342="",OR(U342="Contract signed + paid",U342="Closed – No response",U342="Lost"),N(W342)&gt;=Settings!$S$3),"",V342+Settings!$S$2)</f>
        <v/>
      </c>
      <c r="Y342" s="40"/>
      <c r="Z342" s="41"/>
      <c r="AA342" s="17"/>
      <c r="AB342" s="17"/>
      <c r="AC342" s="17"/>
      <c r="AD342" s="46" t="str">
        <f aca="true">IF(OR(E342="",B342=""),"",INT(TODAY()-B342))</f>
        <v/>
      </c>
      <c r="AE342" s="44" t="str">
        <f aca="true">IF(E342="","",IF(OR(COUNTIFS(Clients!$C$2:$C$501,E342,Clients!$S$2:$S$501,"Paid")&gt;0,AND(I342&lt;&gt;"",COUNTIFS(Clients!$E$2:$E$501,I342,Clients!$S$2:$S$501,"Paid")&gt;0)),"⚠ Refunded before – no free video",IF(OR(U342="Contract signed + paid",U342="Closed – No response",U342="Lost"),"",IF(U342="","Set a stage",IF(AND(U342="Proposal sent",SUMIFS(Scoresheet!$N$2:$N$501,Scoresheet!$C$2:$C$501,A342,Scoresheet!$U$2:$U$501,1)&lt;6),"Score this lead – fill the call scoresheet",IF(N(W342)&gt;=Settings!$S$3,"Close – 4 follow-ups sent",IF(X342="",IF(V342="","Make first contact",""),IF(TODAY()&gt;X342,"OVERDUE follow-up",IF(TODAY()=X342,"Follow up today","")))))))))</f>
        <v/>
      </c>
    </row>
    <row r="343" customFormat="false" ht="15" hidden="false" customHeight="false" outlineLevel="0" collapsed="false">
      <c r="A343" s="17"/>
      <c r="B343" s="40"/>
      <c r="C343" s="41"/>
      <c r="D343" s="17"/>
      <c r="E343" s="17"/>
      <c r="F343" s="17"/>
      <c r="G343" s="17"/>
      <c r="H343" s="17"/>
      <c r="I343" s="42"/>
      <c r="J343" s="17"/>
      <c r="K343" s="17"/>
      <c r="L343" s="17"/>
      <c r="M343" s="17"/>
      <c r="N343" s="40"/>
      <c r="O343" s="41"/>
      <c r="P343" s="43" t="str">
        <f aca="false">IF(OR(B343="",N343=""),"",ROUND(((N343+N(O343))-(B343+N(C343)))*24,1))</f>
        <v/>
      </c>
      <c r="Q343" s="44" t="str">
        <f aca="false">IF(OR(E343="",A343="",COUNTIFS(Scoresheet!$C$2:$C$501,A343,Scoresheet!$U$2:$U$501,1)=0),"",SUMIFS(Scoresheet!$O$2:$O$501,Scoresheet!$C$2:$C$501,A343,Scoresheet!$U$2:$U$501,1))</f>
        <v/>
      </c>
      <c r="R343" s="44" t="str">
        <f aca="false">IF(E343="","",IF(OR(A343="",COUNTIFS(Scoresheet!$C$2:$C$501,A343,Scoresheet!$U$2:$U$501,1)=0),"No scoresheet yet",IF(SUMIFS(Scoresheet!$N$2:$N$501,Scoresheet!$C$2:$C$501,A343,Scoresheet!$U$2:$U$501,1)&lt;6,"Partly scored ("&amp;SUMIFS(Scoresheet!$N$2:$N$501,Scoresheet!$C$2:$C$501,A343,Scoresheet!$U$2:$U$501,1)&amp;"/6)",IF(Q343&gt;=Settings!$S$8,"Hot",IF(Q343&gt;=Settings!$S$9,"Warm","Cold")))))</f>
        <v/>
      </c>
      <c r="S343" s="44" t="str">
        <f aca="false">IF(OR(E343="",A343=""),"",IF(AND(COUNTIFS(Scoresheet!$C$2:$C$501,A343,Scoresheet!$U$2:$U$501,1,Scoresheet!$H$2:$H$501,"No")&gt;0,COUNTIFS(Scoresheet!$C$2:$C$501,A343,Scoresheet!$U$2:$U$501,1,Scoresheet!$J$2:$J$501,"No")&gt;0),"🚩 Budget  ·  🚩 No one on camera",IF(COUNTIFS(Scoresheet!$C$2:$C$501,A343,Scoresheet!$U$2:$U$501,1,Scoresheet!$H$2:$H$501,"No")&gt;0,"🚩 Budget under AED 5k",IF(COUNTIFS(Scoresheet!$C$2:$C$501,A343,Scoresheet!$U$2:$U$501,1,Scoresheet!$J$2:$J$501,"No")&gt;0,"🚩 No one on camera",""))))</f>
        <v/>
      </c>
      <c r="T343" s="17"/>
      <c r="U343" s="17"/>
      <c r="V343" s="40"/>
      <c r="W343" s="17"/>
      <c r="X343" s="45" t="str">
        <f aca="false">IF(OR(E343="",V343="",OR(U343="Contract signed + paid",U343="Closed – No response",U343="Lost"),N(W343)&gt;=Settings!$S$3),"",V343+Settings!$S$2)</f>
        <v/>
      </c>
      <c r="Y343" s="40"/>
      <c r="Z343" s="41"/>
      <c r="AA343" s="17"/>
      <c r="AB343" s="17"/>
      <c r="AC343" s="17"/>
      <c r="AD343" s="46" t="str">
        <f aca="true">IF(OR(E343="",B343=""),"",INT(TODAY()-B343))</f>
        <v/>
      </c>
      <c r="AE343" s="44" t="str">
        <f aca="true">IF(E343="","",IF(OR(COUNTIFS(Clients!$C$2:$C$501,E343,Clients!$S$2:$S$501,"Paid")&gt;0,AND(I343&lt;&gt;"",COUNTIFS(Clients!$E$2:$E$501,I343,Clients!$S$2:$S$501,"Paid")&gt;0)),"⚠ Refunded before – no free video",IF(OR(U343="Contract signed + paid",U343="Closed – No response",U343="Lost"),"",IF(U343="","Set a stage",IF(AND(U343="Proposal sent",SUMIFS(Scoresheet!$N$2:$N$501,Scoresheet!$C$2:$C$501,A343,Scoresheet!$U$2:$U$501,1)&lt;6),"Score this lead – fill the call scoresheet",IF(N(W343)&gt;=Settings!$S$3,"Close – 4 follow-ups sent",IF(X343="",IF(V343="","Make first contact",""),IF(TODAY()&gt;X343,"OVERDUE follow-up",IF(TODAY()=X343,"Follow up today","")))))))))</f>
        <v/>
      </c>
    </row>
    <row r="344" customFormat="false" ht="15" hidden="false" customHeight="false" outlineLevel="0" collapsed="false">
      <c r="A344" s="17"/>
      <c r="B344" s="40"/>
      <c r="C344" s="41"/>
      <c r="D344" s="17"/>
      <c r="E344" s="17"/>
      <c r="F344" s="17"/>
      <c r="G344" s="17"/>
      <c r="H344" s="17"/>
      <c r="I344" s="42"/>
      <c r="J344" s="17"/>
      <c r="K344" s="17"/>
      <c r="L344" s="17"/>
      <c r="M344" s="17"/>
      <c r="N344" s="40"/>
      <c r="O344" s="41"/>
      <c r="P344" s="43" t="str">
        <f aca="false">IF(OR(B344="",N344=""),"",ROUND(((N344+N(O344))-(B344+N(C344)))*24,1))</f>
        <v/>
      </c>
      <c r="Q344" s="44" t="str">
        <f aca="false">IF(OR(E344="",A344="",COUNTIFS(Scoresheet!$C$2:$C$501,A344,Scoresheet!$U$2:$U$501,1)=0),"",SUMIFS(Scoresheet!$O$2:$O$501,Scoresheet!$C$2:$C$501,A344,Scoresheet!$U$2:$U$501,1))</f>
        <v/>
      </c>
      <c r="R344" s="44" t="str">
        <f aca="false">IF(E344="","",IF(OR(A344="",COUNTIFS(Scoresheet!$C$2:$C$501,A344,Scoresheet!$U$2:$U$501,1)=0),"No scoresheet yet",IF(SUMIFS(Scoresheet!$N$2:$N$501,Scoresheet!$C$2:$C$501,A344,Scoresheet!$U$2:$U$501,1)&lt;6,"Partly scored ("&amp;SUMIFS(Scoresheet!$N$2:$N$501,Scoresheet!$C$2:$C$501,A344,Scoresheet!$U$2:$U$501,1)&amp;"/6)",IF(Q344&gt;=Settings!$S$8,"Hot",IF(Q344&gt;=Settings!$S$9,"Warm","Cold")))))</f>
        <v/>
      </c>
      <c r="S344" s="44" t="str">
        <f aca="false">IF(OR(E344="",A344=""),"",IF(AND(COUNTIFS(Scoresheet!$C$2:$C$501,A344,Scoresheet!$U$2:$U$501,1,Scoresheet!$H$2:$H$501,"No")&gt;0,COUNTIFS(Scoresheet!$C$2:$C$501,A344,Scoresheet!$U$2:$U$501,1,Scoresheet!$J$2:$J$501,"No")&gt;0),"🚩 Budget  ·  🚩 No one on camera",IF(COUNTIFS(Scoresheet!$C$2:$C$501,A344,Scoresheet!$U$2:$U$501,1,Scoresheet!$H$2:$H$501,"No")&gt;0,"🚩 Budget under AED 5k",IF(COUNTIFS(Scoresheet!$C$2:$C$501,A344,Scoresheet!$U$2:$U$501,1,Scoresheet!$J$2:$J$501,"No")&gt;0,"🚩 No one on camera",""))))</f>
        <v/>
      </c>
      <c r="T344" s="17"/>
      <c r="U344" s="17"/>
      <c r="V344" s="40"/>
      <c r="W344" s="17"/>
      <c r="X344" s="45" t="str">
        <f aca="false">IF(OR(E344="",V344="",OR(U344="Contract signed + paid",U344="Closed – No response",U344="Lost"),N(W344)&gt;=Settings!$S$3),"",V344+Settings!$S$2)</f>
        <v/>
      </c>
      <c r="Y344" s="40"/>
      <c r="Z344" s="41"/>
      <c r="AA344" s="17"/>
      <c r="AB344" s="17"/>
      <c r="AC344" s="17"/>
      <c r="AD344" s="46" t="str">
        <f aca="true">IF(OR(E344="",B344=""),"",INT(TODAY()-B344))</f>
        <v/>
      </c>
      <c r="AE344" s="44" t="str">
        <f aca="true">IF(E344="","",IF(OR(COUNTIFS(Clients!$C$2:$C$501,E344,Clients!$S$2:$S$501,"Paid")&gt;0,AND(I344&lt;&gt;"",COUNTIFS(Clients!$E$2:$E$501,I344,Clients!$S$2:$S$501,"Paid")&gt;0)),"⚠ Refunded before – no free video",IF(OR(U344="Contract signed + paid",U344="Closed – No response",U344="Lost"),"",IF(U344="","Set a stage",IF(AND(U344="Proposal sent",SUMIFS(Scoresheet!$N$2:$N$501,Scoresheet!$C$2:$C$501,A344,Scoresheet!$U$2:$U$501,1)&lt;6),"Score this lead – fill the call scoresheet",IF(N(W344)&gt;=Settings!$S$3,"Close – 4 follow-ups sent",IF(X344="",IF(V344="","Make first contact",""),IF(TODAY()&gt;X344,"OVERDUE follow-up",IF(TODAY()=X344,"Follow up today","")))))))))</f>
        <v/>
      </c>
    </row>
    <row r="345" customFormat="false" ht="15" hidden="false" customHeight="false" outlineLevel="0" collapsed="false">
      <c r="A345" s="17"/>
      <c r="B345" s="40"/>
      <c r="C345" s="41"/>
      <c r="D345" s="17"/>
      <c r="E345" s="17"/>
      <c r="F345" s="17"/>
      <c r="G345" s="17"/>
      <c r="H345" s="17"/>
      <c r="I345" s="42"/>
      <c r="J345" s="17"/>
      <c r="K345" s="17"/>
      <c r="L345" s="17"/>
      <c r="M345" s="17"/>
      <c r="N345" s="40"/>
      <c r="O345" s="41"/>
      <c r="P345" s="43" t="str">
        <f aca="false">IF(OR(B345="",N345=""),"",ROUND(((N345+N(O345))-(B345+N(C345)))*24,1))</f>
        <v/>
      </c>
      <c r="Q345" s="44" t="str">
        <f aca="false">IF(OR(E345="",A345="",COUNTIFS(Scoresheet!$C$2:$C$501,A345,Scoresheet!$U$2:$U$501,1)=0),"",SUMIFS(Scoresheet!$O$2:$O$501,Scoresheet!$C$2:$C$501,A345,Scoresheet!$U$2:$U$501,1))</f>
        <v/>
      </c>
      <c r="R345" s="44" t="str">
        <f aca="false">IF(E345="","",IF(OR(A345="",COUNTIFS(Scoresheet!$C$2:$C$501,A345,Scoresheet!$U$2:$U$501,1)=0),"No scoresheet yet",IF(SUMIFS(Scoresheet!$N$2:$N$501,Scoresheet!$C$2:$C$501,A345,Scoresheet!$U$2:$U$501,1)&lt;6,"Partly scored ("&amp;SUMIFS(Scoresheet!$N$2:$N$501,Scoresheet!$C$2:$C$501,A345,Scoresheet!$U$2:$U$501,1)&amp;"/6)",IF(Q345&gt;=Settings!$S$8,"Hot",IF(Q345&gt;=Settings!$S$9,"Warm","Cold")))))</f>
        <v/>
      </c>
      <c r="S345" s="44" t="str">
        <f aca="false">IF(OR(E345="",A345=""),"",IF(AND(COUNTIFS(Scoresheet!$C$2:$C$501,A345,Scoresheet!$U$2:$U$501,1,Scoresheet!$H$2:$H$501,"No")&gt;0,COUNTIFS(Scoresheet!$C$2:$C$501,A345,Scoresheet!$U$2:$U$501,1,Scoresheet!$J$2:$J$501,"No")&gt;0),"🚩 Budget  ·  🚩 No one on camera",IF(COUNTIFS(Scoresheet!$C$2:$C$501,A345,Scoresheet!$U$2:$U$501,1,Scoresheet!$H$2:$H$501,"No")&gt;0,"🚩 Budget under AED 5k",IF(COUNTIFS(Scoresheet!$C$2:$C$501,A345,Scoresheet!$U$2:$U$501,1,Scoresheet!$J$2:$J$501,"No")&gt;0,"🚩 No one on camera",""))))</f>
        <v/>
      </c>
      <c r="T345" s="17"/>
      <c r="U345" s="17"/>
      <c r="V345" s="40"/>
      <c r="W345" s="17"/>
      <c r="X345" s="45" t="str">
        <f aca="false">IF(OR(E345="",V345="",OR(U345="Contract signed + paid",U345="Closed – No response",U345="Lost"),N(W345)&gt;=Settings!$S$3),"",V345+Settings!$S$2)</f>
        <v/>
      </c>
      <c r="Y345" s="40"/>
      <c r="Z345" s="41"/>
      <c r="AA345" s="17"/>
      <c r="AB345" s="17"/>
      <c r="AC345" s="17"/>
      <c r="AD345" s="46" t="str">
        <f aca="true">IF(OR(E345="",B345=""),"",INT(TODAY()-B345))</f>
        <v/>
      </c>
      <c r="AE345" s="44" t="str">
        <f aca="true">IF(E345="","",IF(OR(COUNTIFS(Clients!$C$2:$C$501,E345,Clients!$S$2:$S$501,"Paid")&gt;0,AND(I345&lt;&gt;"",COUNTIFS(Clients!$E$2:$E$501,I345,Clients!$S$2:$S$501,"Paid")&gt;0)),"⚠ Refunded before – no free video",IF(OR(U345="Contract signed + paid",U345="Closed – No response",U345="Lost"),"",IF(U345="","Set a stage",IF(AND(U345="Proposal sent",SUMIFS(Scoresheet!$N$2:$N$501,Scoresheet!$C$2:$C$501,A345,Scoresheet!$U$2:$U$501,1)&lt;6),"Score this lead – fill the call scoresheet",IF(N(W345)&gt;=Settings!$S$3,"Close – 4 follow-ups sent",IF(X345="",IF(V345="","Make first contact",""),IF(TODAY()&gt;X345,"OVERDUE follow-up",IF(TODAY()=X345,"Follow up today","")))))))))</f>
        <v/>
      </c>
    </row>
    <row r="346" customFormat="false" ht="15" hidden="false" customHeight="false" outlineLevel="0" collapsed="false">
      <c r="A346" s="17"/>
      <c r="B346" s="40"/>
      <c r="C346" s="41"/>
      <c r="D346" s="17"/>
      <c r="E346" s="17"/>
      <c r="F346" s="17"/>
      <c r="G346" s="17"/>
      <c r="H346" s="17"/>
      <c r="I346" s="42"/>
      <c r="J346" s="17"/>
      <c r="K346" s="17"/>
      <c r="L346" s="17"/>
      <c r="M346" s="17"/>
      <c r="N346" s="40"/>
      <c r="O346" s="41"/>
      <c r="P346" s="43" t="str">
        <f aca="false">IF(OR(B346="",N346=""),"",ROUND(((N346+N(O346))-(B346+N(C346)))*24,1))</f>
        <v/>
      </c>
      <c r="Q346" s="44" t="str">
        <f aca="false">IF(OR(E346="",A346="",COUNTIFS(Scoresheet!$C$2:$C$501,A346,Scoresheet!$U$2:$U$501,1)=0),"",SUMIFS(Scoresheet!$O$2:$O$501,Scoresheet!$C$2:$C$501,A346,Scoresheet!$U$2:$U$501,1))</f>
        <v/>
      </c>
      <c r="R346" s="44" t="str">
        <f aca="false">IF(E346="","",IF(OR(A346="",COUNTIFS(Scoresheet!$C$2:$C$501,A346,Scoresheet!$U$2:$U$501,1)=0),"No scoresheet yet",IF(SUMIFS(Scoresheet!$N$2:$N$501,Scoresheet!$C$2:$C$501,A346,Scoresheet!$U$2:$U$501,1)&lt;6,"Partly scored ("&amp;SUMIFS(Scoresheet!$N$2:$N$501,Scoresheet!$C$2:$C$501,A346,Scoresheet!$U$2:$U$501,1)&amp;"/6)",IF(Q346&gt;=Settings!$S$8,"Hot",IF(Q346&gt;=Settings!$S$9,"Warm","Cold")))))</f>
        <v/>
      </c>
      <c r="S346" s="44" t="str">
        <f aca="false">IF(OR(E346="",A346=""),"",IF(AND(COUNTIFS(Scoresheet!$C$2:$C$501,A346,Scoresheet!$U$2:$U$501,1,Scoresheet!$H$2:$H$501,"No")&gt;0,COUNTIFS(Scoresheet!$C$2:$C$501,A346,Scoresheet!$U$2:$U$501,1,Scoresheet!$J$2:$J$501,"No")&gt;0),"🚩 Budget  ·  🚩 No one on camera",IF(COUNTIFS(Scoresheet!$C$2:$C$501,A346,Scoresheet!$U$2:$U$501,1,Scoresheet!$H$2:$H$501,"No")&gt;0,"🚩 Budget under AED 5k",IF(COUNTIFS(Scoresheet!$C$2:$C$501,A346,Scoresheet!$U$2:$U$501,1,Scoresheet!$J$2:$J$501,"No")&gt;0,"🚩 No one on camera",""))))</f>
        <v/>
      </c>
      <c r="T346" s="17"/>
      <c r="U346" s="17"/>
      <c r="V346" s="40"/>
      <c r="W346" s="17"/>
      <c r="X346" s="45" t="str">
        <f aca="false">IF(OR(E346="",V346="",OR(U346="Contract signed + paid",U346="Closed – No response",U346="Lost"),N(W346)&gt;=Settings!$S$3),"",V346+Settings!$S$2)</f>
        <v/>
      </c>
      <c r="Y346" s="40"/>
      <c r="Z346" s="41"/>
      <c r="AA346" s="17"/>
      <c r="AB346" s="17"/>
      <c r="AC346" s="17"/>
      <c r="AD346" s="46" t="str">
        <f aca="true">IF(OR(E346="",B346=""),"",INT(TODAY()-B346))</f>
        <v/>
      </c>
      <c r="AE346" s="44" t="str">
        <f aca="true">IF(E346="","",IF(OR(COUNTIFS(Clients!$C$2:$C$501,E346,Clients!$S$2:$S$501,"Paid")&gt;0,AND(I346&lt;&gt;"",COUNTIFS(Clients!$E$2:$E$501,I346,Clients!$S$2:$S$501,"Paid")&gt;0)),"⚠ Refunded before – no free video",IF(OR(U346="Contract signed + paid",U346="Closed – No response",U346="Lost"),"",IF(U346="","Set a stage",IF(AND(U346="Proposal sent",SUMIFS(Scoresheet!$N$2:$N$501,Scoresheet!$C$2:$C$501,A346,Scoresheet!$U$2:$U$501,1)&lt;6),"Score this lead – fill the call scoresheet",IF(N(W346)&gt;=Settings!$S$3,"Close – 4 follow-ups sent",IF(X346="",IF(V346="","Make first contact",""),IF(TODAY()&gt;X346,"OVERDUE follow-up",IF(TODAY()=X346,"Follow up today","")))))))))</f>
        <v/>
      </c>
    </row>
    <row r="347" customFormat="false" ht="15" hidden="false" customHeight="false" outlineLevel="0" collapsed="false">
      <c r="A347" s="17"/>
      <c r="B347" s="40"/>
      <c r="C347" s="41"/>
      <c r="D347" s="17"/>
      <c r="E347" s="17"/>
      <c r="F347" s="17"/>
      <c r="G347" s="17"/>
      <c r="H347" s="17"/>
      <c r="I347" s="42"/>
      <c r="J347" s="17"/>
      <c r="K347" s="17"/>
      <c r="L347" s="17"/>
      <c r="M347" s="17"/>
      <c r="N347" s="40"/>
      <c r="O347" s="41"/>
      <c r="P347" s="43" t="str">
        <f aca="false">IF(OR(B347="",N347=""),"",ROUND(((N347+N(O347))-(B347+N(C347)))*24,1))</f>
        <v/>
      </c>
      <c r="Q347" s="44" t="str">
        <f aca="false">IF(OR(E347="",A347="",COUNTIFS(Scoresheet!$C$2:$C$501,A347,Scoresheet!$U$2:$U$501,1)=0),"",SUMIFS(Scoresheet!$O$2:$O$501,Scoresheet!$C$2:$C$501,A347,Scoresheet!$U$2:$U$501,1))</f>
        <v/>
      </c>
      <c r="R347" s="44" t="str">
        <f aca="false">IF(E347="","",IF(OR(A347="",COUNTIFS(Scoresheet!$C$2:$C$501,A347,Scoresheet!$U$2:$U$501,1)=0),"No scoresheet yet",IF(SUMIFS(Scoresheet!$N$2:$N$501,Scoresheet!$C$2:$C$501,A347,Scoresheet!$U$2:$U$501,1)&lt;6,"Partly scored ("&amp;SUMIFS(Scoresheet!$N$2:$N$501,Scoresheet!$C$2:$C$501,A347,Scoresheet!$U$2:$U$501,1)&amp;"/6)",IF(Q347&gt;=Settings!$S$8,"Hot",IF(Q347&gt;=Settings!$S$9,"Warm","Cold")))))</f>
        <v/>
      </c>
      <c r="S347" s="44" t="str">
        <f aca="false">IF(OR(E347="",A347=""),"",IF(AND(COUNTIFS(Scoresheet!$C$2:$C$501,A347,Scoresheet!$U$2:$U$501,1,Scoresheet!$H$2:$H$501,"No")&gt;0,COUNTIFS(Scoresheet!$C$2:$C$501,A347,Scoresheet!$U$2:$U$501,1,Scoresheet!$J$2:$J$501,"No")&gt;0),"🚩 Budget  ·  🚩 No one on camera",IF(COUNTIFS(Scoresheet!$C$2:$C$501,A347,Scoresheet!$U$2:$U$501,1,Scoresheet!$H$2:$H$501,"No")&gt;0,"🚩 Budget under AED 5k",IF(COUNTIFS(Scoresheet!$C$2:$C$501,A347,Scoresheet!$U$2:$U$501,1,Scoresheet!$J$2:$J$501,"No")&gt;0,"🚩 No one on camera",""))))</f>
        <v/>
      </c>
      <c r="T347" s="17"/>
      <c r="U347" s="17"/>
      <c r="V347" s="40"/>
      <c r="W347" s="17"/>
      <c r="X347" s="45" t="str">
        <f aca="false">IF(OR(E347="",V347="",OR(U347="Contract signed + paid",U347="Closed – No response",U347="Lost"),N(W347)&gt;=Settings!$S$3),"",V347+Settings!$S$2)</f>
        <v/>
      </c>
      <c r="Y347" s="40"/>
      <c r="Z347" s="41"/>
      <c r="AA347" s="17"/>
      <c r="AB347" s="17"/>
      <c r="AC347" s="17"/>
      <c r="AD347" s="46" t="str">
        <f aca="true">IF(OR(E347="",B347=""),"",INT(TODAY()-B347))</f>
        <v/>
      </c>
      <c r="AE347" s="44" t="str">
        <f aca="true">IF(E347="","",IF(OR(COUNTIFS(Clients!$C$2:$C$501,E347,Clients!$S$2:$S$501,"Paid")&gt;0,AND(I347&lt;&gt;"",COUNTIFS(Clients!$E$2:$E$501,I347,Clients!$S$2:$S$501,"Paid")&gt;0)),"⚠ Refunded before – no free video",IF(OR(U347="Contract signed + paid",U347="Closed – No response",U347="Lost"),"",IF(U347="","Set a stage",IF(AND(U347="Proposal sent",SUMIFS(Scoresheet!$N$2:$N$501,Scoresheet!$C$2:$C$501,A347,Scoresheet!$U$2:$U$501,1)&lt;6),"Score this lead – fill the call scoresheet",IF(N(W347)&gt;=Settings!$S$3,"Close – 4 follow-ups sent",IF(X347="",IF(V347="","Make first contact",""),IF(TODAY()&gt;X347,"OVERDUE follow-up",IF(TODAY()=X347,"Follow up today","")))))))))</f>
        <v/>
      </c>
    </row>
    <row r="348" customFormat="false" ht="15" hidden="false" customHeight="false" outlineLevel="0" collapsed="false">
      <c r="A348" s="17"/>
      <c r="B348" s="40"/>
      <c r="C348" s="41"/>
      <c r="D348" s="17"/>
      <c r="E348" s="17"/>
      <c r="F348" s="17"/>
      <c r="G348" s="17"/>
      <c r="H348" s="17"/>
      <c r="I348" s="42"/>
      <c r="J348" s="17"/>
      <c r="K348" s="17"/>
      <c r="L348" s="17"/>
      <c r="M348" s="17"/>
      <c r="N348" s="40"/>
      <c r="O348" s="41"/>
      <c r="P348" s="43" t="str">
        <f aca="false">IF(OR(B348="",N348=""),"",ROUND(((N348+N(O348))-(B348+N(C348)))*24,1))</f>
        <v/>
      </c>
      <c r="Q348" s="44" t="str">
        <f aca="false">IF(OR(E348="",A348="",COUNTIFS(Scoresheet!$C$2:$C$501,A348,Scoresheet!$U$2:$U$501,1)=0),"",SUMIFS(Scoresheet!$O$2:$O$501,Scoresheet!$C$2:$C$501,A348,Scoresheet!$U$2:$U$501,1))</f>
        <v/>
      </c>
      <c r="R348" s="44" t="str">
        <f aca="false">IF(E348="","",IF(OR(A348="",COUNTIFS(Scoresheet!$C$2:$C$501,A348,Scoresheet!$U$2:$U$501,1)=0),"No scoresheet yet",IF(SUMIFS(Scoresheet!$N$2:$N$501,Scoresheet!$C$2:$C$501,A348,Scoresheet!$U$2:$U$501,1)&lt;6,"Partly scored ("&amp;SUMIFS(Scoresheet!$N$2:$N$501,Scoresheet!$C$2:$C$501,A348,Scoresheet!$U$2:$U$501,1)&amp;"/6)",IF(Q348&gt;=Settings!$S$8,"Hot",IF(Q348&gt;=Settings!$S$9,"Warm","Cold")))))</f>
        <v/>
      </c>
      <c r="S348" s="44" t="str">
        <f aca="false">IF(OR(E348="",A348=""),"",IF(AND(COUNTIFS(Scoresheet!$C$2:$C$501,A348,Scoresheet!$U$2:$U$501,1,Scoresheet!$H$2:$H$501,"No")&gt;0,COUNTIFS(Scoresheet!$C$2:$C$501,A348,Scoresheet!$U$2:$U$501,1,Scoresheet!$J$2:$J$501,"No")&gt;0),"🚩 Budget  ·  🚩 No one on camera",IF(COUNTIFS(Scoresheet!$C$2:$C$501,A348,Scoresheet!$U$2:$U$501,1,Scoresheet!$H$2:$H$501,"No")&gt;0,"🚩 Budget under AED 5k",IF(COUNTIFS(Scoresheet!$C$2:$C$501,A348,Scoresheet!$U$2:$U$501,1,Scoresheet!$J$2:$J$501,"No")&gt;0,"🚩 No one on camera",""))))</f>
        <v/>
      </c>
      <c r="T348" s="17"/>
      <c r="U348" s="17"/>
      <c r="V348" s="40"/>
      <c r="W348" s="17"/>
      <c r="X348" s="45" t="str">
        <f aca="false">IF(OR(E348="",V348="",OR(U348="Contract signed + paid",U348="Closed – No response",U348="Lost"),N(W348)&gt;=Settings!$S$3),"",V348+Settings!$S$2)</f>
        <v/>
      </c>
      <c r="Y348" s="40"/>
      <c r="Z348" s="41"/>
      <c r="AA348" s="17"/>
      <c r="AB348" s="17"/>
      <c r="AC348" s="17"/>
      <c r="AD348" s="46" t="str">
        <f aca="true">IF(OR(E348="",B348=""),"",INT(TODAY()-B348))</f>
        <v/>
      </c>
      <c r="AE348" s="44" t="str">
        <f aca="true">IF(E348="","",IF(OR(COUNTIFS(Clients!$C$2:$C$501,E348,Clients!$S$2:$S$501,"Paid")&gt;0,AND(I348&lt;&gt;"",COUNTIFS(Clients!$E$2:$E$501,I348,Clients!$S$2:$S$501,"Paid")&gt;0)),"⚠ Refunded before – no free video",IF(OR(U348="Contract signed + paid",U348="Closed – No response",U348="Lost"),"",IF(U348="","Set a stage",IF(AND(U348="Proposal sent",SUMIFS(Scoresheet!$N$2:$N$501,Scoresheet!$C$2:$C$501,A348,Scoresheet!$U$2:$U$501,1)&lt;6),"Score this lead – fill the call scoresheet",IF(N(W348)&gt;=Settings!$S$3,"Close – 4 follow-ups sent",IF(X348="",IF(V348="","Make first contact",""),IF(TODAY()&gt;X348,"OVERDUE follow-up",IF(TODAY()=X348,"Follow up today","")))))))))</f>
        <v/>
      </c>
    </row>
    <row r="349" customFormat="false" ht="15" hidden="false" customHeight="false" outlineLevel="0" collapsed="false">
      <c r="A349" s="17"/>
      <c r="B349" s="40"/>
      <c r="C349" s="41"/>
      <c r="D349" s="17"/>
      <c r="E349" s="17"/>
      <c r="F349" s="17"/>
      <c r="G349" s="17"/>
      <c r="H349" s="17"/>
      <c r="I349" s="42"/>
      <c r="J349" s="17"/>
      <c r="K349" s="17"/>
      <c r="L349" s="17"/>
      <c r="M349" s="17"/>
      <c r="N349" s="40"/>
      <c r="O349" s="41"/>
      <c r="P349" s="43" t="str">
        <f aca="false">IF(OR(B349="",N349=""),"",ROUND(((N349+N(O349))-(B349+N(C349)))*24,1))</f>
        <v/>
      </c>
      <c r="Q349" s="44" t="str">
        <f aca="false">IF(OR(E349="",A349="",COUNTIFS(Scoresheet!$C$2:$C$501,A349,Scoresheet!$U$2:$U$501,1)=0),"",SUMIFS(Scoresheet!$O$2:$O$501,Scoresheet!$C$2:$C$501,A349,Scoresheet!$U$2:$U$501,1))</f>
        <v/>
      </c>
      <c r="R349" s="44" t="str">
        <f aca="false">IF(E349="","",IF(OR(A349="",COUNTIFS(Scoresheet!$C$2:$C$501,A349,Scoresheet!$U$2:$U$501,1)=0),"No scoresheet yet",IF(SUMIFS(Scoresheet!$N$2:$N$501,Scoresheet!$C$2:$C$501,A349,Scoresheet!$U$2:$U$501,1)&lt;6,"Partly scored ("&amp;SUMIFS(Scoresheet!$N$2:$N$501,Scoresheet!$C$2:$C$501,A349,Scoresheet!$U$2:$U$501,1)&amp;"/6)",IF(Q349&gt;=Settings!$S$8,"Hot",IF(Q349&gt;=Settings!$S$9,"Warm","Cold")))))</f>
        <v/>
      </c>
      <c r="S349" s="44" t="str">
        <f aca="false">IF(OR(E349="",A349=""),"",IF(AND(COUNTIFS(Scoresheet!$C$2:$C$501,A349,Scoresheet!$U$2:$U$501,1,Scoresheet!$H$2:$H$501,"No")&gt;0,COUNTIFS(Scoresheet!$C$2:$C$501,A349,Scoresheet!$U$2:$U$501,1,Scoresheet!$J$2:$J$501,"No")&gt;0),"🚩 Budget  ·  🚩 No one on camera",IF(COUNTIFS(Scoresheet!$C$2:$C$501,A349,Scoresheet!$U$2:$U$501,1,Scoresheet!$H$2:$H$501,"No")&gt;0,"🚩 Budget under AED 5k",IF(COUNTIFS(Scoresheet!$C$2:$C$501,A349,Scoresheet!$U$2:$U$501,1,Scoresheet!$J$2:$J$501,"No")&gt;0,"🚩 No one on camera",""))))</f>
        <v/>
      </c>
      <c r="T349" s="17"/>
      <c r="U349" s="17"/>
      <c r="V349" s="40"/>
      <c r="W349" s="17"/>
      <c r="X349" s="45" t="str">
        <f aca="false">IF(OR(E349="",V349="",OR(U349="Contract signed + paid",U349="Closed – No response",U349="Lost"),N(W349)&gt;=Settings!$S$3),"",V349+Settings!$S$2)</f>
        <v/>
      </c>
      <c r="Y349" s="40"/>
      <c r="Z349" s="41"/>
      <c r="AA349" s="17"/>
      <c r="AB349" s="17"/>
      <c r="AC349" s="17"/>
      <c r="AD349" s="46" t="str">
        <f aca="true">IF(OR(E349="",B349=""),"",INT(TODAY()-B349))</f>
        <v/>
      </c>
      <c r="AE349" s="44" t="str">
        <f aca="true">IF(E349="","",IF(OR(COUNTIFS(Clients!$C$2:$C$501,E349,Clients!$S$2:$S$501,"Paid")&gt;0,AND(I349&lt;&gt;"",COUNTIFS(Clients!$E$2:$E$501,I349,Clients!$S$2:$S$501,"Paid")&gt;0)),"⚠ Refunded before – no free video",IF(OR(U349="Contract signed + paid",U349="Closed – No response",U349="Lost"),"",IF(U349="","Set a stage",IF(AND(U349="Proposal sent",SUMIFS(Scoresheet!$N$2:$N$501,Scoresheet!$C$2:$C$501,A349,Scoresheet!$U$2:$U$501,1)&lt;6),"Score this lead – fill the call scoresheet",IF(N(W349)&gt;=Settings!$S$3,"Close – 4 follow-ups sent",IF(X349="",IF(V349="","Make first contact",""),IF(TODAY()&gt;X349,"OVERDUE follow-up",IF(TODAY()=X349,"Follow up today","")))))))))</f>
        <v/>
      </c>
    </row>
    <row r="350" customFormat="false" ht="15" hidden="false" customHeight="false" outlineLevel="0" collapsed="false">
      <c r="A350" s="17"/>
      <c r="B350" s="40"/>
      <c r="C350" s="41"/>
      <c r="D350" s="17"/>
      <c r="E350" s="17"/>
      <c r="F350" s="17"/>
      <c r="G350" s="17"/>
      <c r="H350" s="17"/>
      <c r="I350" s="42"/>
      <c r="J350" s="17"/>
      <c r="K350" s="17"/>
      <c r="L350" s="17"/>
      <c r="M350" s="17"/>
      <c r="N350" s="40"/>
      <c r="O350" s="41"/>
      <c r="P350" s="43" t="str">
        <f aca="false">IF(OR(B350="",N350=""),"",ROUND(((N350+N(O350))-(B350+N(C350)))*24,1))</f>
        <v/>
      </c>
      <c r="Q350" s="44" t="str">
        <f aca="false">IF(OR(E350="",A350="",COUNTIFS(Scoresheet!$C$2:$C$501,A350,Scoresheet!$U$2:$U$501,1)=0),"",SUMIFS(Scoresheet!$O$2:$O$501,Scoresheet!$C$2:$C$501,A350,Scoresheet!$U$2:$U$501,1))</f>
        <v/>
      </c>
      <c r="R350" s="44" t="str">
        <f aca="false">IF(E350="","",IF(OR(A350="",COUNTIFS(Scoresheet!$C$2:$C$501,A350,Scoresheet!$U$2:$U$501,1)=0),"No scoresheet yet",IF(SUMIFS(Scoresheet!$N$2:$N$501,Scoresheet!$C$2:$C$501,A350,Scoresheet!$U$2:$U$501,1)&lt;6,"Partly scored ("&amp;SUMIFS(Scoresheet!$N$2:$N$501,Scoresheet!$C$2:$C$501,A350,Scoresheet!$U$2:$U$501,1)&amp;"/6)",IF(Q350&gt;=Settings!$S$8,"Hot",IF(Q350&gt;=Settings!$S$9,"Warm","Cold")))))</f>
        <v/>
      </c>
      <c r="S350" s="44" t="str">
        <f aca="false">IF(OR(E350="",A350=""),"",IF(AND(COUNTIFS(Scoresheet!$C$2:$C$501,A350,Scoresheet!$U$2:$U$501,1,Scoresheet!$H$2:$H$501,"No")&gt;0,COUNTIFS(Scoresheet!$C$2:$C$501,A350,Scoresheet!$U$2:$U$501,1,Scoresheet!$J$2:$J$501,"No")&gt;0),"🚩 Budget  ·  🚩 No one on camera",IF(COUNTIFS(Scoresheet!$C$2:$C$501,A350,Scoresheet!$U$2:$U$501,1,Scoresheet!$H$2:$H$501,"No")&gt;0,"🚩 Budget under AED 5k",IF(COUNTIFS(Scoresheet!$C$2:$C$501,A350,Scoresheet!$U$2:$U$501,1,Scoresheet!$J$2:$J$501,"No")&gt;0,"🚩 No one on camera",""))))</f>
        <v/>
      </c>
      <c r="T350" s="17"/>
      <c r="U350" s="17"/>
      <c r="V350" s="40"/>
      <c r="W350" s="17"/>
      <c r="X350" s="45" t="str">
        <f aca="false">IF(OR(E350="",V350="",OR(U350="Contract signed + paid",U350="Closed – No response",U350="Lost"),N(W350)&gt;=Settings!$S$3),"",V350+Settings!$S$2)</f>
        <v/>
      </c>
      <c r="Y350" s="40"/>
      <c r="Z350" s="41"/>
      <c r="AA350" s="17"/>
      <c r="AB350" s="17"/>
      <c r="AC350" s="17"/>
      <c r="AD350" s="46" t="str">
        <f aca="true">IF(OR(E350="",B350=""),"",INT(TODAY()-B350))</f>
        <v/>
      </c>
      <c r="AE350" s="44" t="str">
        <f aca="true">IF(E350="","",IF(OR(COUNTIFS(Clients!$C$2:$C$501,E350,Clients!$S$2:$S$501,"Paid")&gt;0,AND(I350&lt;&gt;"",COUNTIFS(Clients!$E$2:$E$501,I350,Clients!$S$2:$S$501,"Paid")&gt;0)),"⚠ Refunded before – no free video",IF(OR(U350="Contract signed + paid",U350="Closed – No response",U350="Lost"),"",IF(U350="","Set a stage",IF(AND(U350="Proposal sent",SUMIFS(Scoresheet!$N$2:$N$501,Scoresheet!$C$2:$C$501,A350,Scoresheet!$U$2:$U$501,1)&lt;6),"Score this lead – fill the call scoresheet",IF(N(W350)&gt;=Settings!$S$3,"Close – 4 follow-ups sent",IF(X350="",IF(V350="","Make first contact",""),IF(TODAY()&gt;X350,"OVERDUE follow-up",IF(TODAY()=X350,"Follow up today","")))))))))</f>
        <v/>
      </c>
    </row>
    <row r="351" customFormat="false" ht="15" hidden="false" customHeight="false" outlineLevel="0" collapsed="false">
      <c r="A351" s="17"/>
      <c r="B351" s="40"/>
      <c r="C351" s="41"/>
      <c r="D351" s="17"/>
      <c r="E351" s="17"/>
      <c r="F351" s="17"/>
      <c r="G351" s="17"/>
      <c r="H351" s="17"/>
      <c r="I351" s="42"/>
      <c r="J351" s="17"/>
      <c r="K351" s="17"/>
      <c r="L351" s="17"/>
      <c r="M351" s="17"/>
      <c r="N351" s="40"/>
      <c r="O351" s="41"/>
      <c r="P351" s="43" t="str">
        <f aca="false">IF(OR(B351="",N351=""),"",ROUND(((N351+N(O351))-(B351+N(C351)))*24,1))</f>
        <v/>
      </c>
      <c r="Q351" s="44" t="str">
        <f aca="false">IF(OR(E351="",A351="",COUNTIFS(Scoresheet!$C$2:$C$501,A351,Scoresheet!$U$2:$U$501,1)=0),"",SUMIFS(Scoresheet!$O$2:$O$501,Scoresheet!$C$2:$C$501,A351,Scoresheet!$U$2:$U$501,1))</f>
        <v/>
      </c>
      <c r="R351" s="44" t="str">
        <f aca="false">IF(E351="","",IF(OR(A351="",COUNTIFS(Scoresheet!$C$2:$C$501,A351,Scoresheet!$U$2:$U$501,1)=0),"No scoresheet yet",IF(SUMIFS(Scoresheet!$N$2:$N$501,Scoresheet!$C$2:$C$501,A351,Scoresheet!$U$2:$U$501,1)&lt;6,"Partly scored ("&amp;SUMIFS(Scoresheet!$N$2:$N$501,Scoresheet!$C$2:$C$501,A351,Scoresheet!$U$2:$U$501,1)&amp;"/6)",IF(Q351&gt;=Settings!$S$8,"Hot",IF(Q351&gt;=Settings!$S$9,"Warm","Cold")))))</f>
        <v/>
      </c>
      <c r="S351" s="44" t="str">
        <f aca="false">IF(OR(E351="",A351=""),"",IF(AND(COUNTIFS(Scoresheet!$C$2:$C$501,A351,Scoresheet!$U$2:$U$501,1,Scoresheet!$H$2:$H$501,"No")&gt;0,COUNTIFS(Scoresheet!$C$2:$C$501,A351,Scoresheet!$U$2:$U$501,1,Scoresheet!$J$2:$J$501,"No")&gt;0),"🚩 Budget  ·  🚩 No one on camera",IF(COUNTIFS(Scoresheet!$C$2:$C$501,A351,Scoresheet!$U$2:$U$501,1,Scoresheet!$H$2:$H$501,"No")&gt;0,"🚩 Budget under AED 5k",IF(COUNTIFS(Scoresheet!$C$2:$C$501,A351,Scoresheet!$U$2:$U$501,1,Scoresheet!$J$2:$J$501,"No")&gt;0,"🚩 No one on camera",""))))</f>
        <v/>
      </c>
      <c r="T351" s="17"/>
      <c r="U351" s="17"/>
      <c r="V351" s="40"/>
      <c r="W351" s="17"/>
      <c r="X351" s="45" t="str">
        <f aca="false">IF(OR(E351="",V351="",OR(U351="Contract signed + paid",U351="Closed – No response",U351="Lost"),N(W351)&gt;=Settings!$S$3),"",V351+Settings!$S$2)</f>
        <v/>
      </c>
      <c r="Y351" s="40"/>
      <c r="Z351" s="41"/>
      <c r="AA351" s="17"/>
      <c r="AB351" s="17"/>
      <c r="AC351" s="17"/>
      <c r="AD351" s="46" t="str">
        <f aca="true">IF(OR(E351="",B351=""),"",INT(TODAY()-B351))</f>
        <v/>
      </c>
      <c r="AE351" s="44" t="str">
        <f aca="true">IF(E351="","",IF(OR(COUNTIFS(Clients!$C$2:$C$501,E351,Clients!$S$2:$S$501,"Paid")&gt;0,AND(I351&lt;&gt;"",COUNTIFS(Clients!$E$2:$E$501,I351,Clients!$S$2:$S$501,"Paid")&gt;0)),"⚠ Refunded before – no free video",IF(OR(U351="Contract signed + paid",U351="Closed – No response",U351="Lost"),"",IF(U351="","Set a stage",IF(AND(U351="Proposal sent",SUMIFS(Scoresheet!$N$2:$N$501,Scoresheet!$C$2:$C$501,A351,Scoresheet!$U$2:$U$501,1)&lt;6),"Score this lead – fill the call scoresheet",IF(N(W351)&gt;=Settings!$S$3,"Close – 4 follow-ups sent",IF(X351="",IF(V351="","Make first contact",""),IF(TODAY()&gt;X351,"OVERDUE follow-up",IF(TODAY()=X351,"Follow up today","")))))))))</f>
        <v/>
      </c>
    </row>
    <row r="352" customFormat="false" ht="15" hidden="false" customHeight="false" outlineLevel="0" collapsed="false">
      <c r="A352" s="17"/>
      <c r="B352" s="40"/>
      <c r="C352" s="41"/>
      <c r="D352" s="17"/>
      <c r="E352" s="17"/>
      <c r="F352" s="17"/>
      <c r="G352" s="17"/>
      <c r="H352" s="17"/>
      <c r="I352" s="42"/>
      <c r="J352" s="17"/>
      <c r="K352" s="17"/>
      <c r="L352" s="17"/>
      <c r="M352" s="17"/>
      <c r="N352" s="40"/>
      <c r="O352" s="41"/>
      <c r="P352" s="43" t="str">
        <f aca="false">IF(OR(B352="",N352=""),"",ROUND(((N352+N(O352))-(B352+N(C352)))*24,1))</f>
        <v/>
      </c>
      <c r="Q352" s="44" t="str">
        <f aca="false">IF(OR(E352="",A352="",COUNTIFS(Scoresheet!$C$2:$C$501,A352,Scoresheet!$U$2:$U$501,1)=0),"",SUMIFS(Scoresheet!$O$2:$O$501,Scoresheet!$C$2:$C$501,A352,Scoresheet!$U$2:$U$501,1))</f>
        <v/>
      </c>
      <c r="R352" s="44" t="str">
        <f aca="false">IF(E352="","",IF(OR(A352="",COUNTIFS(Scoresheet!$C$2:$C$501,A352,Scoresheet!$U$2:$U$501,1)=0),"No scoresheet yet",IF(SUMIFS(Scoresheet!$N$2:$N$501,Scoresheet!$C$2:$C$501,A352,Scoresheet!$U$2:$U$501,1)&lt;6,"Partly scored ("&amp;SUMIFS(Scoresheet!$N$2:$N$501,Scoresheet!$C$2:$C$501,A352,Scoresheet!$U$2:$U$501,1)&amp;"/6)",IF(Q352&gt;=Settings!$S$8,"Hot",IF(Q352&gt;=Settings!$S$9,"Warm","Cold")))))</f>
        <v/>
      </c>
      <c r="S352" s="44" t="str">
        <f aca="false">IF(OR(E352="",A352=""),"",IF(AND(COUNTIFS(Scoresheet!$C$2:$C$501,A352,Scoresheet!$U$2:$U$501,1,Scoresheet!$H$2:$H$501,"No")&gt;0,COUNTIFS(Scoresheet!$C$2:$C$501,A352,Scoresheet!$U$2:$U$501,1,Scoresheet!$J$2:$J$501,"No")&gt;0),"🚩 Budget  ·  🚩 No one on camera",IF(COUNTIFS(Scoresheet!$C$2:$C$501,A352,Scoresheet!$U$2:$U$501,1,Scoresheet!$H$2:$H$501,"No")&gt;0,"🚩 Budget under AED 5k",IF(COUNTIFS(Scoresheet!$C$2:$C$501,A352,Scoresheet!$U$2:$U$501,1,Scoresheet!$J$2:$J$501,"No")&gt;0,"🚩 No one on camera",""))))</f>
        <v/>
      </c>
      <c r="T352" s="17"/>
      <c r="U352" s="17"/>
      <c r="V352" s="40"/>
      <c r="W352" s="17"/>
      <c r="X352" s="45" t="str">
        <f aca="false">IF(OR(E352="",V352="",OR(U352="Contract signed + paid",U352="Closed – No response",U352="Lost"),N(W352)&gt;=Settings!$S$3),"",V352+Settings!$S$2)</f>
        <v/>
      </c>
      <c r="Y352" s="40"/>
      <c r="Z352" s="41"/>
      <c r="AA352" s="17"/>
      <c r="AB352" s="17"/>
      <c r="AC352" s="17"/>
      <c r="AD352" s="46" t="str">
        <f aca="true">IF(OR(E352="",B352=""),"",INT(TODAY()-B352))</f>
        <v/>
      </c>
      <c r="AE352" s="44" t="str">
        <f aca="true">IF(E352="","",IF(OR(COUNTIFS(Clients!$C$2:$C$501,E352,Clients!$S$2:$S$501,"Paid")&gt;0,AND(I352&lt;&gt;"",COUNTIFS(Clients!$E$2:$E$501,I352,Clients!$S$2:$S$501,"Paid")&gt;0)),"⚠ Refunded before – no free video",IF(OR(U352="Contract signed + paid",U352="Closed – No response",U352="Lost"),"",IF(U352="","Set a stage",IF(AND(U352="Proposal sent",SUMIFS(Scoresheet!$N$2:$N$501,Scoresheet!$C$2:$C$501,A352,Scoresheet!$U$2:$U$501,1)&lt;6),"Score this lead – fill the call scoresheet",IF(N(W352)&gt;=Settings!$S$3,"Close – 4 follow-ups sent",IF(X352="",IF(V352="","Make first contact",""),IF(TODAY()&gt;X352,"OVERDUE follow-up",IF(TODAY()=X352,"Follow up today","")))))))))</f>
        <v/>
      </c>
    </row>
    <row r="353" customFormat="false" ht="15" hidden="false" customHeight="false" outlineLevel="0" collapsed="false">
      <c r="A353" s="17"/>
      <c r="B353" s="40"/>
      <c r="C353" s="41"/>
      <c r="D353" s="17"/>
      <c r="E353" s="17"/>
      <c r="F353" s="17"/>
      <c r="G353" s="17"/>
      <c r="H353" s="17"/>
      <c r="I353" s="42"/>
      <c r="J353" s="17"/>
      <c r="K353" s="17"/>
      <c r="L353" s="17"/>
      <c r="M353" s="17"/>
      <c r="N353" s="40"/>
      <c r="O353" s="41"/>
      <c r="P353" s="43" t="str">
        <f aca="false">IF(OR(B353="",N353=""),"",ROUND(((N353+N(O353))-(B353+N(C353)))*24,1))</f>
        <v/>
      </c>
      <c r="Q353" s="44" t="str">
        <f aca="false">IF(OR(E353="",A353="",COUNTIFS(Scoresheet!$C$2:$C$501,A353,Scoresheet!$U$2:$U$501,1)=0),"",SUMIFS(Scoresheet!$O$2:$O$501,Scoresheet!$C$2:$C$501,A353,Scoresheet!$U$2:$U$501,1))</f>
        <v/>
      </c>
      <c r="R353" s="44" t="str">
        <f aca="false">IF(E353="","",IF(OR(A353="",COUNTIFS(Scoresheet!$C$2:$C$501,A353,Scoresheet!$U$2:$U$501,1)=0),"No scoresheet yet",IF(SUMIFS(Scoresheet!$N$2:$N$501,Scoresheet!$C$2:$C$501,A353,Scoresheet!$U$2:$U$501,1)&lt;6,"Partly scored ("&amp;SUMIFS(Scoresheet!$N$2:$N$501,Scoresheet!$C$2:$C$501,A353,Scoresheet!$U$2:$U$501,1)&amp;"/6)",IF(Q353&gt;=Settings!$S$8,"Hot",IF(Q353&gt;=Settings!$S$9,"Warm","Cold")))))</f>
        <v/>
      </c>
      <c r="S353" s="44" t="str">
        <f aca="false">IF(OR(E353="",A353=""),"",IF(AND(COUNTIFS(Scoresheet!$C$2:$C$501,A353,Scoresheet!$U$2:$U$501,1,Scoresheet!$H$2:$H$501,"No")&gt;0,COUNTIFS(Scoresheet!$C$2:$C$501,A353,Scoresheet!$U$2:$U$501,1,Scoresheet!$J$2:$J$501,"No")&gt;0),"🚩 Budget  ·  🚩 No one on camera",IF(COUNTIFS(Scoresheet!$C$2:$C$501,A353,Scoresheet!$U$2:$U$501,1,Scoresheet!$H$2:$H$501,"No")&gt;0,"🚩 Budget under AED 5k",IF(COUNTIFS(Scoresheet!$C$2:$C$501,A353,Scoresheet!$U$2:$U$501,1,Scoresheet!$J$2:$J$501,"No")&gt;0,"🚩 No one on camera",""))))</f>
        <v/>
      </c>
      <c r="T353" s="17"/>
      <c r="U353" s="17"/>
      <c r="V353" s="40"/>
      <c r="W353" s="17"/>
      <c r="X353" s="45" t="str">
        <f aca="false">IF(OR(E353="",V353="",OR(U353="Contract signed + paid",U353="Closed – No response",U353="Lost"),N(W353)&gt;=Settings!$S$3),"",V353+Settings!$S$2)</f>
        <v/>
      </c>
      <c r="Y353" s="40"/>
      <c r="Z353" s="41"/>
      <c r="AA353" s="17"/>
      <c r="AB353" s="17"/>
      <c r="AC353" s="17"/>
      <c r="AD353" s="46" t="str">
        <f aca="true">IF(OR(E353="",B353=""),"",INT(TODAY()-B353))</f>
        <v/>
      </c>
      <c r="AE353" s="44" t="str">
        <f aca="true">IF(E353="","",IF(OR(COUNTIFS(Clients!$C$2:$C$501,E353,Clients!$S$2:$S$501,"Paid")&gt;0,AND(I353&lt;&gt;"",COUNTIFS(Clients!$E$2:$E$501,I353,Clients!$S$2:$S$501,"Paid")&gt;0)),"⚠ Refunded before – no free video",IF(OR(U353="Contract signed + paid",U353="Closed – No response",U353="Lost"),"",IF(U353="","Set a stage",IF(AND(U353="Proposal sent",SUMIFS(Scoresheet!$N$2:$N$501,Scoresheet!$C$2:$C$501,A353,Scoresheet!$U$2:$U$501,1)&lt;6),"Score this lead – fill the call scoresheet",IF(N(W353)&gt;=Settings!$S$3,"Close – 4 follow-ups sent",IF(X353="",IF(V353="","Make first contact",""),IF(TODAY()&gt;X353,"OVERDUE follow-up",IF(TODAY()=X353,"Follow up today","")))))))))</f>
        <v/>
      </c>
    </row>
    <row r="354" customFormat="false" ht="15" hidden="false" customHeight="false" outlineLevel="0" collapsed="false">
      <c r="A354" s="17"/>
      <c r="B354" s="40"/>
      <c r="C354" s="41"/>
      <c r="D354" s="17"/>
      <c r="E354" s="17"/>
      <c r="F354" s="17"/>
      <c r="G354" s="17"/>
      <c r="H354" s="17"/>
      <c r="I354" s="42"/>
      <c r="J354" s="17"/>
      <c r="K354" s="17"/>
      <c r="L354" s="17"/>
      <c r="M354" s="17"/>
      <c r="N354" s="40"/>
      <c r="O354" s="41"/>
      <c r="P354" s="43" t="str">
        <f aca="false">IF(OR(B354="",N354=""),"",ROUND(((N354+N(O354))-(B354+N(C354)))*24,1))</f>
        <v/>
      </c>
      <c r="Q354" s="44" t="str">
        <f aca="false">IF(OR(E354="",A354="",COUNTIFS(Scoresheet!$C$2:$C$501,A354,Scoresheet!$U$2:$U$501,1)=0),"",SUMIFS(Scoresheet!$O$2:$O$501,Scoresheet!$C$2:$C$501,A354,Scoresheet!$U$2:$U$501,1))</f>
        <v/>
      </c>
      <c r="R354" s="44" t="str">
        <f aca="false">IF(E354="","",IF(OR(A354="",COUNTIFS(Scoresheet!$C$2:$C$501,A354,Scoresheet!$U$2:$U$501,1)=0),"No scoresheet yet",IF(SUMIFS(Scoresheet!$N$2:$N$501,Scoresheet!$C$2:$C$501,A354,Scoresheet!$U$2:$U$501,1)&lt;6,"Partly scored ("&amp;SUMIFS(Scoresheet!$N$2:$N$501,Scoresheet!$C$2:$C$501,A354,Scoresheet!$U$2:$U$501,1)&amp;"/6)",IF(Q354&gt;=Settings!$S$8,"Hot",IF(Q354&gt;=Settings!$S$9,"Warm","Cold")))))</f>
        <v/>
      </c>
      <c r="S354" s="44" t="str">
        <f aca="false">IF(OR(E354="",A354=""),"",IF(AND(COUNTIFS(Scoresheet!$C$2:$C$501,A354,Scoresheet!$U$2:$U$501,1,Scoresheet!$H$2:$H$501,"No")&gt;0,COUNTIFS(Scoresheet!$C$2:$C$501,A354,Scoresheet!$U$2:$U$501,1,Scoresheet!$J$2:$J$501,"No")&gt;0),"🚩 Budget  ·  🚩 No one on camera",IF(COUNTIFS(Scoresheet!$C$2:$C$501,A354,Scoresheet!$U$2:$U$501,1,Scoresheet!$H$2:$H$501,"No")&gt;0,"🚩 Budget under AED 5k",IF(COUNTIFS(Scoresheet!$C$2:$C$501,A354,Scoresheet!$U$2:$U$501,1,Scoresheet!$J$2:$J$501,"No")&gt;0,"🚩 No one on camera",""))))</f>
        <v/>
      </c>
      <c r="T354" s="17"/>
      <c r="U354" s="17"/>
      <c r="V354" s="40"/>
      <c r="W354" s="17"/>
      <c r="X354" s="45" t="str">
        <f aca="false">IF(OR(E354="",V354="",OR(U354="Contract signed + paid",U354="Closed – No response",U354="Lost"),N(W354)&gt;=Settings!$S$3),"",V354+Settings!$S$2)</f>
        <v/>
      </c>
      <c r="Y354" s="40"/>
      <c r="Z354" s="41"/>
      <c r="AA354" s="17"/>
      <c r="AB354" s="17"/>
      <c r="AC354" s="17"/>
      <c r="AD354" s="46" t="str">
        <f aca="true">IF(OR(E354="",B354=""),"",INT(TODAY()-B354))</f>
        <v/>
      </c>
      <c r="AE354" s="44" t="str">
        <f aca="true">IF(E354="","",IF(OR(COUNTIFS(Clients!$C$2:$C$501,E354,Clients!$S$2:$S$501,"Paid")&gt;0,AND(I354&lt;&gt;"",COUNTIFS(Clients!$E$2:$E$501,I354,Clients!$S$2:$S$501,"Paid")&gt;0)),"⚠ Refunded before – no free video",IF(OR(U354="Contract signed + paid",U354="Closed – No response",U354="Lost"),"",IF(U354="","Set a stage",IF(AND(U354="Proposal sent",SUMIFS(Scoresheet!$N$2:$N$501,Scoresheet!$C$2:$C$501,A354,Scoresheet!$U$2:$U$501,1)&lt;6),"Score this lead – fill the call scoresheet",IF(N(W354)&gt;=Settings!$S$3,"Close – 4 follow-ups sent",IF(X354="",IF(V354="","Make first contact",""),IF(TODAY()&gt;X354,"OVERDUE follow-up",IF(TODAY()=X354,"Follow up today","")))))))))</f>
        <v/>
      </c>
    </row>
    <row r="355" customFormat="false" ht="15" hidden="false" customHeight="false" outlineLevel="0" collapsed="false">
      <c r="A355" s="17"/>
      <c r="B355" s="40"/>
      <c r="C355" s="41"/>
      <c r="D355" s="17"/>
      <c r="E355" s="17"/>
      <c r="F355" s="17"/>
      <c r="G355" s="17"/>
      <c r="H355" s="17"/>
      <c r="I355" s="42"/>
      <c r="J355" s="17"/>
      <c r="K355" s="17"/>
      <c r="L355" s="17"/>
      <c r="M355" s="17"/>
      <c r="N355" s="40"/>
      <c r="O355" s="41"/>
      <c r="P355" s="43" t="str">
        <f aca="false">IF(OR(B355="",N355=""),"",ROUND(((N355+N(O355))-(B355+N(C355)))*24,1))</f>
        <v/>
      </c>
      <c r="Q355" s="44" t="str">
        <f aca="false">IF(OR(E355="",A355="",COUNTIFS(Scoresheet!$C$2:$C$501,A355,Scoresheet!$U$2:$U$501,1)=0),"",SUMIFS(Scoresheet!$O$2:$O$501,Scoresheet!$C$2:$C$501,A355,Scoresheet!$U$2:$U$501,1))</f>
        <v/>
      </c>
      <c r="R355" s="44" t="str">
        <f aca="false">IF(E355="","",IF(OR(A355="",COUNTIFS(Scoresheet!$C$2:$C$501,A355,Scoresheet!$U$2:$U$501,1)=0),"No scoresheet yet",IF(SUMIFS(Scoresheet!$N$2:$N$501,Scoresheet!$C$2:$C$501,A355,Scoresheet!$U$2:$U$501,1)&lt;6,"Partly scored ("&amp;SUMIFS(Scoresheet!$N$2:$N$501,Scoresheet!$C$2:$C$501,A355,Scoresheet!$U$2:$U$501,1)&amp;"/6)",IF(Q355&gt;=Settings!$S$8,"Hot",IF(Q355&gt;=Settings!$S$9,"Warm","Cold")))))</f>
        <v/>
      </c>
      <c r="S355" s="44" t="str">
        <f aca="false">IF(OR(E355="",A355=""),"",IF(AND(COUNTIFS(Scoresheet!$C$2:$C$501,A355,Scoresheet!$U$2:$U$501,1,Scoresheet!$H$2:$H$501,"No")&gt;0,COUNTIFS(Scoresheet!$C$2:$C$501,A355,Scoresheet!$U$2:$U$501,1,Scoresheet!$J$2:$J$501,"No")&gt;0),"🚩 Budget  ·  🚩 No one on camera",IF(COUNTIFS(Scoresheet!$C$2:$C$501,A355,Scoresheet!$U$2:$U$501,1,Scoresheet!$H$2:$H$501,"No")&gt;0,"🚩 Budget under AED 5k",IF(COUNTIFS(Scoresheet!$C$2:$C$501,A355,Scoresheet!$U$2:$U$501,1,Scoresheet!$J$2:$J$501,"No")&gt;0,"🚩 No one on camera",""))))</f>
        <v/>
      </c>
      <c r="T355" s="17"/>
      <c r="U355" s="17"/>
      <c r="V355" s="40"/>
      <c r="W355" s="17"/>
      <c r="X355" s="45" t="str">
        <f aca="false">IF(OR(E355="",V355="",OR(U355="Contract signed + paid",U355="Closed – No response",U355="Lost"),N(W355)&gt;=Settings!$S$3),"",V355+Settings!$S$2)</f>
        <v/>
      </c>
      <c r="Y355" s="40"/>
      <c r="Z355" s="41"/>
      <c r="AA355" s="17"/>
      <c r="AB355" s="17"/>
      <c r="AC355" s="17"/>
      <c r="AD355" s="46" t="str">
        <f aca="true">IF(OR(E355="",B355=""),"",INT(TODAY()-B355))</f>
        <v/>
      </c>
      <c r="AE355" s="44" t="str">
        <f aca="true">IF(E355="","",IF(OR(COUNTIFS(Clients!$C$2:$C$501,E355,Clients!$S$2:$S$501,"Paid")&gt;0,AND(I355&lt;&gt;"",COUNTIFS(Clients!$E$2:$E$501,I355,Clients!$S$2:$S$501,"Paid")&gt;0)),"⚠ Refunded before – no free video",IF(OR(U355="Contract signed + paid",U355="Closed – No response",U355="Lost"),"",IF(U355="","Set a stage",IF(AND(U355="Proposal sent",SUMIFS(Scoresheet!$N$2:$N$501,Scoresheet!$C$2:$C$501,A355,Scoresheet!$U$2:$U$501,1)&lt;6),"Score this lead – fill the call scoresheet",IF(N(W355)&gt;=Settings!$S$3,"Close – 4 follow-ups sent",IF(X355="",IF(V355="","Make first contact",""),IF(TODAY()&gt;X355,"OVERDUE follow-up",IF(TODAY()=X355,"Follow up today","")))))))))</f>
        <v/>
      </c>
    </row>
    <row r="356" customFormat="false" ht="15" hidden="false" customHeight="false" outlineLevel="0" collapsed="false">
      <c r="A356" s="17"/>
      <c r="B356" s="40"/>
      <c r="C356" s="41"/>
      <c r="D356" s="17"/>
      <c r="E356" s="17"/>
      <c r="F356" s="17"/>
      <c r="G356" s="17"/>
      <c r="H356" s="17"/>
      <c r="I356" s="42"/>
      <c r="J356" s="17"/>
      <c r="K356" s="17"/>
      <c r="L356" s="17"/>
      <c r="M356" s="17"/>
      <c r="N356" s="40"/>
      <c r="O356" s="41"/>
      <c r="P356" s="43" t="str">
        <f aca="false">IF(OR(B356="",N356=""),"",ROUND(((N356+N(O356))-(B356+N(C356)))*24,1))</f>
        <v/>
      </c>
      <c r="Q356" s="44" t="str">
        <f aca="false">IF(OR(E356="",A356="",COUNTIFS(Scoresheet!$C$2:$C$501,A356,Scoresheet!$U$2:$U$501,1)=0),"",SUMIFS(Scoresheet!$O$2:$O$501,Scoresheet!$C$2:$C$501,A356,Scoresheet!$U$2:$U$501,1))</f>
        <v/>
      </c>
      <c r="R356" s="44" t="str">
        <f aca="false">IF(E356="","",IF(OR(A356="",COUNTIFS(Scoresheet!$C$2:$C$501,A356,Scoresheet!$U$2:$U$501,1)=0),"No scoresheet yet",IF(SUMIFS(Scoresheet!$N$2:$N$501,Scoresheet!$C$2:$C$501,A356,Scoresheet!$U$2:$U$501,1)&lt;6,"Partly scored ("&amp;SUMIFS(Scoresheet!$N$2:$N$501,Scoresheet!$C$2:$C$501,A356,Scoresheet!$U$2:$U$501,1)&amp;"/6)",IF(Q356&gt;=Settings!$S$8,"Hot",IF(Q356&gt;=Settings!$S$9,"Warm","Cold")))))</f>
        <v/>
      </c>
      <c r="S356" s="44" t="str">
        <f aca="false">IF(OR(E356="",A356=""),"",IF(AND(COUNTIFS(Scoresheet!$C$2:$C$501,A356,Scoresheet!$U$2:$U$501,1,Scoresheet!$H$2:$H$501,"No")&gt;0,COUNTIFS(Scoresheet!$C$2:$C$501,A356,Scoresheet!$U$2:$U$501,1,Scoresheet!$J$2:$J$501,"No")&gt;0),"🚩 Budget  ·  🚩 No one on camera",IF(COUNTIFS(Scoresheet!$C$2:$C$501,A356,Scoresheet!$U$2:$U$501,1,Scoresheet!$H$2:$H$501,"No")&gt;0,"🚩 Budget under AED 5k",IF(COUNTIFS(Scoresheet!$C$2:$C$501,A356,Scoresheet!$U$2:$U$501,1,Scoresheet!$J$2:$J$501,"No")&gt;0,"🚩 No one on camera",""))))</f>
        <v/>
      </c>
      <c r="T356" s="17"/>
      <c r="U356" s="17"/>
      <c r="V356" s="40"/>
      <c r="W356" s="17"/>
      <c r="X356" s="45" t="str">
        <f aca="false">IF(OR(E356="",V356="",OR(U356="Contract signed + paid",U356="Closed – No response",U356="Lost"),N(W356)&gt;=Settings!$S$3),"",V356+Settings!$S$2)</f>
        <v/>
      </c>
      <c r="Y356" s="40"/>
      <c r="Z356" s="41"/>
      <c r="AA356" s="17"/>
      <c r="AB356" s="17"/>
      <c r="AC356" s="17"/>
      <c r="AD356" s="46" t="str">
        <f aca="true">IF(OR(E356="",B356=""),"",INT(TODAY()-B356))</f>
        <v/>
      </c>
      <c r="AE356" s="44" t="str">
        <f aca="true">IF(E356="","",IF(OR(COUNTIFS(Clients!$C$2:$C$501,E356,Clients!$S$2:$S$501,"Paid")&gt;0,AND(I356&lt;&gt;"",COUNTIFS(Clients!$E$2:$E$501,I356,Clients!$S$2:$S$501,"Paid")&gt;0)),"⚠ Refunded before – no free video",IF(OR(U356="Contract signed + paid",U356="Closed – No response",U356="Lost"),"",IF(U356="","Set a stage",IF(AND(U356="Proposal sent",SUMIFS(Scoresheet!$N$2:$N$501,Scoresheet!$C$2:$C$501,A356,Scoresheet!$U$2:$U$501,1)&lt;6),"Score this lead – fill the call scoresheet",IF(N(W356)&gt;=Settings!$S$3,"Close – 4 follow-ups sent",IF(X356="",IF(V356="","Make first contact",""),IF(TODAY()&gt;X356,"OVERDUE follow-up",IF(TODAY()=X356,"Follow up today","")))))))))</f>
        <v/>
      </c>
    </row>
    <row r="357" customFormat="false" ht="15" hidden="false" customHeight="false" outlineLevel="0" collapsed="false">
      <c r="A357" s="17"/>
      <c r="B357" s="40"/>
      <c r="C357" s="41"/>
      <c r="D357" s="17"/>
      <c r="E357" s="17"/>
      <c r="F357" s="17"/>
      <c r="G357" s="17"/>
      <c r="H357" s="17"/>
      <c r="I357" s="42"/>
      <c r="J357" s="17"/>
      <c r="K357" s="17"/>
      <c r="L357" s="17"/>
      <c r="M357" s="17"/>
      <c r="N357" s="40"/>
      <c r="O357" s="41"/>
      <c r="P357" s="43" t="str">
        <f aca="false">IF(OR(B357="",N357=""),"",ROUND(((N357+N(O357))-(B357+N(C357)))*24,1))</f>
        <v/>
      </c>
      <c r="Q357" s="44" t="str">
        <f aca="false">IF(OR(E357="",A357="",COUNTIFS(Scoresheet!$C$2:$C$501,A357,Scoresheet!$U$2:$U$501,1)=0),"",SUMIFS(Scoresheet!$O$2:$O$501,Scoresheet!$C$2:$C$501,A357,Scoresheet!$U$2:$U$501,1))</f>
        <v/>
      </c>
      <c r="R357" s="44" t="str">
        <f aca="false">IF(E357="","",IF(OR(A357="",COUNTIFS(Scoresheet!$C$2:$C$501,A357,Scoresheet!$U$2:$U$501,1)=0),"No scoresheet yet",IF(SUMIFS(Scoresheet!$N$2:$N$501,Scoresheet!$C$2:$C$501,A357,Scoresheet!$U$2:$U$501,1)&lt;6,"Partly scored ("&amp;SUMIFS(Scoresheet!$N$2:$N$501,Scoresheet!$C$2:$C$501,A357,Scoresheet!$U$2:$U$501,1)&amp;"/6)",IF(Q357&gt;=Settings!$S$8,"Hot",IF(Q357&gt;=Settings!$S$9,"Warm","Cold")))))</f>
        <v/>
      </c>
      <c r="S357" s="44" t="str">
        <f aca="false">IF(OR(E357="",A357=""),"",IF(AND(COUNTIFS(Scoresheet!$C$2:$C$501,A357,Scoresheet!$U$2:$U$501,1,Scoresheet!$H$2:$H$501,"No")&gt;0,COUNTIFS(Scoresheet!$C$2:$C$501,A357,Scoresheet!$U$2:$U$501,1,Scoresheet!$J$2:$J$501,"No")&gt;0),"🚩 Budget  ·  🚩 No one on camera",IF(COUNTIFS(Scoresheet!$C$2:$C$501,A357,Scoresheet!$U$2:$U$501,1,Scoresheet!$H$2:$H$501,"No")&gt;0,"🚩 Budget under AED 5k",IF(COUNTIFS(Scoresheet!$C$2:$C$501,A357,Scoresheet!$U$2:$U$501,1,Scoresheet!$J$2:$J$501,"No")&gt;0,"🚩 No one on camera",""))))</f>
        <v/>
      </c>
      <c r="T357" s="17"/>
      <c r="U357" s="17"/>
      <c r="V357" s="40"/>
      <c r="W357" s="17"/>
      <c r="X357" s="45" t="str">
        <f aca="false">IF(OR(E357="",V357="",OR(U357="Contract signed + paid",U357="Closed – No response",U357="Lost"),N(W357)&gt;=Settings!$S$3),"",V357+Settings!$S$2)</f>
        <v/>
      </c>
      <c r="Y357" s="40"/>
      <c r="Z357" s="41"/>
      <c r="AA357" s="17"/>
      <c r="AB357" s="17"/>
      <c r="AC357" s="17"/>
      <c r="AD357" s="46" t="str">
        <f aca="true">IF(OR(E357="",B357=""),"",INT(TODAY()-B357))</f>
        <v/>
      </c>
      <c r="AE357" s="44" t="str">
        <f aca="true">IF(E357="","",IF(OR(COUNTIFS(Clients!$C$2:$C$501,E357,Clients!$S$2:$S$501,"Paid")&gt;0,AND(I357&lt;&gt;"",COUNTIFS(Clients!$E$2:$E$501,I357,Clients!$S$2:$S$501,"Paid")&gt;0)),"⚠ Refunded before – no free video",IF(OR(U357="Contract signed + paid",U357="Closed – No response",U357="Lost"),"",IF(U357="","Set a stage",IF(AND(U357="Proposal sent",SUMIFS(Scoresheet!$N$2:$N$501,Scoresheet!$C$2:$C$501,A357,Scoresheet!$U$2:$U$501,1)&lt;6),"Score this lead – fill the call scoresheet",IF(N(W357)&gt;=Settings!$S$3,"Close – 4 follow-ups sent",IF(X357="",IF(V357="","Make first contact",""),IF(TODAY()&gt;X357,"OVERDUE follow-up",IF(TODAY()=X357,"Follow up today","")))))))))</f>
        <v/>
      </c>
    </row>
    <row r="358" customFormat="false" ht="15" hidden="false" customHeight="false" outlineLevel="0" collapsed="false">
      <c r="A358" s="17"/>
      <c r="B358" s="40"/>
      <c r="C358" s="41"/>
      <c r="D358" s="17"/>
      <c r="E358" s="17"/>
      <c r="F358" s="17"/>
      <c r="G358" s="17"/>
      <c r="H358" s="17"/>
      <c r="I358" s="42"/>
      <c r="J358" s="17"/>
      <c r="K358" s="17"/>
      <c r="L358" s="17"/>
      <c r="M358" s="17"/>
      <c r="N358" s="40"/>
      <c r="O358" s="41"/>
      <c r="P358" s="43" t="str">
        <f aca="false">IF(OR(B358="",N358=""),"",ROUND(((N358+N(O358))-(B358+N(C358)))*24,1))</f>
        <v/>
      </c>
      <c r="Q358" s="44" t="str">
        <f aca="false">IF(OR(E358="",A358="",COUNTIFS(Scoresheet!$C$2:$C$501,A358,Scoresheet!$U$2:$U$501,1)=0),"",SUMIFS(Scoresheet!$O$2:$O$501,Scoresheet!$C$2:$C$501,A358,Scoresheet!$U$2:$U$501,1))</f>
        <v/>
      </c>
      <c r="R358" s="44" t="str">
        <f aca="false">IF(E358="","",IF(OR(A358="",COUNTIFS(Scoresheet!$C$2:$C$501,A358,Scoresheet!$U$2:$U$501,1)=0),"No scoresheet yet",IF(SUMIFS(Scoresheet!$N$2:$N$501,Scoresheet!$C$2:$C$501,A358,Scoresheet!$U$2:$U$501,1)&lt;6,"Partly scored ("&amp;SUMIFS(Scoresheet!$N$2:$N$501,Scoresheet!$C$2:$C$501,A358,Scoresheet!$U$2:$U$501,1)&amp;"/6)",IF(Q358&gt;=Settings!$S$8,"Hot",IF(Q358&gt;=Settings!$S$9,"Warm","Cold")))))</f>
        <v/>
      </c>
      <c r="S358" s="44" t="str">
        <f aca="false">IF(OR(E358="",A358=""),"",IF(AND(COUNTIFS(Scoresheet!$C$2:$C$501,A358,Scoresheet!$U$2:$U$501,1,Scoresheet!$H$2:$H$501,"No")&gt;0,COUNTIFS(Scoresheet!$C$2:$C$501,A358,Scoresheet!$U$2:$U$501,1,Scoresheet!$J$2:$J$501,"No")&gt;0),"🚩 Budget  ·  🚩 No one on camera",IF(COUNTIFS(Scoresheet!$C$2:$C$501,A358,Scoresheet!$U$2:$U$501,1,Scoresheet!$H$2:$H$501,"No")&gt;0,"🚩 Budget under AED 5k",IF(COUNTIFS(Scoresheet!$C$2:$C$501,A358,Scoresheet!$U$2:$U$501,1,Scoresheet!$J$2:$J$501,"No")&gt;0,"🚩 No one on camera",""))))</f>
        <v/>
      </c>
      <c r="T358" s="17"/>
      <c r="U358" s="17"/>
      <c r="V358" s="40"/>
      <c r="W358" s="17"/>
      <c r="X358" s="45" t="str">
        <f aca="false">IF(OR(E358="",V358="",OR(U358="Contract signed + paid",U358="Closed – No response",U358="Lost"),N(W358)&gt;=Settings!$S$3),"",V358+Settings!$S$2)</f>
        <v/>
      </c>
      <c r="Y358" s="40"/>
      <c r="Z358" s="41"/>
      <c r="AA358" s="17"/>
      <c r="AB358" s="17"/>
      <c r="AC358" s="17"/>
      <c r="AD358" s="46" t="str">
        <f aca="true">IF(OR(E358="",B358=""),"",INT(TODAY()-B358))</f>
        <v/>
      </c>
      <c r="AE358" s="44" t="str">
        <f aca="true">IF(E358="","",IF(OR(COUNTIFS(Clients!$C$2:$C$501,E358,Clients!$S$2:$S$501,"Paid")&gt;0,AND(I358&lt;&gt;"",COUNTIFS(Clients!$E$2:$E$501,I358,Clients!$S$2:$S$501,"Paid")&gt;0)),"⚠ Refunded before – no free video",IF(OR(U358="Contract signed + paid",U358="Closed – No response",U358="Lost"),"",IF(U358="","Set a stage",IF(AND(U358="Proposal sent",SUMIFS(Scoresheet!$N$2:$N$501,Scoresheet!$C$2:$C$501,A358,Scoresheet!$U$2:$U$501,1)&lt;6),"Score this lead – fill the call scoresheet",IF(N(W358)&gt;=Settings!$S$3,"Close – 4 follow-ups sent",IF(X358="",IF(V358="","Make first contact",""),IF(TODAY()&gt;X358,"OVERDUE follow-up",IF(TODAY()=X358,"Follow up today","")))))))))</f>
        <v/>
      </c>
    </row>
    <row r="359" customFormat="false" ht="15" hidden="false" customHeight="false" outlineLevel="0" collapsed="false">
      <c r="A359" s="17"/>
      <c r="B359" s="40"/>
      <c r="C359" s="41"/>
      <c r="D359" s="17"/>
      <c r="E359" s="17"/>
      <c r="F359" s="17"/>
      <c r="G359" s="17"/>
      <c r="H359" s="17"/>
      <c r="I359" s="42"/>
      <c r="J359" s="17"/>
      <c r="K359" s="17"/>
      <c r="L359" s="17"/>
      <c r="M359" s="17"/>
      <c r="N359" s="40"/>
      <c r="O359" s="41"/>
      <c r="P359" s="43" t="str">
        <f aca="false">IF(OR(B359="",N359=""),"",ROUND(((N359+N(O359))-(B359+N(C359)))*24,1))</f>
        <v/>
      </c>
      <c r="Q359" s="44" t="str">
        <f aca="false">IF(OR(E359="",A359="",COUNTIFS(Scoresheet!$C$2:$C$501,A359,Scoresheet!$U$2:$U$501,1)=0),"",SUMIFS(Scoresheet!$O$2:$O$501,Scoresheet!$C$2:$C$501,A359,Scoresheet!$U$2:$U$501,1))</f>
        <v/>
      </c>
      <c r="R359" s="44" t="str">
        <f aca="false">IF(E359="","",IF(OR(A359="",COUNTIFS(Scoresheet!$C$2:$C$501,A359,Scoresheet!$U$2:$U$501,1)=0),"No scoresheet yet",IF(SUMIFS(Scoresheet!$N$2:$N$501,Scoresheet!$C$2:$C$501,A359,Scoresheet!$U$2:$U$501,1)&lt;6,"Partly scored ("&amp;SUMIFS(Scoresheet!$N$2:$N$501,Scoresheet!$C$2:$C$501,A359,Scoresheet!$U$2:$U$501,1)&amp;"/6)",IF(Q359&gt;=Settings!$S$8,"Hot",IF(Q359&gt;=Settings!$S$9,"Warm","Cold")))))</f>
        <v/>
      </c>
      <c r="S359" s="44" t="str">
        <f aca="false">IF(OR(E359="",A359=""),"",IF(AND(COUNTIFS(Scoresheet!$C$2:$C$501,A359,Scoresheet!$U$2:$U$501,1,Scoresheet!$H$2:$H$501,"No")&gt;0,COUNTIFS(Scoresheet!$C$2:$C$501,A359,Scoresheet!$U$2:$U$501,1,Scoresheet!$J$2:$J$501,"No")&gt;0),"🚩 Budget  ·  🚩 No one on camera",IF(COUNTIFS(Scoresheet!$C$2:$C$501,A359,Scoresheet!$U$2:$U$501,1,Scoresheet!$H$2:$H$501,"No")&gt;0,"🚩 Budget under AED 5k",IF(COUNTIFS(Scoresheet!$C$2:$C$501,A359,Scoresheet!$U$2:$U$501,1,Scoresheet!$J$2:$J$501,"No")&gt;0,"🚩 No one on camera",""))))</f>
        <v/>
      </c>
      <c r="T359" s="17"/>
      <c r="U359" s="17"/>
      <c r="V359" s="40"/>
      <c r="W359" s="17"/>
      <c r="X359" s="45" t="str">
        <f aca="false">IF(OR(E359="",V359="",OR(U359="Contract signed + paid",U359="Closed – No response",U359="Lost"),N(W359)&gt;=Settings!$S$3),"",V359+Settings!$S$2)</f>
        <v/>
      </c>
      <c r="Y359" s="40"/>
      <c r="Z359" s="41"/>
      <c r="AA359" s="17"/>
      <c r="AB359" s="17"/>
      <c r="AC359" s="17"/>
      <c r="AD359" s="46" t="str">
        <f aca="true">IF(OR(E359="",B359=""),"",INT(TODAY()-B359))</f>
        <v/>
      </c>
      <c r="AE359" s="44" t="str">
        <f aca="true">IF(E359="","",IF(OR(COUNTIFS(Clients!$C$2:$C$501,E359,Clients!$S$2:$S$501,"Paid")&gt;0,AND(I359&lt;&gt;"",COUNTIFS(Clients!$E$2:$E$501,I359,Clients!$S$2:$S$501,"Paid")&gt;0)),"⚠ Refunded before – no free video",IF(OR(U359="Contract signed + paid",U359="Closed – No response",U359="Lost"),"",IF(U359="","Set a stage",IF(AND(U359="Proposal sent",SUMIFS(Scoresheet!$N$2:$N$501,Scoresheet!$C$2:$C$501,A359,Scoresheet!$U$2:$U$501,1)&lt;6),"Score this lead – fill the call scoresheet",IF(N(W359)&gt;=Settings!$S$3,"Close – 4 follow-ups sent",IF(X359="",IF(V359="","Make first contact",""),IF(TODAY()&gt;X359,"OVERDUE follow-up",IF(TODAY()=X359,"Follow up today","")))))))))</f>
        <v/>
      </c>
    </row>
    <row r="360" customFormat="false" ht="15" hidden="false" customHeight="false" outlineLevel="0" collapsed="false">
      <c r="A360" s="17"/>
      <c r="B360" s="40"/>
      <c r="C360" s="41"/>
      <c r="D360" s="17"/>
      <c r="E360" s="17"/>
      <c r="F360" s="17"/>
      <c r="G360" s="17"/>
      <c r="H360" s="17"/>
      <c r="I360" s="42"/>
      <c r="J360" s="17"/>
      <c r="K360" s="17"/>
      <c r="L360" s="17"/>
      <c r="M360" s="17"/>
      <c r="N360" s="40"/>
      <c r="O360" s="41"/>
      <c r="P360" s="43" t="str">
        <f aca="false">IF(OR(B360="",N360=""),"",ROUND(((N360+N(O360))-(B360+N(C360)))*24,1))</f>
        <v/>
      </c>
      <c r="Q360" s="44" t="str">
        <f aca="false">IF(OR(E360="",A360="",COUNTIFS(Scoresheet!$C$2:$C$501,A360,Scoresheet!$U$2:$U$501,1)=0),"",SUMIFS(Scoresheet!$O$2:$O$501,Scoresheet!$C$2:$C$501,A360,Scoresheet!$U$2:$U$501,1))</f>
        <v/>
      </c>
      <c r="R360" s="44" t="str">
        <f aca="false">IF(E360="","",IF(OR(A360="",COUNTIFS(Scoresheet!$C$2:$C$501,A360,Scoresheet!$U$2:$U$501,1)=0),"No scoresheet yet",IF(SUMIFS(Scoresheet!$N$2:$N$501,Scoresheet!$C$2:$C$501,A360,Scoresheet!$U$2:$U$501,1)&lt;6,"Partly scored ("&amp;SUMIFS(Scoresheet!$N$2:$N$501,Scoresheet!$C$2:$C$501,A360,Scoresheet!$U$2:$U$501,1)&amp;"/6)",IF(Q360&gt;=Settings!$S$8,"Hot",IF(Q360&gt;=Settings!$S$9,"Warm","Cold")))))</f>
        <v/>
      </c>
      <c r="S360" s="44" t="str">
        <f aca="false">IF(OR(E360="",A360=""),"",IF(AND(COUNTIFS(Scoresheet!$C$2:$C$501,A360,Scoresheet!$U$2:$U$501,1,Scoresheet!$H$2:$H$501,"No")&gt;0,COUNTIFS(Scoresheet!$C$2:$C$501,A360,Scoresheet!$U$2:$U$501,1,Scoresheet!$J$2:$J$501,"No")&gt;0),"🚩 Budget  ·  🚩 No one on camera",IF(COUNTIFS(Scoresheet!$C$2:$C$501,A360,Scoresheet!$U$2:$U$501,1,Scoresheet!$H$2:$H$501,"No")&gt;0,"🚩 Budget under AED 5k",IF(COUNTIFS(Scoresheet!$C$2:$C$501,A360,Scoresheet!$U$2:$U$501,1,Scoresheet!$J$2:$J$501,"No")&gt;0,"🚩 No one on camera",""))))</f>
        <v/>
      </c>
      <c r="T360" s="17"/>
      <c r="U360" s="17"/>
      <c r="V360" s="40"/>
      <c r="W360" s="17"/>
      <c r="X360" s="45" t="str">
        <f aca="false">IF(OR(E360="",V360="",OR(U360="Contract signed + paid",U360="Closed – No response",U360="Lost"),N(W360)&gt;=Settings!$S$3),"",V360+Settings!$S$2)</f>
        <v/>
      </c>
      <c r="Y360" s="40"/>
      <c r="Z360" s="41"/>
      <c r="AA360" s="17"/>
      <c r="AB360" s="17"/>
      <c r="AC360" s="17"/>
      <c r="AD360" s="46" t="str">
        <f aca="true">IF(OR(E360="",B360=""),"",INT(TODAY()-B360))</f>
        <v/>
      </c>
      <c r="AE360" s="44" t="str">
        <f aca="true">IF(E360="","",IF(OR(COUNTIFS(Clients!$C$2:$C$501,E360,Clients!$S$2:$S$501,"Paid")&gt;0,AND(I360&lt;&gt;"",COUNTIFS(Clients!$E$2:$E$501,I360,Clients!$S$2:$S$501,"Paid")&gt;0)),"⚠ Refunded before – no free video",IF(OR(U360="Contract signed + paid",U360="Closed – No response",U360="Lost"),"",IF(U360="","Set a stage",IF(AND(U360="Proposal sent",SUMIFS(Scoresheet!$N$2:$N$501,Scoresheet!$C$2:$C$501,A360,Scoresheet!$U$2:$U$501,1)&lt;6),"Score this lead – fill the call scoresheet",IF(N(W360)&gt;=Settings!$S$3,"Close – 4 follow-ups sent",IF(X360="",IF(V360="","Make first contact",""),IF(TODAY()&gt;X360,"OVERDUE follow-up",IF(TODAY()=X360,"Follow up today","")))))))))</f>
        <v/>
      </c>
    </row>
    <row r="361" customFormat="false" ht="15" hidden="false" customHeight="false" outlineLevel="0" collapsed="false">
      <c r="A361" s="17"/>
      <c r="B361" s="40"/>
      <c r="C361" s="41"/>
      <c r="D361" s="17"/>
      <c r="E361" s="17"/>
      <c r="F361" s="17"/>
      <c r="G361" s="17"/>
      <c r="H361" s="17"/>
      <c r="I361" s="42"/>
      <c r="J361" s="17"/>
      <c r="K361" s="17"/>
      <c r="L361" s="17"/>
      <c r="M361" s="17"/>
      <c r="N361" s="40"/>
      <c r="O361" s="41"/>
      <c r="P361" s="43" t="str">
        <f aca="false">IF(OR(B361="",N361=""),"",ROUND(((N361+N(O361))-(B361+N(C361)))*24,1))</f>
        <v/>
      </c>
      <c r="Q361" s="44" t="str">
        <f aca="false">IF(OR(E361="",A361="",COUNTIFS(Scoresheet!$C$2:$C$501,A361,Scoresheet!$U$2:$U$501,1)=0),"",SUMIFS(Scoresheet!$O$2:$O$501,Scoresheet!$C$2:$C$501,A361,Scoresheet!$U$2:$U$501,1))</f>
        <v/>
      </c>
      <c r="R361" s="44" t="str">
        <f aca="false">IF(E361="","",IF(OR(A361="",COUNTIFS(Scoresheet!$C$2:$C$501,A361,Scoresheet!$U$2:$U$501,1)=0),"No scoresheet yet",IF(SUMIFS(Scoresheet!$N$2:$N$501,Scoresheet!$C$2:$C$501,A361,Scoresheet!$U$2:$U$501,1)&lt;6,"Partly scored ("&amp;SUMIFS(Scoresheet!$N$2:$N$501,Scoresheet!$C$2:$C$501,A361,Scoresheet!$U$2:$U$501,1)&amp;"/6)",IF(Q361&gt;=Settings!$S$8,"Hot",IF(Q361&gt;=Settings!$S$9,"Warm","Cold")))))</f>
        <v/>
      </c>
      <c r="S361" s="44" t="str">
        <f aca="false">IF(OR(E361="",A361=""),"",IF(AND(COUNTIFS(Scoresheet!$C$2:$C$501,A361,Scoresheet!$U$2:$U$501,1,Scoresheet!$H$2:$H$501,"No")&gt;0,COUNTIFS(Scoresheet!$C$2:$C$501,A361,Scoresheet!$U$2:$U$501,1,Scoresheet!$J$2:$J$501,"No")&gt;0),"🚩 Budget  ·  🚩 No one on camera",IF(COUNTIFS(Scoresheet!$C$2:$C$501,A361,Scoresheet!$U$2:$U$501,1,Scoresheet!$H$2:$H$501,"No")&gt;0,"🚩 Budget under AED 5k",IF(COUNTIFS(Scoresheet!$C$2:$C$501,A361,Scoresheet!$U$2:$U$501,1,Scoresheet!$J$2:$J$501,"No")&gt;0,"🚩 No one on camera",""))))</f>
        <v/>
      </c>
      <c r="T361" s="17"/>
      <c r="U361" s="17"/>
      <c r="V361" s="40"/>
      <c r="W361" s="17"/>
      <c r="X361" s="45" t="str">
        <f aca="false">IF(OR(E361="",V361="",OR(U361="Contract signed + paid",U361="Closed – No response",U361="Lost"),N(W361)&gt;=Settings!$S$3),"",V361+Settings!$S$2)</f>
        <v/>
      </c>
      <c r="Y361" s="40"/>
      <c r="Z361" s="41"/>
      <c r="AA361" s="17"/>
      <c r="AB361" s="17"/>
      <c r="AC361" s="17"/>
      <c r="AD361" s="46" t="str">
        <f aca="true">IF(OR(E361="",B361=""),"",INT(TODAY()-B361))</f>
        <v/>
      </c>
      <c r="AE361" s="44" t="str">
        <f aca="true">IF(E361="","",IF(OR(COUNTIFS(Clients!$C$2:$C$501,E361,Clients!$S$2:$S$501,"Paid")&gt;0,AND(I361&lt;&gt;"",COUNTIFS(Clients!$E$2:$E$501,I361,Clients!$S$2:$S$501,"Paid")&gt;0)),"⚠ Refunded before – no free video",IF(OR(U361="Contract signed + paid",U361="Closed – No response",U361="Lost"),"",IF(U361="","Set a stage",IF(AND(U361="Proposal sent",SUMIFS(Scoresheet!$N$2:$N$501,Scoresheet!$C$2:$C$501,A361,Scoresheet!$U$2:$U$501,1)&lt;6),"Score this lead – fill the call scoresheet",IF(N(W361)&gt;=Settings!$S$3,"Close – 4 follow-ups sent",IF(X361="",IF(V361="","Make first contact",""),IF(TODAY()&gt;X361,"OVERDUE follow-up",IF(TODAY()=X361,"Follow up today","")))))))))</f>
        <v/>
      </c>
    </row>
    <row r="362" customFormat="false" ht="15" hidden="false" customHeight="false" outlineLevel="0" collapsed="false">
      <c r="A362" s="17"/>
      <c r="B362" s="40"/>
      <c r="C362" s="41"/>
      <c r="D362" s="17"/>
      <c r="E362" s="17"/>
      <c r="F362" s="17"/>
      <c r="G362" s="17"/>
      <c r="H362" s="17"/>
      <c r="I362" s="42"/>
      <c r="J362" s="17"/>
      <c r="K362" s="17"/>
      <c r="L362" s="17"/>
      <c r="M362" s="17"/>
      <c r="N362" s="40"/>
      <c r="O362" s="41"/>
      <c r="P362" s="43" t="str">
        <f aca="false">IF(OR(B362="",N362=""),"",ROUND(((N362+N(O362))-(B362+N(C362)))*24,1))</f>
        <v/>
      </c>
      <c r="Q362" s="44" t="str">
        <f aca="false">IF(OR(E362="",A362="",COUNTIFS(Scoresheet!$C$2:$C$501,A362,Scoresheet!$U$2:$U$501,1)=0),"",SUMIFS(Scoresheet!$O$2:$O$501,Scoresheet!$C$2:$C$501,A362,Scoresheet!$U$2:$U$501,1))</f>
        <v/>
      </c>
      <c r="R362" s="44" t="str">
        <f aca="false">IF(E362="","",IF(OR(A362="",COUNTIFS(Scoresheet!$C$2:$C$501,A362,Scoresheet!$U$2:$U$501,1)=0),"No scoresheet yet",IF(SUMIFS(Scoresheet!$N$2:$N$501,Scoresheet!$C$2:$C$501,A362,Scoresheet!$U$2:$U$501,1)&lt;6,"Partly scored ("&amp;SUMIFS(Scoresheet!$N$2:$N$501,Scoresheet!$C$2:$C$501,A362,Scoresheet!$U$2:$U$501,1)&amp;"/6)",IF(Q362&gt;=Settings!$S$8,"Hot",IF(Q362&gt;=Settings!$S$9,"Warm","Cold")))))</f>
        <v/>
      </c>
      <c r="S362" s="44" t="str">
        <f aca="false">IF(OR(E362="",A362=""),"",IF(AND(COUNTIFS(Scoresheet!$C$2:$C$501,A362,Scoresheet!$U$2:$U$501,1,Scoresheet!$H$2:$H$501,"No")&gt;0,COUNTIFS(Scoresheet!$C$2:$C$501,A362,Scoresheet!$U$2:$U$501,1,Scoresheet!$J$2:$J$501,"No")&gt;0),"🚩 Budget  ·  🚩 No one on camera",IF(COUNTIFS(Scoresheet!$C$2:$C$501,A362,Scoresheet!$U$2:$U$501,1,Scoresheet!$H$2:$H$501,"No")&gt;0,"🚩 Budget under AED 5k",IF(COUNTIFS(Scoresheet!$C$2:$C$501,A362,Scoresheet!$U$2:$U$501,1,Scoresheet!$J$2:$J$501,"No")&gt;0,"🚩 No one on camera",""))))</f>
        <v/>
      </c>
      <c r="T362" s="17"/>
      <c r="U362" s="17"/>
      <c r="V362" s="40"/>
      <c r="W362" s="17"/>
      <c r="X362" s="45" t="str">
        <f aca="false">IF(OR(E362="",V362="",OR(U362="Contract signed + paid",U362="Closed – No response",U362="Lost"),N(W362)&gt;=Settings!$S$3),"",V362+Settings!$S$2)</f>
        <v/>
      </c>
      <c r="Y362" s="40"/>
      <c r="Z362" s="41"/>
      <c r="AA362" s="17"/>
      <c r="AB362" s="17"/>
      <c r="AC362" s="17"/>
      <c r="AD362" s="46" t="str">
        <f aca="true">IF(OR(E362="",B362=""),"",INT(TODAY()-B362))</f>
        <v/>
      </c>
      <c r="AE362" s="44" t="str">
        <f aca="true">IF(E362="","",IF(OR(COUNTIFS(Clients!$C$2:$C$501,E362,Clients!$S$2:$S$501,"Paid")&gt;0,AND(I362&lt;&gt;"",COUNTIFS(Clients!$E$2:$E$501,I362,Clients!$S$2:$S$501,"Paid")&gt;0)),"⚠ Refunded before – no free video",IF(OR(U362="Contract signed + paid",U362="Closed – No response",U362="Lost"),"",IF(U362="","Set a stage",IF(AND(U362="Proposal sent",SUMIFS(Scoresheet!$N$2:$N$501,Scoresheet!$C$2:$C$501,A362,Scoresheet!$U$2:$U$501,1)&lt;6),"Score this lead – fill the call scoresheet",IF(N(W362)&gt;=Settings!$S$3,"Close – 4 follow-ups sent",IF(X362="",IF(V362="","Make first contact",""),IF(TODAY()&gt;X362,"OVERDUE follow-up",IF(TODAY()=X362,"Follow up today","")))))))))</f>
        <v/>
      </c>
    </row>
    <row r="363" customFormat="false" ht="15" hidden="false" customHeight="false" outlineLevel="0" collapsed="false">
      <c r="A363" s="17"/>
      <c r="B363" s="40"/>
      <c r="C363" s="41"/>
      <c r="D363" s="17"/>
      <c r="E363" s="17"/>
      <c r="F363" s="17"/>
      <c r="G363" s="17"/>
      <c r="H363" s="17"/>
      <c r="I363" s="42"/>
      <c r="J363" s="17"/>
      <c r="K363" s="17"/>
      <c r="L363" s="17"/>
      <c r="M363" s="17"/>
      <c r="N363" s="40"/>
      <c r="O363" s="41"/>
      <c r="P363" s="43" t="str">
        <f aca="false">IF(OR(B363="",N363=""),"",ROUND(((N363+N(O363))-(B363+N(C363)))*24,1))</f>
        <v/>
      </c>
      <c r="Q363" s="44" t="str">
        <f aca="false">IF(OR(E363="",A363="",COUNTIFS(Scoresheet!$C$2:$C$501,A363,Scoresheet!$U$2:$U$501,1)=0),"",SUMIFS(Scoresheet!$O$2:$O$501,Scoresheet!$C$2:$C$501,A363,Scoresheet!$U$2:$U$501,1))</f>
        <v/>
      </c>
      <c r="R363" s="44" t="str">
        <f aca="false">IF(E363="","",IF(OR(A363="",COUNTIFS(Scoresheet!$C$2:$C$501,A363,Scoresheet!$U$2:$U$501,1)=0),"No scoresheet yet",IF(SUMIFS(Scoresheet!$N$2:$N$501,Scoresheet!$C$2:$C$501,A363,Scoresheet!$U$2:$U$501,1)&lt;6,"Partly scored ("&amp;SUMIFS(Scoresheet!$N$2:$N$501,Scoresheet!$C$2:$C$501,A363,Scoresheet!$U$2:$U$501,1)&amp;"/6)",IF(Q363&gt;=Settings!$S$8,"Hot",IF(Q363&gt;=Settings!$S$9,"Warm","Cold")))))</f>
        <v/>
      </c>
      <c r="S363" s="44" t="str">
        <f aca="false">IF(OR(E363="",A363=""),"",IF(AND(COUNTIFS(Scoresheet!$C$2:$C$501,A363,Scoresheet!$U$2:$U$501,1,Scoresheet!$H$2:$H$501,"No")&gt;0,COUNTIFS(Scoresheet!$C$2:$C$501,A363,Scoresheet!$U$2:$U$501,1,Scoresheet!$J$2:$J$501,"No")&gt;0),"🚩 Budget  ·  🚩 No one on camera",IF(COUNTIFS(Scoresheet!$C$2:$C$501,A363,Scoresheet!$U$2:$U$501,1,Scoresheet!$H$2:$H$501,"No")&gt;0,"🚩 Budget under AED 5k",IF(COUNTIFS(Scoresheet!$C$2:$C$501,A363,Scoresheet!$U$2:$U$501,1,Scoresheet!$J$2:$J$501,"No")&gt;0,"🚩 No one on camera",""))))</f>
        <v/>
      </c>
      <c r="T363" s="17"/>
      <c r="U363" s="17"/>
      <c r="V363" s="40"/>
      <c r="W363" s="17"/>
      <c r="X363" s="45" t="str">
        <f aca="false">IF(OR(E363="",V363="",OR(U363="Contract signed + paid",U363="Closed – No response",U363="Lost"),N(W363)&gt;=Settings!$S$3),"",V363+Settings!$S$2)</f>
        <v/>
      </c>
      <c r="Y363" s="40"/>
      <c r="Z363" s="41"/>
      <c r="AA363" s="17"/>
      <c r="AB363" s="17"/>
      <c r="AC363" s="17"/>
      <c r="AD363" s="46" t="str">
        <f aca="true">IF(OR(E363="",B363=""),"",INT(TODAY()-B363))</f>
        <v/>
      </c>
      <c r="AE363" s="44" t="str">
        <f aca="true">IF(E363="","",IF(OR(COUNTIFS(Clients!$C$2:$C$501,E363,Clients!$S$2:$S$501,"Paid")&gt;0,AND(I363&lt;&gt;"",COUNTIFS(Clients!$E$2:$E$501,I363,Clients!$S$2:$S$501,"Paid")&gt;0)),"⚠ Refunded before – no free video",IF(OR(U363="Contract signed + paid",U363="Closed – No response",U363="Lost"),"",IF(U363="","Set a stage",IF(AND(U363="Proposal sent",SUMIFS(Scoresheet!$N$2:$N$501,Scoresheet!$C$2:$C$501,A363,Scoresheet!$U$2:$U$501,1)&lt;6),"Score this lead – fill the call scoresheet",IF(N(W363)&gt;=Settings!$S$3,"Close – 4 follow-ups sent",IF(X363="",IF(V363="","Make first contact",""),IF(TODAY()&gt;X363,"OVERDUE follow-up",IF(TODAY()=X363,"Follow up today","")))))))))</f>
        <v/>
      </c>
    </row>
    <row r="364" customFormat="false" ht="15" hidden="false" customHeight="false" outlineLevel="0" collapsed="false">
      <c r="A364" s="17"/>
      <c r="B364" s="40"/>
      <c r="C364" s="41"/>
      <c r="D364" s="17"/>
      <c r="E364" s="17"/>
      <c r="F364" s="17"/>
      <c r="G364" s="17"/>
      <c r="H364" s="17"/>
      <c r="I364" s="42"/>
      <c r="J364" s="17"/>
      <c r="K364" s="17"/>
      <c r="L364" s="17"/>
      <c r="M364" s="17"/>
      <c r="N364" s="40"/>
      <c r="O364" s="41"/>
      <c r="P364" s="43" t="str">
        <f aca="false">IF(OR(B364="",N364=""),"",ROUND(((N364+N(O364))-(B364+N(C364)))*24,1))</f>
        <v/>
      </c>
      <c r="Q364" s="44" t="str">
        <f aca="false">IF(OR(E364="",A364="",COUNTIFS(Scoresheet!$C$2:$C$501,A364,Scoresheet!$U$2:$U$501,1)=0),"",SUMIFS(Scoresheet!$O$2:$O$501,Scoresheet!$C$2:$C$501,A364,Scoresheet!$U$2:$U$501,1))</f>
        <v/>
      </c>
      <c r="R364" s="44" t="str">
        <f aca="false">IF(E364="","",IF(OR(A364="",COUNTIFS(Scoresheet!$C$2:$C$501,A364,Scoresheet!$U$2:$U$501,1)=0),"No scoresheet yet",IF(SUMIFS(Scoresheet!$N$2:$N$501,Scoresheet!$C$2:$C$501,A364,Scoresheet!$U$2:$U$501,1)&lt;6,"Partly scored ("&amp;SUMIFS(Scoresheet!$N$2:$N$501,Scoresheet!$C$2:$C$501,A364,Scoresheet!$U$2:$U$501,1)&amp;"/6)",IF(Q364&gt;=Settings!$S$8,"Hot",IF(Q364&gt;=Settings!$S$9,"Warm","Cold")))))</f>
        <v/>
      </c>
      <c r="S364" s="44" t="str">
        <f aca="false">IF(OR(E364="",A364=""),"",IF(AND(COUNTIFS(Scoresheet!$C$2:$C$501,A364,Scoresheet!$U$2:$U$501,1,Scoresheet!$H$2:$H$501,"No")&gt;0,COUNTIFS(Scoresheet!$C$2:$C$501,A364,Scoresheet!$U$2:$U$501,1,Scoresheet!$J$2:$J$501,"No")&gt;0),"🚩 Budget  ·  🚩 No one on camera",IF(COUNTIFS(Scoresheet!$C$2:$C$501,A364,Scoresheet!$U$2:$U$501,1,Scoresheet!$H$2:$H$501,"No")&gt;0,"🚩 Budget under AED 5k",IF(COUNTIFS(Scoresheet!$C$2:$C$501,A364,Scoresheet!$U$2:$U$501,1,Scoresheet!$J$2:$J$501,"No")&gt;0,"🚩 No one on camera",""))))</f>
        <v/>
      </c>
      <c r="T364" s="17"/>
      <c r="U364" s="17"/>
      <c r="V364" s="40"/>
      <c r="W364" s="17"/>
      <c r="X364" s="45" t="str">
        <f aca="false">IF(OR(E364="",V364="",OR(U364="Contract signed + paid",U364="Closed – No response",U364="Lost"),N(W364)&gt;=Settings!$S$3),"",V364+Settings!$S$2)</f>
        <v/>
      </c>
      <c r="Y364" s="40"/>
      <c r="Z364" s="41"/>
      <c r="AA364" s="17"/>
      <c r="AB364" s="17"/>
      <c r="AC364" s="17"/>
      <c r="AD364" s="46" t="str">
        <f aca="true">IF(OR(E364="",B364=""),"",INT(TODAY()-B364))</f>
        <v/>
      </c>
      <c r="AE364" s="44" t="str">
        <f aca="true">IF(E364="","",IF(OR(COUNTIFS(Clients!$C$2:$C$501,E364,Clients!$S$2:$S$501,"Paid")&gt;0,AND(I364&lt;&gt;"",COUNTIFS(Clients!$E$2:$E$501,I364,Clients!$S$2:$S$501,"Paid")&gt;0)),"⚠ Refunded before – no free video",IF(OR(U364="Contract signed + paid",U364="Closed – No response",U364="Lost"),"",IF(U364="","Set a stage",IF(AND(U364="Proposal sent",SUMIFS(Scoresheet!$N$2:$N$501,Scoresheet!$C$2:$C$501,A364,Scoresheet!$U$2:$U$501,1)&lt;6),"Score this lead – fill the call scoresheet",IF(N(W364)&gt;=Settings!$S$3,"Close – 4 follow-ups sent",IF(X364="",IF(V364="","Make first contact",""),IF(TODAY()&gt;X364,"OVERDUE follow-up",IF(TODAY()=X364,"Follow up today","")))))))))</f>
        <v/>
      </c>
    </row>
    <row r="365" customFormat="false" ht="15" hidden="false" customHeight="false" outlineLevel="0" collapsed="false">
      <c r="A365" s="17"/>
      <c r="B365" s="40"/>
      <c r="C365" s="41"/>
      <c r="D365" s="17"/>
      <c r="E365" s="17"/>
      <c r="F365" s="17"/>
      <c r="G365" s="17"/>
      <c r="H365" s="17"/>
      <c r="I365" s="42"/>
      <c r="J365" s="17"/>
      <c r="K365" s="17"/>
      <c r="L365" s="17"/>
      <c r="M365" s="17"/>
      <c r="N365" s="40"/>
      <c r="O365" s="41"/>
      <c r="P365" s="43" t="str">
        <f aca="false">IF(OR(B365="",N365=""),"",ROUND(((N365+N(O365))-(B365+N(C365)))*24,1))</f>
        <v/>
      </c>
      <c r="Q365" s="44" t="str">
        <f aca="false">IF(OR(E365="",A365="",COUNTIFS(Scoresheet!$C$2:$C$501,A365,Scoresheet!$U$2:$U$501,1)=0),"",SUMIFS(Scoresheet!$O$2:$O$501,Scoresheet!$C$2:$C$501,A365,Scoresheet!$U$2:$U$501,1))</f>
        <v/>
      </c>
      <c r="R365" s="44" t="str">
        <f aca="false">IF(E365="","",IF(OR(A365="",COUNTIFS(Scoresheet!$C$2:$C$501,A365,Scoresheet!$U$2:$U$501,1)=0),"No scoresheet yet",IF(SUMIFS(Scoresheet!$N$2:$N$501,Scoresheet!$C$2:$C$501,A365,Scoresheet!$U$2:$U$501,1)&lt;6,"Partly scored ("&amp;SUMIFS(Scoresheet!$N$2:$N$501,Scoresheet!$C$2:$C$501,A365,Scoresheet!$U$2:$U$501,1)&amp;"/6)",IF(Q365&gt;=Settings!$S$8,"Hot",IF(Q365&gt;=Settings!$S$9,"Warm","Cold")))))</f>
        <v/>
      </c>
      <c r="S365" s="44" t="str">
        <f aca="false">IF(OR(E365="",A365=""),"",IF(AND(COUNTIFS(Scoresheet!$C$2:$C$501,A365,Scoresheet!$U$2:$U$501,1,Scoresheet!$H$2:$H$501,"No")&gt;0,COUNTIFS(Scoresheet!$C$2:$C$501,A365,Scoresheet!$U$2:$U$501,1,Scoresheet!$J$2:$J$501,"No")&gt;0),"🚩 Budget  ·  🚩 No one on camera",IF(COUNTIFS(Scoresheet!$C$2:$C$501,A365,Scoresheet!$U$2:$U$501,1,Scoresheet!$H$2:$H$501,"No")&gt;0,"🚩 Budget under AED 5k",IF(COUNTIFS(Scoresheet!$C$2:$C$501,A365,Scoresheet!$U$2:$U$501,1,Scoresheet!$J$2:$J$501,"No")&gt;0,"🚩 No one on camera",""))))</f>
        <v/>
      </c>
      <c r="T365" s="17"/>
      <c r="U365" s="17"/>
      <c r="V365" s="40"/>
      <c r="W365" s="17"/>
      <c r="X365" s="45" t="str">
        <f aca="false">IF(OR(E365="",V365="",OR(U365="Contract signed + paid",U365="Closed – No response",U365="Lost"),N(W365)&gt;=Settings!$S$3),"",V365+Settings!$S$2)</f>
        <v/>
      </c>
      <c r="Y365" s="40"/>
      <c r="Z365" s="41"/>
      <c r="AA365" s="17"/>
      <c r="AB365" s="17"/>
      <c r="AC365" s="17"/>
      <c r="AD365" s="46" t="str">
        <f aca="true">IF(OR(E365="",B365=""),"",INT(TODAY()-B365))</f>
        <v/>
      </c>
      <c r="AE365" s="44" t="str">
        <f aca="true">IF(E365="","",IF(OR(COUNTIFS(Clients!$C$2:$C$501,E365,Clients!$S$2:$S$501,"Paid")&gt;0,AND(I365&lt;&gt;"",COUNTIFS(Clients!$E$2:$E$501,I365,Clients!$S$2:$S$501,"Paid")&gt;0)),"⚠ Refunded before – no free video",IF(OR(U365="Contract signed + paid",U365="Closed – No response",U365="Lost"),"",IF(U365="","Set a stage",IF(AND(U365="Proposal sent",SUMIFS(Scoresheet!$N$2:$N$501,Scoresheet!$C$2:$C$501,A365,Scoresheet!$U$2:$U$501,1)&lt;6),"Score this lead – fill the call scoresheet",IF(N(W365)&gt;=Settings!$S$3,"Close – 4 follow-ups sent",IF(X365="",IF(V365="","Make first contact",""),IF(TODAY()&gt;X365,"OVERDUE follow-up",IF(TODAY()=X365,"Follow up today","")))))))))</f>
        <v/>
      </c>
    </row>
    <row r="366" customFormat="false" ht="15" hidden="false" customHeight="false" outlineLevel="0" collapsed="false">
      <c r="A366" s="17"/>
      <c r="B366" s="40"/>
      <c r="C366" s="41"/>
      <c r="D366" s="17"/>
      <c r="E366" s="17"/>
      <c r="F366" s="17"/>
      <c r="G366" s="17"/>
      <c r="H366" s="17"/>
      <c r="I366" s="42"/>
      <c r="J366" s="17"/>
      <c r="K366" s="17"/>
      <c r="L366" s="17"/>
      <c r="M366" s="17"/>
      <c r="N366" s="40"/>
      <c r="O366" s="41"/>
      <c r="P366" s="43" t="str">
        <f aca="false">IF(OR(B366="",N366=""),"",ROUND(((N366+N(O366))-(B366+N(C366)))*24,1))</f>
        <v/>
      </c>
      <c r="Q366" s="44" t="str">
        <f aca="false">IF(OR(E366="",A366="",COUNTIFS(Scoresheet!$C$2:$C$501,A366,Scoresheet!$U$2:$U$501,1)=0),"",SUMIFS(Scoresheet!$O$2:$O$501,Scoresheet!$C$2:$C$501,A366,Scoresheet!$U$2:$U$501,1))</f>
        <v/>
      </c>
      <c r="R366" s="44" t="str">
        <f aca="false">IF(E366="","",IF(OR(A366="",COUNTIFS(Scoresheet!$C$2:$C$501,A366,Scoresheet!$U$2:$U$501,1)=0),"No scoresheet yet",IF(SUMIFS(Scoresheet!$N$2:$N$501,Scoresheet!$C$2:$C$501,A366,Scoresheet!$U$2:$U$501,1)&lt;6,"Partly scored ("&amp;SUMIFS(Scoresheet!$N$2:$N$501,Scoresheet!$C$2:$C$501,A366,Scoresheet!$U$2:$U$501,1)&amp;"/6)",IF(Q366&gt;=Settings!$S$8,"Hot",IF(Q366&gt;=Settings!$S$9,"Warm","Cold")))))</f>
        <v/>
      </c>
      <c r="S366" s="44" t="str">
        <f aca="false">IF(OR(E366="",A366=""),"",IF(AND(COUNTIFS(Scoresheet!$C$2:$C$501,A366,Scoresheet!$U$2:$U$501,1,Scoresheet!$H$2:$H$501,"No")&gt;0,COUNTIFS(Scoresheet!$C$2:$C$501,A366,Scoresheet!$U$2:$U$501,1,Scoresheet!$J$2:$J$501,"No")&gt;0),"🚩 Budget  ·  🚩 No one on camera",IF(COUNTIFS(Scoresheet!$C$2:$C$501,A366,Scoresheet!$U$2:$U$501,1,Scoresheet!$H$2:$H$501,"No")&gt;0,"🚩 Budget under AED 5k",IF(COUNTIFS(Scoresheet!$C$2:$C$501,A366,Scoresheet!$U$2:$U$501,1,Scoresheet!$J$2:$J$501,"No")&gt;0,"🚩 No one on camera",""))))</f>
        <v/>
      </c>
      <c r="T366" s="17"/>
      <c r="U366" s="17"/>
      <c r="V366" s="40"/>
      <c r="W366" s="17"/>
      <c r="X366" s="45" t="str">
        <f aca="false">IF(OR(E366="",V366="",OR(U366="Contract signed + paid",U366="Closed – No response",U366="Lost"),N(W366)&gt;=Settings!$S$3),"",V366+Settings!$S$2)</f>
        <v/>
      </c>
      <c r="Y366" s="40"/>
      <c r="Z366" s="41"/>
      <c r="AA366" s="17"/>
      <c r="AB366" s="17"/>
      <c r="AC366" s="17"/>
      <c r="AD366" s="46" t="str">
        <f aca="true">IF(OR(E366="",B366=""),"",INT(TODAY()-B366))</f>
        <v/>
      </c>
      <c r="AE366" s="44" t="str">
        <f aca="true">IF(E366="","",IF(OR(COUNTIFS(Clients!$C$2:$C$501,E366,Clients!$S$2:$S$501,"Paid")&gt;0,AND(I366&lt;&gt;"",COUNTIFS(Clients!$E$2:$E$501,I366,Clients!$S$2:$S$501,"Paid")&gt;0)),"⚠ Refunded before – no free video",IF(OR(U366="Contract signed + paid",U366="Closed – No response",U366="Lost"),"",IF(U366="","Set a stage",IF(AND(U366="Proposal sent",SUMIFS(Scoresheet!$N$2:$N$501,Scoresheet!$C$2:$C$501,A366,Scoresheet!$U$2:$U$501,1)&lt;6),"Score this lead – fill the call scoresheet",IF(N(W366)&gt;=Settings!$S$3,"Close – 4 follow-ups sent",IF(X366="",IF(V366="","Make first contact",""),IF(TODAY()&gt;X366,"OVERDUE follow-up",IF(TODAY()=X366,"Follow up today","")))))))))</f>
        <v/>
      </c>
    </row>
    <row r="367" customFormat="false" ht="15" hidden="false" customHeight="false" outlineLevel="0" collapsed="false">
      <c r="A367" s="17"/>
      <c r="B367" s="40"/>
      <c r="C367" s="41"/>
      <c r="D367" s="17"/>
      <c r="E367" s="17"/>
      <c r="F367" s="17"/>
      <c r="G367" s="17"/>
      <c r="H367" s="17"/>
      <c r="I367" s="42"/>
      <c r="J367" s="17"/>
      <c r="K367" s="17"/>
      <c r="L367" s="17"/>
      <c r="M367" s="17"/>
      <c r="N367" s="40"/>
      <c r="O367" s="41"/>
      <c r="P367" s="43" t="str">
        <f aca="false">IF(OR(B367="",N367=""),"",ROUND(((N367+N(O367))-(B367+N(C367)))*24,1))</f>
        <v/>
      </c>
      <c r="Q367" s="44" t="str">
        <f aca="false">IF(OR(E367="",A367="",COUNTIFS(Scoresheet!$C$2:$C$501,A367,Scoresheet!$U$2:$U$501,1)=0),"",SUMIFS(Scoresheet!$O$2:$O$501,Scoresheet!$C$2:$C$501,A367,Scoresheet!$U$2:$U$501,1))</f>
        <v/>
      </c>
      <c r="R367" s="44" t="str">
        <f aca="false">IF(E367="","",IF(OR(A367="",COUNTIFS(Scoresheet!$C$2:$C$501,A367,Scoresheet!$U$2:$U$501,1)=0),"No scoresheet yet",IF(SUMIFS(Scoresheet!$N$2:$N$501,Scoresheet!$C$2:$C$501,A367,Scoresheet!$U$2:$U$501,1)&lt;6,"Partly scored ("&amp;SUMIFS(Scoresheet!$N$2:$N$501,Scoresheet!$C$2:$C$501,A367,Scoresheet!$U$2:$U$501,1)&amp;"/6)",IF(Q367&gt;=Settings!$S$8,"Hot",IF(Q367&gt;=Settings!$S$9,"Warm","Cold")))))</f>
        <v/>
      </c>
      <c r="S367" s="44" t="str">
        <f aca="false">IF(OR(E367="",A367=""),"",IF(AND(COUNTIFS(Scoresheet!$C$2:$C$501,A367,Scoresheet!$U$2:$U$501,1,Scoresheet!$H$2:$H$501,"No")&gt;0,COUNTIFS(Scoresheet!$C$2:$C$501,A367,Scoresheet!$U$2:$U$501,1,Scoresheet!$J$2:$J$501,"No")&gt;0),"🚩 Budget  ·  🚩 No one on camera",IF(COUNTIFS(Scoresheet!$C$2:$C$501,A367,Scoresheet!$U$2:$U$501,1,Scoresheet!$H$2:$H$501,"No")&gt;0,"🚩 Budget under AED 5k",IF(COUNTIFS(Scoresheet!$C$2:$C$501,A367,Scoresheet!$U$2:$U$501,1,Scoresheet!$J$2:$J$501,"No")&gt;0,"🚩 No one on camera",""))))</f>
        <v/>
      </c>
      <c r="T367" s="17"/>
      <c r="U367" s="17"/>
      <c r="V367" s="40"/>
      <c r="W367" s="17"/>
      <c r="X367" s="45" t="str">
        <f aca="false">IF(OR(E367="",V367="",OR(U367="Contract signed + paid",U367="Closed – No response",U367="Lost"),N(W367)&gt;=Settings!$S$3),"",V367+Settings!$S$2)</f>
        <v/>
      </c>
      <c r="Y367" s="40"/>
      <c r="Z367" s="41"/>
      <c r="AA367" s="17"/>
      <c r="AB367" s="17"/>
      <c r="AC367" s="17"/>
      <c r="AD367" s="46" t="str">
        <f aca="true">IF(OR(E367="",B367=""),"",INT(TODAY()-B367))</f>
        <v/>
      </c>
      <c r="AE367" s="44" t="str">
        <f aca="true">IF(E367="","",IF(OR(COUNTIFS(Clients!$C$2:$C$501,E367,Clients!$S$2:$S$501,"Paid")&gt;0,AND(I367&lt;&gt;"",COUNTIFS(Clients!$E$2:$E$501,I367,Clients!$S$2:$S$501,"Paid")&gt;0)),"⚠ Refunded before – no free video",IF(OR(U367="Contract signed + paid",U367="Closed – No response",U367="Lost"),"",IF(U367="","Set a stage",IF(AND(U367="Proposal sent",SUMIFS(Scoresheet!$N$2:$N$501,Scoresheet!$C$2:$C$501,A367,Scoresheet!$U$2:$U$501,1)&lt;6),"Score this lead – fill the call scoresheet",IF(N(W367)&gt;=Settings!$S$3,"Close – 4 follow-ups sent",IF(X367="",IF(V367="","Make first contact",""),IF(TODAY()&gt;X367,"OVERDUE follow-up",IF(TODAY()=X367,"Follow up today","")))))))))</f>
        <v/>
      </c>
    </row>
    <row r="368" customFormat="false" ht="15" hidden="false" customHeight="false" outlineLevel="0" collapsed="false">
      <c r="A368" s="17"/>
      <c r="B368" s="40"/>
      <c r="C368" s="41"/>
      <c r="D368" s="17"/>
      <c r="E368" s="17"/>
      <c r="F368" s="17"/>
      <c r="G368" s="17"/>
      <c r="H368" s="17"/>
      <c r="I368" s="42"/>
      <c r="J368" s="17"/>
      <c r="K368" s="17"/>
      <c r="L368" s="17"/>
      <c r="M368" s="17"/>
      <c r="N368" s="40"/>
      <c r="O368" s="41"/>
      <c r="P368" s="43" t="str">
        <f aca="false">IF(OR(B368="",N368=""),"",ROUND(((N368+N(O368))-(B368+N(C368)))*24,1))</f>
        <v/>
      </c>
      <c r="Q368" s="44" t="str">
        <f aca="false">IF(OR(E368="",A368="",COUNTIFS(Scoresheet!$C$2:$C$501,A368,Scoresheet!$U$2:$U$501,1)=0),"",SUMIFS(Scoresheet!$O$2:$O$501,Scoresheet!$C$2:$C$501,A368,Scoresheet!$U$2:$U$501,1))</f>
        <v/>
      </c>
      <c r="R368" s="44" t="str">
        <f aca="false">IF(E368="","",IF(OR(A368="",COUNTIFS(Scoresheet!$C$2:$C$501,A368,Scoresheet!$U$2:$U$501,1)=0),"No scoresheet yet",IF(SUMIFS(Scoresheet!$N$2:$N$501,Scoresheet!$C$2:$C$501,A368,Scoresheet!$U$2:$U$501,1)&lt;6,"Partly scored ("&amp;SUMIFS(Scoresheet!$N$2:$N$501,Scoresheet!$C$2:$C$501,A368,Scoresheet!$U$2:$U$501,1)&amp;"/6)",IF(Q368&gt;=Settings!$S$8,"Hot",IF(Q368&gt;=Settings!$S$9,"Warm","Cold")))))</f>
        <v/>
      </c>
      <c r="S368" s="44" t="str">
        <f aca="false">IF(OR(E368="",A368=""),"",IF(AND(COUNTIFS(Scoresheet!$C$2:$C$501,A368,Scoresheet!$U$2:$U$501,1,Scoresheet!$H$2:$H$501,"No")&gt;0,COUNTIFS(Scoresheet!$C$2:$C$501,A368,Scoresheet!$U$2:$U$501,1,Scoresheet!$J$2:$J$501,"No")&gt;0),"🚩 Budget  ·  🚩 No one on camera",IF(COUNTIFS(Scoresheet!$C$2:$C$501,A368,Scoresheet!$U$2:$U$501,1,Scoresheet!$H$2:$H$501,"No")&gt;0,"🚩 Budget under AED 5k",IF(COUNTIFS(Scoresheet!$C$2:$C$501,A368,Scoresheet!$U$2:$U$501,1,Scoresheet!$J$2:$J$501,"No")&gt;0,"🚩 No one on camera",""))))</f>
        <v/>
      </c>
      <c r="T368" s="17"/>
      <c r="U368" s="17"/>
      <c r="V368" s="40"/>
      <c r="W368" s="17"/>
      <c r="X368" s="45" t="str">
        <f aca="false">IF(OR(E368="",V368="",OR(U368="Contract signed + paid",U368="Closed – No response",U368="Lost"),N(W368)&gt;=Settings!$S$3),"",V368+Settings!$S$2)</f>
        <v/>
      </c>
      <c r="Y368" s="40"/>
      <c r="Z368" s="41"/>
      <c r="AA368" s="17"/>
      <c r="AB368" s="17"/>
      <c r="AC368" s="17"/>
      <c r="AD368" s="46" t="str">
        <f aca="true">IF(OR(E368="",B368=""),"",INT(TODAY()-B368))</f>
        <v/>
      </c>
      <c r="AE368" s="44" t="str">
        <f aca="true">IF(E368="","",IF(OR(COUNTIFS(Clients!$C$2:$C$501,E368,Clients!$S$2:$S$501,"Paid")&gt;0,AND(I368&lt;&gt;"",COUNTIFS(Clients!$E$2:$E$501,I368,Clients!$S$2:$S$501,"Paid")&gt;0)),"⚠ Refunded before – no free video",IF(OR(U368="Contract signed + paid",U368="Closed – No response",U368="Lost"),"",IF(U368="","Set a stage",IF(AND(U368="Proposal sent",SUMIFS(Scoresheet!$N$2:$N$501,Scoresheet!$C$2:$C$501,A368,Scoresheet!$U$2:$U$501,1)&lt;6),"Score this lead – fill the call scoresheet",IF(N(W368)&gt;=Settings!$S$3,"Close – 4 follow-ups sent",IF(X368="",IF(V368="","Make first contact",""),IF(TODAY()&gt;X368,"OVERDUE follow-up",IF(TODAY()=X368,"Follow up today","")))))))))</f>
        <v/>
      </c>
    </row>
    <row r="369" customFormat="false" ht="15" hidden="false" customHeight="false" outlineLevel="0" collapsed="false">
      <c r="A369" s="17"/>
      <c r="B369" s="40"/>
      <c r="C369" s="41"/>
      <c r="D369" s="17"/>
      <c r="E369" s="17"/>
      <c r="F369" s="17"/>
      <c r="G369" s="17"/>
      <c r="H369" s="17"/>
      <c r="I369" s="42"/>
      <c r="J369" s="17"/>
      <c r="K369" s="17"/>
      <c r="L369" s="17"/>
      <c r="M369" s="17"/>
      <c r="N369" s="40"/>
      <c r="O369" s="41"/>
      <c r="P369" s="43" t="str">
        <f aca="false">IF(OR(B369="",N369=""),"",ROUND(((N369+N(O369))-(B369+N(C369)))*24,1))</f>
        <v/>
      </c>
      <c r="Q369" s="44" t="str">
        <f aca="false">IF(OR(E369="",A369="",COUNTIFS(Scoresheet!$C$2:$C$501,A369,Scoresheet!$U$2:$U$501,1)=0),"",SUMIFS(Scoresheet!$O$2:$O$501,Scoresheet!$C$2:$C$501,A369,Scoresheet!$U$2:$U$501,1))</f>
        <v/>
      </c>
      <c r="R369" s="44" t="str">
        <f aca="false">IF(E369="","",IF(OR(A369="",COUNTIFS(Scoresheet!$C$2:$C$501,A369,Scoresheet!$U$2:$U$501,1)=0),"No scoresheet yet",IF(SUMIFS(Scoresheet!$N$2:$N$501,Scoresheet!$C$2:$C$501,A369,Scoresheet!$U$2:$U$501,1)&lt;6,"Partly scored ("&amp;SUMIFS(Scoresheet!$N$2:$N$501,Scoresheet!$C$2:$C$501,A369,Scoresheet!$U$2:$U$501,1)&amp;"/6)",IF(Q369&gt;=Settings!$S$8,"Hot",IF(Q369&gt;=Settings!$S$9,"Warm","Cold")))))</f>
        <v/>
      </c>
      <c r="S369" s="44" t="str">
        <f aca="false">IF(OR(E369="",A369=""),"",IF(AND(COUNTIFS(Scoresheet!$C$2:$C$501,A369,Scoresheet!$U$2:$U$501,1,Scoresheet!$H$2:$H$501,"No")&gt;0,COUNTIFS(Scoresheet!$C$2:$C$501,A369,Scoresheet!$U$2:$U$501,1,Scoresheet!$J$2:$J$501,"No")&gt;0),"🚩 Budget  ·  🚩 No one on camera",IF(COUNTIFS(Scoresheet!$C$2:$C$501,A369,Scoresheet!$U$2:$U$501,1,Scoresheet!$H$2:$H$501,"No")&gt;0,"🚩 Budget under AED 5k",IF(COUNTIFS(Scoresheet!$C$2:$C$501,A369,Scoresheet!$U$2:$U$501,1,Scoresheet!$J$2:$J$501,"No")&gt;0,"🚩 No one on camera",""))))</f>
        <v/>
      </c>
      <c r="T369" s="17"/>
      <c r="U369" s="17"/>
      <c r="V369" s="40"/>
      <c r="W369" s="17"/>
      <c r="X369" s="45" t="str">
        <f aca="false">IF(OR(E369="",V369="",OR(U369="Contract signed + paid",U369="Closed – No response",U369="Lost"),N(W369)&gt;=Settings!$S$3),"",V369+Settings!$S$2)</f>
        <v/>
      </c>
      <c r="Y369" s="40"/>
      <c r="Z369" s="41"/>
      <c r="AA369" s="17"/>
      <c r="AB369" s="17"/>
      <c r="AC369" s="17"/>
      <c r="AD369" s="46" t="str">
        <f aca="true">IF(OR(E369="",B369=""),"",INT(TODAY()-B369))</f>
        <v/>
      </c>
      <c r="AE369" s="44" t="str">
        <f aca="true">IF(E369="","",IF(OR(COUNTIFS(Clients!$C$2:$C$501,E369,Clients!$S$2:$S$501,"Paid")&gt;0,AND(I369&lt;&gt;"",COUNTIFS(Clients!$E$2:$E$501,I369,Clients!$S$2:$S$501,"Paid")&gt;0)),"⚠ Refunded before – no free video",IF(OR(U369="Contract signed + paid",U369="Closed – No response",U369="Lost"),"",IF(U369="","Set a stage",IF(AND(U369="Proposal sent",SUMIFS(Scoresheet!$N$2:$N$501,Scoresheet!$C$2:$C$501,A369,Scoresheet!$U$2:$U$501,1)&lt;6),"Score this lead – fill the call scoresheet",IF(N(W369)&gt;=Settings!$S$3,"Close – 4 follow-ups sent",IF(X369="",IF(V369="","Make first contact",""),IF(TODAY()&gt;X369,"OVERDUE follow-up",IF(TODAY()=X369,"Follow up today","")))))))))</f>
        <v/>
      </c>
    </row>
    <row r="370" customFormat="false" ht="15" hidden="false" customHeight="false" outlineLevel="0" collapsed="false">
      <c r="A370" s="17"/>
      <c r="B370" s="40"/>
      <c r="C370" s="41"/>
      <c r="D370" s="17"/>
      <c r="E370" s="17"/>
      <c r="F370" s="17"/>
      <c r="G370" s="17"/>
      <c r="H370" s="17"/>
      <c r="I370" s="42"/>
      <c r="J370" s="17"/>
      <c r="K370" s="17"/>
      <c r="L370" s="17"/>
      <c r="M370" s="17"/>
      <c r="N370" s="40"/>
      <c r="O370" s="41"/>
      <c r="P370" s="43" t="str">
        <f aca="false">IF(OR(B370="",N370=""),"",ROUND(((N370+N(O370))-(B370+N(C370)))*24,1))</f>
        <v/>
      </c>
      <c r="Q370" s="44" t="str">
        <f aca="false">IF(OR(E370="",A370="",COUNTIFS(Scoresheet!$C$2:$C$501,A370,Scoresheet!$U$2:$U$501,1)=0),"",SUMIFS(Scoresheet!$O$2:$O$501,Scoresheet!$C$2:$C$501,A370,Scoresheet!$U$2:$U$501,1))</f>
        <v/>
      </c>
      <c r="R370" s="44" t="str">
        <f aca="false">IF(E370="","",IF(OR(A370="",COUNTIFS(Scoresheet!$C$2:$C$501,A370,Scoresheet!$U$2:$U$501,1)=0),"No scoresheet yet",IF(SUMIFS(Scoresheet!$N$2:$N$501,Scoresheet!$C$2:$C$501,A370,Scoresheet!$U$2:$U$501,1)&lt;6,"Partly scored ("&amp;SUMIFS(Scoresheet!$N$2:$N$501,Scoresheet!$C$2:$C$501,A370,Scoresheet!$U$2:$U$501,1)&amp;"/6)",IF(Q370&gt;=Settings!$S$8,"Hot",IF(Q370&gt;=Settings!$S$9,"Warm","Cold")))))</f>
        <v/>
      </c>
      <c r="S370" s="44" t="str">
        <f aca="false">IF(OR(E370="",A370=""),"",IF(AND(COUNTIFS(Scoresheet!$C$2:$C$501,A370,Scoresheet!$U$2:$U$501,1,Scoresheet!$H$2:$H$501,"No")&gt;0,COUNTIFS(Scoresheet!$C$2:$C$501,A370,Scoresheet!$U$2:$U$501,1,Scoresheet!$J$2:$J$501,"No")&gt;0),"🚩 Budget  ·  🚩 No one on camera",IF(COUNTIFS(Scoresheet!$C$2:$C$501,A370,Scoresheet!$U$2:$U$501,1,Scoresheet!$H$2:$H$501,"No")&gt;0,"🚩 Budget under AED 5k",IF(COUNTIFS(Scoresheet!$C$2:$C$501,A370,Scoresheet!$U$2:$U$501,1,Scoresheet!$J$2:$J$501,"No")&gt;0,"🚩 No one on camera",""))))</f>
        <v/>
      </c>
      <c r="T370" s="17"/>
      <c r="U370" s="17"/>
      <c r="V370" s="40"/>
      <c r="W370" s="17"/>
      <c r="X370" s="45" t="str">
        <f aca="false">IF(OR(E370="",V370="",OR(U370="Contract signed + paid",U370="Closed – No response",U370="Lost"),N(W370)&gt;=Settings!$S$3),"",V370+Settings!$S$2)</f>
        <v/>
      </c>
      <c r="Y370" s="40"/>
      <c r="Z370" s="41"/>
      <c r="AA370" s="17"/>
      <c r="AB370" s="17"/>
      <c r="AC370" s="17"/>
      <c r="AD370" s="46" t="str">
        <f aca="true">IF(OR(E370="",B370=""),"",INT(TODAY()-B370))</f>
        <v/>
      </c>
      <c r="AE370" s="44" t="str">
        <f aca="true">IF(E370="","",IF(OR(COUNTIFS(Clients!$C$2:$C$501,E370,Clients!$S$2:$S$501,"Paid")&gt;0,AND(I370&lt;&gt;"",COUNTIFS(Clients!$E$2:$E$501,I370,Clients!$S$2:$S$501,"Paid")&gt;0)),"⚠ Refunded before – no free video",IF(OR(U370="Contract signed + paid",U370="Closed – No response",U370="Lost"),"",IF(U370="","Set a stage",IF(AND(U370="Proposal sent",SUMIFS(Scoresheet!$N$2:$N$501,Scoresheet!$C$2:$C$501,A370,Scoresheet!$U$2:$U$501,1)&lt;6),"Score this lead – fill the call scoresheet",IF(N(W370)&gt;=Settings!$S$3,"Close – 4 follow-ups sent",IF(X370="",IF(V370="","Make first contact",""),IF(TODAY()&gt;X370,"OVERDUE follow-up",IF(TODAY()=X370,"Follow up today","")))))))))</f>
        <v/>
      </c>
    </row>
    <row r="371" customFormat="false" ht="15" hidden="false" customHeight="false" outlineLevel="0" collapsed="false">
      <c r="A371" s="17"/>
      <c r="B371" s="40"/>
      <c r="C371" s="41"/>
      <c r="D371" s="17"/>
      <c r="E371" s="17"/>
      <c r="F371" s="17"/>
      <c r="G371" s="17"/>
      <c r="H371" s="17"/>
      <c r="I371" s="42"/>
      <c r="J371" s="17"/>
      <c r="K371" s="17"/>
      <c r="L371" s="17"/>
      <c r="M371" s="17"/>
      <c r="N371" s="40"/>
      <c r="O371" s="41"/>
      <c r="P371" s="43" t="str">
        <f aca="false">IF(OR(B371="",N371=""),"",ROUND(((N371+N(O371))-(B371+N(C371)))*24,1))</f>
        <v/>
      </c>
      <c r="Q371" s="44" t="str">
        <f aca="false">IF(OR(E371="",A371="",COUNTIFS(Scoresheet!$C$2:$C$501,A371,Scoresheet!$U$2:$U$501,1)=0),"",SUMIFS(Scoresheet!$O$2:$O$501,Scoresheet!$C$2:$C$501,A371,Scoresheet!$U$2:$U$501,1))</f>
        <v/>
      </c>
      <c r="R371" s="44" t="str">
        <f aca="false">IF(E371="","",IF(OR(A371="",COUNTIFS(Scoresheet!$C$2:$C$501,A371,Scoresheet!$U$2:$U$501,1)=0),"No scoresheet yet",IF(SUMIFS(Scoresheet!$N$2:$N$501,Scoresheet!$C$2:$C$501,A371,Scoresheet!$U$2:$U$501,1)&lt;6,"Partly scored ("&amp;SUMIFS(Scoresheet!$N$2:$N$501,Scoresheet!$C$2:$C$501,A371,Scoresheet!$U$2:$U$501,1)&amp;"/6)",IF(Q371&gt;=Settings!$S$8,"Hot",IF(Q371&gt;=Settings!$S$9,"Warm","Cold")))))</f>
        <v/>
      </c>
      <c r="S371" s="44" t="str">
        <f aca="false">IF(OR(E371="",A371=""),"",IF(AND(COUNTIFS(Scoresheet!$C$2:$C$501,A371,Scoresheet!$U$2:$U$501,1,Scoresheet!$H$2:$H$501,"No")&gt;0,COUNTIFS(Scoresheet!$C$2:$C$501,A371,Scoresheet!$U$2:$U$501,1,Scoresheet!$J$2:$J$501,"No")&gt;0),"🚩 Budget  ·  🚩 No one on camera",IF(COUNTIFS(Scoresheet!$C$2:$C$501,A371,Scoresheet!$U$2:$U$501,1,Scoresheet!$H$2:$H$501,"No")&gt;0,"🚩 Budget under AED 5k",IF(COUNTIFS(Scoresheet!$C$2:$C$501,A371,Scoresheet!$U$2:$U$501,1,Scoresheet!$J$2:$J$501,"No")&gt;0,"🚩 No one on camera",""))))</f>
        <v/>
      </c>
      <c r="T371" s="17"/>
      <c r="U371" s="17"/>
      <c r="V371" s="40"/>
      <c r="W371" s="17"/>
      <c r="X371" s="45" t="str">
        <f aca="false">IF(OR(E371="",V371="",OR(U371="Contract signed + paid",U371="Closed – No response",U371="Lost"),N(W371)&gt;=Settings!$S$3),"",V371+Settings!$S$2)</f>
        <v/>
      </c>
      <c r="Y371" s="40"/>
      <c r="Z371" s="41"/>
      <c r="AA371" s="17"/>
      <c r="AB371" s="17"/>
      <c r="AC371" s="17"/>
      <c r="AD371" s="46" t="str">
        <f aca="true">IF(OR(E371="",B371=""),"",INT(TODAY()-B371))</f>
        <v/>
      </c>
      <c r="AE371" s="44" t="str">
        <f aca="true">IF(E371="","",IF(OR(COUNTIFS(Clients!$C$2:$C$501,E371,Clients!$S$2:$S$501,"Paid")&gt;0,AND(I371&lt;&gt;"",COUNTIFS(Clients!$E$2:$E$501,I371,Clients!$S$2:$S$501,"Paid")&gt;0)),"⚠ Refunded before – no free video",IF(OR(U371="Contract signed + paid",U371="Closed – No response",U371="Lost"),"",IF(U371="","Set a stage",IF(AND(U371="Proposal sent",SUMIFS(Scoresheet!$N$2:$N$501,Scoresheet!$C$2:$C$501,A371,Scoresheet!$U$2:$U$501,1)&lt;6),"Score this lead – fill the call scoresheet",IF(N(W371)&gt;=Settings!$S$3,"Close – 4 follow-ups sent",IF(X371="",IF(V371="","Make first contact",""),IF(TODAY()&gt;X371,"OVERDUE follow-up",IF(TODAY()=X371,"Follow up today","")))))))))</f>
        <v/>
      </c>
    </row>
    <row r="372" customFormat="false" ht="15" hidden="false" customHeight="false" outlineLevel="0" collapsed="false">
      <c r="A372" s="17"/>
      <c r="B372" s="40"/>
      <c r="C372" s="41"/>
      <c r="D372" s="17"/>
      <c r="E372" s="17"/>
      <c r="F372" s="17"/>
      <c r="G372" s="17"/>
      <c r="H372" s="17"/>
      <c r="I372" s="42"/>
      <c r="J372" s="17"/>
      <c r="K372" s="17"/>
      <c r="L372" s="17"/>
      <c r="M372" s="17"/>
      <c r="N372" s="40"/>
      <c r="O372" s="41"/>
      <c r="P372" s="43" t="str">
        <f aca="false">IF(OR(B372="",N372=""),"",ROUND(((N372+N(O372))-(B372+N(C372)))*24,1))</f>
        <v/>
      </c>
      <c r="Q372" s="44" t="str">
        <f aca="false">IF(OR(E372="",A372="",COUNTIFS(Scoresheet!$C$2:$C$501,A372,Scoresheet!$U$2:$U$501,1)=0),"",SUMIFS(Scoresheet!$O$2:$O$501,Scoresheet!$C$2:$C$501,A372,Scoresheet!$U$2:$U$501,1))</f>
        <v/>
      </c>
      <c r="R372" s="44" t="str">
        <f aca="false">IF(E372="","",IF(OR(A372="",COUNTIFS(Scoresheet!$C$2:$C$501,A372,Scoresheet!$U$2:$U$501,1)=0),"No scoresheet yet",IF(SUMIFS(Scoresheet!$N$2:$N$501,Scoresheet!$C$2:$C$501,A372,Scoresheet!$U$2:$U$501,1)&lt;6,"Partly scored ("&amp;SUMIFS(Scoresheet!$N$2:$N$501,Scoresheet!$C$2:$C$501,A372,Scoresheet!$U$2:$U$501,1)&amp;"/6)",IF(Q372&gt;=Settings!$S$8,"Hot",IF(Q372&gt;=Settings!$S$9,"Warm","Cold")))))</f>
        <v/>
      </c>
      <c r="S372" s="44" t="str">
        <f aca="false">IF(OR(E372="",A372=""),"",IF(AND(COUNTIFS(Scoresheet!$C$2:$C$501,A372,Scoresheet!$U$2:$U$501,1,Scoresheet!$H$2:$H$501,"No")&gt;0,COUNTIFS(Scoresheet!$C$2:$C$501,A372,Scoresheet!$U$2:$U$501,1,Scoresheet!$J$2:$J$501,"No")&gt;0),"🚩 Budget  ·  🚩 No one on camera",IF(COUNTIFS(Scoresheet!$C$2:$C$501,A372,Scoresheet!$U$2:$U$501,1,Scoresheet!$H$2:$H$501,"No")&gt;0,"🚩 Budget under AED 5k",IF(COUNTIFS(Scoresheet!$C$2:$C$501,A372,Scoresheet!$U$2:$U$501,1,Scoresheet!$J$2:$J$501,"No")&gt;0,"🚩 No one on camera",""))))</f>
        <v/>
      </c>
      <c r="T372" s="17"/>
      <c r="U372" s="17"/>
      <c r="V372" s="40"/>
      <c r="W372" s="17"/>
      <c r="X372" s="45" t="str">
        <f aca="false">IF(OR(E372="",V372="",OR(U372="Contract signed + paid",U372="Closed – No response",U372="Lost"),N(W372)&gt;=Settings!$S$3),"",V372+Settings!$S$2)</f>
        <v/>
      </c>
      <c r="Y372" s="40"/>
      <c r="Z372" s="41"/>
      <c r="AA372" s="17"/>
      <c r="AB372" s="17"/>
      <c r="AC372" s="17"/>
      <c r="AD372" s="46" t="str">
        <f aca="true">IF(OR(E372="",B372=""),"",INT(TODAY()-B372))</f>
        <v/>
      </c>
      <c r="AE372" s="44" t="str">
        <f aca="true">IF(E372="","",IF(OR(COUNTIFS(Clients!$C$2:$C$501,E372,Clients!$S$2:$S$501,"Paid")&gt;0,AND(I372&lt;&gt;"",COUNTIFS(Clients!$E$2:$E$501,I372,Clients!$S$2:$S$501,"Paid")&gt;0)),"⚠ Refunded before – no free video",IF(OR(U372="Contract signed + paid",U372="Closed – No response",U372="Lost"),"",IF(U372="","Set a stage",IF(AND(U372="Proposal sent",SUMIFS(Scoresheet!$N$2:$N$501,Scoresheet!$C$2:$C$501,A372,Scoresheet!$U$2:$U$501,1)&lt;6),"Score this lead – fill the call scoresheet",IF(N(W372)&gt;=Settings!$S$3,"Close – 4 follow-ups sent",IF(X372="",IF(V372="","Make first contact",""),IF(TODAY()&gt;X372,"OVERDUE follow-up",IF(TODAY()=X372,"Follow up today","")))))))))</f>
        <v/>
      </c>
    </row>
    <row r="373" customFormat="false" ht="15" hidden="false" customHeight="false" outlineLevel="0" collapsed="false">
      <c r="A373" s="17"/>
      <c r="B373" s="40"/>
      <c r="C373" s="41"/>
      <c r="D373" s="17"/>
      <c r="E373" s="17"/>
      <c r="F373" s="17"/>
      <c r="G373" s="17"/>
      <c r="H373" s="17"/>
      <c r="I373" s="42"/>
      <c r="J373" s="17"/>
      <c r="K373" s="17"/>
      <c r="L373" s="17"/>
      <c r="M373" s="17"/>
      <c r="N373" s="40"/>
      <c r="O373" s="41"/>
      <c r="P373" s="43" t="str">
        <f aca="false">IF(OR(B373="",N373=""),"",ROUND(((N373+N(O373))-(B373+N(C373)))*24,1))</f>
        <v/>
      </c>
      <c r="Q373" s="44" t="str">
        <f aca="false">IF(OR(E373="",A373="",COUNTIFS(Scoresheet!$C$2:$C$501,A373,Scoresheet!$U$2:$U$501,1)=0),"",SUMIFS(Scoresheet!$O$2:$O$501,Scoresheet!$C$2:$C$501,A373,Scoresheet!$U$2:$U$501,1))</f>
        <v/>
      </c>
      <c r="R373" s="44" t="str">
        <f aca="false">IF(E373="","",IF(OR(A373="",COUNTIFS(Scoresheet!$C$2:$C$501,A373,Scoresheet!$U$2:$U$501,1)=0),"No scoresheet yet",IF(SUMIFS(Scoresheet!$N$2:$N$501,Scoresheet!$C$2:$C$501,A373,Scoresheet!$U$2:$U$501,1)&lt;6,"Partly scored ("&amp;SUMIFS(Scoresheet!$N$2:$N$501,Scoresheet!$C$2:$C$501,A373,Scoresheet!$U$2:$U$501,1)&amp;"/6)",IF(Q373&gt;=Settings!$S$8,"Hot",IF(Q373&gt;=Settings!$S$9,"Warm","Cold")))))</f>
        <v/>
      </c>
      <c r="S373" s="44" t="str">
        <f aca="false">IF(OR(E373="",A373=""),"",IF(AND(COUNTIFS(Scoresheet!$C$2:$C$501,A373,Scoresheet!$U$2:$U$501,1,Scoresheet!$H$2:$H$501,"No")&gt;0,COUNTIFS(Scoresheet!$C$2:$C$501,A373,Scoresheet!$U$2:$U$501,1,Scoresheet!$J$2:$J$501,"No")&gt;0),"🚩 Budget  ·  🚩 No one on camera",IF(COUNTIFS(Scoresheet!$C$2:$C$501,A373,Scoresheet!$U$2:$U$501,1,Scoresheet!$H$2:$H$501,"No")&gt;0,"🚩 Budget under AED 5k",IF(COUNTIFS(Scoresheet!$C$2:$C$501,A373,Scoresheet!$U$2:$U$501,1,Scoresheet!$J$2:$J$501,"No")&gt;0,"🚩 No one on camera",""))))</f>
        <v/>
      </c>
      <c r="T373" s="17"/>
      <c r="U373" s="17"/>
      <c r="V373" s="40"/>
      <c r="W373" s="17"/>
      <c r="X373" s="45" t="str">
        <f aca="false">IF(OR(E373="",V373="",OR(U373="Contract signed + paid",U373="Closed – No response",U373="Lost"),N(W373)&gt;=Settings!$S$3),"",V373+Settings!$S$2)</f>
        <v/>
      </c>
      <c r="Y373" s="40"/>
      <c r="Z373" s="41"/>
      <c r="AA373" s="17"/>
      <c r="AB373" s="17"/>
      <c r="AC373" s="17"/>
      <c r="AD373" s="46" t="str">
        <f aca="true">IF(OR(E373="",B373=""),"",INT(TODAY()-B373))</f>
        <v/>
      </c>
      <c r="AE373" s="44" t="str">
        <f aca="true">IF(E373="","",IF(OR(COUNTIFS(Clients!$C$2:$C$501,E373,Clients!$S$2:$S$501,"Paid")&gt;0,AND(I373&lt;&gt;"",COUNTIFS(Clients!$E$2:$E$501,I373,Clients!$S$2:$S$501,"Paid")&gt;0)),"⚠ Refunded before – no free video",IF(OR(U373="Contract signed + paid",U373="Closed – No response",U373="Lost"),"",IF(U373="","Set a stage",IF(AND(U373="Proposal sent",SUMIFS(Scoresheet!$N$2:$N$501,Scoresheet!$C$2:$C$501,A373,Scoresheet!$U$2:$U$501,1)&lt;6),"Score this lead – fill the call scoresheet",IF(N(W373)&gt;=Settings!$S$3,"Close – 4 follow-ups sent",IF(X373="",IF(V373="","Make first contact",""),IF(TODAY()&gt;X373,"OVERDUE follow-up",IF(TODAY()=X373,"Follow up today","")))))))))</f>
        <v/>
      </c>
    </row>
    <row r="374" customFormat="false" ht="15" hidden="false" customHeight="false" outlineLevel="0" collapsed="false">
      <c r="A374" s="17"/>
      <c r="B374" s="40"/>
      <c r="C374" s="41"/>
      <c r="D374" s="17"/>
      <c r="E374" s="17"/>
      <c r="F374" s="17"/>
      <c r="G374" s="17"/>
      <c r="H374" s="17"/>
      <c r="I374" s="42"/>
      <c r="J374" s="17"/>
      <c r="K374" s="17"/>
      <c r="L374" s="17"/>
      <c r="M374" s="17"/>
      <c r="N374" s="40"/>
      <c r="O374" s="41"/>
      <c r="P374" s="43" t="str">
        <f aca="false">IF(OR(B374="",N374=""),"",ROUND(((N374+N(O374))-(B374+N(C374)))*24,1))</f>
        <v/>
      </c>
      <c r="Q374" s="44" t="str">
        <f aca="false">IF(OR(E374="",A374="",COUNTIFS(Scoresheet!$C$2:$C$501,A374,Scoresheet!$U$2:$U$501,1)=0),"",SUMIFS(Scoresheet!$O$2:$O$501,Scoresheet!$C$2:$C$501,A374,Scoresheet!$U$2:$U$501,1))</f>
        <v/>
      </c>
      <c r="R374" s="44" t="str">
        <f aca="false">IF(E374="","",IF(OR(A374="",COUNTIFS(Scoresheet!$C$2:$C$501,A374,Scoresheet!$U$2:$U$501,1)=0),"No scoresheet yet",IF(SUMIFS(Scoresheet!$N$2:$N$501,Scoresheet!$C$2:$C$501,A374,Scoresheet!$U$2:$U$501,1)&lt;6,"Partly scored ("&amp;SUMIFS(Scoresheet!$N$2:$N$501,Scoresheet!$C$2:$C$501,A374,Scoresheet!$U$2:$U$501,1)&amp;"/6)",IF(Q374&gt;=Settings!$S$8,"Hot",IF(Q374&gt;=Settings!$S$9,"Warm","Cold")))))</f>
        <v/>
      </c>
      <c r="S374" s="44" t="str">
        <f aca="false">IF(OR(E374="",A374=""),"",IF(AND(COUNTIFS(Scoresheet!$C$2:$C$501,A374,Scoresheet!$U$2:$U$501,1,Scoresheet!$H$2:$H$501,"No")&gt;0,COUNTIFS(Scoresheet!$C$2:$C$501,A374,Scoresheet!$U$2:$U$501,1,Scoresheet!$J$2:$J$501,"No")&gt;0),"🚩 Budget  ·  🚩 No one on camera",IF(COUNTIFS(Scoresheet!$C$2:$C$501,A374,Scoresheet!$U$2:$U$501,1,Scoresheet!$H$2:$H$501,"No")&gt;0,"🚩 Budget under AED 5k",IF(COUNTIFS(Scoresheet!$C$2:$C$501,A374,Scoresheet!$U$2:$U$501,1,Scoresheet!$J$2:$J$501,"No")&gt;0,"🚩 No one on camera",""))))</f>
        <v/>
      </c>
      <c r="T374" s="17"/>
      <c r="U374" s="17"/>
      <c r="V374" s="40"/>
      <c r="W374" s="17"/>
      <c r="X374" s="45" t="str">
        <f aca="false">IF(OR(E374="",V374="",OR(U374="Contract signed + paid",U374="Closed – No response",U374="Lost"),N(W374)&gt;=Settings!$S$3),"",V374+Settings!$S$2)</f>
        <v/>
      </c>
      <c r="Y374" s="40"/>
      <c r="Z374" s="41"/>
      <c r="AA374" s="17"/>
      <c r="AB374" s="17"/>
      <c r="AC374" s="17"/>
      <c r="AD374" s="46" t="str">
        <f aca="true">IF(OR(E374="",B374=""),"",INT(TODAY()-B374))</f>
        <v/>
      </c>
      <c r="AE374" s="44" t="str">
        <f aca="true">IF(E374="","",IF(OR(COUNTIFS(Clients!$C$2:$C$501,E374,Clients!$S$2:$S$501,"Paid")&gt;0,AND(I374&lt;&gt;"",COUNTIFS(Clients!$E$2:$E$501,I374,Clients!$S$2:$S$501,"Paid")&gt;0)),"⚠ Refunded before – no free video",IF(OR(U374="Contract signed + paid",U374="Closed – No response",U374="Lost"),"",IF(U374="","Set a stage",IF(AND(U374="Proposal sent",SUMIFS(Scoresheet!$N$2:$N$501,Scoresheet!$C$2:$C$501,A374,Scoresheet!$U$2:$U$501,1)&lt;6),"Score this lead – fill the call scoresheet",IF(N(W374)&gt;=Settings!$S$3,"Close – 4 follow-ups sent",IF(X374="",IF(V374="","Make first contact",""),IF(TODAY()&gt;X374,"OVERDUE follow-up",IF(TODAY()=X374,"Follow up today","")))))))))</f>
        <v/>
      </c>
    </row>
    <row r="375" customFormat="false" ht="15" hidden="false" customHeight="false" outlineLevel="0" collapsed="false">
      <c r="A375" s="17"/>
      <c r="B375" s="40"/>
      <c r="C375" s="41"/>
      <c r="D375" s="17"/>
      <c r="E375" s="17"/>
      <c r="F375" s="17"/>
      <c r="G375" s="17"/>
      <c r="H375" s="17"/>
      <c r="I375" s="42"/>
      <c r="J375" s="17"/>
      <c r="K375" s="17"/>
      <c r="L375" s="17"/>
      <c r="M375" s="17"/>
      <c r="N375" s="40"/>
      <c r="O375" s="41"/>
      <c r="P375" s="43" t="str">
        <f aca="false">IF(OR(B375="",N375=""),"",ROUND(((N375+N(O375))-(B375+N(C375)))*24,1))</f>
        <v/>
      </c>
      <c r="Q375" s="44" t="str">
        <f aca="false">IF(OR(E375="",A375="",COUNTIFS(Scoresheet!$C$2:$C$501,A375,Scoresheet!$U$2:$U$501,1)=0),"",SUMIFS(Scoresheet!$O$2:$O$501,Scoresheet!$C$2:$C$501,A375,Scoresheet!$U$2:$U$501,1))</f>
        <v/>
      </c>
      <c r="R375" s="44" t="str">
        <f aca="false">IF(E375="","",IF(OR(A375="",COUNTIFS(Scoresheet!$C$2:$C$501,A375,Scoresheet!$U$2:$U$501,1)=0),"No scoresheet yet",IF(SUMIFS(Scoresheet!$N$2:$N$501,Scoresheet!$C$2:$C$501,A375,Scoresheet!$U$2:$U$501,1)&lt;6,"Partly scored ("&amp;SUMIFS(Scoresheet!$N$2:$N$501,Scoresheet!$C$2:$C$501,A375,Scoresheet!$U$2:$U$501,1)&amp;"/6)",IF(Q375&gt;=Settings!$S$8,"Hot",IF(Q375&gt;=Settings!$S$9,"Warm","Cold")))))</f>
        <v/>
      </c>
      <c r="S375" s="44" t="str">
        <f aca="false">IF(OR(E375="",A375=""),"",IF(AND(COUNTIFS(Scoresheet!$C$2:$C$501,A375,Scoresheet!$U$2:$U$501,1,Scoresheet!$H$2:$H$501,"No")&gt;0,COUNTIFS(Scoresheet!$C$2:$C$501,A375,Scoresheet!$U$2:$U$501,1,Scoresheet!$J$2:$J$501,"No")&gt;0),"🚩 Budget  ·  🚩 No one on camera",IF(COUNTIFS(Scoresheet!$C$2:$C$501,A375,Scoresheet!$U$2:$U$501,1,Scoresheet!$H$2:$H$501,"No")&gt;0,"🚩 Budget under AED 5k",IF(COUNTIFS(Scoresheet!$C$2:$C$501,A375,Scoresheet!$U$2:$U$501,1,Scoresheet!$J$2:$J$501,"No")&gt;0,"🚩 No one on camera",""))))</f>
        <v/>
      </c>
      <c r="T375" s="17"/>
      <c r="U375" s="17"/>
      <c r="V375" s="40"/>
      <c r="W375" s="17"/>
      <c r="X375" s="45" t="str">
        <f aca="false">IF(OR(E375="",V375="",OR(U375="Contract signed + paid",U375="Closed – No response",U375="Lost"),N(W375)&gt;=Settings!$S$3),"",V375+Settings!$S$2)</f>
        <v/>
      </c>
      <c r="Y375" s="40"/>
      <c r="Z375" s="41"/>
      <c r="AA375" s="17"/>
      <c r="AB375" s="17"/>
      <c r="AC375" s="17"/>
      <c r="AD375" s="46" t="str">
        <f aca="true">IF(OR(E375="",B375=""),"",INT(TODAY()-B375))</f>
        <v/>
      </c>
      <c r="AE375" s="44" t="str">
        <f aca="true">IF(E375="","",IF(OR(COUNTIFS(Clients!$C$2:$C$501,E375,Clients!$S$2:$S$501,"Paid")&gt;0,AND(I375&lt;&gt;"",COUNTIFS(Clients!$E$2:$E$501,I375,Clients!$S$2:$S$501,"Paid")&gt;0)),"⚠ Refunded before – no free video",IF(OR(U375="Contract signed + paid",U375="Closed – No response",U375="Lost"),"",IF(U375="","Set a stage",IF(AND(U375="Proposal sent",SUMIFS(Scoresheet!$N$2:$N$501,Scoresheet!$C$2:$C$501,A375,Scoresheet!$U$2:$U$501,1)&lt;6),"Score this lead – fill the call scoresheet",IF(N(W375)&gt;=Settings!$S$3,"Close – 4 follow-ups sent",IF(X375="",IF(V375="","Make first contact",""),IF(TODAY()&gt;X375,"OVERDUE follow-up",IF(TODAY()=X375,"Follow up today","")))))))))</f>
        <v/>
      </c>
    </row>
    <row r="376" customFormat="false" ht="15" hidden="false" customHeight="false" outlineLevel="0" collapsed="false">
      <c r="A376" s="17"/>
      <c r="B376" s="40"/>
      <c r="C376" s="41"/>
      <c r="D376" s="17"/>
      <c r="E376" s="17"/>
      <c r="F376" s="17"/>
      <c r="G376" s="17"/>
      <c r="H376" s="17"/>
      <c r="I376" s="42"/>
      <c r="J376" s="17"/>
      <c r="K376" s="17"/>
      <c r="L376" s="17"/>
      <c r="M376" s="17"/>
      <c r="N376" s="40"/>
      <c r="O376" s="41"/>
      <c r="P376" s="43" t="str">
        <f aca="false">IF(OR(B376="",N376=""),"",ROUND(((N376+N(O376))-(B376+N(C376)))*24,1))</f>
        <v/>
      </c>
      <c r="Q376" s="44" t="str">
        <f aca="false">IF(OR(E376="",A376="",COUNTIFS(Scoresheet!$C$2:$C$501,A376,Scoresheet!$U$2:$U$501,1)=0),"",SUMIFS(Scoresheet!$O$2:$O$501,Scoresheet!$C$2:$C$501,A376,Scoresheet!$U$2:$U$501,1))</f>
        <v/>
      </c>
      <c r="R376" s="44" t="str">
        <f aca="false">IF(E376="","",IF(OR(A376="",COUNTIFS(Scoresheet!$C$2:$C$501,A376,Scoresheet!$U$2:$U$501,1)=0),"No scoresheet yet",IF(SUMIFS(Scoresheet!$N$2:$N$501,Scoresheet!$C$2:$C$501,A376,Scoresheet!$U$2:$U$501,1)&lt;6,"Partly scored ("&amp;SUMIFS(Scoresheet!$N$2:$N$501,Scoresheet!$C$2:$C$501,A376,Scoresheet!$U$2:$U$501,1)&amp;"/6)",IF(Q376&gt;=Settings!$S$8,"Hot",IF(Q376&gt;=Settings!$S$9,"Warm","Cold")))))</f>
        <v/>
      </c>
      <c r="S376" s="44" t="str">
        <f aca="false">IF(OR(E376="",A376=""),"",IF(AND(COUNTIFS(Scoresheet!$C$2:$C$501,A376,Scoresheet!$U$2:$U$501,1,Scoresheet!$H$2:$H$501,"No")&gt;0,COUNTIFS(Scoresheet!$C$2:$C$501,A376,Scoresheet!$U$2:$U$501,1,Scoresheet!$J$2:$J$501,"No")&gt;0),"🚩 Budget  ·  🚩 No one on camera",IF(COUNTIFS(Scoresheet!$C$2:$C$501,A376,Scoresheet!$U$2:$U$501,1,Scoresheet!$H$2:$H$501,"No")&gt;0,"🚩 Budget under AED 5k",IF(COUNTIFS(Scoresheet!$C$2:$C$501,A376,Scoresheet!$U$2:$U$501,1,Scoresheet!$J$2:$J$501,"No")&gt;0,"🚩 No one on camera",""))))</f>
        <v/>
      </c>
      <c r="T376" s="17"/>
      <c r="U376" s="17"/>
      <c r="V376" s="40"/>
      <c r="W376" s="17"/>
      <c r="X376" s="45" t="str">
        <f aca="false">IF(OR(E376="",V376="",OR(U376="Contract signed + paid",U376="Closed – No response",U376="Lost"),N(W376)&gt;=Settings!$S$3),"",V376+Settings!$S$2)</f>
        <v/>
      </c>
      <c r="Y376" s="40"/>
      <c r="Z376" s="41"/>
      <c r="AA376" s="17"/>
      <c r="AB376" s="17"/>
      <c r="AC376" s="17"/>
      <c r="AD376" s="46" t="str">
        <f aca="true">IF(OR(E376="",B376=""),"",INT(TODAY()-B376))</f>
        <v/>
      </c>
      <c r="AE376" s="44" t="str">
        <f aca="true">IF(E376="","",IF(OR(COUNTIFS(Clients!$C$2:$C$501,E376,Clients!$S$2:$S$501,"Paid")&gt;0,AND(I376&lt;&gt;"",COUNTIFS(Clients!$E$2:$E$501,I376,Clients!$S$2:$S$501,"Paid")&gt;0)),"⚠ Refunded before – no free video",IF(OR(U376="Contract signed + paid",U376="Closed – No response",U376="Lost"),"",IF(U376="","Set a stage",IF(AND(U376="Proposal sent",SUMIFS(Scoresheet!$N$2:$N$501,Scoresheet!$C$2:$C$501,A376,Scoresheet!$U$2:$U$501,1)&lt;6),"Score this lead – fill the call scoresheet",IF(N(W376)&gt;=Settings!$S$3,"Close – 4 follow-ups sent",IF(X376="",IF(V376="","Make first contact",""),IF(TODAY()&gt;X376,"OVERDUE follow-up",IF(TODAY()=X376,"Follow up today","")))))))))</f>
        <v/>
      </c>
    </row>
    <row r="377" customFormat="false" ht="15" hidden="false" customHeight="false" outlineLevel="0" collapsed="false">
      <c r="A377" s="17"/>
      <c r="B377" s="40"/>
      <c r="C377" s="41"/>
      <c r="D377" s="17"/>
      <c r="E377" s="17"/>
      <c r="F377" s="17"/>
      <c r="G377" s="17"/>
      <c r="H377" s="17"/>
      <c r="I377" s="42"/>
      <c r="J377" s="17"/>
      <c r="K377" s="17"/>
      <c r="L377" s="17"/>
      <c r="M377" s="17"/>
      <c r="N377" s="40"/>
      <c r="O377" s="41"/>
      <c r="P377" s="43" t="str">
        <f aca="false">IF(OR(B377="",N377=""),"",ROUND(((N377+N(O377))-(B377+N(C377)))*24,1))</f>
        <v/>
      </c>
      <c r="Q377" s="44" t="str">
        <f aca="false">IF(OR(E377="",A377="",COUNTIFS(Scoresheet!$C$2:$C$501,A377,Scoresheet!$U$2:$U$501,1)=0),"",SUMIFS(Scoresheet!$O$2:$O$501,Scoresheet!$C$2:$C$501,A377,Scoresheet!$U$2:$U$501,1))</f>
        <v/>
      </c>
      <c r="R377" s="44" t="str">
        <f aca="false">IF(E377="","",IF(OR(A377="",COUNTIFS(Scoresheet!$C$2:$C$501,A377,Scoresheet!$U$2:$U$501,1)=0),"No scoresheet yet",IF(SUMIFS(Scoresheet!$N$2:$N$501,Scoresheet!$C$2:$C$501,A377,Scoresheet!$U$2:$U$501,1)&lt;6,"Partly scored ("&amp;SUMIFS(Scoresheet!$N$2:$N$501,Scoresheet!$C$2:$C$501,A377,Scoresheet!$U$2:$U$501,1)&amp;"/6)",IF(Q377&gt;=Settings!$S$8,"Hot",IF(Q377&gt;=Settings!$S$9,"Warm","Cold")))))</f>
        <v/>
      </c>
      <c r="S377" s="44" t="str">
        <f aca="false">IF(OR(E377="",A377=""),"",IF(AND(COUNTIFS(Scoresheet!$C$2:$C$501,A377,Scoresheet!$U$2:$U$501,1,Scoresheet!$H$2:$H$501,"No")&gt;0,COUNTIFS(Scoresheet!$C$2:$C$501,A377,Scoresheet!$U$2:$U$501,1,Scoresheet!$J$2:$J$501,"No")&gt;0),"🚩 Budget  ·  🚩 No one on camera",IF(COUNTIFS(Scoresheet!$C$2:$C$501,A377,Scoresheet!$U$2:$U$501,1,Scoresheet!$H$2:$H$501,"No")&gt;0,"🚩 Budget under AED 5k",IF(COUNTIFS(Scoresheet!$C$2:$C$501,A377,Scoresheet!$U$2:$U$501,1,Scoresheet!$J$2:$J$501,"No")&gt;0,"🚩 No one on camera",""))))</f>
        <v/>
      </c>
      <c r="T377" s="17"/>
      <c r="U377" s="17"/>
      <c r="V377" s="40"/>
      <c r="W377" s="17"/>
      <c r="X377" s="45" t="str">
        <f aca="false">IF(OR(E377="",V377="",OR(U377="Contract signed + paid",U377="Closed – No response",U377="Lost"),N(W377)&gt;=Settings!$S$3),"",V377+Settings!$S$2)</f>
        <v/>
      </c>
      <c r="Y377" s="40"/>
      <c r="Z377" s="41"/>
      <c r="AA377" s="17"/>
      <c r="AB377" s="17"/>
      <c r="AC377" s="17"/>
      <c r="AD377" s="46" t="str">
        <f aca="true">IF(OR(E377="",B377=""),"",INT(TODAY()-B377))</f>
        <v/>
      </c>
      <c r="AE377" s="44" t="str">
        <f aca="true">IF(E377="","",IF(OR(COUNTIFS(Clients!$C$2:$C$501,E377,Clients!$S$2:$S$501,"Paid")&gt;0,AND(I377&lt;&gt;"",COUNTIFS(Clients!$E$2:$E$501,I377,Clients!$S$2:$S$501,"Paid")&gt;0)),"⚠ Refunded before – no free video",IF(OR(U377="Contract signed + paid",U377="Closed – No response",U377="Lost"),"",IF(U377="","Set a stage",IF(AND(U377="Proposal sent",SUMIFS(Scoresheet!$N$2:$N$501,Scoresheet!$C$2:$C$501,A377,Scoresheet!$U$2:$U$501,1)&lt;6),"Score this lead – fill the call scoresheet",IF(N(W377)&gt;=Settings!$S$3,"Close – 4 follow-ups sent",IF(X377="",IF(V377="","Make first contact",""),IF(TODAY()&gt;X377,"OVERDUE follow-up",IF(TODAY()=X377,"Follow up today","")))))))))</f>
        <v/>
      </c>
    </row>
    <row r="378" customFormat="false" ht="15" hidden="false" customHeight="false" outlineLevel="0" collapsed="false">
      <c r="A378" s="17"/>
      <c r="B378" s="40"/>
      <c r="C378" s="41"/>
      <c r="D378" s="17"/>
      <c r="E378" s="17"/>
      <c r="F378" s="17"/>
      <c r="G378" s="17"/>
      <c r="H378" s="17"/>
      <c r="I378" s="42"/>
      <c r="J378" s="17"/>
      <c r="K378" s="17"/>
      <c r="L378" s="17"/>
      <c r="M378" s="17"/>
      <c r="N378" s="40"/>
      <c r="O378" s="41"/>
      <c r="P378" s="43" t="str">
        <f aca="false">IF(OR(B378="",N378=""),"",ROUND(((N378+N(O378))-(B378+N(C378)))*24,1))</f>
        <v/>
      </c>
      <c r="Q378" s="44" t="str">
        <f aca="false">IF(OR(E378="",A378="",COUNTIFS(Scoresheet!$C$2:$C$501,A378,Scoresheet!$U$2:$U$501,1)=0),"",SUMIFS(Scoresheet!$O$2:$O$501,Scoresheet!$C$2:$C$501,A378,Scoresheet!$U$2:$U$501,1))</f>
        <v/>
      </c>
      <c r="R378" s="44" t="str">
        <f aca="false">IF(E378="","",IF(OR(A378="",COUNTIFS(Scoresheet!$C$2:$C$501,A378,Scoresheet!$U$2:$U$501,1)=0),"No scoresheet yet",IF(SUMIFS(Scoresheet!$N$2:$N$501,Scoresheet!$C$2:$C$501,A378,Scoresheet!$U$2:$U$501,1)&lt;6,"Partly scored ("&amp;SUMIFS(Scoresheet!$N$2:$N$501,Scoresheet!$C$2:$C$501,A378,Scoresheet!$U$2:$U$501,1)&amp;"/6)",IF(Q378&gt;=Settings!$S$8,"Hot",IF(Q378&gt;=Settings!$S$9,"Warm","Cold")))))</f>
        <v/>
      </c>
      <c r="S378" s="44" t="str">
        <f aca="false">IF(OR(E378="",A378=""),"",IF(AND(COUNTIFS(Scoresheet!$C$2:$C$501,A378,Scoresheet!$U$2:$U$501,1,Scoresheet!$H$2:$H$501,"No")&gt;0,COUNTIFS(Scoresheet!$C$2:$C$501,A378,Scoresheet!$U$2:$U$501,1,Scoresheet!$J$2:$J$501,"No")&gt;0),"🚩 Budget  ·  🚩 No one on camera",IF(COUNTIFS(Scoresheet!$C$2:$C$501,A378,Scoresheet!$U$2:$U$501,1,Scoresheet!$H$2:$H$501,"No")&gt;0,"🚩 Budget under AED 5k",IF(COUNTIFS(Scoresheet!$C$2:$C$501,A378,Scoresheet!$U$2:$U$501,1,Scoresheet!$J$2:$J$501,"No")&gt;0,"🚩 No one on camera",""))))</f>
        <v/>
      </c>
      <c r="T378" s="17"/>
      <c r="U378" s="17"/>
      <c r="V378" s="40"/>
      <c r="W378" s="17"/>
      <c r="X378" s="45" t="str">
        <f aca="false">IF(OR(E378="",V378="",OR(U378="Contract signed + paid",U378="Closed – No response",U378="Lost"),N(W378)&gt;=Settings!$S$3),"",V378+Settings!$S$2)</f>
        <v/>
      </c>
      <c r="Y378" s="40"/>
      <c r="Z378" s="41"/>
      <c r="AA378" s="17"/>
      <c r="AB378" s="17"/>
      <c r="AC378" s="17"/>
      <c r="AD378" s="46" t="str">
        <f aca="true">IF(OR(E378="",B378=""),"",INT(TODAY()-B378))</f>
        <v/>
      </c>
      <c r="AE378" s="44" t="str">
        <f aca="true">IF(E378="","",IF(OR(COUNTIFS(Clients!$C$2:$C$501,E378,Clients!$S$2:$S$501,"Paid")&gt;0,AND(I378&lt;&gt;"",COUNTIFS(Clients!$E$2:$E$501,I378,Clients!$S$2:$S$501,"Paid")&gt;0)),"⚠ Refunded before – no free video",IF(OR(U378="Contract signed + paid",U378="Closed – No response",U378="Lost"),"",IF(U378="","Set a stage",IF(AND(U378="Proposal sent",SUMIFS(Scoresheet!$N$2:$N$501,Scoresheet!$C$2:$C$501,A378,Scoresheet!$U$2:$U$501,1)&lt;6),"Score this lead – fill the call scoresheet",IF(N(W378)&gt;=Settings!$S$3,"Close – 4 follow-ups sent",IF(X378="",IF(V378="","Make first contact",""),IF(TODAY()&gt;X378,"OVERDUE follow-up",IF(TODAY()=X378,"Follow up today","")))))))))</f>
        <v/>
      </c>
    </row>
    <row r="379" customFormat="false" ht="15" hidden="false" customHeight="false" outlineLevel="0" collapsed="false">
      <c r="A379" s="17"/>
      <c r="B379" s="40"/>
      <c r="C379" s="41"/>
      <c r="D379" s="17"/>
      <c r="E379" s="17"/>
      <c r="F379" s="17"/>
      <c r="G379" s="17"/>
      <c r="H379" s="17"/>
      <c r="I379" s="42"/>
      <c r="J379" s="17"/>
      <c r="K379" s="17"/>
      <c r="L379" s="17"/>
      <c r="M379" s="17"/>
      <c r="N379" s="40"/>
      <c r="O379" s="41"/>
      <c r="P379" s="43" t="str">
        <f aca="false">IF(OR(B379="",N379=""),"",ROUND(((N379+N(O379))-(B379+N(C379)))*24,1))</f>
        <v/>
      </c>
      <c r="Q379" s="44" t="str">
        <f aca="false">IF(OR(E379="",A379="",COUNTIFS(Scoresheet!$C$2:$C$501,A379,Scoresheet!$U$2:$U$501,1)=0),"",SUMIFS(Scoresheet!$O$2:$O$501,Scoresheet!$C$2:$C$501,A379,Scoresheet!$U$2:$U$501,1))</f>
        <v/>
      </c>
      <c r="R379" s="44" t="str">
        <f aca="false">IF(E379="","",IF(OR(A379="",COUNTIFS(Scoresheet!$C$2:$C$501,A379,Scoresheet!$U$2:$U$501,1)=0),"No scoresheet yet",IF(SUMIFS(Scoresheet!$N$2:$N$501,Scoresheet!$C$2:$C$501,A379,Scoresheet!$U$2:$U$501,1)&lt;6,"Partly scored ("&amp;SUMIFS(Scoresheet!$N$2:$N$501,Scoresheet!$C$2:$C$501,A379,Scoresheet!$U$2:$U$501,1)&amp;"/6)",IF(Q379&gt;=Settings!$S$8,"Hot",IF(Q379&gt;=Settings!$S$9,"Warm","Cold")))))</f>
        <v/>
      </c>
      <c r="S379" s="44" t="str">
        <f aca="false">IF(OR(E379="",A379=""),"",IF(AND(COUNTIFS(Scoresheet!$C$2:$C$501,A379,Scoresheet!$U$2:$U$501,1,Scoresheet!$H$2:$H$501,"No")&gt;0,COUNTIFS(Scoresheet!$C$2:$C$501,A379,Scoresheet!$U$2:$U$501,1,Scoresheet!$J$2:$J$501,"No")&gt;0),"🚩 Budget  ·  🚩 No one on camera",IF(COUNTIFS(Scoresheet!$C$2:$C$501,A379,Scoresheet!$U$2:$U$501,1,Scoresheet!$H$2:$H$501,"No")&gt;0,"🚩 Budget under AED 5k",IF(COUNTIFS(Scoresheet!$C$2:$C$501,A379,Scoresheet!$U$2:$U$501,1,Scoresheet!$J$2:$J$501,"No")&gt;0,"🚩 No one on camera",""))))</f>
        <v/>
      </c>
      <c r="T379" s="17"/>
      <c r="U379" s="17"/>
      <c r="V379" s="40"/>
      <c r="W379" s="17"/>
      <c r="X379" s="45" t="str">
        <f aca="false">IF(OR(E379="",V379="",OR(U379="Contract signed + paid",U379="Closed – No response",U379="Lost"),N(W379)&gt;=Settings!$S$3),"",V379+Settings!$S$2)</f>
        <v/>
      </c>
      <c r="Y379" s="40"/>
      <c r="Z379" s="41"/>
      <c r="AA379" s="17"/>
      <c r="AB379" s="17"/>
      <c r="AC379" s="17"/>
      <c r="AD379" s="46" t="str">
        <f aca="true">IF(OR(E379="",B379=""),"",INT(TODAY()-B379))</f>
        <v/>
      </c>
      <c r="AE379" s="44" t="str">
        <f aca="true">IF(E379="","",IF(OR(COUNTIFS(Clients!$C$2:$C$501,E379,Clients!$S$2:$S$501,"Paid")&gt;0,AND(I379&lt;&gt;"",COUNTIFS(Clients!$E$2:$E$501,I379,Clients!$S$2:$S$501,"Paid")&gt;0)),"⚠ Refunded before – no free video",IF(OR(U379="Contract signed + paid",U379="Closed – No response",U379="Lost"),"",IF(U379="","Set a stage",IF(AND(U379="Proposal sent",SUMIFS(Scoresheet!$N$2:$N$501,Scoresheet!$C$2:$C$501,A379,Scoresheet!$U$2:$U$501,1)&lt;6),"Score this lead – fill the call scoresheet",IF(N(W379)&gt;=Settings!$S$3,"Close – 4 follow-ups sent",IF(X379="",IF(V379="","Make first contact",""),IF(TODAY()&gt;X379,"OVERDUE follow-up",IF(TODAY()=X379,"Follow up today","")))))))))</f>
        <v/>
      </c>
    </row>
    <row r="380" customFormat="false" ht="15" hidden="false" customHeight="false" outlineLevel="0" collapsed="false">
      <c r="A380" s="17"/>
      <c r="B380" s="40"/>
      <c r="C380" s="41"/>
      <c r="D380" s="17"/>
      <c r="E380" s="17"/>
      <c r="F380" s="17"/>
      <c r="G380" s="17"/>
      <c r="H380" s="17"/>
      <c r="I380" s="42"/>
      <c r="J380" s="17"/>
      <c r="K380" s="17"/>
      <c r="L380" s="17"/>
      <c r="M380" s="17"/>
      <c r="N380" s="40"/>
      <c r="O380" s="41"/>
      <c r="P380" s="43" t="str">
        <f aca="false">IF(OR(B380="",N380=""),"",ROUND(((N380+N(O380))-(B380+N(C380)))*24,1))</f>
        <v/>
      </c>
      <c r="Q380" s="44" t="str">
        <f aca="false">IF(OR(E380="",A380="",COUNTIFS(Scoresheet!$C$2:$C$501,A380,Scoresheet!$U$2:$U$501,1)=0),"",SUMIFS(Scoresheet!$O$2:$O$501,Scoresheet!$C$2:$C$501,A380,Scoresheet!$U$2:$U$501,1))</f>
        <v/>
      </c>
      <c r="R380" s="44" t="str">
        <f aca="false">IF(E380="","",IF(OR(A380="",COUNTIFS(Scoresheet!$C$2:$C$501,A380,Scoresheet!$U$2:$U$501,1)=0),"No scoresheet yet",IF(SUMIFS(Scoresheet!$N$2:$N$501,Scoresheet!$C$2:$C$501,A380,Scoresheet!$U$2:$U$501,1)&lt;6,"Partly scored ("&amp;SUMIFS(Scoresheet!$N$2:$N$501,Scoresheet!$C$2:$C$501,A380,Scoresheet!$U$2:$U$501,1)&amp;"/6)",IF(Q380&gt;=Settings!$S$8,"Hot",IF(Q380&gt;=Settings!$S$9,"Warm","Cold")))))</f>
        <v/>
      </c>
      <c r="S380" s="44" t="str">
        <f aca="false">IF(OR(E380="",A380=""),"",IF(AND(COUNTIFS(Scoresheet!$C$2:$C$501,A380,Scoresheet!$U$2:$U$501,1,Scoresheet!$H$2:$H$501,"No")&gt;0,COUNTIFS(Scoresheet!$C$2:$C$501,A380,Scoresheet!$U$2:$U$501,1,Scoresheet!$J$2:$J$501,"No")&gt;0),"🚩 Budget  ·  🚩 No one on camera",IF(COUNTIFS(Scoresheet!$C$2:$C$501,A380,Scoresheet!$U$2:$U$501,1,Scoresheet!$H$2:$H$501,"No")&gt;0,"🚩 Budget under AED 5k",IF(COUNTIFS(Scoresheet!$C$2:$C$501,A380,Scoresheet!$U$2:$U$501,1,Scoresheet!$J$2:$J$501,"No")&gt;0,"🚩 No one on camera",""))))</f>
        <v/>
      </c>
      <c r="T380" s="17"/>
      <c r="U380" s="17"/>
      <c r="V380" s="40"/>
      <c r="W380" s="17"/>
      <c r="X380" s="45" t="str">
        <f aca="false">IF(OR(E380="",V380="",OR(U380="Contract signed + paid",U380="Closed – No response",U380="Lost"),N(W380)&gt;=Settings!$S$3),"",V380+Settings!$S$2)</f>
        <v/>
      </c>
      <c r="Y380" s="40"/>
      <c r="Z380" s="41"/>
      <c r="AA380" s="17"/>
      <c r="AB380" s="17"/>
      <c r="AC380" s="17"/>
      <c r="AD380" s="46" t="str">
        <f aca="true">IF(OR(E380="",B380=""),"",INT(TODAY()-B380))</f>
        <v/>
      </c>
      <c r="AE380" s="44" t="str">
        <f aca="true">IF(E380="","",IF(OR(COUNTIFS(Clients!$C$2:$C$501,E380,Clients!$S$2:$S$501,"Paid")&gt;0,AND(I380&lt;&gt;"",COUNTIFS(Clients!$E$2:$E$501,I380,Clients!$S$2:$S$501,"Paid")&gt;0)),"⚠ Refunded before – no free video",IF(OR(U380="Contract signed + paid",U380="Closed – No response",U380="Lost"),"",IF(U380="","Set a stage",IF(AND(U380="Proposal sent",SUMIFS(Scoresheet!$N$2:$N$501,Scoresheet!$C$2:$C$501,A380,Scoresheet!$U$2:$U$501,1)&lt;6),"Score this lead – fill the call scoresheet",IF(N(W380)&gt;=Settings!$S$3,"Close – 4 follow-ups sent",IF(X380="",IF(V380="","Make first contact",""),IF(TODAY()&gt;X380,"OVERDUE follow-up",IF(TODAY()=X380,"Follow up today","")))))))))</f>
        <v/>
      </c>
    </row>
    <row r="381" customFormat="false" ht="15" hidden="false" customHeight="false" outlineLevel="0" collapsed="false">
      <c r="A381" s="17"/>
      <c r="B381" s="40"/>
      <c r="C381" s="41"/>
      <c r="D381" s="17"/>
      <c r="E381" s="17"/>
      <c r="F381" s="17"/>
      <c r="G381" s="17"/>
      <c r="H381" s="17"/>
      <c r="I381" s="42"/>
      <c r="J381" s="17"/>
      <c r="K381" s="17"/>
      <c r="L381" s="17"/>
      <c r="M381" s="17"/>
      <c r="N381" s="40"/>
      <c r="O381" s="41"/>
      <c r="P381" s="43" t="str">
        <f aca="false">IF(OR(B381="",N381=""),"",ROUND(((N381+N(O381))-(B381+N(C381)))*24,1))</f>
        <v/>
      </c>
      <c r="Q381" s="44" t="str">
        <f aca="false">IF(OR(E381="",A381="",COUNTIFS(Scoresheet!$C$2:$C$501,A381,Scoresheet!$U$2:$U$501,1)=0),"",SUMIFS(Scoresheet!$O$2:$O$501,Scoresheet!$C$2:$C$501,A381,Scoresheet!$U$2:$U$501,1))</f>
        <v/>
      </c>
      <c r="R381" s="44" t="str">
        <f aca="false">IF(E381="","",IF(OR(A381="",COUNTIFS(Scoresheet!$C$2:$C$501,A381,Scoresheet!$U$2:$U$501,1)=0),"No scoresheet yet",IF(SUMIFS(Scoresheet!$N$2:$N$501,Scoresheet!$C$2:$C$501,A381,Scoresheet!$U$2:$U$501,1)&lt;6,"Partly scored ("&amp;SUMIFS(Scoresheet!$N$2:$N$501,Scoresheet!$C$2:$C$501,A381,Scoresheet!$U$2:$U$501,1)&amp;"/6)",IF(Q381&gt;=Settings!$S$8,"Hot",IF(Q381&gt;=Settings!$S$9,"Warm","Cold")))))</f>
        <v/>
      </c>
      <c r="S381" s="44" t="str">
        <f aca="false">IF(OR(E381="",A381=""),"",IF(AND(COUNTIFS(Scoresheet!$C$2:$C$501,A381,Scoresheet!$U$2:$U$501,1,Scoresheet!$H$2:$H$501,"No")&gt;0,COUNTIFS(Scoresheet!$C$2:$C$501,A381,Scoresheet!$U$2:$U$501,1,Scoresheet!$J$2:$J$501,"No")&gt;0),"🚩 Budget  ·  🚩 No one on camera",IF(COUNTIFS(Scoresheet!$C$2:$C$501,A381,Scoresheet!$U$2:$U$501,1,Scoresheet!$H$2:$H$501,"No")&gt;0,"🚩 Budget under AED 5k",IF(COUNTIFS(Scoresheet!$C$2:$C$501,A381,Scoresheet!$U$2:$U$501,1,Scoresheet!$J$2:$J$501,"No")&gt;0,"🚩 No one on camera",""))))</f>
        <v/>
      </c>
      <c r="T381" s="17"/>
      <c r="U381" s="17"/>
      <c r="V381" s="40"/>
      <c r="W381" s="17"/>
      <c r="X381" s="45" t="str">
        <f aca="false">IF(OR(E381="",V381="",OR(U381="Contract signed + paid",U381="Closed – No response",U381="Lost"),N(W381)&gt;=Settings!$S$3),"",V381+Settings!$S$2)</f>
        <v/>
      </c>
      <c r="Y381" s="40"/>
      <c r="Z381" s="41"/>
      <c r="AA381" s="17"/>
      <c r="AB381" s="17"/>
      <c r="AC381" s="17"/>
      <c r="AD381" s="46" t="str">
        <f aca="true">IF(OR(E381="",B381=""),"",INT(TODAY()-B381))</f>
        <v/>
      </c>
      <c r="AE381" s="44" t="str">
        <f aca="true">IF(E381="","",IF(OR(COUNTIFS(Clients!$C$2:$C$501,E381,Clients!$S$2:$S$501,"Paid")&gt;0,AND(I381&lt;&gt;"",COUNTIFS(Clients!$E$2:$E$501,I381,Clients!$S$2:$S$501,"Paid")&gt;0)),"⚠ Refunded before – no free video",IF(OR(U381="Contract signed + paid",U381="Closed – No response",U381="Lost"),"",IF(U381="","Set a stage",IF(AND(U381="Proposal sent",SUMIFS(Scoresheet!$N$2:$N$501,Scoresheet!$C$2:$C$501,A381,Scoresheet!$U$2:$U$501,1)&lt;6),"Score this lead – fill the call scoresheet",IF(N(W381)&gt;=Settings!$S$3,"Close – 4 follow-ups sent",IF(X381="",IF(V381="","Make first contact",""),IF(TODAY()&gt;X381,"OVERDUE follow-up",IF(TODAY()=X381,"Follow up today","")))))))))</f>
        <v/>
      </c>
    </row>
    <row r="382" customFormat="false" ht="15" hidden="false" customHeight="false" outlineLevel="0" collapsed="false">
      <c r="A382" s="17"/>
      <c r="B382" s="40"/>
      <c r="C382" s="41"/>
      <c r="D382" s="17"/>
      <c r="E382" s="17"/>
      <c r="F382" s="17"/>
      <c r="G382" s="17"/>
      <c r="H382" s="17"/>
      <c r="I382" s="42"/>
      <c r="J382" s="17"/>
      <c r="K382" s="17"/>
      <c r="L382" s="17"/>
      <c r="M382" s="17"/>
      <c r="N382" s="40"/>
      <c r="O382" s="41"/>
      <c r="P382" s="43" t="str">
        <f aca="false">IF(OR(B382="",N382=""),"",ROUND(((N382+N(O382))-(B382+N(C382)))*24,1))</f>
        <v/>
      </c>
      <c r="Q382" s="44" t="str">
        <f aca="false">IF(OR(E382="",A382="",COUNTIFS(Scoresheet!$C$2:$C$501,A382,Scoresheet!$U$2:$U$501,1)=0),"",SUMIFS(Scoresheet!$O$2:$O$501,Scoresheet!$C$2:$C$501,A382,Scoresheet!$U$2:$U$501,1))</f>
        <v/>
      </c>
      <c r="R382" s="44" t="str">
        <f aca="false">IF(E382="","",IF(OR(A382="",COUNTIFS(Scoresheet!$C$2:$C$501,A382,Scoresheet!$U$2:$U$501,1)=0),"No scoresheet yet",IF(SUMIFS(Scoresheet!$N$2:$N$501,Scoresheet!$C$2:$C$501,A382,Scoresheet!$U$2:$U$501,1)&lt;6,"Partly scored ("&amp;SUMIFS(Scoresheet!$N$2:$N$501,Scoresheet!$C$2:$C$501,A382,Scoresheet!$U$2:$U$501,1)&amp;"/6)",IF(Q382&gt;=Settings!$S$8,"Hot",IF(Q382&gt;=Settings!$S$9,"Warm","Cold")))))</f>
        <v/>
      </c>
      <c r="S382" s="44" t="str">
        <f aca="false">IF(OR(E382="",A382=""),"",IF(AND(COUNTIFS(Scoresheet!$C$2:$C$501,A382,Scoresheet!$U$2:$U$501,1,Scoresheet!$H$2:$H$501,"No")&gt;0,COUNTIFS(Scoresheet!$C$2:$C$501,A382,Scoresheet!$U$2:$U$501,1,Scoresheet!$J$2:$J$501,"No")&gt;0),"🚩 Budget  ·  🚩 No one on camera",IF(COUNTIFS(Scoresheet!$C$2:$C$501,A382,Scoresheet!$U$2:$U$501,1,Scoresheet!$H$2:$H$501,"No")&gt;0,"🚩 Budget under AED 5k",IF(COUNTIFS(Scoresheet!$C$2:$C$501,A382,Scoresheet!$U$2:$U$501,1,Scoresheet!$J$2:$J$501,"No")&gt;0,"🚩 No one on camera",""))))</f>
        <v/>
      </c>
      <c r="T382" s="17"/>
      <c r="U382" s="17"/>
      <c r="V382" s="40"/>
      <c r="W382" s="17"/>
      <c r="X382" s="45" t="str">
        <f aca="false">IF(OR(E382="",V382="",OR(U382="Contract signed + paid",U382="Closed – No response",U382="Lost"),N(W382)&gt;=Settings!$S$3),"",V382+Settings!$S$2)</f>
        <v/>
      </c>
      <c r="Y382" s="40"/>
      <c r="Z382" s="41"/>
      <c r="AA382" s="17"/>
      <c r="AB382" s="17"/>
      <c r="AC382" s="17"/>
      <c r="AD382" s="46" t="str">
        <f aca="true">IF(OR(E382="",B382=""),"",INT(TODAY()-B382))</f>
        <v/>
      </c>
      <c r="AE382" s="44" t="str">
        <f aca="true">IF(E382="","",IF(OR(COUNTIFS(Clients!$C$2:$C$501,E382,Clients!$S$2:$S$501,"Paid")&gt;0,AND(I382&lt;&gt;"",COUNTIFS(Clients!$E$2:$E$501,I382,Clients!$S$2:$S$501,"Paid")&gt;0)),"⚠ Refunded before – no free video",IF(OR(U382="Contract signed + paid",U382="Closed – No response",U382="Lost"),"",IF(U382="","Set a stage",IF(AND(U382="Proposal sent",SUMIFS(Scoresheet!$N$2:$N$501,Scoresheet!$C$2:$C$501,A382,Scoresheet!$U$2:$U$501,1)&lt;6),"Score this lead – fill the call scoresheet",IF(N(W382)&gt;=Settings!$S$3,"Close – 4 follow-ups sent",IF(X382="",IF(V382="","Make first contact",""),IF(TODAY()&gt;X382,"OVERDUE follow-up",IF(TODAY()=X382,"Follow up today","")))))))))</f>
        <v/>
      </c>
    </row>
    <row r="383" customFormat="false" ht="15" hidden="false" customHeight="false" outlineLevel="0" collapsed="false">
      <c r="A383" s="17"/>
      <c r="B383" s="40"/>
      <c r="C383" s="41"/>
      <c r="D383" s="17"/>
      <c r="E383" s="17"/>
      <c r="F383" s="17"/>
      <c r="G383" s="17"/>
      <c r="H383" s="17"/>
      <c r="I383" s="42"/>
      <c r="J383" s="17"/>
      <c r="K383" s="17"/>
      <c r="L383" s="17"/>
      <c r="M383" s="17"/>
      <c r="N383" s="40"/>
      <c r="O383" s="41"/>
      <c r="P383" s="43" t="str">
        <f aca="false">IF(OR(B383="",N383=""),"",ROUND(((N383+N(O383))-(B383+N(C383)))*24,1))</f>
        <v/>
      </c>
      <c r="Q383" s="44" t="str">
        <f aca="false">IF(OR(E383="",A383="",COUNTIFS(Scoresheet!$C$2:$C$501,A383,Scoresheet!$U$2:$U$501,1)=0),"",SUMIFS(Scoresheet!$O$2:$O$501,Scoresheet!$C$2:$C$501,A383,Scoresheet!$U$2:$U$501,1))</f>
        <v/>
      </c>
      <c r="R383" s="44" t="str">
        <f aca="false">IF(E383="","",IF(OR(A383="",COUNTIFS(Scoresheet!$C$2:$C$501,A383,Scoresheet!$U$2:$U$501,1)=0),"No scoresheet yet",IF(SUMIFS(Scoresheet!$N$2:$N$501,Scoresheet!$C$2:$C$501,A383,Scoresheet!$U$2:$U$501,1)&lt;6,"Partly scored ("&amp;SUMIFS(Scoresheet!$N$2:$N$501,Scoresheet!$C$2:$C$501,A383,Scoresheet!$U$2:$U$501,1)&amp;"/6)",IF(Q383&gt;=Settings!$S$8,"Hot",IF(Q383&gt;=Settings!$S$9,"Warm","Cold")))))</f>
        <v/>
      </c>
      <c r="S383" s="44" t="str">
        <f aca="false">IF(OR(E383="",A383=""),"",IF(AND(COUNTIFS(Scoresheet!$C$2:$C$501,A383,Scoresheet!$U$2:$U$501,1,Scoresheet!$H$2:$H$501,"No")&gt;0,COUNTIFS(Scoresheet!$C$2:$C$501,A383,Scoresheet!$U$2:$U$501,1,Scoresheet!$J$2:$J$501,"No")&gt;0),"🚩 Budget  ·  🚩 No one on camera",IF(COUNTIFS(Scoresheet!$C$2:$C$501,A383,Scoresheet!$U$2:$U$501,1,Scoresheet!$H$2:$H$501,"No")&gt;0,"🚩 Budget under AED 5k",IF(COUNTIFS(Scoresheet!$C$2:$C$501,A383,Scoresheet!$U$2:$U$501,1,Scoresheet!$J$2:$J$501,"No")&gt;0,"🚩 No one on camera",""))))</f>
        <v/>
      </c>
      <c r="T383" s="17"/>
      <c r="U383" s="17"/>
      <c r="V383" s="40"/>
      <c r="W383" s="17"/>
      <c r="X383" s="45" t="str">
        <f aca="false">IF(OR(E383="",V383="",OR(U383="Contract signed + paid",U383="Closed – No response",U383="Lost"),N(W383)&gt;=Settings!$S$3),"",V383+Settings!$S$2)</f>
        <v/>
      </c>
      <c r="Y383" s="40"/>
      <c r="Z383" s="41"/>
      <c r="AA383" s="17"/>
      <c r="AB383" s="17"/>
      <c r="AC383" s="17"/>
      <c r="AD383" s="46" t="str">
        <f aca="true">IF(OR(E383="",B383=""),"",INT(TODAY()-B383))</f>
        <v/>
      </c>
      <c r="AE383" s="44" t="str">
        <f aca="true">IF(E383="","",IF(OR(COUNTIFS(Clients!$C$2:$C$501,E383,Clients!$S$2:$S$501,"Paid")&gt;0,AND(I383&lt;&gt;"",COUNTIFS(Clients!$E$2:$E$501,I383,Clients!$S$2:$S$501,"Paid")&gt;0)),"⚠ Refunded before – no free video",IF(OR(U383="Contract signed + paid",U383="Closed – No response",U383="Lost"),"",IF(U383="","Set a stage",IF(AND(U383="Proposal sent",SUMIFS(Scoresheet!$N$2:$N$501,Scoresheet!$C$2:$C$501,A383,Scoresheet!$U$2:$U$501,1)&lt;6),"Score this lead – fill the call scoresheet",IF(N(W383)&gt;=Settings!$S$3,"Close – 4 follow-ups sent",IF(X383="",IF(V383="","Make first contact",""),IF(TODAY()&gt;X383,"OVERDUE follow-up",IF(TODAY()=X383,"Follow up today","")))))))))</f>
        <v/>
      </c>
    </row>
    <row r="384" customFormat="false" ht="15" hidden="false" customHeight="false" outlineLevel="0" collapsed="false">
      <c r="A384" s="17"/>
      <c r="B384" s="40"/>
      <c r="C384" s="41"/>
      <c r="D384" s="17"/>
      <c r="E384" s="17"/>
      <c r="F384" s="17"/>
      <c r="G384" s="17"/>
      <c r="H384" s="17"/>
      <c r="I384" s="42"/>
      <c r="J384" s="17"/>
      <c r="K384" s="17"/>
      <c r="L384" s="17"/>
      <c r="M384" s="17"/>
      <c r="N384" s="40"/>
      <c r="O384" s="41"/>
      <c r="P384" s="43" t="str">
        <f aca="false">IF(OR(B384="",N384=""),"",ROUND(((N384+N(O384))-(B384+N(C384)))*24,1))</f>
        <v/>
      </c>
      <c r="Q384" s="44" t="str">
        <f aca="false">IF(OR(E384="",A384="",COUNTIFS(Scoresheet!$C$2:$C$501,A384,Scoresheet!$U$2:$U$501,1)=0),"",SUMIFS(Scoresheet!$O$2:$O$501,Scoresheet!$C$2:$C$501,A384,Scoresheet!$U$2:$U$501,1))</f>
        <v/>
      </c>
      <c r="R384" s="44" t="str">
        <f aca="false">IF(E384="","",IF(OR(A384="",COUNTIFS(Scoresheet!$C$2:$C$501,A384,Scoresheet!$U$2:$U$501,1)=0),"No scoresheet yet",IF(SUMIFS(Scoresheet!$N$2:$N$501,Scoresheet!$C$2:$C$501,A384,Scoresheet!$U$2:$U$501,1)&lt;6,"Partly scored ("&amp;SUMIFS(Scoresheet!$N$2:$N$501,Scoresheet!$C$2:$C$501,A384,Scoresheet!$U$2:$U$501,1)&amp;"/6)",IF(Q384&gt;=Settings!$S$8,"Hot",IF(Q384&gt;=Settings!$S$9,"Warm","Cold")))))</f>
        <v/>
      </c>
      <c r="S384" s="44" t="str">
        <f aca="false">IF(OR(E384="",A384=""),"",IF(AND(COUNTIFS(Scoresheet!$C$2:$C$501,A384,Scoresheet!$U$2:$U$501,1,Scoresheet!$H$2:$H$501,"No")&gt;0,COUNTIFS(Scoresheet!$C$2:$C$501,A384,Scoresheet!$U$2:$U$501,1,Scoresheet!$J$2:$J$501,"No")&gt;0),"🚩 Budget  ·  🚩 No one on camera",IF(COUNTIFS(Scoresheet!$C$2:$C$501,A384,Scoresheet!$U$2:$U$501,1,Scoresheet!$H$2:$H$501,"No")&gt;0,"🚩 Budget under AED 5k",IF(COUNTIFS(Scoresheet!$C$2:$C$501,A384,Scoresheet!$U$2:$U$501,1,Scoresheet!$J$2:$J$501,"No")&gt;0,"🚩 No one on camera",""))))</f>
        <v/>
      </c>
      <c r="T384" s="17"/>
      <c r="U384" s="17"/>
      <c r="V384" s="40"/>
      <c r="W384" s="17"/>
      <c r="X384" s="45" t="str">
        <f aca="false">IF(OR(E384="",V384="",OR(U384="Contract signed + paid",U384="Closed – No response",U384="Lost"),N(W384)&gt;=Settings!$S$3),"",V384+Settings!$S$2)</f>
        <v/>
      </c>
      <c r="Y384" s="40"/>
      <c r="Z384" s="41"/>
      <c r="AA384" s="17"/>
      <c r="AB384" s="17"/>
      <c r="AC384" s="17"/>
      <c r="AD384" s="46" t="str">
        <f aca="true">IF(OR(E384="",B384=""),"",INT(TODAY()-B384))</f>
        <v/>
      </c>
      <c r="AE384" s="44" t="str">
        <f aca="true">IF(E384="","",IF(OR(COUNTIFS(Clients!$C$2:$C$501,E384,Clients!$S$2:$S$501,"Paid")&gt;0,AND(I384&lt;&gt;"",COUNTIFS(Clients!$E$2:$E$501,I384,Clients!$S$2:$S$501,"Paid")&gt;0)),"⚠ Refunded before – no free video",IF(OR(U384="Contract signed + paid",U384="Closed – No response",U384="Lost"),"",IF(U384="","Set a stage",IF(AND(U384="Proposal sent",SUMIFS(Scoresheet!$N$2:$N$501,Scoresheet!$C$2:$C$501,A384,Scoresheet!$U$2:$U$501,1)&lt;6),"Score this lead – fill the call scoresheet",IF(N(W384)&gt;=Settings!$S$3,"Close – 4 follow-ups sent",IF(X384="",IF(V384="","Make first contact",""),IF(TODAY()&gt;X384,"OVERDUE follow-up",IF(TODAY()=X384,"Follow up today","")))))))))</f>
        <v/>
      </c>
    </row>
    <row r="385" customFormat="false" ht="15" hidden="false" customHeight="false" outlineLevel="0" collapsed="false">
      <c r="A385" s="17"/>
      <c r="B385" s="40"/>
      <c r="C385" s="41"/>
      <c r="D385" s="17"/>
      <c r="E385" s="17"/>
      <c r="F385" s="17"/>
      <c r="G385" s="17"/>
      <c r="H385" s="17"/>
      <c r="I385" s="42"/>
      <c r="J385" s="17"/>
      <c r="K385" s="17"/>
      <c r="L385" s="17"/>
      <c r="M385" s="17"/>
      <c r="N385" s="40"/>
      <c r="O385" s="41"/>
      <c r="P385" s="43" t="str">
        <f aca="false">IF(OR(B385="",N385=""),"",ROUND(((N385+N(O385))-(B385+N(C385)))*24,1))</f>
        <v/>
      </c>
      <c r="Q385" s="44" t="str">
        <f aca="false">IF(OR(E385="",A385="",COUNTIFS(Scoresheet!$C$2:$C$501,A385,Scoresheet!$U$2:$U$501,1)=0),"",SUMIFS(Scoresheet!$O$2:$O$501,Scoresheet!$C$2:$C$501,A385,Scoresheet!$U$2:$U$501,1))</f>
        <v/>
      </c>
      <c r="R385" s="44" t="str">
        <f aca="false">IF(E385="","",IF(OR(A385="",COUNTIFS(Scoresheet!$C$2:$C$501,A385,Scoresheet!$U$2:$U$501,1)=0),"No scoresheet yet",IF(SUMIFS(Scoresheet!$N$2:$N$501,Scoresheet!$C$2:$C$501,A385,Scoresheet!$U$2:$U$501,1)&lt;6,"Partly scored ("&amp;SUMIFS(Scoresheet!$N$2:$N$501,Scoresheet!$C$2:$C$501,A385,Scoresheet!$U$2:$U$501,1)&amp;"/6)",IF(Q385&gt;=Settings!$S$8,"Hot",IF(Q385&gt;=Settings!$S$9,"Warm","Cold")))))</f>
        <v/>
      </c>
      <c r="S385" s="44" t="str">
        <f aca="false">IF(OR(E385="",A385=""),"",IF(AND(COUNTIFS(Scoresheet!$C$2:$C$501,A385,Scoresheet!$U$2:$U$501,1,Scoresheet!$H$2:$H$501,"No")&gt;0,COUNTIFS(Scoresheet!$C$2:$C$501,A385,Scoresheet!$U$2:$U$501,1,Scoresheet!$J$2:$J$501,"No")&gt;0),"🚩 Budget  ·  🚩 No one on camera",IF(COUNTIFS(Scoresheet!$C$2:$C$501,A385,Scoresheet!$U$2:$U$501,1,Scoresheet!$H$2:$H$501,"No")&gt;0,"🚩 Budget under AED 5k",IF(COUNTIFS(Scoresheet!$C$2:$C$501,A385,Scoresheet!$U$2:$U$501,1,Scoresheet!$J$2:$J$501,"No")&gt;0,"🚩 No one on camera",""))))</f>
        <v/>
      </c>
      <c r="T385" s="17"/>
      <c r="U385" s="17"/>
      <c r="V385" s="40"/>
      <c r="W385" s="17"/>
      <c r="X385" s="45" t="str">
        <f aca="false">IF(OR(E385="",V385="",OR(U385="Contract signed + paid",U385="Closed – No response",U385="Lost"),N(W385)&gt;=Settings!$S$3),"",V385+Settings!$S$2)</f>
        <v/>
      </c>
      <c r="Y385" s="40"/>
      <c r="Z385" s="41"/>
      <c r="AA385" s="17"/>
      <c r="AB385" s="17"/>
      <c r="AC385" s="17"/>
      <c r="AD385" s="46" t="str">
        <f aca="true">IF(OR(E385="",B385=""),"",INT(TODAY()-B385))</f>
        <v/>
      </c>
      <c r="AE385" s="44" t="str">
        <f aca="true">IF(E385="","",IF(OR(COUNTIFS(Clients!$C$2:$C$501,E385,Clients!$S$2:$S$501,"Paid")&gt;0,AND(I385&lt;&gt;"",COUNTIFS(Clients!$E$2:$E$501,I385,Clients!$S$2:$S$501,"Paid")&gt;0)),"⚠ Refunded before – no free video",IF(OR(U385="Contract signed + paid",U385="Closed – No response",U385="Lost"),"",IF(U385="","Set a stage",IF(AND(U385="Proposal sent",SUMIFS(Scoresheet!$N$2:$N$501,Scoresheet!$C$2:$C$501,A385,Scoresheet!$U$2:$U$501,1)&lt;6),"Score this lead – fill the call scoresheet",IF(N(W385)&gt;=Settings!$S$3,"Close – 4 follow-ups sent",IF(X385="",IF(V385="","Make first contact",""),IF(TODAY()&gt;X385,"OVERDUE follow-up",IF(TODAY()=X385,"Follow up today","")))))))))</f>
        <v/>
      </c>
    </row>
    <row r="386" customFormat="false" ht="15" hidden="false" customHeight="false" outlineLevel="0" collapsed="false">
      <c r="A386" s="17"/>
      <c r="B386" s="40"/>
      <c r="C386" s="41"/>
      <c r="D386" s="17"/>
      <c r="E386" s="17"/>
      <c r="F386" s="17"/>
      <c r="G386" s="17"/>
      <c r="H386" s="17"/>
      <c r="I386" s="42"/>
      <c r="J386" s="17"/>
      <c r="K386" s="17"/>
      <c r="L386" s="17"/>
      <c r="M386" s="17"/>
      <c r="N386" s="40"/>
      <c r="O386" s="41"/>
      <c r="P386" s="43" t="str">
        <f aca="false">IF(OR(B386="",N386=""),"",ROUND(((N386+N(O386))-(B386+N(C386)))*24,1))</f>
        <v/>
      </c>
      <c r="Q386" s="44" t="str">
        <f aca="false">IF(OR(E386="",A386="",COUNTIFS(Scoresheet!$C$2:$C$501,A386,Scoresheet!$U$2:$U$501,1)=0),"",SUMIFS(Scoresheet!$O$2:$O$501,Scoresheet!$C$2:$C$501,A386,Scoresheet!$U$2:$U$501,1))</f>
        <v/>
      </c>
      <c r="R386" s="44" t="str">
        <f aca="false">IF(E386="","",IF(OR(A386="",COUNTIFS(Scoresheet!$C$2:$C$501,A386,Scoresheet!$U$2:$U$501,1)=0),"No scoresheet yet",IF(SUMIFS(Scoresheet!$N$2:$N$501,Scoresheet!$C$2:$C$501,A386,Scoresheet!$U$2:$U$501,1)&lt;6,"Partly scored ("&amp;SUMIFS(Scoresheet!$N$2:$N$501,Scoresheet!$C$2:$C$501,A386,Scoresheet!$U$2:$U$501,1)&amp;"/6)",IF(Q386&gt;=Settings!$S$8,"Hot",IF(Q386&gt;=Settings!$S$9,"Warm","Cold")))))</f>
        <v/>
      </c>
      <c r="S386" s="44" t="str">
        <f aca="false">IF(OR(E386="",A386=""),"",IF(AND(COUNTIFS(Scoresheet!$C$2:$C$501,A386,Scoresheet!$U$2:$U$501,1,Scoresheet!$H$2:$H$501,"No")&gt;0,COUNTIFS(Scoresheet!$C$2:$C$501,A386,Scoresheet!$U$2:$U$501,1,Scoresheet!$J$2:$J$501,"No")&gt;0),"🚩 Budget  ·  🚩 No one on camera",IF(COUNTIFS(Scoresheet!$C$2:$C$501,A386,Scoresheet!$U$2:$U$501,1,Scoresheet!$H$2:$H$501,"No")&gt;0,"🚩 Budget under AED 5k",IF(COUNTIFS(Scoresheet!$C$2:$C$501,A386,Scoresheet!$U$2:$U$501,1,Scoresheet!$J$2:$J$501,"No")&gt;0,"🚩 No one on camera",""))))</f>
        <v/>
      </c>
      <c r="T386" s="17"/>
      <c r="U386" s="17"/>
      <c r="V386" s="40"/>
      <c r="W386" s="17"/>
      <c r="X386" s="45" t="str">
        <f aca="false">IF(OR(E386="",V386="",OR(U386="Contract signed + paid",U386="Closed – No response",U386="Lost"),N(W386)&gt;=Settings!$S$3),"",V386+Settings!$S$2)</f>
        <v/>
      </c>
      <c r="Y386" s="40"/>
      <c r="Z386" s="41"/>
      <c r="AA386" s="17"/>
      <c r="AB386" s="17"/>
      <c r="AC386" s="17"/>
      <c r="AD386" s="46" t="str">
        <f aca="true">IF(OR(E386="",B386=""),"",INT(TODAY()-B386))</f>
        <v/>
      </c>
      <c r="AE386" s="44" t="str">
        <f aca="true">IF(E386="","",IF(OR(COUNTIFS(Clients!$C$2:$C$501,E386,Clients!$S$2:$S$501,"Paid")&gt;0,AND(I386&lt;&gt;"",COUNTIFS(Clients!$E$2:$E$501,I386,Clients!$S$2:$S$501,"Paid")&gt;0)),"⚠ Refunded before – no free video",IF(OR(U386="Contract signed + paid",U386="Closed – No response",U386="Lost"),"",IF(U386="","Set a stage",IF(AND(U386="Proposal sent",SUMIFS(Scoresheet!$N$2:$N$501,Scoresheet!$C$2:$C$501,A386,Scoresheet!$U$2:$U$501,1)&lt;6),"Score this lead – fill the call scoresheet",IF(N(W386)&gt;=Settings!$S$3,"Close – 4 follow-ups sent",IF(X386="",IF(V386="","Make first contact",""),IF(TODAY()&gt;X386,"OVERDUE follow-up",IF(TODAY()=X386,"Follow up today","")))))))))</f>
        <v/>
      </c>
    </row>
    <row r="387" customFormat="false" ht="15" hidden="false" customHeight="false" outlineLevel="0" collapsed="false">
      <c r="A387" s="17"/>
      <c r="B387" s="40"/>
      <c r="C387" s="41"/>
      <c r="D387" s="17"/>
      <c r="E387" s="17"/>
      <c r="F387" s="17"/>
      <c r="G387" s="17"/>
      <c r="H387" s="17"/>
      <c r="I387" s="42"/>
      <c r="J387" s="17"/>
      <c r="K387" s="17"/>
      <c r="L387" s="17"/>
      <c r="M387" s="17"/>
      <c r="N387" s="40"/>
      <c r="O387" s="41"/>
      <c r="P387" s="43" t="str">
        <f aca="false">IF(OR(B387="",N387=""),"",ROUND(((N387+N(O387))-(B387+N(C387)))*24,1))</f>
        <v/>
      </c>
      <c r="Q387" s="44" t="str">
        <f aca="false">IF(OR(E387="",A387="",COUNTIFS(Scoresheet!$C$2:$C$501,A387,Scoresheet!$U$2:$U$501,1)=0),"",SUMIFS(Scoresheet!$O$2:$O$501,Scoresheet!$C$2:$C$501,A387,Scoresheet!$U$2:$U$501,1))</f>
        <v/>
      </c>
      <c r="R387" s="44" t="str">
        <f aca="false">IF(E387="","",IF(OR(A387="",COUNTIFS(Scoresheet!$C$2:$C$501,A387,Scoresheet!$U$2:$U$501,1)=0),"No scoresheet yet",IF(SUMIFS(Scoresheet!$N$2:$N$501,Scoresheet!$C$2:$C$501,A387,Scoresheet!$U$2:$U$501,1)&lt;6,"Partly scored ("&amp;SUMIFS(Scoresheet!$N$2:$N$501,Scoresheet!$C$2:$C$501,A387,Scoresheet!$U$2:$U$501,1)&amp;"/6)",IF(Q387&gt;=Settings!$S$8,"Hot",IF(Q387&gt;=Settings!$S$9,"Warm","Cold")))))</f>
        <v/>
      </c>
      <c r="S387" s="44" t="str">
        <f aca="false">IF(OR(E387="",A387=""),"",IF(AND(COUNTIFS(Scoresheet!$C$2:$C$501,A387,Scoresheet!$U$2:$U$501,1,Scoresheet!$H$2:$H$501,"No")&gt;0,COUNTIFS(Scoresheet!$C$2:$C$501,A387,Scoresheet!$U$2:$U$501,1,Scoresheet!$J$2:$J$501,"No")&gt;0),"🚩 Budget  ·  🚩 No one on camera",IF(COUNTIFS(Scoresheet!$C$2:$C$501,A387,Scoresheet!$U$2:$U$501,1,Scoresheet!$H$2:$H$501,"No")&gt;0,"🚩 Budget under AED 5k",IF(COUNTIFS(Scoresheet!$C$2:$C$501,A387,Scoresheet!$U$2:$U$501,1,Scoresheet!$J$2:$J$501,"No")&gt;0,"🚩 No one on camera",""))))</f>
        <v/>
      </c>
      <c r="T387" s="17"/>
      <c r="U387" s="17"/>
      <c r="V387" s="40"/>
      <c r="W387" s="17"/>
      <c r="X387" s="45" t="str">
        <f aca="false">IF(OR(E387="",V387="",OR(U387="Contract signed + paid",U387="Closed – No response",U387="Lost"),N(W387)&gt;=Settings!$S$3),"",V387+Settings!$S$2)</f>
        <v/>
      </c>
      <c r="Y387" s="40"/>
      <c r="Z387" s="41"/>
      <c r="AA387" s="17"/>
      <c r="AB387" s="17"/>
      <c r="AC387" s="17"/>
      <c r="AD387" s="46" t="str">
        <f aca="true">IF(OR(E387="",B387=""),"",INT(TODAY()-B387))</f>
        <v/>
      </c>
      <c r="AE387" s="44" t="str">
        <f aca="true">IF(E387="","",IF(OR(COUNTIFS(Clients!$C$2:$C$501,E387,Clients!$S$2:$S$501,"Paid")&gt;0,AND(I387&lt;&gt;"",COUNTIFS(Clients!$E$2:$E$501,I387,Clients!$S$2:$S$501,"Paid")&gt;0)),"⚠ Refunded before – no free video",IF(OR(U387="Contract signed + paid",U387="Closed – No response",U387="Lost"),"",IF(U387="","Set a stage",IF(AND(U387="Proposal sent",SUMIFS(Scoresheet!$N$2:$N$501,Scoresheet!$C$2:$C$501,A387,Scoresheet!$U$2:$U$501,1)&lt;6),"Score this lead – fill the call scoresheet",IF(N(W387)&gt;=Settings!$S$3,"Close – 4 follow-ups sent",IF(X387="",IF(V387="","Make first contact",""),IF(TODAY()&gt;X387,"OVERDUE follow-up",IF(TODAY()=X387,"Follow up today","")))))))))</f>
        <v/>
      </c>
    </row>
    <row r="388" customFormat="false" ht="15" hidden="false" customHeight="false" outlineLevel="0" collapsed="false">
      <c r="A388" s="17"/>
      <c r="B388" s="40"/>
      <c r="C388" s="41"/>
      <c r="D388" s="17"/>
      <c r="E388" s="17"/>
      <c r="F388" s="17"/>
      <c r="G388" s="17"/>
      <c r="H388" s="17"/>
      <c r="I388" s="42"/>
      <c r="J388" s="17"/>
      <c r="K388" s="17"/>
      <c r="L388" s="17"/>
      <c r="M388" s="17"/>
      <c r="N388" s="40"/>
      <c r="O388" s="41"/>
      <c r="P388" s="43" t="str">
        <f aca="false">IF(OR(B388="",N388=""),"",ROUND(((N388+N(O388))-(B388+N(C388)))*24,1))</f>
        <v/>
      </c>
      <c r="Q388" s="44" t="str">
        <f aca="false">IF(OR(E388="",A388="",COUNTIFS(Scoresheet!$C$2:$C$501,A388,Scoresheet!$U$2:$U$501,1)=0),"",SUMIFS(Scoresheet!$O$2:$O$501,Scoresheet!$C$2:$C$501,A388,Scoresheet!$U$2:$U$501,1))</f>
        <v/>
      </c>
      <c r="R388" s="44" t="str">
        <f aca="false">IF(E388="","",IF(OR(A388="",COUNTIFS(Scoresheet!$C$2:$C$501,A388,Scoresheet!$U$2:$U$501,1)=0),"No scoresheet yet",IF(SUMIFS(Scoresheet!$N$2:$N$501,Scoresheet!$C$2:$C$501,A388,Scoresheet!$U$2:$U$501,1)&lt;6,"Partly scored ("&amp;SUMIFS(Scoresheet!$N$2:$N$501,Scoresheet!$C$2:$C$501,A388,Scoresheet!$U$2:$U$501,1)&amp;"/6)",IF(Q388&gt;=Settings!$S$8,"Hot",IF(Q388&gt;=Settings!$S$9,"Warm","Cold")))))</f>
        <v/>
      </c>
      <c r="S388" s="44" t="str">
        <f aca="false">IF(OR(E388="",A388=""),"",IF(AND(COUNTIFS(Scoresheet!$C$2:$C$501,A388,Scoresheet!$U$2:$U$501,1,Scoresheet!$H$2:$H$501,"No")&gt;0,COUNTIFS(Scoresheet!$C$2:$C$501,A388,Scoresheet!$U$2:$U$501,1,Scoresheet!$J$2:$J$501,"No")&gt;0),"🚩 Budget  ·  🚩 No one on camera",IF(COUNTIFS(Scoresheet!$C$2:$C$501,A388,Scoresheet!$U$2:$U$501,1,Scoresheet!$H$2:$H$501,"No")&gt;0,"🚩 Budget under AED 5k",IF(COUNTIFS(Scoresheet!$C$2:$C$501,A388,Scoresheet!$U$2:$U$501,1,Scoresheet!$J$2:$J$501,"No")&gt;0,"🚩 No one on camera",""))))</f>
        <v/>
      </c>
      <c r="T388" s="17"/>
      <c r="U388" s="17"/>
      <c r="V388" s="40"/>
      <c r="W388" s="17"/>
      <c r="X388" s="45" t="str">
        <f aca="false">IF(OR(E388="",V388="",OR(U388="Contract signed + paid",U388="Closed – No response",U388="Lost"),N(W388)&gt;=Settings!$S$3),"",V388+Settings!$S$2)</f>
        <v/>
      </c>
      <c r="Y388" s="40"/>
      <c r="Z388" s="41"/>
      <c r="AA388" s="17"/>
      <c r="AB388" s="17"/>
      <c r="AC388" s="17"/>
      <c r="AD388" s="46" t="str">
        <f aca="true">IF(OR(E388="",B388=""),"",INT(TODAY()-B388))</f>
        <v/>
      </c>
      <c r="AE388" s="44" t="str">
        <f aca="true">IF(E388="","",IF(OR(COUNTIFS(Clients!$C$2:$C$501,E388,Clients!$S$2:$S$501,"Paid")&gt;0,AND(I388&lt;&gt;"",COUNTIFS(Clients!$E$2:$E$501,I388,Clients!$S$2:$S$501,"Paid")&gt;0)),"⚠ Refunded before – no free video",IF(OR(U388="Contract signed + paid",U388="Closed – No response",U388="Lost"),"",IF(U388="","Set a stage",IF(AND(U388="Proposal sent",SUMIFS(Scoresheet!$N$2:$N$501,Scoresheet!$C$2:$C$501,A388,Scoresheet!$U$2:$U$501,1)&lt;6),"Score this lead – fill the call scoresheet",IF(N(W388)&gt;=Settings!$S$3,"Close – 4 follow-ups sent",IF(X388="",IF(V388="","Make first contact",""),IF(TODAY()&gt;X388,"OVERDUE follow-up",IF(TODAY()=X388,"Follow up today","")))))))))</f>
        <v/>
      </c>
    </row>
    <row r="389" customFormat="false" ht="15" hidden="false" customHeight="false" outlineLevel="0" collapsed="false">
      <c r="A389" s="17"/>
      <c r="B389" s="40"/>
      <c r="C389" s="41"/>
      <c r="D389" s="17"/>
      <c r="E389" s="17"/>
      <c r="F389" s="17"/>
      <c r="G389" s="17"/>
      <c r="H389" s="17"/>
      <c r="I389" s="42"/>
      <c r="J389" s="17"/>
      <c r="K389" s="17"/>
      <c r="L389" s="17"/>
      <c r="M389" s="17"/>
      <c r="N389" s="40"/>
      <c r="O389" s="41"/>
      <c r="P389" s="43" t="str">
        <f aca="false">IF(OR(B389="",N389=""),"",ROUND(((N389+N(O389))-(B389+N(C389)))*24,1))</f>
        <v/>
      </c>
      <c r="Q389" s="44" t="str">
        <f aca="false">IF(OR(E389="",A389="",COUNTIFS(Scoresheet!$C$2:$C$501,A389,Scoresheet!$U$2:$U$501,1)=0),"",SUMIFS(Scoresheet!$O$2:$O$501,Scoresheet!$C$2:$C$501,A389,Scoresheet!$U$2:$U$501,1))</f>
        <v/>
      </c>
      <c r="R389" s="44" t="str">
        <f aca="false">IF(E389="","",IF(OR(A389="",COUNTIFS(Scoresheet!$C$2:$C$501,A389,Scoresheet!$U$2:$U$501,1)=0),"No scoresheet yet",IF(SUMIFS(Scoresheet!$N$2:$N$501,Scoresheet!$C$2:$C$501,A389,Scoresheet!$U$2:$U$501,1)&lt;6,"Partly scored ("&amp;SUMIFS(Scoresheet!$N$2:$N$501,Scoresheet!$C$2:$C$501,A389,Scoresheet!$U$2:$U$501,1)&amp;"/6)",IF(Q389&gt;=Settings!$S$8,"Hot",IF(Q389&gt;=Settings!$S$9,"Warm","Cold")))))</f>
        <v/>
      </c>
      <c r="S389" s="44" t="str">
        <f aca="false">IF(OR(E389="",A389=""),"",IF(AND(COUNTIFS(Scoresheet!$C$2:$C$501,A389,Scoresheet!$U$2:$U$501,1,Scoresheet!$H$2:$H$501,"No")&gt;0,COUNTIFS(Scoresheet!$C$2:$C$501,A389,Scoresheet!$U$2:$U$501,1,Scoresheet!$J$2:$J$501,"No")&gt;0),"🚩 Budget  ·  🚩 No one on camera",IF(COUNTIFS(Scoresheet!$C$2:$C$501,A389,Scoresheet!$U$2:$U$501,1,Scoresheet!$H$2:$H$501,"No")&gt;0,"🚩 Budget under AED 5k",IF(COUNTIFS(Scoresheet!$C$2:$C$501,A389,Scoresheet!$U$2:$U$501,1,Scoresheet!$J$2:$J$501,"No")&gt;0,"🚩 No one on camera",""))))</f>
        <v/>
      </c>
      <c r="T389" s="17"/>
      <c r="U389" s="17"/>
      <c r="V389" s="40"/>
      <c r="W389" s="17"/>
      <c r="X389" s="45" t="str">
        <f aca="false">IF(OR(E389="",V389="",OR(U389="Contract signed + paid",U389="Closed – No response",U389="Lost"),N(W389)&gt;=Settings!$S$3),"",V389+Settings!$S$2)</f>
        <v/>
      </c>
      <c r="Y389" s="40"/>
      <c r="Z389" s="41"/>
      <c r="AA389" s="17"/>
      <c r="AB389" s="17"/>
      <c r="AC389" s="17"/>
      <c r="AD389" s="46" t="str">
        <f aca="true">IF(OR(E389="",B389=""),"",INT(TODAY()-B389))</f>
        <v/>
      </c>
      <c r="AE389" s="44" t="str">
        <f aca="true">IF(E389="","",IF(OR(COUNTIFS(Clients!$C$2:$C$501,E389,Clients!$S$2:$S$501,"Paid")&gt;0,AND(I389&lt;&gt;"",COUNTIFS(Clients!$E$2:$E$501,I389,Clients!$S$2:$S$501,"Paid")&gt;0)),"⚠ Refunded before – no free video",IF(OR(U389="Contract signed + paid",U389="Closed – No response",U389="Lost"),"",IF(U389="","Set a stage",IF(AND(U389="Proposal sent",SUMIFS(Scoresheet!$N$2:$N$501,Scoresheet!$C$2:$C$501,A389,Scoresheet!$U$2:$U$501,1)&lt;6),"Score this lead – fill the call scoresheet",IF(N(W389)&gt;=Settings!$S$3,"Close – 4 follow-ups sent",IF(X389="",IF(V389="","Make first contact",""),IF(TODAY()&gt;X389,"OVERDUE follow-up",IF(TODAY()=X389,"Follow up today","")))))))))</f>
        <v/>
      </c>
    </row>
    <row r="390" customFormat="false" ht="15" hidden="false" customHeight="false" outlineLevel="0" collapsed="false">
      <c r="A390" s="17"/>
      <c r="B390" s="40"/>
      <c r="C390" s="41"/>
      <c r="D390" s="17"/>
      <c r="E390" s="17"/>
      <c r="F390" s="17"/>
      <c r="G390" s="17"/>
      <c r="H390" s="17"/>
      <c r="I390" s="42"/>
      <c r="J390" s="17"/>
      <c r="K390" s="17"/>
      <c r="L390" s="17"/>
      <c r="M390" s="17"/>
      <c r="N390" s="40"/>
      <c r="O390" s="41"/>
      <c r="P390" s="43" t="str">
        <f aca="false">IF(OR(B390="",N390=""),"",ROUND(((N390+N(O390))-(B390+N(C390)))*24,1))</f>
        <v/>
      </c>
      <c r="Q390" s="44" t="str">
        <f aca="false">IF(OR(E390="",A390="",COUNTIFS(Scoresheet!$C$2:$C$501,A390,Scoresheet!$U$2:$U$501,1)=0),"",SUMIFS(Scoresheet!$O$2:$O$501,Scoresheet!$C$2:$C$501,A390,Scoresheet!$U$2:$U$501,1))</f>
        <v/>
      </c>
      <c r="R390" s="44" t="str">
        <f aca="false">IF(E390="","",IF(OR(A390="",COUNTIFS(Scoresheet!$C$2:$C$501,A390,Scoresheet!$U$2:$U$501,1)=0),"No scoresheet yet",IF(SUMIFS(Scoresheet!$N$2:$N$501,Scoresheet!$C$2:$C$501,A390,Scoresheet!$U$2:$U$501,1)&lt;6,"Partly scored ("&amp;SUMIFS(Scoresheet!$N$2:$N$501,Scoresheet!$C$2:$C$501,A390,Scoresheet!$U$2:$U$501,1)&amp;"/6)",IF(Q390&gt;=Settings!$S$8,"Hot",IF(Q390&gt;=Settings!$S$9,"Warm","Cold")))))</f>
        <v/>
      </c>
      <c r="S390" s="44" t="str">
        <f aca="false">IF(OR(E390="",A390=""),"",IF(AND(COUNTIFS(Scoresheet!$C$2:$C$501,A390,Scoresheet!$U$2:$U$501,1,Scoresheet!$H$2:$H$501,"No")&gt;0,COUNTIFS(Scoresheet!$C$2:$C$501,A390,Scoresheet!$U$2:$U$501,1,Scoresheet!$J$2:$J$501,"No")&gt;0),"🚩 Budget  ·  🚩 No one on camera",IF(COUNTIFS(Scoresheet!$C$2:$C$501,A390,Scoresheet!$U$2:$U$501,1,Scoresheet!$H$2:$H$501,"No")&gt;0,"🚩 Budget under AED 5k",IF(COUNTIFS(Scoresheet!$C$2:$C$501,A390,Scoresheet!$U$2:$U$501,1,Scoresheet!$J$2:$J$501,"No")&gt;0,"🚩 No one on camera",""))))</f>
        <v/>
      </c>
      <c r="T390" s="17"/>
      <c r="U390" s="17"/>
      <c r="V390" s="40"/>
      <c r="W390" s="17"/>
      <c r="X390" s="45" t="str">
        <f aca="false">IF(OR(E390="",V390="",OR(U390="Contract signed + paid",U390="Closed – No response",U390="Lost"),N(W390)&gt;=Settings!$S$3),"",V390+Settings!$S$2)</f>
        <v/>
      </c>
      <c r="Y390" s="40"/>
      <c r="Z390" s="41"/>
      <c r="AA390" s="17"/>
      <c r="AB390" s="17"/>
      <c r="AC390" s="17"/>
      <c r="AD390" s="46" t="str">
        <f aca="true">IF(OR(E390="",B390=""),"",INT(TODAY()-B390))</f>
        <v/>
      </c>
      <c r="AE390" s="44" t="str">
        <f aca="true">IF(E390="","",IF(OR(COUNTIFS(Clients!$C$2:$C$501,E390,Clients!$S$2:$S$501,"Paid")&gt;0,AND(I390&lt;&gt;"",COUNTIFS(Clients!$E$2:$E$501,I390,Clients!$S$2:$S$501,"Paid")&gt;0)),"⚠ Refunded before – no free video",IF(OR(U390="Contract signed + paid",U390="Closed – No response",U390="Lost"),"",IF(U390="","Set a stage",IF(AND(U390="Proposal sent",SUMIFS(Scoresheet!$N$2:$N$501,Scoresheet!$C$2:$C$501,A390,Scoresheet!$U$2:$U$501,1)&lt;6),"Score this lead – fill the call scoresheet",IF(N(W390)&gt;=Settings!$S$3,"Close – 4 follow-ups sent",IF(X390="",IF(V390="","Make first contact",""),IF(TODAY()&gt;X390,"OVERDUE follow-up",IF(TODAY()=X390,"Follow up today","")))))))))</f>
        <v/>
      </c>
    </row>
    <row r="391" customFormat="false" ht="15" hidden="false" customHeight="false" outlineLevel="0" collapsed="false">
      <c r="A391" s="17"/>
      <c r="B391" s="40"/>
      <c r="C391" s="41"/>
      <c r="D391" s="17"/>
      <c r="E391" s="17"/>
      <c r="F391" s="17"/>
      <c r="G391" s="17"/>
      <c r="H391" s="17"/>
      <c r="I391" s="42"/>
      <c r="J391" s="17"/>
      <c r="K391" s="17"/>
      <c r="L391" s="17"/>
      <c r="M391" s="17"/>
      <c r="N391" s="40"/>
      <c r="O391" s="41"/>
      <c r="P391" s="43" t="str">
        <f aca="false">IF(OR(B391="",N391=""),"",ROUND(((N391+N(O391))-(B391+N(C391)))*24,1))</f>
        <v/>
      </c>
      <c r="Q391" s="44" t="str">
        <f aca="false">IF(OR(E391="",A391="",COUNTIFS(Scoresheet!$C$2:$C$501,A391,Scoresheet!$U$2:$U$501,1)=0),"",SUMIFS(Scoresheet!$O$2:$O$501,Scoresheet!$C$2:$C$501,A391,Scoresheet!$U$2:$U$501,1))</f>
        <v/>
      </c>
      <c r="R391" s="44" t="str">
        <f aca="false">IF(E391="","",IF(OR(A391="",COUNTIFS(Scoresheet!$C$2:$C$501,A391,Scoresheet!$U$2:$U$501,1)=0),"No scoresheet yet",IF(SUMIFS(Scoresheet!$N$2:$N$501,Scoresheet!$C$2:$C$501,A391,Scoresheet!$U$2:$U$501,1)&lt;6,"Partly scored ("&amp;SUMIFS(Scoresheet!$N$2:$N$501,Scoresheet!$C$2:$C$501,A391,Scoresheet!$U$2:$U$501,1)&amp;"/6)",IF(Q391&gt;=Settings!$S$8,"Hot",IF(Q391&gt;=Settings!$S$9,"Warm","Cold")))))</f>
        <v/>
      </c>
      <c r="S391" s="44" t="str">
        <f aca="false">IF(OR(E391="",A391=""),"",IF(AND(COUNTIFS(Scoresheet!$C$2:$C$501,A391,Scoresheet!$U$2:$U$501,1,Scoresheet!$H$2:$H$501,"No")&gt;0,COUNTIFS(Scoresheet!$C$2:$C$501,A391,Scoresheet!$U$2:$U$501,1,Scoresheet!$J$2:$J$501,"No")&gt;0),"🚩 Budget  ·  🚩 No one on camera",IF(COUNTIFS(Scoresheet!$C$2:$C$501,A391,Scoresheet!$U$2:$U$501,1,Scoresheet!$H$2:$H$501,"No")&gt;0,"🚩 Budget under AED 5k",IF(COUNTIFS(Scoresheet!$C$2:$C$501,A391,Scoresheet!$U$2:$U$501,1,Scoresheet!$J$2:$J$501,"No")&gt;0,"🚩 No one on camera",""))))</f>
        <v/>
      </c>
      <c r="T391" s="17"/>
      <c r="U391" s="17"/>
      <c r="V391" s="40"/>
      <c r="W391" s="17"/>
      <c r="X391" s="45" t="str">
        <f aca="false">IF(OR(E391="",V391="",OR(U391="Contract signed + paid",U391="Closed – No response",U391="Lost"),N(W391)&gt;=Settings!$S$3),"",V391+Settings!$S$2)</f>
        <v/>
      </c>
      <c r="Y391" s="40"/>
      <c r="Z391" s="41"/>
      <c r="AA391" s="17"/>
      <c r="AB391" s="17"/>
      <c r="AC391" s="17"/>
      <c r="AD391" s="46" t="str">
        <f aca="true">IF(OR(E391="",B391=""),"",INT(TODAY()-B391))</f>
        <v/>
      </c>
      <c r="AE391" s="44" t="str">
        <f aca="true">IF(E391="","",IF(OR(COUNTIFS(Clients!$C$2:$C$501,E391,Clients!$S$2:$S$501,"Paid")&gt;0,AND(I391&lt;&gt;"",COUNTIFS(Clients!$E$2:$E$501,I391,Clients!$S$2:$S$501,"Paid")&gt;0)),"⚠ Refunded before – no free video",IF(OR(U391="Contract signed + paid",U391="Closed – No response",U391="Lost"),"",IF(U391="","Set a stage",IF(AND(U391="Proposal sent",SUMIFS(Scoresheet!$N$2:$N$501,Scoresheet!$C$2:$C$501,A391,Scoresheet!$U$2:$U$501,1)&lt;6),"Score this lead – fill the call scoresheet",IF(N(W391)&gt;=Settings!$S$3,"Close – 4 follow-ups sent",IF(X391="",IF(V391="","Make first contact",""),IF(TODAY()&gt;X391,"OVERDUE follow-up",IF(TODAY()=X391,"Follow up today","")))))))))</f>
        <v/>
      </c>
    </row>
    <row r="392" customFormat="false" ht="15" hidden="false" customHeight="false" outlineLevel="0" collapsed="false">
      <c r="A392" s="17"/>
      <c r="B392" s="40"/>
      <c r="C392" s="41"/>
      <c r="D392" s="17"/>
      <c r="E392" s="17"/>
      <c r="F392" s="17"/>
      <c r="G392" s="17"/>
      <c r="H392" s="17"/>
      <c r="I392" s="42"/>
      <c r="J392" s="17"/>
      <c r="K392" s="17"/>
      <c r="L392" s="17"/>
      <c r="M392" s="17"/>
      <c r="N392" s="40"/>
      <c r="O392" s="41"/>
      <c r="P392" s="43" t="str">
        <f aca="false">IF(OR(B392="",N392=""),"",ROUND(((N392+N(O392))-(B392+N(C392)))*24,1))</f>
        <v/>
      </c>
      <c r="Q392" s="44" t="str">
        <f aca="false">IF(OR(E392="",A392="",COUNTIFS(Scoresheet!$C$2:$C$501,A392,Scoresheet!$U$2:$U$501,1)=0),"",SUMIFS(Scoresheet!$O$2:$O$501,Scoresheet!$C$2:$C$501,A392,Scoresheet!$U$2:$U$501,1))</f>
        <v/>
      </c>
      <c r="R392" s="44" t="str">
        <f aca="false">IF(E392="","",IF(OR(A392="",COUNTIFS(Scoresheet!$C$2:$C$501,A392,Scoresheet!$U$2:$U$501,1)=0),"No scoresheet yet",IF(SUMIFS(Scoresheet!$N$2:$N$501,Scoresheet!$C$2:$C$501,A392,Scoresheet!$U$2:$U$501,1)&lt;6,"Partly scored ("&amp;SUMIFS(Scoresheet!$N$2:$N$501,Scoresheet!$C$2:$C$501,A392,Scoresheet!$U$2:$U$501,1)&amp;"/6)",IF(Q392&gt;=Settings!$S$8,"Hot",IF(Q392&gt;=Settings!$S$9,"Warm","Cold")))))</f>
        <v/>
      </c>
      <c r="S392" s="44" t="str">
        <f aca="false">IF(OR(E392="",A392=""),"",IF(AND(COUNTIFS(Scoresheet!$C$2:$C$501,A392,Scoresheet!$U$2:$U$501,1,Scoresheet!$H$2:$H$501,"No")&gt;0,COUNTIFS(Scoresheet!$C$2:$C$501,A392,Scoresheet!$U$2:$U$501,1,Scoresheet!$J$2:$J$501,"No")&gt;0),"🚩 Budget  ·  🚩 No one on camera",IF(COUNTIFS(Scoresheet!$C$2:$C$501,A392,Scoresheet!$U$2:$U$501,1,Scoresheet!$H$2:$H$501,"No")&gt;0,"🚩 Budget under AED 5k",IF(COUNTIFS(Scoresheet!$C$2:$C$501,A392,Scoresheet!$U$2:$U$501,1,Scoresheet!$J$2:$J$501,"No")&gt;0,"🚩 No one on camera",""))))</f>
        <v/>
      </c>
      <c r="T392" s="17"/>
      <c r="U392" s="17"/>
      <c r="V392" s="40"/>
      <c r="W392" s="17"/>
      <c r="X392" s="45" t="str">
        <f aca="false">IF(OR(E392="",V392="",OR(U392="Contract signed + paid",U392="Closed – No response",U392="Lost"),N(W392)&gt;=Settings!$S$3),"",V392+Settings!$S$2)</f>
        <v/>
      </c>
      <c r="Y392" s="40"/>
      <c r="Z392" s="41"/>
      <c r="AA392" s="17"/>
      <c r="AB392" s="17"/>
      <c r="AC392" s="17"/>
      <c r="AD392" s="46" t="str">
        <f aca="true">IF(OR(E392="",B392=""),"",INT(TODAY()-B392))</f>
        <v/>
      </c>
      <c r="AE392" s="44" t="str">
        <f aca="true">IF(E392="","",IF(OR(COUNTIFS(Clients!$C$2:$C$501,E392,Clients!$S$2:$S$501,"Paid")&gt;0,AND(I392&lt;&gt;"",COUNTIFS(Clients!$E$2:$E$501,I392,Clients!$S$2:$S$501,"Paid")&gt;0)),"⚠ Refunded before – no free video",IF(OR(U392="Contract signed + paid",U392="Closed – No response",U392="Lost"),"",IF(U392="","Set a stage",IF(AND(U392="Proposal sent",SUMIFS(Scoresheet!$N$2:$N$501,Scoresheet!$C$2:$C$501,A392,Scoresheet!$U$2:$U$501,1)&lt;6),"Score this lead – fill the call scoresheet",IF(N(W392)&gt;=Settings!$S$3,"Close – 4 follow-ups sent",IF(X392="",IF(V392="","Make first contact",""),IF(TODAY()&gt;X392,"OVERDUE follow-up",IF(TODAY()=X392,"Follow up today","")))))))))</f>
        <v/>
      </c>
    </row>
    <row r="393" customFormat="false" ht="15" hidden="false" customHeight="false" outlineLevel="0" collapsed="false">
      <c r="A393" s="17"/>
      <c r="B393" s="40"/>
      <c r="C393" s="41"/>
      <c r="D393" s="17"/>
      <c r="E393" s="17"/>
      <c r="F393" s="17"/>
      <c r="G393" s="17"/>
      <c r="H393" s="17"/>
      <c r="I393" s="42"/>
      <c r="J393" s="17"/>
      <c r="K393" s="17"/>
      <c r="L393" s="17"/>
      <c r="M393" s="17"/>
      <c r="N393" s="40"/>
      <c r="O393" s="41"/>
      <c r="P393" s="43" t="str">
        <f aca="false">IF(OR(B393="",N393=""),"",ROUND(((N393+N(O393))-(B393+N(C393)))*24,1))</f>
        <v/>
      </c>
      <c r="Q393" s="44" t="str">
        <f aca="false">IF(OR(E393="",A393="",COUNTIFS(Scoresheet!$C$2:$C$501,A393,Scoresheet!$U$2:$U$501,1)=0),"",SUMIFS(Scoresheet!$O$2:$O$501,Scoresheet!$C$2:$C$501,A393,Scoresheet!$U$2:$U$501,1))</f>
        <v/>
      </c>
      <c r="R393" s="44" t="str">
        <f aca="false">IF(E393="","",IF(OR(A393="",COUNTIFS(Scoresheet!$C$2:$C$501,A393,Scoresheet!$U$2:$U$501,1)=0),"No scoresheet yet",IF(SUMIFS(Scoresheet!$N$2:$N$501,Scoresheet!$C$2:$C$501,A393,Scoresheet!$U$2:$U$501,1)&lt;6,"Partly scored ("&amp;SUMIFS(Scoresheet!$N$2:$N$501,Scoresheet!$C$2:$C$501,A393,Scoresheet!$U$2:$U$501,1)&amp;"/6)",IF(Q393&gt;=Settings!$S$8,"Hot",IF(Q393&gt;=Settings!$S$9,"Warm","Cold")))))</f>
        <v/>
      </c>
      <c r="S393" s="44" t="str">
        <f aca="false">IF(OR(E393="",A393=""),"",IF(AND(COUNTIFS(Scoresheet!$C$2:$C$501,A393,Scoresheet!$U$2:$U$501,1,Scoresheet!$H$2:$H$501,"No")&gt;0,COUNTIFS(Scoresheet!$C$2:$C$501,A393,Scoresheet!$U$2:$U$501,1,Scoresheet!$J$2:$J$501,"No")&gt;0),"🚩 Budget  ·  🚩 No one on camera",IF(COUNTIFS(Scoresheet!$C$2:$C$501,A393,Scoresheet!$U$2:$U$501,1,Scoresheet!$H$2:$H$501,"No")&gt;0,"🚩 Budget under AED 5k",IF(COUNTIFS(Scoresheet!$C$2:$C$501,A393,Scoresheet!$U$2:$U$501,1,Scoresheet!$J$2:$J$501,"No")&gt;0,"🚩 No one on camera",""))))</f>
        <v/>
      </c>
      <c r="T393" s="17"/>
      <c r="U393" s="17"/>
      <c r="V393" s="40"/>
      <c r="W393" s="17"/>
      <c r="X393" s="45" t="str">
        <f aca="false">IF(OR(E393="",V393="",OR(U393="Contract signed + paid",U393="Closed – No response",U393="Lost"),N(W393)&gt;=Settings!$S$3),"",V393+Settings!$S$2)</f>
        <v/>
      </c>
      <c r="Y393" s="40"/>
      <c r="Z393" s="41"/>
      <c r="AA393" s="17"/>
      <c r="AB393" s="17"/>
      <c r="AC393" s="17"/>
      <c r="AD393" s="46" t="str">
        <f aca="true">IF(OR(E393="",B393=""),"",INT(TODAY()-B393))</f>
        <v/>
      </c>
      <c r="AE393" s="44" t="str">
        <f aca="true">IF(E393="","",IF(OR(COUNTIFS(Clients!$C$2:$C$501,E393,Clients!$S$2:$S$501,"Paid")&gt;0,AND(I393&lt;&gt;"",COUNTIFS(Clients!$E$2:$E$501,I393,Clients!$S$2:$S$501,"Paid")&gt;0)),"⚠ Refunded before – no free video",IF(OR(U393="Contract signed + paid",U393="Closed – No response",U393="Lost"),"",IF(U393="","Set a stage",IF(AND(U393="Proposal sent",SUMIFS(Scoresheet!$N$2:$N$501,Scoresheet!$C$2:$C$501,A393,Scoresheet!$U$2:$U$501,1)&lt;6),"Score this lead – fill the call scoresheet",IF(N(W393)&gt;=Settings!$S$3,"Close – 4 follow-ups sent",IF(X393="",IF(V393="","Make first contact",""),IF(TODAY()&gt;X393,"OVERDUE follow-up",IF(TODAY()=X393,"Follow up today","")))))))))</f>
        <v/>
      </c>
    </row>
    <row r="394" customFormat="false" ht="15" hidden="false" customHeight="false" outlineLevel="0" collapsed="false">
      <c r="A394" s="17"/>
      <c r="B394" s="40"/>
      <c r="C394" s="41"/>
      <c r="D394" s="17"/>
      <c r="E394" s="17"/>
      <c r="F394" s="17"/>
      <c r="G394" s="17"/>
      <c r="H394" s="17"/>
      <c r="I394" s="42"/>
      <c r="J394" s="17"/>
      <c r="K394" s="17"/>
      <c r="L394" s="17"/>
      <c r="M394" s="17"/>
      <c r="N394" s="40"/>
      <c r="O394" s="41"/>
      <c r="P394" s="43" t="str">
        <f aca="false">IF(OR(B394="",N394=""),"",ROUND(((N394+N(O394))-(B394+N(C394)))*24,1))</f>
        <v/>
      </c>
      <c r="Q394" s="44" t="str">
        <f aca="false">IF(OR(E394="",A394="",COUNTIFS(Scoresheet!$C$2:$C$501,A394,Scoresheet!$U$2:$U$501,1)=0),"",SUMIFS(Scoresheet!$O$2:$O$501,Scoresheet!$C$2:$C$501,A394,Scoresheet!$U$2:$U$501,1))</f>
        <v/>
      </c>
      <c r="R394" s="44" t="str">
        <f aca="false">IF(E394="","",IF(OR(A394="",COUNTIFS(Scoresheet!$C$2:$C$501,A394,Scoresheet!$U$2:$U$501,1)=0),"No scoresheet yet",IF(SUMIFS(Scoresheet!$N$2:$N$501,Scoresheet!$C$2:$C$501,A394,Scoresheet!$U$2:$U$501,1)&lt;6,"Partly scored ("&amp;SUMIFS(Scoresheet!$N$2:$N$501,Scoresheet!$C$2:$C$501,A394,Scoresheet!$U$2:$U$501,1)&amp;"/6)",IF(Q394&gt;=Settings!$S$8,"Hot",IF(Q394&gt;=Settings!$S$9,"Warm","Cold")))))</f>
        <v/>
      </c>
      <c r="S394" s="44" t="str">
        <f aca="false">IF(OR(E394="",A394=""),"",IF(AND(COUNTIFS(Scoresheet!$C$2:$C$501,A394,Scoresheet!$U$2:$U$501,1,Scoresheet!$H$2:$H$501,"No")&gt;0,COUNTIFS(Scoresheet!$C$2:$C$501,A394,Scoresheet!$U$2:$U$501,1,Scoresheet!$J$2:$J$501,"No")&gt;0),"🚩 Budget  ·  🚩 No one on camera",IF(COUNTIFS(Scoresheet!$C$2:$C$501,A394,Scoresheet!$U$2:$U$501,1,Scoresheet!$H$2:$H$501,"No")&gt;0,"🚩 Budget under AED 5k",IF(COUNTIFS(Scoresheet!$C$2:$C$501,A394,Scoresheet!$U$2:$U$501,1,Scoresheet!$J$2:$J$501,"No")&gt;0,"🚩 No one on camera",""))))</f>
        <v/>
      </c>
      <c r="T394" s="17"/>
      <c r="U394" s="17"/>
      <c r="V394" s="40"/>
      <c r="W394" s="17"/>
      <c r="X394" s="45" t="str">
        <f aca="false">IF(OR(E394="",V394="",OR(U394="Contract signed + paid",U394="Closed – No response",U394="Lost"),N(W394)&gt;=Settings!$S$3),"",V394+Settings!$S$2)</f>
        <v/>
      </c>
      <c r="Y394" s="40"/>
      <c r="Z394" s="41"/>
      <c r="AA394" s="17"/>
      <c r="AB394" s="17"/>
      <c r="AC394" s="17"/>
      <c r="AD394" s="46" t="str">
        <f aca="true">IF(OR(E394="",B394=""),"",INT(TODAY()-B394))</f>
        <v/>
      </c>
      <c r="AE394" s="44" t="str">
        <f aca="true">IF(E394="","",IF(OR(COUNTIFS(Clients!$C$2:$C$501,E394,Clients!$S$2:$S$501,"Paid")&gt;0,AND(I394&lt;&gt;"",COUNTIFS(Clients!$E$2:$E$501,I394,Clients!$S$2:$S$501,"Paid")&gt;0)),"⚠ Refunded before – no free video",IF(OR(U394="Contract signed + paid",U394="Closed – No response",U394="Lost"),"",IF(U394="","Set a stage",IF(AND(U394="Proposal sent",SUMIFS(Scoresheet!$N$2:$N$501,Scoresheet!$C$2:$C$501,A394,Scoresheet!$U$2:$U$501,1)&lt;6),"Score this lead – fill the call scoresheet",IF(N(W394)&gt;=Settings!$S$3,"Close – 4 follow-ups sent",IF(X394="",IF(V394="","Make first contact",""),IF(TODAY()&gt;X394,"OVERDUE follow-up",IF(TODAY()=X394,"Follow up today","")))))))))</f>
        <v/>
      </c>
    </row>
    <row r="395" customFormat="false" ht="15" hidden="false" customHeight="false" outlineLevel="0" collapsed="false">
      <c r="A395" s="17"/>
      <c r="B395" s="40"/>
      <c r="C395" s="41"/>
      <c r="D395" s="17"/>
      <c r="E395" s="17"/>
      <c r="F395" s="17"/>
      <c r="G395" s="17"/>
      <c r="H395" s="17"/>
      <c r="I395" s="42"/>
      <c r="J395" s="17"/>
      <c r="K395" s="17"/>
      <c r="L395" s="17"/>
      <c r="M395" s="17"/>
      <c r="N395" s="40"/>
      <c r="O395" s="41"/>
      <c r="P395" s="43" t="str">
        <f aca="false">IF(OR(B395="",N395=""),"",ROUND(((N395+N(O395))-(B395+N(C395)))*24,1))</f>
        <v/>
      </c>
      <c r="Q395" s="44" t="str">
        <f aca="false">IF(OR(E395="",A395="",COUNTIFS(Scoresheet!$C$2:$C$501,A395,Scoresheet!$U$2:$U$501,1)=0),"",SUMIFS(Scoresheet!$O$2:$O$501,Scoresheet!$C$2:$C$501,A395,Scoresheet!$U$2:$U$501,1))</f>
        <v/>
      </c>
      <c r="R395" s="44" t="str">
        <f aca="false">IF(E395="","",IF(OR(A395="",COUNTIFS(Scoresheet!$C$2:$C$501,A395,Scoresheet!$U$2:$U$501,1)=0),"No scoresheet yet",IF(SUMIFS(Scoresheet!$N$2:$N$501,Scoresheet!$C$2:$C$501,A395,Scoresheet!$U$2:$U$501,1)&lt;6,"Partly scored ("&amp;SUMIFS(Scoresheet!$N$2:$N$501,Scoresheet!$C$2:$C$501,A395,Scoresheet!$U$2:$U$501,1)&amp;"/6)",IF(Q395&gt;=Settings!$S$8,"Hot",IF(Q395&gt;=Settings!$S$9,"Warm","Cold")))))</f>
        <v/>
      </c>
      <c r="S395" s="44" t="str">
        <f aca="false">IF(OR(E395="",A395=""),"",IF(AND(COUNTIFS(Scoresheet!$C$2:$C$501,A395,Scoresheet!$U$2:$U$501,1,Scoresheet!$H$2:$H$501,"No")&gt;0,COUNTIFS(Scoresheet!$C$2:$C$501,A395,Scoresheet!$U$2:$U$501,1,Scoresheet!$J$2:$J$501,"No")&gt;0),"🚩 Budget  ·  🚩 No one on camera",IF(COUNTIFS(Scoresheet!$C$2:$C$501,A395,Scoresheet!$U$2:$U$501,1,Scoresheet!$H$2:$H$501,"No")&gt;0,"🚩 Budget under AED 5k",IF(COUNTIFS(Scoresheet!$C$2:$C$501,A395,Scoresheet!$U$2:$U$501,1,Scoresheet!$J$2:$J$501,"No")&gt;0,"🚩 No one on camera",""))))</f>
        <v/>
      </c>
      <c r="T395" s="17"/>
      <c r="U395" s="17"/>
      <c r="V395" s="40"/>
      <c r="W395" s="17"/>
      <c r="X395" s="45" t="str">
        <f aca="false">IF(OR(E395="",V395="",OR(U395="Contract signed + paid",U395="Closed – No response",U395="Lost"),N(W395)&gt;=Settings!$S$3),"",V395+Settings!$S$2)</f>
        <v/>
      </c>
      <c r="Y395" s="40"/>
      <c r="Z395" s="41"/>
      <c r="AA395" s="17"/>
      <c r="AB395" s="17"/>
      <c r="AC395" s="17"/>
      <c r="AD395" s="46" t="str">
        <f aca="true">IF(OR(E395="",B395=""),"",INT(TODAY()-B395))</f>
        <v/>
      </c>
      <c r="AE395" s="44" t="str">
        <f aca="true">IF(E395="","",IF(OR(COUNTIFS(Clients!$C$2:$C$501,E395,Clients!$S$2:$S$501,"Paid")&gt;0,AND(I395&lt;&gt;"",COUNTIFS(Clients!$E$2:$E$501,I395,Clients!$S$2:$S$501,"Paid")&gt;0)),"⚠ Refunded before – no free video",IF(OR(U395="Contract signed + paid",U395="Closed – No response",U395="Lost"),"",IF(U395="","Set a stage",IF(AND(U395="Proposal sent",SUMIFS(Scoresheet!$N$2:$N$501,Scoresheet!$C$2:$C$501,A395,Scoresheet!$U$2:$U$501,1)&lt;6),"Score this lead – fill the call scoresheet",IF(N(W395)&gt;=Settings!$S$3,"Close – 4 follow-ups sent",IF(X395="",IF(V395="","Make first contact",""),IF(TODAY()&gt;X395,"OVERDUE follow-up",IF(TODAY()=X395,"Follow up today","")))))))))</f>
        <v/>
      </c>
    </row>
    <row r="396" customFormat="false" ht="15" hidden="false" customHeight="false" outlineLevel="0" collapsed="false">
      <c r="A396" s="17"/>
      <c r="B396" s="40"/>
      <c r="C396" s="41"/>
      <c r="D396" s="17"/>
      <c r="E396" s="17"/>
      <c r="F396" s="17"/>
      <c r="G396" s="17"/>
      <c r="H396" s="17"/>
      <c r="I396" s="42"/>
      <c r="J396" s="17"/>
      <c r="K396" s="17"/>
      <c r="L396" s="17"/>
      <c r="M396" s="17"/>
      <c r="N396" s="40"/>
      <c r="O396" s="41"/>
      <c r="P396" s="43" t="str">
        <f aca="false">IF(OR(B396="",N396=""),"",ROUND(((N396+N(O396))-(B396+N(C396)))*24,1))</f>
        <v/>
      </c>
      <c r="Q396" s="44" t="str">
        <f aca="false">IF(OR(E396="",A396="",COUNTIFS(Scoresheet!$C$2:$C$501,A396,Scoresheet!$U$2:$U$501,1)=0),"",SUMIFS(Scoresheet!$O$2:$O$501,Scoresheet!$C$2:$C$501,A396,Scoresheet!$U$2:$U$501,1))</f>
        <v/>
      </c>
      <c r="R396" s="44" t="str">
        <f aca="false">IF(E396="","",IF(OR(A396="",COUNTIFS(Scoresheet!$C$2:$C$501,A396,Scoresheet!$U$2:$U$501,1)=0),"No scoresheet yet",IF(SUMIFS(Scoresheet!$N$2:$N$501,Scoresheet!$C$2:$C$501,A396,Scoresheet!$U$2:$U$501,1)&lt;6,"Partly scored ("&amp;SUMIFS(Scoresheet!$N$2:$N$501,Scoresheet!$C$2:$C$501,A396,Scoresheet!$U$2:$U$501,1)&amp;"/6)",IF(Q396&gt;=Settings!$S$8,"Hot",IF(Q396&gt;=Settings!$S$9,"Warm","Cold")))))</f>
        <v/>
      </c>
      <c r="S396" s="44" t="str">
        <f aca="false">IF(OR(E396="",A396=""),"",IF(AND(COUNTIFS(Scoresheet!$C$2:$C$501,A396,Scoresheet!$U$2:$U$501,1,Scoresheet!$H$2:$H$501,"No")&gt;0,COUNTIFS(Scoresheet!$C$2:$C$501,A396,Scoresheet!$U$2:$U$501,1,Scoresheet!$J$2:$J$501,"No")&gt;0),"🚩 Budget  ·  🚩 No one on camera",IF(COUNTIFS(Scoresheet!$C$2:$C$501,A396,Scoresheet!$U$2:$U$501,1,Scoresheet!$H$2:$H$501,"No")&gt;0,"🚩 Budget under AED 5k",IF(COUNTIFS(Scoresheet!$C$2:$C$501,A396,Scoresheet!$U$2:$U$501,1,Scoresheet!$J$2:$J$501,"No")&gt;0,"🚩 No one on camera",""))))</f>
        <v/>
      </c>
      <c r="T396" s="17"/>
      <c r="U396" s="17"/>
      <c r="V396" s="40"/>
      <c r="W396" s="17"/>
      <c r="X396" s="45" t="str">
        <f aca="false">IF(OR(E396="",V396="",OR(U396="Contract signed + paid",U396="Closed – No response",U396="Lost"),N(W396)&gt;=Settings!$S$3),"",V396+Settings!$S$2)</f>
        <v/>
      </c>
      <c r="Y396" s="40"/>
      <c r="Z396" s="41"/>
      <c r="AA396" s="17"/>
      <c r="AB396" s="17"/>
      <c r="AC396" s="17"/>
      <c r="AD396" s="46" t="str">
        <f aca="true">IF(OR(E396="",B396=""),"",INT(TODAY()-B396))</f>
        <v/>
      </c>
      <c r="AE396" s="44" t="str">
        <f aca="true">IF(E396="","",IF(OR(COUNTIFS(Clients!$C$2:$C$501,E396,Clients!$S$2:$S$501,"Paid")&gt;0,AND(I396&lt;&gt;"",COUNTIFS(Clients!$E$2:$E$501,I396,Clients!$S$2:$S$501,"Paid")&gt;0)),"⚠ Refunded before – no free video",IF(OR(U396="Contract signed + paid",U396="Closed – No response",U396="Lost"),"",IF(U396="","Set a stage",IF(AND(U396="Proposal sent",SUMIFS(Scoresheet!$N$2:$N$501,Scoresheet!$C$2:$C$501,A396,Scoresheet!$U$2:$U$501,1)&lt;6),"Score this lead – fill the call scoresheet",IF(N(W396)&gt;=Settings!$S$3,"Close – 4 follow-ups sent",IF(X396="",IF(V396="","Make first contact",""),IF(TODAY()&gt;X396,"OVERDUE follow-up",IF(TODAY()=X396,"Follow up today","")))))))))</f>
        <v/>
      </c>
    </row>
    <row r="397" customFormat="false" ht="15" hidden="false" customHeight="false" outlineLevel="0" collapsed="false">
      <c r="A397" s="17"/>
      <c r="B397" s="40"/>
      <c r="C397" s="41"/>
      <c r="D397" s="17"/>
      <c r="E397" s="17"/>
      <c r="F397" s="17"/>
      <c r="G397" s="17"/>
      <c r="H397" s="17"/>
      <c r="I397" s="42"/>
      <c r="J397" s="17"/>
      <c r="K397" s="17"/>
      <c r="L397" s="17"/>
      <c r="M397" s="17"/>
      <c r="N397" s="40"/>
      <c r="O397" s="41"/>
      <c r="P397" s="43" t="str">
        <f aca="false">IF(OR(B397="",N397=""),"",ROUND(((N397+N(O397))-(B397+N(C397)))*24,1))</f>
        <v/>
      </c>
      <c r="Q397" s="44" t="str">
        <f aca="false">IF(OR(E397="",A397="",COUNTIFS(Scoresheet!$C$2:$C$501,A397,Scoresheet!$U$2:$U$501,1)=0),"",SUMIFS(Scoresheet!$O$2:$O$501,Scoresheet!$C$2:$C$501,A397,Scoresheet!$U$2:$U$501,1))</f>
        <v/>
      </c>
      <c r="R397" s="44" t="str">
        <f aca="false">IF(E397="","",IF(OR(A397="",COUNTIFS(Scoresheet!$C$2:$C$501,A397,Scoresheet!$U$2:$U$501,1)=0),"No scoresheet yet",IF(SUMIFS(Scoresheet!$N$2:$N$501,Scoresheet!$C$2:$C$501,A397,Scoresheet!$U$2:$U$501,1)&lt;6,"Partly scored ("&amp;SUMIFS(Scoresheet!$N$2:$N$501,Scoresheet!$C$2:$C$501,A397,Scoresheet!$U$2:$U$501,1)&amp;"/6)",IF(Q397&gt;=Settings!$S$8,"Hot",IF(Q397&gt;=Settings!$S$9,"Warm","Cold")))))</f>
        <v/>
      </c>
      <c r="S397" s="44" t="str">
        <f aca="false">IF(OR(E397="",A397=""),"",IF(AND(COUNTIFS(Scoresheet!$C$2:$C$501,A397,Scoresheet!$U$2:$U$501,1,Scoresheet!$H$2:$H$501,"No")&gt;0,COUNTIFS(Scoresheet!$C$2:$C$501,A397,Scoresheet!$U$2:$U$501,1,Scoresheet!$J$2:$J$501,"No")&gt;0),"🚩 Budget  ·  🚩 No one on camera",IF(COUNTIFS(Scoresheet!$C$2:$C$501,A397,Scoresheet!$U$2:$U$501,1,Scoresheet!$H$2:$H$501,"No")&gt;0,"🚩 Budget under AED 5k",IF(COUNTIFS(Scoresheet!$C$2:$C$501,A397,Scoresheet!$U$2:$U$501,1,Scoresheet!$J$2:$J$501,"No")&gt;0,"🚩 No one on camera",""))))</f>
        <v/>
      </c>
      <c r="T397" s="17"/>
      <c r="U397" s="17"/>
      <c r="V397" s="40"/>
      <c r="W397" s="17"/>
      <c r="X397" s="45" t="str">
        <f aca="false">IF(OR(E397="",V397="",OR(U397="Contract signed + paid",U397="Closed – No response",U397="Lost"),N(W397)&gt;=Settings!$S$3),"",V397+Settings!$S$2)</f>
        <v/>
      </c>
      <c r="Y397" s="40"/>
      <c r="Z397" s="41"/>
      <c r="AA397" s="17"/>
      <c r="AB397" s="17"/>
      <c r="AC397" s="17"/>
      <c r="AD397" s="46" t="str">
        <f aca="true">IF(OR(E397="",B397=""),"",INT(TODAY()-B397))</f>
        <v/>
      </c>
      <c r="AE397" s="44" t="str">
        <f aca="true">IF(E397="","",IF(OR(COUNTIFS(Clients!$C$2:$C$501,E397,Clients!$S$2:$S$501,"Paid")&gt;0,AND(I397&lt;&gt;"",COUNTIFS(Clients!$E$2:$E$501,I397,Clients!$S$2:$S$501,"Paid")&gt;0)),"⚠ Refunded before – no free video",IF(OR(U397="Contract signed + paid",U397="Closed – No response",U397="Lost"),"",IF(U397="","Set a stage",IF(AND(U397="Proposal sent",SUMIFS(Scoresheet!$N$2:$N$501,Scoresheet!$C$2:$C$501,A397,Scoresheet!$U$2:$U$501,1)&lt;6),"Score this lead – fill the call scoresheet",IF(N(W397)&gt;=Settings!$S$3,"Close – 4 follow-ups sent",IF(X397="",IF(V397="","Make first contact",""),IF(TODAY()&gt;X397,"OVERDUE follow-up",IF(TODAY()=X397,"Follow up today","")))))))))</f>
        <v/>
      </c>
    </row>
    <row r="398" customFormat="false" ht="15" hidden="false" customHeight="false" outlineLevel="0" collapsed="false">
      <c r="A398" s="17"/>
      <c r="B398" s="40"/>
      <c r="C398" s="41"/>
      <c r="D398" s="17"/>
      <c r="E398" s="17"/>
      <c r="F398" s="17"/>
      <c r="G398" s="17"/>
      <c r="H398" s="17"/>
      <c r="I398" s="42"/>
      <c r="J398" s="17"/>
      <c r="K398" s="17"/>
      <c r="L398" s="17"/>
      <c r="M398" s="17"/>
      <c r="N398" s="40"/>
      <c r="O398" s="41"/>
      <c r="P398" s="43" t="str">
        <f aca="false">IF(OR(B398="",N398=""),"",ROUND(((N398+N(O398))-(B398+N(C398)))*24,1))</f>
        <v/>
      </c>
      <c r="Q398" s="44" t="str">
        <f aca="false">IF(OR(E398="",A398="",COUNTIFS(Scoresheet!$C$2:$C$501,A398,Scoresheet!$U$2:$U$501,1)=0),"",SUMIFS(Scoresheet!$O$2:$O$501,Scoresheet!$C$2:$C$501,A398,Scoresheet!$U$2:$U$501,1))</f>
        <v/>
      </c>
      <c r="R398" s="44" t="str">
        <f aca="false">IF(E398="","",IF(OR(A398="",COUNTIFS(Scoresheet!$C$2:$C$501,A398,Scoresheet!$U$2:$U$501,1)=0),"No scoresheet yet",IF(SUMIFS(Scoresheet!$N$2:$N$501,Scoresheet!$C$2:$C$501,A398,Scoresheet!$U$2:$U$501,1)&lt;6,"Partly scored ("&amp;SUMIFS(Scoresheet!$N$2:$N$501,Scoresheet!$C$2:$C$501,A398,Scoresheet!$U$2:$U$501,1)&amp;"/6)",IF(Q398&gt;=Settings!$S$8,"Hot",IF(Q398&gt;=Settings!$S$9,"Warm","Cold")))))</f>
        <v/>
      </c>
      <c r="S398" s="44" t="str">
        <f aca="false">IF(OR(E398="",A398=""),"",IF(AND(COUNTIFS(Scoresheet!$C$2:$C$501,A398,Scoresheet!$U$2:$U$501,1,Scoresheet!$H$2:$H$501,"No")&gt;0,COUNTIFS(Scoresheet!$C$2:$C$501,A398,Scoresheet!$U$2:$U$501,1,Scoresheet!$J$2:$J$501,"No")&gt;0),"🚩 Budget  ·  🚩 No one on camera",IF(COUNTIFS(Scoresheet!$C$2:$C$501,A398,Scoresheet!$U$2:$U$501,1,Scoresheet!$H$2:$H$501,"No")&gt;0,"🚩 Budget under AED 5k",IF(COUNTIFS(Scoresheet!$C$2:$C$501,A398,Scoresheet!$U$2:$U$501,1,Scoresheet!$J$2:$J$501,"No")&gt;0,"🚩 No one on camera",""))))</f>
        <v/>
      </c>
      <c r="T398" s="17"/>
      <c r="U398" s="17"/>
      <c r="V398" s="40"/>
      <c r="W398" s="17"/>
      <c r="X398" s="45" t="str">
        <f aca="false">IF(OR(E398="",V398="",OR(U398="Contract signed + paid",U398="Closed – No response",U398="Lost"),N(W398)&gt;=Settings!$S$3),"",V398+Settings!$S$2)</f>
        <v/>
      </c>
      <c r="Y398" s="40"/>
      <c r="Z398" s="41"/>
      <c r="AA398" s="17"/>
      <c r="AB398" s="17"/>
      <c r="AC398" s="17"/>
      <c r="AD398" s="46" t="str">
        <f aca="true">IF(OR(E398="",B398=""),"",INT(TODAY()-B398))</f>
        <v/>
      </c>
      <c r="AE398" s="44" t="str">
        <f aca="true">IF(E398="","",IF(OR(COUNTIFS(Clients!$C$2:$C$501,E398,Clients!$S$2:$S$501,"Paid")&gt;0,AND(I398&lt;&gt;"",COUNTIFS(Clients!$E$2:$E$501,I398,Clients!$S$2:$S$501,"Paid")&gt;0)),"⚠ Refunded before – no free video",IF(OR(U398="Contract signed + paid",U398="Closed – No response",U398="Lost"),"",IF(U398="","Set a stage",IF(AND(U398="Proposal sent",SUMIFS(Scoresheet!$N$2:$N$501,Scoresheet!$C$2:$C$501,A398,Scoresheet!$U$2:$U$501,1)&lt;6),"Score this lead – fill the call scoresheet",IF(N(W398)&gt;=Settings!$S$3,"Close – 4 follow-ups sent",IF(X398="",IF(V398="","Make first contact",""),IF(TODAY()&gt;X398,"OVERDUE follow-up",IF(TODAY()=X398,"Follow up today","")))))))))</f>
        <v/>
      </c>
    </row>
    <row r="399" customFormat="false" ht="15" hidden="false" customHeight="false" outlineLevel="0" collapsed="false">
      <c r="A399" s="17"/>
      <c r="B399" s="40"/>
      <c r="C399" s="41"/>
      <c r="D399" s="17"/>
      <c r="E399" s="17"/>
      <c r="F399" s="17"/>
      <c r="G399" s="17"/>
      <c r="H399" s="17"/>
      <c r="I399" s="42"/>
      <c r="J399" s="17"/>
      <c r="K399" s="17"/>
      <c r="L399" s="17"/>
      <c r="M399" s="17"/>
      <c r="N399" s="40"/>
      <c r="O399" s="41"/>
      <c r="P399" s="43" t="str">
        <f aca="false">IF(OR(B399="",N399=""),"",ROUND(((N399+N(O399))-(B399+N(C399)))*24,1))</f>
        <v/>
      </c>
      <c r="Q399" s="44" t="str">
        <f aca="false">IF(OR(E399="",A399="",COUNTIFS(Scoresheet!$C$2:$C$501,A399,Scoresheet!$U$2:$U$501,1)=0),"",SUMIFS(Scoresheet!$O$2:$O$501,Scoresheet!$C$2:$C$501,A399,Scoresheet!$U$2:$U$501,1))</f>
        <v/>
      </c>
      <c r="R399" s="44" t="str">
        <f aca="false">IF(E399="","",IF(OR(A399="",COUNTIFS(Scoresheet!$C$2:$C$501,A399,Scoresheet!$U$2:$U$501,1)=0),"No scoresheet yet",IF(SUMIFS(Scoresheet!$N$2:$N$501,Scoresheet!$C$2:$C$501,A399,Scoresheet!$U$2:$U$501,1)&lt;6,"Partly scored ("&amp;SUMIFS(Scoresheet!$N$2:$N$501,Scoresheet!$C$2:$C$501,A399,Scoresheet!$U$2:$U$501,1)&amp;"/6)",IF(Q399&gt;=Settings!$S$8,"Hot",IF(Q399&gt;=Settings!$S$9,"Warm","Cold")))))</f>
        <v/>
      </c>
      <c r="S399" s="44" t="str">
        <f aca="false">IF(OR(E399="",A399=""),"",IF(AND(COUNTIFS(Scoresheet!$C$2:$C$501,A399,Scoresheet!$U$2:$U$501,1,Scoresheet!$H$2:$H$501,"No")&gt;0,COUNTIFS(Scoresheet!$C$2:$C$501,A399,Scoresheet!$U$2:$U$501,1,Scoresheet!$J$2:$J$501,"No")&gt;0),"🚩 Budget  ·  🚩 No one on camera",IF(COUNTIFS(Scoresheet!$C$2:$C$501,A399,Scoresheet!$U$2:$U$501,1,Scoresheet!$H$2:$H$501,"No")&gt;0,"🚩 Budget under AED 5k",IF(COUNTIFS(Scoresheet!$C$2:$C$501,A399,Scoresheet!$U$2:$U$501,1,Scoresheet!$J$2:$J$501,"No")&gt;0,"🚩 No one on camera",""))))</f>
        <v/>
      </c>
      <c r="T399" s="17"/>
      <c r="U399" s="17"/>
      <c r="V399" s="40"/>
      <c r="W399" s="17"/>
      <c r="X399" s="45" t="str">
        <f aca="false">IF(OR(E399="",V399="",OR(U399="Contract signed + paid",U399="Closed – No response",U399="Lost"),N(W399)&gt;=Settings!$S$3),"",V399+Settings!$S$2)</f>
        <v/>
      </c>
      <c r="Y399" s="40"/>
      <c r="Z399" s="41"/>
      <c r="AA399" s="17"/>
      <c r="AB399" s="17"/>
      <c r="AC399" s="17"/>
      <c r="AD399" s="46" t="str">
        <f aca="true">IF(OR(E399="",B399=""),"",INT(TODAY()-B399))</f>
        <v/>
      </c>
      <c r="AE399" s="44" t="str">
        <f aca="true">IF(E399="","",IF(OR(COUNTIFS(Clients!$C$2:$C$501,E399,Clients!$S$2:$S$501,"Paid")&gt;0,AND(I399&lt;&gt;"",COUNTIFS(Clients!$E$2:$E$501,I399,Clients!$S$2:$S$501,"Paid")&gt;0)),"⚠ Refunded before – no free video",IF(OR(U399="Contract signed + paid",U399="Closed – No response",U399="Lost"),"",IF(U399="","Set a stage",IF(AND(U399="Proposal sent",SUMIFS(Scoresheet!$N$2:$N$501,Scoresheet!$C$2:$C$501,A399,Scoresheet!$U$2:$U$501,1)&lt;6),"Score this lead – fill the call scoresheet",IF(N(W399)&gt;=Settings!$S$3,"Close – 4 follow-ups sent",IF(X399="",IF(V399="","Make first contact",""),IF(TODAY()&gt;X399,"OVERDUE follow-up",IF(TODAY()=X399,"Follow up today","")))))))))</f>
        <v/>
      </c>
    </row>
    <row r="400" customFormat="false" ht="15" hidden="false" customHeight="false" outlineLevel="0" collapsed="false">
      <c r="A400" s="17"/>
      <c r="B400" s="40"/>
      <c r="C400" s="41"/>
      <c r="D400" s="17"/>
      <c r="E400" s="17"/>
      <c r="F400" s="17"/>
      <c r="G400" s="17"/>
      <c r="H400" s="17"/>
      <c r="I400" s="42"/>
      <c r="J400" s="17"/>
      <c r="K400" s="17"/>
      <c r="L400" s="17"/>
      <c r="M400" s="17"/>
      <c r="N400" s="40"/>
      <c r="O400" s="41"/>
      <c r="P400" s="43" t="str">
        <f aca="false">IF(OR(B400="",N400=""),"",ROUND(((N400+N(O400))-(B400+N(C400)))*24,1))</f>
        <v/>
      </c>
      <c r="Q400" s="44" t="str">
        <f aca="false">IF(OR(E400="",A400="",COUNTIFS(Scoresheet!$C$2:$C$501,A400,Scoresheet!$U$2:$U$501,1)=0),"",SUMIFS(Scoresheet!$O$2:$O$501,Scoresheet!$C$2:$C$501,A400,Scoresheet!$U$2:$U$501,1))</f>
        <v/>
      </c>
      <c r="R400" s="44" t="str">
        <f aca="false">IF(E400="","",IF(OR(A400="",COUNTIFS(Scoresheet!$C$2:$C$501,A400,Scoresheet!$U$2:$U$501,1)=0),"No scoresheet yet",IF(SUMIFS(Scoresheet!$N$2:$N$501,Scoresheet!$C$2:$C$501,A400,Scoresheet!$U$2:$U$501,1)&lt;6,"Partly scored ("&amp;SUMIFS(Scoresheet!$N$2:$N$501,Scoresheet!$C$2:$C$501,A400,Scoresheet!$U$2:$U$501,1)&amp;"/6)",IF(Q400&gt;=Settings!$S$8,"Hot",IF(Q400&gt;=Settings!$S$9,"Warm","Cold")))))</f>
        <v/>
      </c>
      <c r="S400" s="44" t="str">
        <f aca="false">IF(OR(E400="",A400=""),"",IF(AND(COUNTIFS(Scoresheet!$C$2:$C$501,A400,Scoresheet!$U$2:$U$501,1,Scoresheet!$H$2:$H$501,"No")&gt;0,COUNTIFS(Scoresheet!$C$2:$C$501,A400,Scoresheet!$U$2:$U$501,1,Scoresheet!$J$2:$J$501,"No")&gt;0),"🚩 Budget  ·  🚩 No one on camera",IF(COUNTIFS(Scoresheet!$C$2:$C$501,A400,Scoresheet!$U$2:$U$501,1,Scoresheet!$H$2:$H$501,"No")&gt;0,"🚩 Budget under AED 5k",IF(COUNTIFS(Scoresheet!$C$2:$C$501,A400,Scoresheet!$U$2:$U$501,1,Scoresheet!$J$2:$J$501,"No")&gt;0,"🚩 No one on camera",""))))</f>
        <v/>
      </c>
      <c r="T400" s="17"/>
      <c r="U400" s="17"/>
      <c r="V400" s="40"/>
      <c r="W400" s="17"/>
      <c r="X400" s="45" t="str">
        <f aca="false">IF(OR(E400="",V400="",OR(U400="Contract signed + paid",U400="Closed – No response",U400="Lost"),N(W400)&gt;=Settings!$S$3),"",V400+Settings!$S$2)</f>
        <v/>
      </c>
      <c r="Y400" s="40"/>
      <c r="Z400" s="41"/>
      <c r="AA400" s="17"/>
      <c r="AB400" s="17"/>
      <c r="AC400" s="17"/>
      <c r="AD400" s="46" t="str">
        <f aca="true">IF(OR(E400="",B400=""),"",INT(TODAY()-B400))</f>
        <v/>
      </c>
      <c r="AE400" s="44" t="str">
        <f aca="true">IF(E400="","",IF(OR(COUNTIFS(Clients!$C$2:$C$501,E400,Clients!$S$2:$S$501,"Paid")&gt;0,AND(I400&lt;&gt;"",COUNTIFS(Clients!$E$2:$E$501,I400,Clients!$S$2:$S$501,"Paid")&gt;0)),"⚠ Refunded before – no free video",IF(OR(U400="Contract signed + paid",U400="Closed – No response",U400="Lost"),"",IF(U400="","Set a stage",IF(AND(U400="Proposal sent",SUMIFS(Scoresheet!$N$2:$N$501,Scoresheet!$C$2:$C$501,A400,Scoresheet!$U$2:$U$501,1)&lt;6),"Score this lead – fill the call scoresheet",IF(N(W400)&gt;=Settings!$S$3,"Close – 4 follow-ups sent",IF(X400="",IF(V400="","Make first contact",""),IF(TODAY()&gt;X400,"OVERDUE follow-up",IF(TODAY()=X400,"Follow up today","")))))))))</f>
        <v/>
      </c>
    </row>
    <row r="401" customFormat="false" ht="15" hidden="false" customHeight="false" outlineLevel="0" collapsed="false">
      <c r="A401" s="17"/>
      <c r="B401" s="40"/>
      <c r="C401" s="41"/>
      <c r="D401" s="17"/>
      <c r="E401" s="17"/>
      <c r="F401" s="17"/>
      <c r="G401" s="17"/>
      <c r="H401" s="17"/>
      <c r="I401" s="42"/>
      <c r="J401" s="17"/>
      <c r="K401" s="17"/>
      <c r="L401" s="17"/>
      <c r="M401" s="17"/>
      <c r="N401" s="40"/>
      <c r="O401" s="41"/>
      <c r="P401" s="43" t="str">
        <f aca="false">IF(OR(B401="",N401=""),"",ROUND(((N401+N(O401))-(B401+N(C401)))*24,1))</f>
        <v/>
      </c>
      <c r="Q401" s="44" t="str">
        <f aca="false">IF(OR(E401="",A401="",COUNTIFS(Scoresheet!$C$2:$C$501,A401,Scoresheet!$U$2:$U$501,1)=0),"",SUMIFS(Scoresheet!$O$2:$O$501,Scoresheet!$C$2:$C$501,A401,Scoresheet!$U$2:$U$501,1))</f>
        <v/>
      </c>
      <c r="R401" s="44" t="str">
        <f aca="false">IF(E401="","",IF(OR(A401="",COUNTIFS(Scoresheet!$C$2:$C$501,A401,Scoresheet!$U$2:$U$501,1)=0),"No scoresheet yet",IF(SUMIFS(Scoresheet!$N$2:$N$501,Scoresheet!$C$2:$C$501,A401,Scoresheet!$U$2:$U$501,1)&lt;6,"Partly scored ("&amp;SUMIFS(Scoresheet!$N$2:$N$501,Scoresheet!$C$2:$C$501,A401,Scoresheet!$U$2:$U$501,1)&amp;"/6)",IF(Q401&gt;=Settings!$S$8,"Hot",IF(Q401&gt;=Settings!$S$9,"Warm","Cold")))))</f>
        <v/>
      </c>
      <c r="S401" s="44" t="str">
        <f aca="false">IF(OR(E401="",A401=""),"",IF(AND(COUNTIFS(Scoresheet!$C$2:$C$501,A401,Scoresheet!$U$2:$U$501,1,Scoresheet!$H$2:$H$501,"No")&gt;0,COUNTIFS(Scoresheet!$C$2:$C$501,A401,Scoresheet!$U$2:$U$501,1,Scoresheet!$J$2:$J$501,"No")&gt;0),"🚩 Budget  ·  🚩 No one on camera",IF(COUNTIFS(Scoresheet!$C$2:$C$501,A401,Scoresheet!$U$2:$U$501,1,Scoresheet!$H$2:$H$501,"No")&gt;0,"🚩 Budget under AED 5k",IF(COUNTIFS(Scoresheet!$C$2:$C$501,A401,Scoresheet!$U$2:$U$501,1,Scoresheet!$J$2:$J$501,"No")&gt;0,"🚩 No one on camera",""))))</f>
        <v/>
      </c>
      <c r="T401" s="17"/>
      <c r="U401" s="17"/>
      <c r="V401" s="40"/>
      <c r="W401" s="17"/>
      <c r="X401" s="45" t="str">
        <f aca="false">IF(OR(E401="",V401="",OR(U401="Contract signed + paid",U401="Closed – No response",U401="Lost"),N(W401)&gt;=Settings!$S$3),"",V401+Settings!$S$2)</f>
        <v/>
      </c>
      <c r="Y401" s="40"/>
      <c r="Z401" s="41"/>
      <c r="AA401" s="17"/>
      <c r="AB401" s="17"/>
      <c r="AC401" s="17"/>
      <c r="AD401" s="46" t="str">
        <f aca="true">IF(OR(E401="",B401=""),"",INT(TODAY()-B401))</f>
        <v/>
      </c>
      <c r="AE401" s="44" t="str">
        <f aca="true">IF(E401="","",IF(OR(COUNTIFS(Clients!$C$2:$C$501,E401,Clients!$S$2:$S$501,"Paid")&gt;0,AND(I401&lt;&gt;"",COUNTIFS(Clients!$E$2:$E$501,I401,Clients!$S$2:$S$501,"Paid")&gt;0)),"⚠ Refunded before – no free video",IF(OR(U401="Contract signed + paid",U401="Closed – No response",U401="Lost"),"",IF(U401="","Set a stage",IF(AND(U401="Proposal sent",SUMIFS(Scoresheet!$N$2:$N$501,Scoresheet!$C$2:$C$501,A401,Scoresheet!$U$2:$U$501,1)&lt;6),"Score this lead – fill the call scoresheet",IF(N(W401)&gt;=Settings!$S$3,"Close – 4 follow-ups sent",IF(X401="",IF(V401="","Make first contact",""),IF(TODAY()&gt;X401,"OVERDUE follow-up",IF(TODAY()=X401,"Follow up today","")))))))))</f>
        <v/>
      </c>
    </row>
    <row r="402" customFormat="false" ht="15" hidden="false" customHeight="false" outlineLevel="0" collapsed="false">
      <c r="A402" s="17"/>
      <c r="B402" s="40"/>
      <c r="C402" s="41"/>
      <c r="D402" s="17"/>
      <c r="E402" s="17"/>
      <c r="F402" s="17"/>
      <c r="G402" s="17"/>
      <c r="H402" s="17"/>
      <c r="I402" s="42"/>
      <c r="J402" s="17"/>
      <c r="K402" s="17"/>
      <c r="L402" s="17"/>
      <c r="M402" s="17"/>
      <c r="N402" s="40"/>
      <c r="O402" s="41"/>
      <c r="P402" s="43" t="str">
        <f aca="false">IF(OR(B402="",N402=""),"",ROUND(((N402+N(O402))-(B402+N(C402)))*24,1))</f>
        <v/>
      </c>
      <c r="Q402" s="44" t="str">
        <f aca="false">IF(OR(E402="",A402="",COUNTIFS(Scoresheet!$C$2:$C$501,A402,Scoresheet!$U$2:$U$501,1)=0),"",SUMIFS(Scoresheet!$O$2:$O$501,Scoresheet!$C$2:$C$501,A402,Scoresheet!$U$2:$U$501,1))</f>
        <v/>
      </c>
      <c r="R402" s="44" t="str">
        <f aca="false">IF(E402="","",IF(OR(A402="",COUNTIFS(Scoresheet!$C$2:$C$501,A402,Scoresheet!$U$2:$U$501,1)=0),"No scoresheet yet",IF(SUMIFS(Scoresheet!$N$2:$N$501,Scoresheet!$C$2:$C$501,A402,Scoresheet!$U$2:$U$501,1)&lt;6,"Partly scored ("&amp;SUMIFS(Scoresheet!$N$2:$N$501,Scoresheet!$C$2:$C$501,A402,Scoresheet!$U$2:$U$501,1)&amp;"/6)",IF(Q402&gt;=Settings!$S$8,"Hot",IF(Q402&gt;=Settings!$S$9,"Warm","Cold")))))</f>
        <v/>
      </c>
      <c r="S402" s="44" t="str">
        <f aca="false">IF(OR(E402="",A402=""),"",IF(AND(COUNTIFS(Scoresheet!$C$2:$C$501,A402,Scoresheet!$U$2:$U$501,1,Scoresheet!$H$2:$H$501,"No")&gt;0,COUNTIFS(Scoresheet!$C$2:$C$501,A402,Scoresheet!$U$2:$U$501,1,Scoresheet!$J$2:$J$501,"No")&gt;0),"🚩 Budget  ·  🚩 No one on camera",IF(COUNTIFS(Scoresheet!$C$2:$C$501,A402,Scoresheet!$U$2:$U$501,1,Scoresheet!$H$2:$H$501,"No")&gt;0,"🚩 Budget under AED 5k",IF(COUNTIFS(Scoresheet!$C$2:$C$501,A402,Scoresheet!$U$2:$U$501,1,Scoresheet!$J$2:$J$501,"No")&gt;0,"🚩 No one on camera",""))))</f>
        <v/>
      </c>
      <c r="T402" s="17"/>
      <c r="U402" s="17"/>
      <c r="V402" s="40"/>
      <c r="W402" s="17"/>
      <c r="X402" s="45" t="str">
        <f aca="false">IF(OR(E402="",V402="",OR(U402="Contract signed + paid",U402="Closed – No response",U402="Lost"),N(W402)&gt;=Settings!$S$3),"",V402+Settings!$S$2)</f>
        <v/>
      </c>
      <c r="Y402" s="40"/>
      <c r="Z402" s="41"/>
      <c r="AA402" s="17"/>
      <c r="AB402" s="17"/>
      <c r="AC402" s="17"/>
      <c r="AD402" s="46" t="str">
        <f aca="true">IF(OR(E402="",B402=""),"",INT(TODAY()-B402))</f>
        <v/>
      </c>
      <c r="AE402" s="44" t="str">
        <f aca="true">IF(E402="","",IF(OR(COUNTIFS(Clients!$C$2:$C$501,E402,Clients!$S$2:$S$501,"Paid")&gt;0,AND(I402&lt;&gt;"",COUNTIFS(Clients!$E$2:$E$501,I402,Clients!$S$2:$S$501,"Paid")&gt;0)),"⚠ Refunded before – no free video",IF(OR(U402="Contract signed + paid",U402="Closed – No response",U402="Lost"),"",IF(U402="","Set a stage",IF(AND(U402="Proposal sent",SUMIFS(Scoresheet!$N$2:$N$501,Scoresheet!$C$2:$C$501,A402,Scoresheet!$U$2:$U$501,1)&lt;6),"Score this lead – fill the call scoresheet",IF(N(W402)&gt;=Settings!$S$3,"Close – 4 follow-ups sent",IF(X402="",IF(V402="","Make first contact",""),IF(TODAY()&gt;X402,"OVERDUE follow-up",IF(TODAY()=X402,"Follow up today","")))))))))</f>
        <v/>
      </c>
    </row>
    <row r="403" customFormat="false" ht="15" hidden="false" customHeight="false" outlineLevel="0" collapsed="false">
      <c r="A403" s="17"/>
      <c r="B403" s="40"/>
      <c r="C403" s="41"/>
      <c r="D403" s="17"/>
      <c r="E403" s="17"/>
      <c r="F403" s="17"/>
      <c r="G403" s="17"/>
      <c r="H403" s="17"/>
      <c r="I403" s="42"/>
      <c r="J403" s="17"/>
      <c r="K403" s="17"/>
      <c r="L403" s="17"/>
      <c r="M403" s="17"/>
      <c r="N403" s="40"/>
      <c r="O403" s="41"/>
      <c r="P403" s="43" t="str">
        <f aca="false">IF(OR(B403="",N403=""),"",ROUND(((N403+N(O403))-(B403+N(C403)))*24,1))</f>
        <v/>
      </c>
      <c r="Q403" s="44" t="str">
        <f aca="false">IF(OR(E403="",A403="",COUNTIFS(Scoresheet!$C$2:$C$501,A403,Scoresheet!$U$2:$U$501,1)=0),"",SUMIFS(Scoresheet!$O$2:$O$501,Scoresheet!$C$2:$C$501,A403,Scoresheet!$U$2:$U$501,1))</f>
        <v/>
      </c>
      <c r="R403" s="44" t="str">
        <f aca="false">IF(E403="","",IF(OR(A403="",COUNTIFS(Scoresheet!$C$2:$C$501,A403,Scoresheet!$U$2:$U$501,1)=0),"No scoresheet yet",IF(SUMIFS(Scoresheet!$N$2:$N$501,Scoresheet!$C$2:$C$501,A403,Scoresheet!$U$2:$U$501,1)&lt;6,"Partly scored ("&amp;SUMIFS(Scoresheet!$N$2:$N$501,Scoresheet!$C$2:$C$501,A403,Scoresheet!$U$2:$U$501,1)&amp;"/6)",IF(Q403&gt;=Settings!$S$8,"Hot",IF(Q403&gt;=Settings!$S$9,"Warm","Cold")))))</f>
        <v/>
      </c>
      <c r="S403" s="44" t="str">
        <f aca="false">IF(OR(E403="",A403=""),"",IF(AND(COUNTIFS(Scoresheet!$C$2:$C$501,A403,Scoresheet!$U$2:$U$501,1,Scoresheet!$H$2:$H$501,"No")&gt;0,COUNTIFS(Scoresheet!$C$2:$C$501,A403,Scoresheet!$U$2:$U$501,1,Scoresheet!$J$2:$J$501,"No")&gt;0),"🚩 Budget  ·  🚩 No one on camera",IF(COUNTIFS(Scoresheet!$C$2:$C$501,A403,Scoresheet!$U$2:$U$501,1,Scoresheet!$H$2:$H$501,"No")&gt;0,"🚩 Budget under AED 5k",IF(COUNTIFS(Scoresheet!$C$2:$C$501,A403,Scoresheet!$U$2:$U$501,1,Scoresheet!$J$2:$J$501,"No")&gt;0,"🚩 No one on camera",""))))</f>
        <v/>
      </c>
      <c r="T403" s="17"/>
      <c r="U403" s="17"/>
      <c r="V403" s="40"/>
      <c r="W403" s="17"/>
      <c r="X403" s="45" t="str">
        <f aca="false">IF(OR(E403="",V403="",OR(U403="Contract signed + paid",U403="Closed – No response",U403="Lost"),N(W403)&gt;=Settings!$S$3),"",V403+Settings!$S$2)</f>
        <v/>
      </c>
      <c r="Y403" s="40"/>
      <c r="Z403" s="41"/>
      <c r="AA403" s="17"/>
      <c r="AB403" s="17"/>
      <c r="AC403" s="17"/>
      <c r="AD403" s="46" t="str">
        <f aca="true">IF(OR(E403="",B403=""),"",INT(TODAY()-B403))</f>
        <v/>
      </c>
      <c r="AE403" s="44" t="str">
        <f aca="true">IF(E403="","",IF(OR(COUNTIFS(Clients!$C$2:$C$501,E403,Clients!$S$2:$S$501,"Paid")&gt;0,AND(I403&lt;&gt;"",COUNTIFS(Clients!$E$2:$E$501,I403,Clients!$S$2:$S$501,"Paid")&gt;0)),"⚠ Refunded before – no free video",IF(OR(U403="Contract signed + paid",U403="Closed – No response",U403="Lost"),"",IF(U403="","Set a stage",IF(AND(U403="Proposal sent",SUMIFS(Scoresheet!$N$2:$N$501,Scoresheet!$C$2:$C$501,A403,Scoresheet!$U$2:$U$501,1)&lt;6),"Score this lead – fill the call scoresheet",IF(N(W403)&gt;=Settings!$S$3,"Close – 4 follow-ups sent",IF(X403="",IF(V403="","Make first contact",""),IF(TODAY()&gt;X403,"OVERDUE follow-up",IF(TODAY()=X403,"Follow up today","")))))))))</f>
        <v/>
      </c>
    </row>
    <row r="404" customFormat="false" ht="15" hidden="false" customHeight="false" outlineLevel="0" collapsed="false">
      <c r="A404" s="17"/>
      <c r="B404" s="40"/>
      <c r="C404" s="41"/>
      <c r="D404" s="17"/>
      <c r="E404" s="17"/>
      <c r="F404" s="17"/>
      <c r="G404" s="17"/>
      <c r="H404" s="17"/>
      <c r="I404" s="42"/>
      <c r="J404" s="17"/>
      <c r="K404" s="17"/>
      <c r="L404" s="17"/>
      <c r="M404" s="17"/>
      <c r="N404" s="40"/>
      <c r="O404" s="41"/>
      <c r="P404" s="43" t="str">
        <f aca="false">IF(OR(B404="",N404=""),"",ROUND(((N404+N(O404))-(B404+N(C404)))*24,1))</f>
        <v/>
      </c>
      <c r="Q404" s="44" t="str">
        <f aca="false">IF(OR(E404="",A404="",COUNTIFS(Scoresheet!$C$2:$C$501,A404,Scoresheet!$U$2:$U$501,1)=0),"",SUMIFS(Scoresheet!$O$2:$O$501,Scoresheet!$C$2:$C$501,A404,Scoresheet!$U$2:$U$501,1))</f>
        <v/>
      </c>
      <c r="R404" s="44" t="str">
        <f aca="false">IF(E404="","",IF(OR(A404="",COUNTIFS(Scoresheet!$C$2:$C$501,A404,Scoresheet!$U$2:$U$501,1)=0),"No scoresheet yet",IF(SUMIFS(Scoresheet!$N$2:$N$501,Scoresheet!$C$2:$C$501,A404,Scoresheet!$U$2:$U$501,1)&lt;6,"Partly scored ("&amp;SUMIFS(Scoresheet!$N$2:$N$501,Scoresheet!$C$2:$C$501,A404,Scoresheet!$U$2:$U$501,1)&amp;"/6)",IF(Q404&gt;=Settings!$S$8,"Hot",IF(Q404&gt;=Settings!$S$9,"Warm","Cold")))))</f>
        <v/>
      </c>
      <c r="S404" s="44" t="str">
        <f aca="false">IF(OR(E404="",A404=""),"",IF(AND(COUNTIFS(Scoresheet!$C$2:$C$501,A404,Scoresheet!$U$2:$U$501,1,Scoresheet!$H$2:$H$501,"No")&gt;0,COUNTIFS(Scoresheet!$C$2:$C$501,A404,Scoresheet!$U$2:$U$501,1,Scoresheet!$J$2:$J$501,"No")&gt;0),"🚩 Budget  ·  🚩 No one on camera",IF(COUNTIFS(Scoresheet!$C$2:$C$501,A404,Scoresheet!$U$2:$U$501,1,Scoresheet!$H$2:$H$501,"No")&gt;0,"🚩 Budget under AED 5k",IF(COUNTIFS(Scoresheet!$C$2:$C$501,A404,Scoresheet!$U$2:$U$501,1,Scoresheet!$J$2:$J$501,"No")&gt;0,"🚩 No one on camera",""))))</f>
        <v/>
      </c>
      <c r="T404" s="17"/>
      <c r="U404" s="17"/>
      <c r="V404" s="40"/>
      <c r="W404" s="17"/>
      <c r="X404" s="45" t="str">
        <f aca="false">IF(OR(E404="",V404="",OR(U404="Contract signed + paid",U404="Closed – No response",U404="Lost"),N(W404)&gt;=Settings!$S$3),"",V404+Settings!$S$2)</f>
        <v/>
      </c>
      <c r="Y404" s="40"/>
      <c r="Z404" s="41"/>
      <c r="AA404" s="17"/>
      <c r="AB404" s="17"/>
      <c r="AC404" s="17"/>
      <c r="AD404" s="46" t="str">
        <f aca="true">IF(OR(E404="",B404=""),"",INT(TODAY()-B404))</f>
        <v/>
      </c>
      <c r="AE404" s="44" t="str">
        <f aca="true">IF(E404="","",IF(OR(COUNTIFS(Clients!$C$2:$C$501,E404,Clients!$S$2:$S$501,"Paid")&gt;0,AND(I404&lt;&gt;"",COUNTIFS(Clients!$E$2:$E$501,I404,Clients!$S$2:$S$501,"Paid")&gt;0)),"⚠ Refunded before – no free video",IF(OR(U404="Contract signed + paid",U404="Closed – No response",U404="Lost"),"",IF(U404="","Set a stage",IF(AND(U404="Proposal sent",SUMIFS(Scoresheet!$N$2:$N$501,Scoresheet!$C$2:$C$501,A404,Scoresheet!$U$2:$U$501,1)&lt;6),"Score this lead – fill the call scoresheet",IF(N(W404)&gt;=Settings!$S$3,"Close – 4 follow-ups sent",IF(X404="",IF(V404="","Make first contact",""),IF(TODAY()&gt;X404,"OVERDUE follow-up",IF(TODAY()=X404,"Follow up today","")))))))))</f>
        <v/>
      </c>
    </row>
    <row r="405" customFormat="false" ht="15" hidden="false" customHeight="false" outlineLevel="0" collapsed="false">
      <c r="A405" s="17"/>
      <c r="B405" s="40"/>
      <c r="C405" s="41"/>
      <c r="D405" s="17"/>
      <c r="E405" s="17"/>
      <c r="F405" s="17"/>
      <c r="G405" s="17"/>
      <c r="H405" s="17"/>
      <c r="I405" s="42"/>
      <c r="J405" s="17"/>
      <c r="K405" s="17"/>
      <c r="L405" s="17"/>
      <c r="M405" s="17"/>
      <c r="N405" s="40"/>
      <c r="O405" s="41"/>
      <c r="P405" s="43" t="str">
        <f aca="false">IF(OR(B405="",N405=""),"",ROUND(((N405+N(O405))-(B405+N(C405)))*24,1))</f>
        <v/>
      </c>
      <c r="Q405" s="44" t="str">
        <f aca="false">IF(OR(E405="",A405="",COUNTIFS(Scoresheet!$C$2:$C$501,A405,Scoresheet!$U$2:$U$501,1)=0),"",SUMIFS(Scoresheet!$O$2:$O$501,Scoresheet!$C$2:$C$501,A405,Scoresheet!$U$2:$U$501,1))</f>
        <v/>
      </c>
      <c r="R405" s="44" t="str">
        <f aca="false">IF(E405="","",IF(OR(A405="",COUNTIFS(Scoresheet!$C$2:$C$501,A405,Scoresheet!$U$2:$U$501,1)=0),"No scoresheet yet",IF(SUMIFS(Scoresheet!$N$2:$N$501,Scoresheet!$C$2:$C$501,A405,Scoresheet!$U$2:$U$501,1)&lt;6,"Partly scored ("&amp;SUMIFS(Scoresheet!$N$2:$N$501,Scoresheet!$C$2:$C$501,A405,Scoresheet!$U$2:$U$501,1)&amp;"/6)",IF(Q405&gt;=Settings!$S$8,"Hot",IF(Q405&gt;=Settings!$S$9,"Warm","Cold")))))</f>
        <v/>
      </c>
      <c r="S405" s="44" t="str">
        <f aca="false">IF(OR(E405="",A405=""),"",IF(AND(COUNTIFS(Scoresheet!$C$2:$C$501,A405,Scoresheet!$U$2:$U$501,1,Scoresheet!$H$2:$H$501,"No")&gt;0,COUNTIFS(Scoresheet!$C$2:$C$501,A405,Scoresheet!$U$2:$U$501,1,Scoresheet!$J$2:$J$501,"No")&gt;0),"🚩 Budget  ·  🚩 No one on camera",IF(COUNTIFS(Scoresheet!$C$2:$C$501,A405,Scoresheet!$U$2:$U$501,1,Scoresheet!$H$2:$H$501,"No")&gt;0,"🚩 Budget under AED 5k",IF(COUNTIFS(Scoresheet!$C$2:$C$501,A405,Scoresheet!$U$2:$U$501,1,Scoresheet!$J$2:$J$501,"No")&gt;0,"🚩 No one on camera",""))))</f>
        <v/>
      </c>
      <c r="T405" s="17"/>
      <c r="U405" s="17"/>
      <c r="V405" s="40"/>
      <c r="W405" s="17"/>
      <c r="X405" s="45" t="str">
        <f aca="false">IF(OR(E405="",V405="",OR(U405="Contract signed + paid",U405="Closed – No response",U405="Lost"),N(W405)&gt;=Settings!$S$3),"",V405+Settings!$S$2)</f>
        <v/>
      </c>
      <c r="Y405" s="40"/>
      <c r="Z405" s="41"/>
      <c r="AA405" s="17"/>
      <c r="AB405" s="17"/>
      <c r="AC405" s="17"/>
      <c r="AD405" s="46" t="str">
        <f aca="true">IF(OR(E405="",B405=""),"",INT(TODAY()-B405))</f>
        <v/>
      </c>
      <c r="AE405" s="44" t="str">
        <f aca="true">IF(E405="","",IF(OR(COUNTIFS(Clients!$C$2:$C$501,E405,Clients!$S$2:$S$501,"Paid")&gt;0,AND(I405&lt;&gt;"",COUNTIFS(Clients!$E$2:$E$501,I405,Clients!$S$2:$S$501,"Paid")&gt;0)),"⚠ Refunded before – no free video",IF(OR(U405="Contract signed + paid",U405="Closed – No response",U405="Lost"),"",IF(U405="","Set a stage",IF(AND(U405="Proposal sent",SUMIFS(Scoresheet!$N$2:$N$501,Scoresheet!$C$2:$C$501,A405,Scoresheet!$U$2:$U$501,1)&lt;6),"Score this lead – fill the call scoresheet",IF(N(W405)&gt;=Settings!$S$3,"Close – 4 follow-ups sent",IF(X405="",IF(V405="","Make first contact",""),IF(TODAY()&gt;X405,"OVERDUE follow-up",IF(TODAY()=X405,"Follow up today","")))))))))</f>
        <v/>
      </c>
    </row>
    <row r="406" customFormat="false" ht="15" hidden="false" customHeight="false" outlineLevel="0" collapsed="false">
      <c r="A406" s="17"/>
      <c r="B406" s="40"/>
      <c r="C406" s="41"/>
      <c r="D406" s="17"/>
      <c r="E406" s="17"/>
      <c r="F406" s="17"/>
      <c r="G406" s="17"/>
      <c r="H406" s="17"/>
      <c r="I406" s="42"/>
      <c r="J406" s="17"/>
      <c r="K406" s="17"/>
      <c r="L406" s="17"/>
      <c r="M406" s="17"/>
      <c r="N406" s="40"/>
      <c r="O406" s="41"/>
      <c r="P406" s="43" t="str">
        <f aca="false">IF(OR(B406="",N406=""),"",ROUND(((N406+N(O406))-(B406+N(C406)))*24,1))</f>
        <v/>
      </c>
      <c r="Q406" s="44" t="str">
        <f aca="false">IF(OR(E406="",A406="",COUNTIFS(Scoresheet!$C$2:$C$501,A406,Scoresheet!$U$2:$U$501,1)=0),"",SUMIFS(Scoresheet!$O$2:$O$501,Scoresheet!$C$2:$C$501,A406,Scoresheet!$U$2:$U$501,1))</f>
        <v/>
      </c>
      <c r="R406" s="44" t="str">
        <f aca="false">IF(E406="","",IF(OR(A406="",COUNTIFS(Scoresheet!$C$2:$C$501,A406,Scoresheet!$U$2:$U$501,1)=0),"No scoresheet yet",IF(SUMIFS(Scoresheet!$N$2:$N$501,Scoresheet!$C$2:$C$501,A406,Scoresheet!$U$2:$U$501,1)&lt;6,"Partly scored ("&amp;SUMIFS(Scoresheet!$N$2:$N$501,Scoresheet!$C$2:$C$501,A406,Scoresheet!$U$2:$U$501,1)&amp;"/6)",IF(Q406&gt;=Settings!$S$8,"Hot",IF(Q406&gt;=Settings!$S$9,"Warm","Cold")))))</f>
        <v/>
      </c>
      <c r="S406" s="44" t="str">
        <f aca="false">IF(OR(E406="",A406=""),"",IF(AND(COUNTIFS(Scoresheet!$C$2:$C$501,A406,Scoresheet!$U$2:$U$501,1,Scoresheet!$H$2:$H$501,"No")&gt;0,COUNTIFS(Scoresheet!$C$2:$C$501,A406,Scoresheet!$U$2:$U$501,1,Scoresheet!$J$2:$J$501,"No")&gt;0),"🚩 Budget  ·  🚩 No one on camera",IF(COUNTIFS(Scoresheet!$C$2:$C$501,A406,Scoresheet!$U$2:$U$501,1,Scoresheet!$H$2:$H$501,"No")&gt;0,"🚩 Budget under AED 5k",IF(COUNTIFS(Scoresheet!$C$2:$C$501,A406,Scoresheet!$U$2:$U$501,1,Scoresheet!$J$2:$J$501,"No")&gt;0,"🚩 No one on camera",""))))</f>
        <v/>
      </c>
      <c r="T406" s="17"/>
      <c r="U406" s="17"/>
      <c r="V406" s="40"/>
      <c r="W406" s="17"/>
      <c r="X406" s="45" t="str">
        <f aca="false">IF(OR(E406="",V406="",OR(U406="Contract signed + paid",U406="Closed – No response",U406="Lost"),N(W406)&gt;=Settings!$S$3),"",V406+Settings!$S$2)</f>
        <v/>
      </c>
      <c r="Y406" s="40"/>
      <c r="Z406" s="41"/>
      <c r="AA406" s="17"/>
      <c r="AB406" s="17"/>
      <c r="AC406" s="17"/>
      <c r="AD406" s="46" t="str">
        <f aca="true">IF(OR(E406="",B406=""),"",INT(TODAY()-B406))</f>
        <v/>
      </c>
      <c r="AE406" s="44" t="str">
        <f aca="true">IF(E406="","",IF(OR(COUNTIFS(Clients!$C$2:$C$501,E406,Clients!$S$2:$S$501,"Paid")&gt;0,AND(I406&lt;&gt;"",COUNTIFS(Clients!$E$2:$E$501,I406,Clients!$S$2:$S$501,"Paid")&gt;0)),"⚠ Refunded before – no free video",IF(OR(U406="Contract signed + paid",U406="Closed – No response",U406="Lost"),"",IF(U406="","Set a stage",IF(AND(U406="Proposal sent",SUMIFS(Scoresheet!$N$2:$N$501,Scoresheet!$C$2:$C$501,A406,Scoresheet!$U$2:$U$501,1)&lt;6),"Score this lead – fill the call scoresheet",IF(N(W406)&gt;=Settings!$S$3,"Close – 4 follow-ups sent",IF(X406="",IF(V406="","Make first contact",""),IF(TODAY()&gt;X406,"OVERDUE follow-up",IF(TODAY()=X406,"Follow up today","")))))))))</f>
        <v/>
      </c>
    </row>
    <row r="407" customFormat="false" ht="15" hidden="false" customHeight="false" outlineLevel="0" collapsed="false">
      <c r="A407" s="17"/>
      <c r="B407" s="40"/>
      <c r="C407" s="41"/>
      <c r="D407" s="17"/>
      <c r="E407" s="17"/>
      <c r="F407" s="17"/>
      <c r="G407" s="17"/>
      <c r="H407" s="17"/>
      <c r="I407" s="42"/>
      <c r="J407" s="17"/>
      <c r="K407" s="17"/>
      <c r="L407" s="17"/>
      <c r="M407" s="17"/>
      <c r="N407" s="40"/>
      <c r="O407" s="41"/>
      <c r="P407" s="43" t="str">
        <f aca="false">IF(OR(B407="",N407=""),"",ROUND(((N407+N(O407))-(B407+N(C407)))*24,1))</f>
        <v/>
      </c>
      <c r="Q407" s="44" t="str">
        <f aca="false">IF(OR(E407="",A407="",COUNTIFS(Scoresheet!$C$2:$C$501,A407,Scoresheet!$U$2:$U$501,1)=0),"",SUMIFS(Scoresheet!$O$2:$O$501,Scoresheet!$C$2:$C$501,A407,Scoresheet!$U$2:$U$501,1))</f>
        <v/>
      </c>
      <c r="R407" s="44" t="str">
        <f aca="false">IF(E407="","",IF(OR(A407="",COUNTIFS(Scoresheet!$C$2:$C$501,A407,Scoresheet!$U$2:$U$501,1)=0),"No scoresheet yet",IF(SUMIFS(Scoresheet!$N$2:$N$501,Scoresheet!$C$2:$C$501,A407,Scoresheet!$U$2:$U$501,1)&lt;6,"Partly scored ("&amp;SUMIFS(Scoresheet!$N$2:$N$501,Scoresheet!$C$2:$C$501,A407,Scoresheet!$U$2:$U$501,1)&amp;"/6)",IF(Q407&gt;=Settings!$S$8,"Hot",IF(Q407&gt;=Settings!$S$9,"Warm","Cold")))))</f>
        <v/>
      </c>
      <c r="S407" s="44" t="str">
        <f aca="false">IF(OR(E407="",A407=""),"",IF(AND(COUNTIFS(Scoresheet!$C$2:$C$501,A407,Scoresheet!$U$2:$U$501,1,Scoresheet!$H$2:$H$501,"No")&gt;0,COUNTIFS(Scoresheet!$C$2:$C$501,A407,Scoresheet!$U$2:$U$501,1,Scoresheet!$J$2:$J$501,"No")&gt;0),"🚩 Budget  ·  🚩 No one on camera",IF(COUNTIFS(Scoresheet!$C$2:$C$501,A407,Scoresheet!$U$2:$U$501,1,Scoresheet!$H$2:$H$501,"No")&gt;0,"🚩 Budget under AED 5k",IF(COUNTIFS(Scoresheet!$C$2:$C$501,A407,Scoresheet!$U$2:$U$501,1,Scoresheet!$J$2:$J$501,"No")&gt;0,"🚩 No one on camera",""))))</f>
        <v/>
      </c>
      <c r="T407" s="17"/>
      <c r="U407" s="17"/>
      <c r="V407" s="40"/>
      <c r="W407" s="17"/>
      <c r="X407" s="45" t="str">
        <f aca="false">IF(OR(E407="",V407="",OR(U407="Contract signed + paid",U407="Closed – No response",U407="Lost"),N(W407)&gt;=Settings!$S$3),"",V407+Settings!$S$2)</f>
        <v/>
      </c>
      <c r="Y407" s="40"/>
      <c r="Z407" s="41"/>
      <c r="AA407" s="17"/>
      <c r="AB407" s="17"/>
      <c r="AC407" s="17"/>
      <c r="AD407" s="46" t="str">
        <f aca="true">IF(OR(E407="",B407=""),"",INT(TODAY()-B407))</f>
        <v/>
      </c>
      <c r="AE407" s="44" t="str">
        <f aca="true">IF(E407="","",IF(OR(COUNTIFS(Clients!$C$2:$C$501,E407,Clients!$S$2:$S$501,"Paid")&gt;0,AND(I407&lt;&gt;"",COUNTIFS(Clients!$E$2:$E$501,I407,Clients!$S$2:$S$501,"Paid")&gt;0)),"⚠ Refunded before – no free video",IF(OR(U407="Contract signed + paid",U407="Closed – No response",U407="Lost"),"",IF(U407="","Set a stage",IF(AND(U407="Proposal sent",SUMIFS(Scoresheet!$N$2:$N$501,Scoresheet!$C$2:$C$501,A407,Scoresheet!$U$2:$U$501,1)&lt;6),"Score this lead – fill the call scoresheet",IF(N(W407)&gt;=Settings!$S$3,"Close – 4 follow-ups sent",IF(X407="",IF(V407="","Make first contact",""),IF(TODAY()&gt;X407,"OVERDUE follow-up",IF(TODAY()=X407,"Follow up today","")))))))))</f>
        <v/>
      </c>
    </row>
    <row r="408" customFormat="false" ht="15" hidden="false" customHeight="false" outlineLevel="0" collapsed="false">
      <c r="A408" s="17"/>
      <c r="B408" s="40"/>
      <c r="C408" s="41"/>
      <c r="D408" s="17"/>
      <c r="E408" s="17"/>
      <c r="F408" s="17"/>
      <c r="G408" s="17"/>
      <c r="H408" s="17"/>
      <c r="I408" s="42"/>
      <c r="J408" s="17"/>
      <c r="K408" s="17"/>
      <c r="L408" s="17"/>
      <c r="M408" s="17"/>
      <c r="N408" s="40"/>
      <c r="O408" s="41"/>
      <c r="P408" s="43" t="str">
        <f aca="false">IF(OR(B408="",N408=""),"",ROUND(((N408+N(O408))-(B408+N(C408)))*24,1))</f>
        <v/>
      </c>
      <c r="Q408" s="44" t="str">
        <f aca="false">IF(OR(E408="",A408="",COUNTIFS(Scoresheet!$C$2:$C$501,A408,Scoresheet!$U$2:$U$501,1)=0),"",SUMIFS(Scoresheet!$O$2:$O$501,Scoresheet!$C$2:$C$501,A408,Scoresheet!$U$2:$U$501,1))</f>
        <v/>
      </c>
      <c r="R408" s="44" t="str">
        <f aca="false">IF(E408="","",IF(OR(A408="",COUNTIFS(Scoresheet!$C$2:$C$501,A408,Scoresheet!$U$2:$U$501,1)=0),"No scoresheet yet",IF(SUMIFS(Scoresheet!$N$2:$N$501,Scoresheet!$C$2:$C$501,A408,Scoresheet!$U$2:$U$501,1)&lt;6,"Partly scored ("&amp;SUMIFS(Scoresheet!$N$2:$N$501,Scoresheet!$C$2:$C$501,A408,Scoresheet!$U$2:$U$501,1)&amp;"/6)",IF(Q408&gt;=Settings!$S$8,"Hot",IF(Q408&gt;=Settings!$S$9,"Warm","Cold")))))</f>
        <v/>
      </c>
      <c r="S408" s="44" t="str">
        <f aca="false">IF(OR(E408="",A408=""),"",IF(AND(COUNTIFS(Scoresheet!$C$2:$C$501,A408,Scoresheet!$U$2:$U$501,1,Scoresheet!$H$2:$H$501,"No")&gt;0,COUNTIFS(Scoresheet!$C$2:$C$501,A408,Scoresheet!$U$2:$U$501,1,Scoresheet!$J$2:$J$501,"No")&gt;0),"🚩 Budget  ·  🚩 No one on camera",IF(COUNTIFS(Scoresheet!$C$2:$C$501,A408,Scoresheet!$U$2:$U$501,1,Scoresheet!$H$2:$H$501,"No")&gt;0,"🚩 Budget under AED 5k",IF(COUNTIFS(Scoresheet!$C$2:$C$501,A408,Scoresheet!$U$2:$U$501,1,Scoresheet!$J$2:$J$501,"No")&gt;0,"🚩 No one on camera",""))))</f>
        <v/>
      </c>
      <c r="T408" s="17"/>
      <c r="U408" s="17"/>
      <c r="V408" s="40"/>
      <c r="W408" s="17"/>
      <c r="X408" s="45" t="str">
        <f aca="false">IF(OR(E408="",V408="",OR(U408="Contract signed + paid",U408="Closed – No response",U408="Lost"),N(W408)&gt;=Settings!$S$3),"",V408+Settings!$S$2)</f>
        <v/>
      </c>
      <c r="Y408" s="40"/>
      <c r="Z408" s="41"/>
      <c r="AA408" s="17"/>
      <c r="AB408" s="17"/>
      <c r="AC408" s="17"/>
      <c r="AD408" s="46" t="str">
        <f aca="true">IF(OR(E408="",B408=""),"",INT(TODAY()-B408))</f>
        <v/>
      </c>
      <c r="AE408" s="44" t="str">
        <f aca="true">IF(E408="","",IF(OR(COUNTIFS(Clients!$C$2:$C$501,E408,Clients!$S$2:$S$501,"Paid")&gt;0,AND(I408&lt;&gt;"",COUNTIFS(Clients!$E$2:$E$501,I408,Clients!$S$2:$S$501,"Paid")&gt;0)),"⚠ Refunded before – no free video",IF(OR(U408="Contract signed + paid",U408="Closed – No response",U408="Lost"),"",IF(U408="","Set a stage",IF(AND(U408="Proposal sent",SUMIFS(Scoresheet!$N$2:$N$501,Scoresheet!$C$2:$C$501,A408,Scoresheet!$U$2:$U$501,1)&lt;6),"Score this lead – fill the call scoresheet",IF(N(W408)&gt;=Settings!$S$3,"Close – 4 follow-ups sent",IF(X408="",IF(V408="","Make first contact",""),IF(TODAY()&gt;X408,"OVERDUE follow-up",IF(TODAY()=X408,"Follow up today","")))))))))</f>
        <v/>
      </c>
    </row>
    <row r="409" customFormat="false" ht="15" hidden="false" customHeight="false" outlineLevel="0" collapsed="false">
      <c r="A409" s="17"/>
      <c r="B409" s="40"/>
      <c r="C409" s="41"/>
      <c r="D409" s="17"/>
      <c r="E409" s="17"/>
      <c r="F409" s="17"/>
      <c r="G409" s="17"/>
      <c r="H409" s="17"/>
      <c r="I409" s="42"/>
      <c r="J409" s="17"/>
      <c r="K409" s="17"/>
      <c r="L409" s="17"/>
      <c r="M409" s="17"/>
      <c r="N409" s="40"/>
      <c r="O409" s="41"/>
      <c r="P409" s="43" t="str">
        <f aca="false">IF(OR(B409="",N409=""),"",ROUND(((N409+N(O409))-(B409+N(C409)))*24,1))</f>
        <v/>
      </c>
      <c r="Q409" s="44" t="str">
        <f aca="false">IF(OR(E409="",A409="",COUNTIFS(Scoresheet!$C$2:$C$501,A409,Scoresheet!$U$2:$U$501,1)=0),"",SUMIFS(Scoresheet!$O$2:$O$501,Scoresheet!$C$2:$C$501,A409,Scoresheet!$U$2:$U$501,1))</f>
        <v/>
      </c>
      <c r="R409" s="44" t="str">
        <f aca="false">IF(E409="","",IF(OR(A409="",COUNTIFS(Scoresheet!$C$2:$C$501,A409,Scoresheet!$U$2:$U$501,1)=0),"No scoresheet yet",IF(SUMIFS(Scoresheet!$N$2:$N$501,Scoresheet!$C$2:$C$501,A409,Scoresheet!$U$2:$U$501,1)&lt;6,"Partly scored ("&amp;SUMIFS(Scoresheet!$N$2:$N$501,Scoresheet!$C$2:$C$501,A409,Scoresheet!$U$2:$U$501,1)&amp;"/6)",IF(Q409&gt;=Settings!$S$8,"Hot",IF(Q409&gt;=Settings!$S$9,"Warm","Cold")))))</f>
        <v/>
      </c>
      <c r="S409" s="44" t="str">
        <f aca="false">IF(OR(E409="",A409=""),"",IF(AND(COUNTIFS(Scoresheet!$C$2:$C$501,A409,Scoresheet!$U$2:$U$501,1,Scoresheet!$H$2:$H$501,"No")&gt;0,COUNTIFS(Scoresheet!$C$2:$C$501,A409,Scoresheet!$U$2:$U$501,1,Scoresheet!$J$2:$J$501,"No")&gt;0),"🚩 Budget  ·  🚩 No one on camera",IF(COUNTIFS(Scoresheet!$C$2:$C$501,A409,Scoresheet!$U$2:$U$501,1,Scoresheet!$H$2:$H$501,"No")&gt;0,"🚩 Budget under AED 5k",IF(COUNTIFS(Scoresheet!$C$2:$C$501,A409,Scoresheet!$U$2:$U$501,1,Scoresheet!$J$2:$J$501,"No")&gt;0,"🚩 No one on camera",""))))</f>
        <v/>
      </c>
      <c r="T409" s="17"/>
      <c r="U409" s="17"/>
      <c r="V409" s="40"/>
      <c r="W409" s="17"/>
      <c r="X409" s="45" t="str">
        <f aca="false">IF(OR(E409="",V409="",OR(U409="Contract signed + paid",U409="Closed – No response",U409="Lost"),N(W409)&gt;=Settings!$S$3),"",V409+Settings!$S$2)</f>
        <v/>
      </c>
      <c r="Y409" s="40"/>
      <c r="Z409" s="41"/>
      <c r="AA409" s="17"/>
      <c r="AB409" s="17"/>
      <c r="AC409" s="17"/>
      <c r="AD409" s="46" t="str">
        <f aca="true">IF(OR(E409="",B409=""),"",INT(TODAY()-B409))</f>
        <v/>
      </c>
      <c r="AE409" s="44" t="str">
        <f aca="true">IF(E409="","",IF(OR(COUNTIFS(Clients!$C$2:$C$501,E409,Clients!$S$2:$S$501,"Paid")&gt;0,AND(I409&lt;&gt;"",COUNTIFS(Clients!$E$2:$E$501,I409,Clients!$S$2:$S$501,"Paid")&gt;0)),"⚠ Refunded before – no free video",IF(OR(U409="Contract signed + paid",U409="Closed – No response",U409="Lost"),"",IF(U409="","Set a stage",IF(AND(U409="Proposal sent",SUMIFS(Scoresheet!$N$2:$N$501,Scoresheet!$C$2:$C$501,A409,Scoresheet!$U$2:$U$501,1)&lt;6),"Score this lead – fill the call scoresheet",IF(N(W409)&gt;=Settings!$S$3,"Close – 4 follow-ups sent",IF(X409="",IF(V409="","Make first contact",""),IF(TODAY()&gt;X409,"OVERDUE follow-up",IF(TODAY()=X409,"Follow up today","")))))))))</f>
        <v/>
      </c>
    </row>
    <row r="410" customFormat="false" ht="15" hidden="false" customHeight="false" outlineLevel="0" collapsed="false">
      <c r="A410" s="17"/>
      <c r="B410" s="40"/>
      <c r="C410" s="41"/>
      <c r="D410" s="17"/>
      <c r="E410" s="17"/>
      <c r="F410" s="17"/>
      <c r="G410" s="17"/>
      <c r="H410" s="17"/>
      <c r="I410" s="42"/>
      <c r="J410" s="17"/>
      <c r="K410" s="17"/>
      <c r="L410" s="17"/>
      <c r="M410" s="17"/>
      <c r="N410" s="40"/>
      <c r="O410" s="41"/>
      <c r="P410" s="43" t="str">
        <f aca="false">IF(OR(B410="",N410=""),"",ROUND(((N410+N(O410))-(B410+N(C410)))*24,1))</f>
        <v/>
      </c>
      <c r="Q410" s="44" t="str">
        <f aca="false">IF(OR(E410="",A410="",COUNTIFS(Scoresheet!$C$2:$C$501,A410,Scoresheet!$U$2:$U$501,1)=0),"",SUMIFS(Scoresheet!$O$2:$O$501,Scoresheet!$C$2:$C$501,A410,Scoresheet!$U$2:$U$501,1))</f>
        <v/>
      </c>
      <c r="R410" s="44" t="str">
        <f aca="false">IF(E410="","",IF(OR(A410="",COUNTIFS(Scoresheet!$C$2:$C$501,A410,Scoresheet!$U$2:$U$501,1)=0),"No scoresheet yet",IF(SUMIFS(Scoresheet!$N$2:$N$501,Scoresheet!$C$2:$C$501,A410,Scoresheet!$U$2:$U$501,1)&lt;6,"Partly scored ("&amp;SUMIFS(Scoresheet!$N$2:$N$501,Scoresheet!$C$2:$C$501,A410,Scoresheet!$U$2:$U$501,1)&amp;"/6)",IF(Q410&gt;=Settings!$S$8,"Hot",IF(Q410&gt;=Settings!$S$9,"Warm","Cold")))))</f>
        <v/>
      </c>
      <c r="S410" s="44" t="str">
        <f aca="false">IF(OR(E410="",A410=""),"",IF(AND(COUNTIFS(Scoresheet!$C$2:$C$501,A410,Scoresheet!$U$2:$U$501,1,Scoresheet!$H$2:$H$501,"No")&gt;0,COUNTIFS(Scoresheet!$C$2:$C$501,A410,Scoresheet!$U$2:$U$501,1,Scoresheet!$J$2:$J$501,"No")&gt;0),"🚩 Budget  ·  🚩 No one on camera",IF(COUNTIFS(Scoresheet!$C$2:$C$501,A410,Scoresheet!$U$2:$U$501,1,Scoresheet!$H$2:$H$501,"No")&gt;0,"🚩 Budget under AED 5k",IF(COUNTIFS(Scoresheet!$C$2:$C$501,A410,Scoresheet!$U$2:$U$501,1,Scoresheet!$J$2:$J$501,"No")&gt;0,"🚩 No one on camera",""))))</f>
        <v/>
      </c>
      <c r="T410" s="17"/>
      <c r="U410" s="17"/>
      <c r="V410" s="40"/>
      <c r="W410" s="17"/>
      <c r="X410" s="45" t="str">
        <f aca="false">IF(OR(E410="",V410="",OR(U410="Contract signed + paid",U410="Closed – No response",U410="Lost"),N(W410)&gt;=Settings!$S$3),"",V410+Settings!$S$2)</f>
        <v/>
      </c>
      <c r="Y410" s="40"/>
      <c r="Z410" s="41"/>
      <c r="AA410" s="17"/>
      <c r="AB410" s="17"/>
      <c r="AC410" s="17"/>
      <c r="AD410" s="46" t="str">
        <f aca="true">IF(OR(E410="",B410=""),"",INT(TODAY()-B410))</f>
        <v/>
      </c>
      <c r="AE410" s="44" t="str">
        <f aca="true">IF(E410="","",IF(OR(COUNTIFS(Clients!$C$2:$C$501,E410,Clients!$S$2:$S$501,"Paid")&gt;0,AND(I410&lt;&gt;"",COUNTIFS(Clients!$E$2:$E$501,I410,Clients!$S$2:$S$501,"Paid")&gt;0)),"⚠ Refunded before – no free video",IF(OR(U410="Contract signed + paid",U410="Closed – No response",U410="Lost"),"",IF(U410="","Set a stage",IF(AND(U410="Proposal sent",SUMIFS(Scoresheet!$N$2:$N$501,Scoresheet!$C$2:$C$501,A410,Scoresheet!$U$2:$U$501,1)&lt;6),"Score this lead – fill the call scoresheet",IF(N(W410)&gt;=Settings!$S$3,"Close – 4 follow-ups sent",IF(X410="",IF(V410="","Make first contact",""),IF(TODAY()&gt;X410,"OVERDUE follow-up",IF(TODAY()=X410,"Follow up today","")))))))))</f>
        <v/>
      </c>
    </row>
    <row r="411" customFormat="false" ht="15" hidden="false" customHeight="false" outlineLevel="0" collapsed="false">
      <c r="A411" s="17"/>
      <c r="B411" s="40"/>
      <c r="C411" s="41"/>
      <c r="D411" s="17"/>
      <c r="E411" s="17"/>
      <c r="F411" s="17"/>
      <c r="G411" s="17"/>
      <c r="H411" s="17"/>
      <c r="I411" s="42"/>
      <c r="J411" s="17"/>
      <c r="K411" s="17"/>
      <c r="L411" s="17"/>
      <c r="M411" s="17"/>
      <c r="N411" s="40"/>
      <c r="O411" s="41"/>
      <c r="P411" s="43" t="str">
        <f aca="false">IF(OR(B411="",N411=""),"",ROUND(((N411+N(O411))-(B411+N(C411)))*24,1))</f>
        <v/>
      </c>
      <c r="Q411" s="44" t="str">
        <f aca="false">IF(OR(E411="",A411="",COUNTIFS(Scoresheet!$C$2:$C$501,A411,Scoresheet!$U$2:$U$501,1)=0),"",SUMIFS(Scoresheet!$O$2:$O$501,Scoresheet!$C$2:$C$501,A411,Scoresheet!$U$2:$U$501,1))</f>
        <v/>
      </c>
      <c r="R411" s="44" t="str">
        <f aca="false">IF(E411="","",IF(OR(A411="",COUNTIFS(Scoresheet!$C$2:$C$501,A411,Scoresheet!$U$2:$U$501,1)=0),"No scoresheet yet",IF(SUMIFS(Scoresheet!$N$2:$N$501,Scoresheet!$C$2:$C$501,A411,Scoresheet!$U$2:$U$501,1)&lt;6,"Partly scored ("&amp;SUMIFS(Scoresheet!$N$2:$N$501,Scoresheet!$C$2:$C$501,A411,Scoresheet!$U$2:$U$501,1)&amp;"/6)",IF(Q411&gt;=Settings!$S$8,"Hot",IF(Q411&gt;=Settings!$S$9,"Warm","Cold")))))</f>
        <v/>
      </c>
      <c r="S411" s="44" t="str">
        <f aca="false">IF(OR(E411="",A411=""),"",IF(AND(COUNTIFS(Scoresheet!$C$2:$C$501,A411,Scoresheet!$U$2:$U$501,1,Scoresheet!$H$2:$H$501,"No")&gt;0,COUNTIFS(Scoresheet!$C$2:$C$501,A411,Scoresheet!$U$2:$U$501,1,Scoresheet!$J$2:$J$501,"No")&gt;0),"🚩 Budget  ·  🚩 No one on camera",IF(COUNTIFS(Scoresheet!$C$2:$C$501,A411,Scoresheet!$U$2:$U$501,1,Scoresheet!$H$2:$H$501,"No")&gt;0,"🚩 Budget under AED 5k",IF(COUNTIFS(Scoresheet!$C$2:$C$501,A411,Scoresheet!$U$2:$U$501,1,Scoresheet!$J$2:$J$501,"No")&gt;0,"🚩 No one on camera",""))))</f>
        <v/>
      </c>
      <c r="T411" s="17"/>
      <c r="U411" s="17"/>
      <c r="V411" s="40"/>
      <c r="W411" s="17"/>
      <c r="X411" s="45" t="str">
        <f aca="false">IF(OR(E411="",V411="",OR(U411="Contract signed + paid",U411="Closed – No response",U411="Lost"),N(W411)&gt;=Settings!$S$3),"",V411+Settings!$S$2)</f>
        <v/>
      </c>
      <c r="Y411" s="40"/>
      <c r="Z411" s="41"/>
      <c r="AA411" s="17"/>
      <c r="AB411" s="17"/>
      <c r="AC411" s="17"/>
      <c r="AD411" s="46" t="str">
        <f aca="true">IF(OR(E411="",B411=""),"",INT(TODAY()-B411))</f>
        <v/>
      </c>
      <c r="AE411" s="44" t="str">
        <f aca="true">IF(E411="","",IF(OR(COUNTIFS(Clients!$C$2:$C$501,E411,Clients!$S$2:$S$501,"Paid")&gt;0,AND(I411&lt;&gt;"",COUNTIFS(Clients!$E$2:$E$501,I411,Clients!$S$2:$S$501,"Paid")&gt;0)),"⚠ Refunded before – no free video",IF(OR(U411="Contract signed + paid",U411="Closed – No response",U411="Lost"),"",IF(U411="","Set a stage",IF(AND(U411="Proposal sent",SUMIFS(Scoresheet!$N$2:$N$501,Scoresheet!$C$2:$C$501,A411,Scoresheet!$U$2:$U$501,1)&lt;6),"Score this lead – fill the call scoresheet",IF(N(W411)&gt;=Settings!$S$3,"Close – 4 follow-ups sent",IF(X411="",IF(V411="","Make first contact",""),IF(TODAY()&gt;X411,"OVERDUE follow-up",IF(TODAY()=X411,"Follow up today","")))))))))</f>
        <v/>
      </c>
    </row>
    <row r="412" customFormat="false" ht="15" hidden="false" customHeight="false" outlineLevel="0" collapsed="false">
      <c r="A412" s="17"/>
      <c r="B412" s="40"/>
      <c r="C412" s="41"/>
      <c r="D412" s="17"/>
      <c r="E412" s="17"/>
      <c r="F412" s="17"/>
      <c r="G412" s="17"/>
      <c r="H412" s="17"/>
      <c r="I412" s="42"/>
      <c r="J412" s="17"/>
      <c r="K412" s="17"/>
      <c r="L412" s="17"/>
      <c r="M412" s="17"/>
      <c r="N412" s="40"/>
      <c r="O412" s="41"/>
      <c r="P412" s="43" t="str">
        <f aca="false">IF(OR(B412="",N412=""),"",ROUND(((N412+N(O412))-(B412+N(C412)))*24,1))</f>
        <v/>
      </c>
      <c r="Q412" s="44" t="str">
        <f aca="false">IF(OR(E412="",A412="",COUNTIFS(Scoresheet!$C$2:$C$501,A412,Scoresheet!$U$2:$U$501,1)=0),"",SUMIFS(Scoresheet!$O$2:$O$501,Scoresheet!$C$2:$C$501,A412,Scoresheet!$U$2:$U$501,1))</f>
        <v/>
      </c>
      <c r="R412" s="44" t="str">
        <f aca="false">IF(E412="","",IF(OR(A412="",COUNTIFS(Scoresheet!$C$2:$C$501,A412,Scoresheet!$U$2:$U$501,1)=0),"No scoresheet yet",IF(SUMIFS(Scoresheet!$N$2:$N$501,Scoresheet!$C$2:$C$501,A412,Scoresheet!$U$2:$U$501,1)&lt;6,"Partly scored ("&amp;SUMIFS(Scoresheet!$N$2:$N$501,Scoresheet!$C$2:$C$501,A412,Scoresheet!$U$2:$U$501,1)&amp;"/6)",IF(Q412&gt;=Settings!$S$8,"Hot",IF(Q412&gt;=Settings!$S$9,"Warm","Cold")))))</f>
        <v/>
      </c>
      <c r="S412" s="44" t="str">
        <f aca="false">IF(OR(E412="",A412=""),"",IF(AND(COUNTIFS(Scoresheet!$C$2:$C$501,A412,Scoresheet!$U$2:$U$501,1,Scoresheet!$H$2:$H$501,"No")&gt;0,COUNTIFS(Scoresheet!$C$2:$C$501,A412,Scoresheet!$U$2:$U$501,1,Scoresheet!$J$2:$J$501,"No")&gt;0),"🚩 Budget  ·  🚩 No one on camera",IF(COUNTIFS(Scoresheet!$C$2:$C$501,A412,Scoresheet!$U$2:$U$501,1,Scoresheet!$H$2:$H$501,"No")&gt;0,"🚩 Budget under AED 5k",IF(COUNTIFS(Scoresheet!$C$2:$C$501,A412,Scoresheet!$U$2:$U$501,1,Scoresheet!$J$2:$J$501,"No")&gt;0,"🚩 No one on camera",""))))</f>
        <v/>
      </c>
      <c r="T412" s="17"/>
      <c r="U412" s="17"/>
      <c r="V412" s="40"/>
      <c r="W412" s="17"/>
      <c r="X412" s="45" t="str">
        <f aca="false">IF(OR(E412="",V412="",OR(U412="Contract signed + paid",U412="Closed – No response",U412="Lost"),N(W412)&gt;=Settings!$S$3),"",V412+Settings!$S$2)</f>
        <v/>
      </c>
      <c r="Y412" s="40"/>
      <c r="Z412" s="41"/>
      <c r="AA412" s="17"/>
      <c r="AB412" s="17"/>
      <c r="AC412" s="17"/>
      <c r="AD412" s="46" t="str">
        <f aca="true">IF(OR(E412="",B412=""),"",INT(TODAY()-B412))</f>
        <v/>
      </c>
      <c r="AE412" s="44" t="str">
        <f aca="true">IF(E412="","",IF(OR(COUNTIFS(Clients!$C$2:$C$501,E412,Clients!$S$2:$S$501,"Paid")&gt;0,AND(I412&lt;&gt;"",COUNTIFS(Clients!$E$2:$E$501,I412,Clients!$S$2:$S$501,"Paid")&gt;0)),"⚠ Refunded before – no free video",IF(OR(U412="Contract signed + paid",U412="Closed – No response",U412="Lost"),"",IF(U412="","Set a stage",IF(AND(U412="Proposal sent",SUMIFS(Scoresheet!$N$2:$N$501,Scoresheet!$C$2:$C$501,A412,Scoresheet!$U$2:$U$501,1)&lt;6),"Score this lead – fill the call scoresheet",IF(N(W412)&gt;=Settings!$S$3,"Close – 4 follow-ups sent",IF(X412="",IF(V412="","Make first contact",""),IF(TODAY()&gt;X412,"OVERDUE follow-up",IF(TODAY()=X412,"Follow up today","")))))))))</f>
        <v/>
      </c>
    </row>
    <row r="413" customFormat="false" ht="15" hidden="false" customHeight="false" outlineLevel="0" collapsed="false">
      <c r="A413" s="17"/>
      <c r="B413" s="40"/>
      <c r="C413" s="41"/>
      <c r="D413" s="17"/>
      <c r="E413" s="17"/>
      <c r="F413" s="17"/>
      <c r="G413" s="17"/>
      <c r="H413" s="17"/>
      <c r="I413" s="42"/>
      <c r="J413" s="17"/>
      <c r="K413" s="17"/>
      <c r="L413" s="17"/>
      <c r="M413" s="17"/>
      <c r="N413" s="40"/>
      <c r="O413" s="41"/>
      <c r="P413" s="43" t="str">
        <f aca="false">IF(OR(B413="",N413=""),"",ROUND(((N413+N(O413))-(B413+N(C413)))*24,1))</f>
        <v/>
      </c>
      <c r="Q413" s="44" t="str">
        <f aca="false">IF(OR(E413="",A413="",COUNTIFS(Scoresheet!$C$2:$C$501,A413,Scoresheet!$U$2:$U$501,1)=0),"",SUMIFS(Scoresheet!$O$2:$O$501,Scoresheet!$C$2:$C$501,A413,Scoresheet!$U$2:$U$501,1))</f>
        <v/>
      </c>
      <c r="R413" s="44" t="str">
        <f aca="false">IF(E413="","",IF(OR(A413="",COUNTIFS(Scoresheet!$C$2:$C$501,A413,Scoresheet!$U$2:$U$501,1)=0),"No scoresheet yet",IF(SUMIFS(Scoresheet!$N$2:$N$501,Scoresheet!$C$2:$C$501,A413,Scoresheet!$U$2:$U$501,1)&lt;6,"Partly scored ("&amp;SUMIFS(Scoresheet!$N$2:$N$501,Scoresheet!$C$2:$C$501,A413,Scoresheet!$U$2:$U$501,1)&amp;"/6)",IF(Q413&gt;=Settings!$S$8,"Hot",IF(Q413&gt;=Settings!$S$9,"Warm","Cold")))))</f>
        <v/>
      </c>
      <c r="S413" s="44" t="str">
        <f aca="false">IF(OR(E413="",A413=""),"",IF(AND(COUNTIFS(Scoresheet!$C$2:$C$501,A413,Scoresheet!$U$2:$U$501,1,Scoresheet!$H$2:$H$501,"No")&gt;0,COUNTIFS(Scoresheet!$C$2:$C$501,A413,Scoresheet!$U$2:$U$501,1,Scoresheet!$J$2:$J$501,"No")&gt;0),"🚩 Budget  ·  🚩 No one on camera",IF(COUNTIFS(Scoresheet!$C$2:$C$501,A413,Scoresheet!$U$2:$U$501,1,Scoresheet!$H$2:$H$501,"No")&gt;0,"🚩 Budget under AED 5k",IF(COUNTIFS(Scoresheet!$C$2:$C$501,A413,Scoresheet!$U$2:$U$501,1,Scoresheet!$J$2:$J$501,"No")&gt;0,"🚩 No one on camera",""))))</f>
        <v/>
      </c>
      <c r="T413" s="17"/>
      <c r="U413" s="17"/>
      <c r="V413" s="40"/>
      <c r="W413" s="17"/>
      <c r="X413" s="45" t="str">
        <f aca="false">IF(OR(E413="",V413="",OR(U413="Contract signed + paid",U413="Closed – No response",U413="Lost"),N(W413)&gt;=Settings!$S$3),"",V413+Settings!$S$2)</f>
        <v/>
      </c>
      <c r="Y413" s="40"/>
      <c r="Z413" s="41"/>
      <c r="AA413" s="17"/>
      <c r="AB413" s="17"/>
      <c r="AC413" s="17"/>
      <c r="AD413" s="46" t="str">
        <f aca="true">IF(OR(E413="",B413=""),"",INT(TODAY()-B413))</f>
        <v/>
      </c>
      <c r="AE413" s="44" t="str">
        <f aca="true">IF(E413="","",IF(OR(COUNTIFS(Clients!$C$2:$C$501,E413,Clients!$S$2:$S$501,"Paid")&gt;0,AND(I413&lt;&gt;"",COUNTIFS(Clients!$E$2:$E$501,I413,Clients!$S$2:$S$501,"Paid")&gt;0)),"⚠ Refunded before – no free video",IF(OR(U413="Contract signed + paid",U413="Closed – No response",U413="Lost"),"",IF(U413="","Set a stage",IF(AND(U413="Proposal sent",SUMIFS(Scoresheet!$N$2:$N$501,Scoresheet!$C$2:$C$501,A413,Scoresheet!$U$2:$U$501,1)&lt;6),"Score this lead – fill the call scoresheet",IF(N(W413)&gt;=Settings!$S$3,"Close – 4 follow-ups sent",IF(X413="",IF(V413="","Make first contact",""),IF(TODAY()&gt;X413,"OVERDUE follow-up",IF(TODAY()=X413,"Follow up today","")))))))))</f>
        <v/>
      </c>
    </row>
    <row r="414" customFormat="false" ht="15" hidden="false" customHeight="false" outlineLevel="0" collapsed="false">
      <c r="A414" s="17"/>
      <c r="B414" s="40"/>
      <c r="C414" s="41"/>
      <c r="D414" s="17"/>
      <c r="E414" s="17"/>
      <c r="F414" s="17"/>
      <c r="G414" s="17"/>
      <c r="H414" s="17"/>
      <c r="I414" s="42"/>
      <c r="J414" s="17"/>
      <c r="K414" s="17"/>
      <c r="L414" s="17"/>
      <c r="M414" s="17"/>
      <c r="N414" s="40"/>
      <c r="O414" s="41"/>
      <c r="P414" s="43" t="str">
        <f aca="false">IF(OR(B414="",N414=""),"",ROUND(((N414+N(O414))-(B414+N(C414)))*24,1))</f>
        <v/>
      </c>
      <c r="Q414" s="44" t="str">
        <f aca="false">IF(OR(E414="",A414="",COUNTIFS(Scoresheet!$C$2:$C$501,A414,Scoresheet!$U$2:$U$501,1)=0),"",SUMIFS(Scoresheet!$O$2:$O$501,Scoresheet!$C$2:$C$501,A414,Scoresheet!$U$2:$U$501,1))</f>
        <v/>
      </c>
      <c r="R414" s="44" t="str">
        <f aca="false">IF(E414="","",IF(OR(A414="",COUNTIFS(Scoresheet!$C$2:$C$501,A414,Scoresheet!$U$2:$U$501,1)=0),"No scoresheet yet",IF(SUMIFS(Scoresheet!$N$2:$N$501,Scoresheet!$C$2:$C$501,A414,Scoresheet!$U$2:$U$501,1)&lt;6,"Partly scored ("&amp;SUMIFS(Scoresheet!$N$2:$N$501,Scoresheet!$C$2:$C$501,A414,Scoresheet!$U$2:$U$501,1)&amp;"/6)",IF(Q414&gt;=Settings!$S$8,"Hot",IF(Q414&gt;=Settings!$S$9,"Warm","Cold")))))</f>
        <v/>
      </c>
      <c r="S414" s="44" t="str">
        <f aca="false">IF(OR(E414="",A414=""),"",IF(AND(COUNTIFS(Scoresheet!$C$2:$C$501,A414,Scoresheet!$U$2:$U$501,1,Scoresheet!$H$2:$H$501,"No")&gt;0,COUNTIFS(Scoresheet!$C$2:$C$501,A414,Scoresheet!$U$2:$U$501,1,Scoresheet!$J$2:$J$501,"No")&gt;0),"🚩 Budget  ·  🚩 No one on camera",IF(COUNTIFS(Scoresheet!$C$2:$C$501,A414,Scoresheet!$U$2:$U$501,1,Scoresheet!$H$2:$H$501,"No")&gt;0,"🚩 Budget under AED 5k",IF(COUNTIFS(Scoresheet!$C$2:$C$501,A414,Scoresheet!$U$2:$U$501,1,Scoresheet!$J$2:$J$501,"No")&gt;0,"🚩 No one on camera",""))))</f>
        <v/>
      </c>
      <c r="T414" s="17"/>
      <c r="U414" s="17"/>
      <c r="V414" s="40"/>
      <c r="W414" s="17"/>
      <c r="X414" s="45" t="str">
        <f aca="false">IF(OR(E414="",V414="",OR(U414="Contract signed + paid",U414="Closed – No response",U414="Lost"),N(W414)&gt;=Settings!$S$3),"",V414+Settings!$S$2)</f>
        <v/>
      </c>
      <c r="Y414" s="40"/>
      <c r="Z414" s="41"/>
      <c r="AA414" s="17"/>
      <c r="AB414" s="17"/>
      <c r="AC414" s="17"/>
      <c r="AD414" s="46" t="str">
        <f aca="true">IF(OR(E414="",B414=""),"",INT(TODAY()-B414))</f>
        <v/>
      </c>
      <c r="AE414" s="44" t="str">
        <f aca="true">IF(E414="","",IF(OR(COUNTIFS(Clients!$C$2:$C$501,E414,Clients!$S$2:$S$501,"Paid")&gt;0,AND(I414&lt;&gt;"",COUNTIFS(Clients!$E$2:$E$501,I414,Clients!$S$2:$S$501,"Paid")&gt;0)),"⚠ Refunded before – no free video",IF(OR(U414="Contract signed + paid",U414="Closed – No response",U414="Lost"),"",IF(U414="","Set a stage",IF(AND(U414="Proposal sent",SUMIFS(Scoresheet!$N$2:$N$501,Scoresheet!$C$2:$C$501,A414,Scoresheet!$U$2:$U$501,1)&lt;6),"Score this lead – fill the call scoresheet",IF(N(W414)&gt;=Settings!$S$3,"Close – 4 follow-ups sent",IF(X414="",IF(V414="","Make first contact",""),IF(TODAY()&gt;X414,"OVERDUE follow-up",IF(TODAY()=X414,"Follow up today","")))))))))</f>
        <v/>
      </c>
    </row>
    <row r="415" customFormat="false" ht="15" hidden="false" customHeight="false" outlineLevel="0" collapsed="false">
      <c r="A415" s="17"/>
      <c r="B415" s="40"/>
      <c r="C415" s="41"/>
      <c r="D415" s="17"/>
      <c r="E415" s="17"/>
      <c r="F415" s="17"/>
      <c r="G415" s="17"/>
      <c r="H415" s="17"/>
      <c r="I415" s="42"/>
      <c r="J415" s="17"/>
      <c r="K415" s="17"/>
      <c r="L415" s="17"/>
      <c r="M415" s="17"/>
      <c r="N415" s="40"/>
      <c r="O415" s="41"/>
      <c r="P415" s="43" t="str">
        <f aca="false">IF(OR(B415="",N415=""),"",ROUND(((N415+N(O415))-(B415+N(C415)))*24,1))</f>
        <v/>
      </c>
      <c r="Q415" s="44" t="str">
        <f aca="false">IF(OR(E415="",A415="",COUNTIFS(Scoresheet!$C$2:$C$501,A415,Scoresheet!$U$2:$U$501,1)=0),"",SUMIFS(Scoresheet!$O$2:$O$501,Scoresheet!$C$2:$C$501,A415,Scoresheet!$U$2:$U$501,1))</f>
        <v/>
      </c>
      <c r="R415" s="44" t="str">
        <f aca="false">IF(E415="","",IF(OR(A415="",COUNTIFS(Scoresheet!$C$2:$C$501,A415,Scoresheet!$U$2:$U$501,1)=0),"No scoresheet yet",IF(SUMIFS(Scoresheet!$N$2:$N$501,Scoresheet!$C$2:$C$501,A415,Scoresheet!$U$2:$U$501,1)&lt;6,"Partly scored ("&amp;SUMIFS(Scoresheet!$N$2:$N$501,Scoresheet!$C$2:$C$501,A415,Scoresheet!$U$2:$U$501,1)&amp;"/6)",IF(Q415&gt;=Settings!$S$8,"Hot",IF(Q415&gt;=Settings!$S$9,"Warm","Cold")))))</f>
        <v/>
      </c>
      <c r="S415" s="44" t="str">
        <f aca="false">IF(OR(E415="",A415=""),"",IF(AND(COUNTIFS(Scoresheet!$C$2:$C$501,A415,Scoresheet!$U$2:$U$501,1,Scoresheet!$H$2:$H$501,"No")&gt;0,COUNTIFS(Scoresheet!$C$2:$C$501,A415,Scoresheet!$U$2:$U$501,1,Scoresheet!$J$2:$J$501,"No")&gt;0),"🚩 Budget  ·  🚩 No one on camera",IF(COUNTIFS(Scoresheet!$C$2:$C$501,A415,Scoresheet!$U$2:$U$501,1,Scoresheet!$H$2:$H$501,"No")&gt;0,"🚩 Budget under AED 5k",IF(COUNTIFS(Scoresheet!$C$2:$C$501,A415,Scoresheet!$U$2:$U$501,1,Scoresheet!$J$2:$J$501,"No")&gt;0,"🚩 No one on camera",""))))</f>
        <v/>
      </c>
      <c r="T415" s="17"/>
      <c r="U415" s="17"/>
      <c r="V415" s="40"/>
      <c r="W415" s="17"/>
      <c r="X415" s="45" t="str">
        <f aca="false">IF(OR(E415="",V415="",OR(U415="Contract signed + paid",U415="Closed – No response",U415="Lost"),N(W415)&gt;=Settings!$S$3),"",V415+Settings!$S$2)</f>
        <v/>
      </c>
      <c r="Y415" s="40"/>
      <c r="Z415" s="41"/>
      <c r="AA415" s="17"/>
      <c r="AB415" s="17"/>
      <c r="AC415" s="17"/>
      <c r="AD415" s="46" t="str">
        <f aca="true">IF(OR(E415="",B415=""),"",INT(TODAY()-B415))</f>
        <v/>
      </c>
      <c r="AE415" s="44" t="str">
        <f aca="true">IF(E415="","",IF(OR(COUNTIFS(Clients!$C$2:$C$501,E415,Clients!$S$2:$S$501,"Paid")&gt;0,AND(I415&lt;&gt;"",COUNTIFS(Clients!$E$2:$E$501,I415,Clients!$S$2:$S$501,"Paid")&gt;0)),"⚠ Refunded before – no free video",IF(OR(U415="Contract signed + paid",U415="Closed – No response",U415="Lost"),"",IF(U415="","Set a stage",IF(AND(U415="Proposal sent",SUMIFS(Scoresheet!$N$2:$N$501,Scoresheet!$C$2:$C$501,A415,Scoresheet!$U$2:$U$501,1)&lt;6),"Score this lead – fill the call scoresheet",IF(N(W415)&gt;=Settings!$S$3,"Close – 4 follow-ups sent",IF(X415="",IF(V415="","Make first contact",""),IF(TODAY()&gt;X415,"OVERDUE follow-up",IF(TODAY()=X415,"Follow up today","")))))))))</f>
        <v/>
      </c>
    </row>
    <row r="416" customFormat="false" ht="15" hidden="false" customHeight="false" outlineLevel="0" collapsed="false">
      <c r="A416" s="17"/>
      <c r="B416" s="40"/>
      <c r="C416" s="41"/>
      <c r="D416" s="17"/>
      <c r="E416" s="17"/>
      <c r="F416" s="17"/>
      <c r="G416" s="17"/>
      <c r="H416" s="17"/>
      <c r="I416" s="42"/>
      <c r="J416" s="17"/>
      <c r="K416" s="17"/>
      <c r="L416" s="17"/>
      <c r="M416" s="17"/>
      <c r="N416" s="40"/>
      <c r="O416" s="41"/>
      <c r="P416" s="43" t="str">
        <f aca="false">IF(OR(B416="",N416=""),"",ROUND(((N416+N(O416))-(B416+N(C416)))*24,1))</f>
        <v/>
      </c>
      <c r="Q416" s="44" t="str">
        <f aca="false">IF(OR(E416="",A416="",COUNTIFS(Scoresheet!$C$2:$C$501,A416,Scoresheet!$U$2:$U$501,1)=0),"",SUMIFS(Scoresheet!$O$2:$O$501,Scoresheet!$C$2:$C$501,A416,Scoresheet!$U$2:$U$501,1))</f>
        <v/>
      </c>
      <c r="R416" s="44" t="str">
        <f aca="false">IF(E416="","",IF(OR(A416="",COUNTIFS(Scoresheet!$C$2:$C$501,A416,Scoresheet!$U$2:$U$501,1)=0),"No scoresheet yet",IF(SUMIFS(Scoresheet!$N$2:$N$501,Scoresheet!$C$2:$C$501,A416,Scoresheet!$U$2:$U$501,1)&lt;6,"Partly scored ("&amp;SUMIFS(Scoresheet!$N$2:$N$501,Scoresheet!$C$2:$C$501,A416,Scoresheet!$U$2:$U$501,1)&amp;"/6)",IF(Q416&gt;=Settings!$S$8,"Hot",IF(Q416&gt;=Settings!$S$9,"Warm","Cold")))))</f>
        <v/>
      </c>
      <c r="S416" s="44" t="str">
        <f aca="false">IF(OR(E416="",A416=""),"",IF(AND(COUNTIFS(Scoresheet!$C$2:$C$501,A416,Scoresheet!$U$2:$U$501,1,Scoresheet!$H$2:$H$501,"No")&gt;0,COUNTIFS(Scoresheet!$C$2:$C$501,A416,Scoresheet!$U$2:$U$501,1,Scoresheet!$J$2:$J$501,"No")&gt;0),"🚩 Budget  ·  🚩 No one on camera",IF(COUNTIFS(Scoresheet!$C$2:$C$501,A416,Scoresheet!$U$2:$U$501,1,Scoresheet!$H$2:$H$501,"No")&gt;0,"🚩 Budget under AED 5k",IF(COUNTIFS(Scoresheet!$C$2:$C$501,A416,Scoresheet!$U$2:$U$501,1,Scoresheet!$J$2:$J$501,"No")&gt;0,"🚩 No one on camera",""))))</f>
        <v/>
      </c>
      <c r="T416" s="17"/>
      <c r="U416" s="17"/>
      <c r="V416" s="40"/>
      <c r="W416" s="17"/>
      <c r="X416" s="45" t="str">
        <f aca="false">IF(OR(E416="",V416="",OR(U416="Contract signed + paid",U416="Closed – No response",U416="Lost"),N(W416)&gt;=Settings!$S$3),"",V416+Settings!$S$2)</f>
        <v/>
      </c>
      <c r="Y416" s="40"/>
      <c r="Z416" s="41"/>
      <c r="AA416" s="17"/>
      <c r="AB416" s="17"/>
      <c r="AC416" s="17"/>
      <c r="AD416" s="46" t="str">
        <f aca="true">IF(OR(E416="",B416=""),"",INT(TODAY()-B416))</f>
        <v/>
      </c>
      <c r="AE416" s="44" t="str">
        <f aca="true">IF(E416="","",IF(OR(COUNTIFS(Clients!$C$2:$C$501,E416,Clients!$S$2:$S$501,"Paid")&gt;0,AND(I416&lt;&gt;"",COUNTIFS(Clients!$E$2:$E$501,I416,Clients!$S$2:$S$501,"Paid")&gt;0)),"⚠ Refunded before – no free video",IF(OR(U416="Contract signed + paid",U416="Closed – No response",U416="Lost"),"",IF(U416="","Set a stage",IF(AND(U416="Proposal sent",SUMIFS(Scoresheet!$N$2:$N$501,Scoresheet!$C$2:$C$501,A416,Scoresheet!$U$2:$U$501,1)&lt;6),"Score this lead – fill the call scoresheet",IF(N(W416)&gt;=Settings!$S$3,"Close – 4 follow-ups sent",IF(X416="",IF(V416="","Make first contact",""),IF(TODAY()&gt;X416,"OVERDUE follow-up",IF(TODAY()=X416,"Follow up today","")))))))))</f>
        <v/>
      </c>
    </row>
    <row r="417" customFormat="false" ht="15" hidden="false" customHeight="false" outlineLevel="0" collapsed="false">
      <c r="A417" s="17"/>
      <c r="B417" s="40"/>
      <c r="C417" s="41"/>
      <c r="D417" s="17"/>
      <c r="E417" s="17"/>
      <c r="F417" s="17"/>
      <c r="G417" s="17"/>
      <c r="H417" s="17"/>
      <c r="I417" s="42"/>
      <c r="J417" s="17"/>
      <c r="K417" s="17"/>
      <c r="L417" s="17"/>
      <c r="M417" s="17"/>
      <c r="N417" s="40"/>
      <c r="O417" s="41"/>
      <c r="P417" s="43" t="str">
        <f aca="false">IF(OR(B417="",N417=""),"",ROUND(((N417+N(O417))-(B417+N(C417)))*24,1))</f>
        <v/>
      </c>
      <c r="Q417" s="44" t="str">
        <f aca="false">IF(OR(E417="",A417="",COUNTIFS(Scoresheet!$C$2:$C$501,A417,Scoresheet!$U$2:$U$501,1)=0),"",SUMIFS(Scoresheet!$O$2:$O$501,Scoresheet!$C$2:$C$501,A417,Scoresheet!$U$2:$U$501,1))</f>
        <v/>
      </c>
      <c r="R417" s="44" t="str">
        <f aca="false">IF(E417="","",IF(OR(A417="",COUNTIFS(Scoresheet!$C$2:$C$501,A417,Scoresheet!$U$2:$U$501,1)=0),"No scoresheet yet",IF(SUMIFS(Scoresheet!$N$2:$N$501,Scoresheet!$C$2:$C$501,A417,Scoresheet!$U$2:$U$501,1)&lt;6,"Partly scored ("&amp;SUMIFS(Scoresheet!$N$2:$N$501,Scoresheet!$C$2:$C$501,A417,Scoresheet!$U$2:$U$501,1)&amp;"/6)",IF(Q417&gt;=Settings!$S$8,"Hot",IF(Q417&gt;=Settings!$S$9,"Warm","Cold")))))</f>
        <v/>
      </c>
      <c r="S417" s="44" t="str">
        <f aca="false">IF(OR(E417="",A417=""),"",IF(AND(COUNTIFS(Scoresheet!$C$2:$C$501,A417,Scoresheet!$U$2:$U$501,1,Scoresheet!$H$2:$H$501,"No")&gt;0,COUNTIFS(Scoresheet!$C$2:$C$501,A417,Scoresheet!$U$2:$U$501,1,Scoresheet!$J$2:$J$501,"No")&gt;0),"🚩 Budget  ·  🚩 No one on camera",IF(COUNTIFS(Scoresheet!$C$2:$C$501,A417,Scoresheet!$U$2:$U$501,1,Scoresheet!$H$2:$H$501,"No")&gt;0,"🚩 Budget under AED 5k",IF(COUNTIFS(Scoresheet!$C$2:$C$501,A417,Scoresheet!$U$2:$U$501,1,Scoresheet!$J$2:$J$501,"No")&gt;0,"🚩 No one on camera",""))))</f>
        <v/>
      </c>
      <c r="T417" s="17"/>
      <c r="U417" s="17"/>
      <c r="V417" s="40"/>
      <c r="W417" s="17"/>
      <c r="X417" s="45" t="str">
        <f aca="false">IF(OR(E417="",V417="",OR(U417="Contract signed + paid",U417="Closed – No response",U417="Lost"),N(W417)&gt;=Settings!$S$3),"",V417+Settings!$S$2)</f>
        <v/>
      </c>
      <c r="Y417" s="40"/>
      <c r="Z417" s="41"/>
      <c r="AA417" s="17"/>
      <c r="AB417" s="17"/>
      <c r="AC417" s="17"/>
      <c r="AD417" s="46" t="str">
        <f aca="true">IF(OR(E417="",B417=""),"",INT(TODAY()-B417))</f>
        <v/>
      </c>
      <c r="AE417" s="44" t="str">
        <f aca="true">IF(E417="","",IF(OR(COUNTIFS(Clients!$C$2:$C$501,E417,Clients!$S$2:$S$501,"Paid")&gt;0,AND(I417&lt;&gt;"",COUNTIFS(Clients!$E$2:$E$501,I417,Clients!$S$2:$S$501,"Paid")&gt;0)),"⚠ Refunded before – no free video",IF(OR(U417="Contract signed + paid",U417="Closed – No response",U417="Lost"),"",IF(U417="","Set a stage",IF(AND(U417="Proposal sent",SUMIFS(Scoresheet!$N$2:$N$501,Scoresheet!$C$2:$C$501,A417,Scoresheet!$U$2:$U$501,1)&lt;6),"Score this lead – fill the call scoresheet",IF(N(W417)&gt;=Settings!$S$3,"Close – 4 follow-ups sent",IF(X417="",IF(V417="","Make first contact",""),IF(TODAY()&gt;X417,"OVERDUE follow-up",IF(TODAY()=X417,"Follow up today","")))))))))</f>
        <v/>
      </c>
    </row>
    <row r="418" customFormat="false" ht="15" hidden="false" customHeight="false" outlineLevel="0" collapsed="false">
      <c r="A418" s="17"/>
      <c r="B418" s="40"/>
      <c r="C418" s="41"/>
      <c r="D418" s="17"/>
      <c r="E418" s="17"/>
      <c r="F418" s="17"/>
      <c r="G418" s="17"/>
      <c r="H418" s="17"/>
      <c r="I418" s="42"/>
      <c r="J418" s="17"/>
      <c r="K418" s="17"/>
      <c r="L418" s="17"/>
      <c r="M418" s="17"/>
      <c r="N418" s="40"/>
      <c r="O418" s="41"/>
      <c r="P418" s="43" t="str">
        <f aca="false">IF(OR(B418="",N418=""),"",ROUND(((N418+N(O418))-(B418+N(C418)))*24,1))</f>
        <v/>
      </c>
      <c r="Q418" s="44" t="str">
        <f aca="false">IF(OR(E418="",A418="",COUNTIFS(Scoresheet!$C$2:$C$501,A418,Scoresheet!$U$2:$U$501,1)=0),"",SUMIFS(Scoresheet!$O$2:$O$501,Scoresheet!$C$2:$C$501,A418,Scoresheet!$U$2:$U$501,1))</f>
        <v/>
      </c>
      <c r="R418" s="44" t="str">
        <f aca="false">IF(E418="","",IF(OR(A418="",COUNTIFS(Scoresheet!$C$2:$C$501,A418,Scoresheet!$U$2:$U$501,1)=0),"No scoresheet yet",IF(SUMIFS(Scoresheet!$N$2:$N$501,Scoresheet!$C$2:$C$501,A418,Scoresheet!$U$2:$U$501,1)&lt;6,"Partly scored ("&amp;SUMIFS(Scoresheet!$N$2:$N$501,Scoresheet!$C$2:$C$501,A418,Scoresheet!$U$2:$U$501,1)&amp;"/6)",IF(Q418&gt;=Settings!$S$8,"Hot",IF(Q418&gt;=Settings!$S$9,"Warm","Cold")))))</f>
        <v/>
      </c>
      <c r="S418" s="44" t="str">
        <f aca="false">IF(OR(E418="",A418=""),"",IF(AND(COUNTIFS(Scoresheet!$C$2:$C$501,A418,Scoresheet!$U$2:$U$501,1,Scoresheet!$H$2:$H$501,"No")&gt;0,COUNTIFS(Scoresheet!$C$2:$C$501,A418,Scoresheet!$U$2:$U$501,1,Scoresheet!$J$2:$J$501,"No")&gt;0),"🚩 Budget  ·  🚩 No one on camera",IF(COUNTIFS(Scoresheet!$C$2:$C$501,A418,Scoresheet!$U$2:$U$501,1,Scoresheet!$H$2:$H$501,"No")&gt;0,"🚩 Budget under AED 5k",IF(COUNTIFS(Scoresheet!$C$2:$C$501,A418,Scoresheet!$U$2:$U$501,1,Scoresheet!$J$2:$J$501,"No")&gt;0,"🚩 No one on camera",""))))</f>
        <v/>
      </c>
      <c r="T418" s="17"/>
      <c r="U418" s="17"/>
      <c r="V418" s="40"/>
      <c r="W418" s="17"/>
      <c r="X418" s="45" t="str">
        <f aca="false">IF(OR(E418="",V418="",OR(U418="Contract signed + paid",U418="Closed – No response",U418="Lost"),N(W418)&gt;=Settings!$S$3),"",V418+Settings!$S$2)</f>
        <v/>
      </c>
      <c r="Y418" s="40"/>
      <c r="Z418" s="41"/>
      <c r="AA418" s="17"/>
      <c r="AB418" s="17"/>
      <c r="AC418" s="17"/>
      <c r="AD418" s="46" t="str">
        <f aca="true">IF(OR(E418="",B418=""),"",INT(TODAY()-B418))</f>
        <v/>
      </c>
      <c r="AE418" s="44" t="str">
        <f aca="true">IF(E418="","",IF(OR(COUNTIFS(Clients!$C$2:$C$501,E418,Clients!$S$2:$S$501,"Paid")&gt;0,AND(I418&lt;&gt;"",COUNTIFS(Clients!$E$2:$E$501,I418,Clients!$S$2:$S$501,"Paid")&gt;0)),"⚠ Refunded before – no free video",IF(OR(U418="Contract signed + paid",U418="Closed – No response",U418="Lost"),"",IF(U418="","Set a stage",IF(AND(U418="Proposal sent",SUMIFS(Scoresheet!$N$2:$N$501,Scoresheet!$C$2:$C$501,A418,Scoresheet!$U$2:$U$501,1)&lt;6),"Score this lead – fill the call scoresheet",IF(N(W418)&gt;=Settings!$S$3,"Close – 4 follow-ups sent",IF(X418="",IF(V418="","Make first contact",""),IF(TODAY()&gt;X418,"OVERDUE follow-up",IF(TODAY()=X418,"Follow up today","")))))))))</f>
        <v/>
      </c>
    </row>
    <row r="419" customFormat="false" ht="15" hidden="false" customHeight="false" outlineLevel="0" collapsed="false">
      <c r="A419" s="17"/>
      <c r="B419" s="40"/>
      <c r="C419" s="41"/>
      <c r="D419" s="17"/>
      <c r="E419" s="17"/>
      <c r="F419" s="17"/>
      <c r="G419" s="17"/>
      <c r="H419" s="17"/>
      <c r="I419" s="42"/>
      <c r="J419" s="17"/>
      <c r="K419" s="17"/>
      <c r="L419" s="17"/>
      <c r="M419" s="17"/>
      <c r="N419" s="40"/>
      <c r="O419" s="41"/>
      <c r="P419" s="43" t="str">
        <f aca="false">IF(OR(B419="",N419=""),"",ROUND(((N419+N(O419))-(B419+N(C419)))*24,1))</f>
        <v/>
      </c>
      <c r="Q419" s="44" t="str">
        <f aca="false">IF(OR(E419="",A419="",COUNTIFS(Scoresheet!$C$2:$C$501,A419,Scoresheet!$U$2:$U$501,1)=0),"",SUMIFS(Scoresheet!$O$2:$O$501,Scoresheet!$C$2:$C$501,A419,Scoresheet!$U$2:$U$501,1))</f>
        <v/>
      </c>
      <c r="R419" s="44" t="str">
        <f aca="false">IF(E419="","",IF(OR(A419="",COUNTIFS(Scoresheet!$C$2:$C$501,A419,Scoresheet!$U$2:$U$501,1)=0),"No scoresheet yet",IF(SUMIFS(Scoresheet!$N$2:$N$501,Scoresheet!$C$2:$C$501,A419,Scoresheet!$U$2:$U$501,1)&lt;6,"Partly scored ("&amp;SUMIFS(Scoresheet!$N$2:$N$501,Scoresheet!$C$2:$C$501,A419,Scoresheet!$U$2:$U$501,1)&amp;"/6)",IF(Q419&gt;=Settings!$S$8,"Hot",IF(Q419&gt;=Settings!$S$9,"Warm","Cold")))))</f>
        <v/>
      </c>
      <c r="S419" s="44" t="str">
        <f aca="false">IF(OR(E419="",A419=""),"",IF(AND(COUNTIFS(Scoresheet!$C$2:$C$501,A419,Scoresheet!$U$2:$U$501,1,Scoresheet!$H$2:$H$501,"No")&gt;0,COUNTIFS(Scoresheet!$C$2:$C$501,A419,Scoresheet!$U$2:$U$501,1,Scoresheet!$J$2:$J$501,"No")&gt;0),"🚩 Budget  ·  🚩 No one on camera",IF(COUNTIFS(Scoresheet!$C$2:$C$501,A419,Scoresheet!$U$2:$U$501,1,Scoresheet!$H$2:$H$501,"No")&gt;0,"🚩 Budget under AED 5k",IF(COUNTIFS(Scoresheet!$C$2:$C$501,A419,Scoresheet!$U$2:$U$501,1,Scoresheet!$J$2:$J$501,"No")&gt;0,"🚩 No one on camera",""))))</f>
        <v/>
      </c>
      <c r="T419" s="17"/>
      <c r="U419" s="17"/>
      <c r="V419" s="40"/>
      <c r="W419" s="17"/>
      <c r="X419" s="45" t="str">
        <f aca="false">IF(OR(E419="",V419="",OR(U419="Contract signed + paid",U419="Closed – No response",U419="Lost"),N(W419)&gt;=Settings!$S$3),"",V419+Settings!$S$2)</f>
        <v/>
      </c>
      <c r="Y419" s="40"/>
      <c r="Z419" s="41"/>
      <c r="AA419" s="17"/>
      <c r="AB419" s="17"/>
      <c r="AC419" s="17"/>
      <c r="AD419" s="46" t="str">
        <f aca="true">IF(OR(E419="",B419=""),"",INT(TODAY()-B419))</f>
        <v/>
      </c>
      <c r="AE419" s="44" t="str">
        <f aca="true">IF(E419="","",IF(OR(COUNTIFS(Clients!$C$2:$C$501,E419,Clients!$S$2:$S$501,"Paid")&gt;0,AND(I419&lt;&gt;"",COUNTIFS(Clients!$E$2:$E$501,I419,Clients!$S$2:$S$501,"Paid")&gt;0)),"⚠ Refunded before – no free video",IF(OR(U419="Contract signed + paid",U419="Closed – No response",U419="Lost"),"",IF(U419="","Set a stage",IF(AND(U419="Proposal sent",SUMIFS(Scoresheet!$N$2:$N$501,Scoresheet!$C$2:$C$501,A419,Scoresheet!$U$2:$U$501,1)&lt;6),"Score this lead – fill the call scoresheet",IF(N(W419)&gt;=Settings!$S$3,"Close – 4 follow-ups sent",IF(X419="",IF(V419="","Make first contact",""),IF(TODAY()&gt;X419,"OVERDUE follow-up",IF(TODAY()=X419,"Follow up today","")))))))))</f>
        <v/>
      </c>
    </row>
    <row r="420" customFormat="false" ht="15" hidden="false" customHeight="false" outlineLevel="0" collapsed="false">
      <c r="A420" s="17"/>
      <c r="B420" s="40"/>
      <c r="C420" s="41"/>
      <c r="D420" s="17"/>
      <c r="E420" s="17"/>
      <c r="F420" s="17"/>
      <c r="G420" s="17"/>
      <c r="H420" s="17"/>
      <c r="I420" s="42"/>
      <c r="J420" s="17"/>
      <c r="K420" s="17"/>
      <c r="L420" s="17"/>
      <c r="M420" s="17"/>
      <c r="N420" s="40"/>
      <c r="O420" s="41"/>
      <c r="P420" s="43" t="str">
        <f aca="false">IF(OR(B420="",N420=""),"",ROUND(((N420+N(O420))-(B420+N(C420)))*24,1))</f>
        <v/>
      </c>
      <c r="Q420" s="44" t="str">
        <f aca="false">IF(OR(E420="",A420="",COUNTIFS(Scoresheet!$C$2:$C$501,A420,Scoresheet!$U$2:$U$501,1)=0),"",SUMIFS(Scoresheet!$O$2:$O$501,Scoresheet!$C$2:$C$501,A420,Scoresheet!$U$2:$U$501,1))</f>
        <v/>
      </c>
      <c r="R420" s="44" t="str">
        <f aca="false">IF(E420="","",IF(OR(A420="",COUNTIFS(Scoresheet!$C$2:$C$501,A420,Scoresheet!$U$2:$U$501,1)=0),"No scoresheet yet",IF(SUMIFS(Scoresheet!$N$2:$N$501,Scoresheet!$C$2:$C$501,A420,Scoresheet!$U$2:$U$501,1)&lt;6,"Partly scored ("&amp;SUMIFS(Scoresheet!$N$2:$N$501,Scoresheet!$C$2:$C$501,A420,Scoresheet!$U$2:$U$501,1)&amp;"/6)",IF(Q420&gt;=Settings!$S$8,"Hot",IF(Q420&gt;=Settings!$S$9,"Warm","Cold")))))</f>
        <v/>
      </c>
      <c r="S420" s="44" t="str">
        <f aca="false">IF(OR(E420="",A420=""),"",IF(AND(COUNTIFS(Scoresheet!$C$2:$C$501,A420,Scoresheet!$U$2:$U$501,1,Scoresheet!$H$2:$H$501,"No")&gt;0,COUNTIFS(Scoresheet!$C$2:$C$501,A420,Scoresheet!$U$2:$U$501,1,Scoresheet!$J$2:$J$501,"No")&gt;0),"🚩 Budget  ·  🚩 No one on camera",IF(COUNTIFS(Scoresheet!$C$2:$C$501,A420,Scoresheet!$U$2:$U$501,1,Scoresheet!$H$2:$H$501,"No")&gt;0,"🚩 Budget under AED 5k",IF(COUNTIFS(Scoresheet!$C$2:$C$501,A420,Scoresheet!$U$2:$U$501,1,Scoresheet!$J$2:$J$501,"No")&gt;0,"🚩 No one on camera",""))))</f>
        <v/>
      </c>
      <c r="T420" s="17"/>
      <c r="U420" s="17"/>
      <c r="V420" s="40"/>
      <c r="W420" s="17"/>
      <c r="X420" s="45" t="str">
        <f aca="false">IF(OR(E420="",V420="",OR(U420="Contract signed + paid",U420="Closed – No response",U420="Lost"),N(W420)&gt;=Settings!$S$3),"",V420+Settings!$S$2)</f>
        <v/>
      </c>
      <c r="Y420" s="40"/>
      <c r="Z420" s="41"/>
      <c r="AA420" s="17"/>
      <c r="AB420" s="17"/>
      <c r="AC420" s="17"/>
      <c r="AD420" s="46" t="str">
        <f aca="true">IF(OR(E420="",B420=""),"",INT(TODAY()-B420))</f>
        <v/>
      </c>
      <c r="AE420" s="44" t="str">
        <f aca="true">IF(E420="","",IF(OR(COUNTIFS(Clients!$C$2:$C$501,E420,Clients!$S$2:$S$501,"Paid")&gt;0,AND(I420&lt;&gt;"",COUNTIFS(Clients!$E$2:$E$501,I420,Clients!$S$2:$S$501,"Paid")&gt;0)),"⚠ Refunded before – no free video",IF(OR(U420="Contract signed + paid",U420="Closed – No response",U420="Lost"),"",IF(U420="","Set a stage",IF(AND(U420="Proposal sent",SUMIFS(Scoresheet!$N$2:$N$501,Scoresheet!$C$2:$C$501,A420,Scoresheet!$U$2:$U$501,1)&lt;6),"Score this lead – fill the call scoresheet",IF(N(W420)&gt;=Settings!$S$3,"Close – 4 follow-ups sent",IF(X420="",IF(V420="","Make first contact",""),IF(TODAY()&gt;X420,"OVERDUE follow-up",IF(TODAY()=X420,"Follow up today","")))))))))</f>
        <v/>
      </c>
    </row>
    <row r="421" customFormat="false" ht="15" hidden="false" customHeight="false" outlineLevel="0" collapsed="false">
      <c r="A421" s="17"/>
      <c r="B421" s="40"/>
      <c r="C421" s="41"/>
      <c r="D421" s="17"/>
      <c r="E421" s="17"/>
      <c r="F421" s="17"/>
      <c r="G421" s="17"/>
      <c r="H421" s="17"/>
      <c r="I421" s="42"/>
      <c r="J421" s="17"/>
      <c r="K421" s="17"/>
      <c r="L421" s="17"/>
      <c r="M421" s="17"/>
      <c r="N421" s="40"/>
      <c r="O421" s="41"/>
      <c r="P421" s="43" t="str">
        <f aca="false">IF(OR(B421="",N421=""),"",ROUND(((N421+N(O421))-(B421+N(C421)))*24,1))</f>
        <v/>
      </c>
      <c r="Q421" s="44" t="str">
        <f aca="false">IF(OR(E421="",A421="",COUNTIFS(Scoresheet!$C$2:$C$501,A421,Scoresheet!$U$2:$U$501,1)=0),"",SUMIFS(Scoresheet!$O$2:$O$501,Scoresheet!$C$2:$C$501,A421,Scoresheet!$U$2:$U$501,1))</f>
        <v/>
      </c>
      <c r="R421" s="44" t="str">
        <f aca="false">IF(E421="","",IF(OR(A421="",COUNTIFS(Scoresheet!$C$2:$C$501,A421,Scoresheet!$U$2:$U$501,1)=0),"No scoresheet yet",IF(SUMIFS(Scoresheet!$N$2:$N$501,Scoresheet!$C$2:$C$501,A421,Scoresheet!$U$2:$U$501,1)&lt;6,"Partly scored ("&amp;SUMIFS(Scoresheet!$N$2:$N$501,Scoresheet!$C$2:$C$501,A421,Scoresheet!$U$2:$U$501,1)&amp;"/6)",IF(Q421&gt;=Settings!$S$8,"Hot",IF(Q421&gt;=Settings!$S$9,"Warm","Cold")))))</f>
        <v/>
      </c>
      <c r="S421" s="44" t="str">
        <f aca="false">IF(OR(E421="",A421=""),"",IF(AND(COUNTIFS(Scoresheet!$C$2:$C$501,A421,Scoresheet!$U$2:$U$501,1,Scoresheet!$H$2:$H$501,"No")&gt;0,COUNTIFS(Scoresheet!$C$2:$C$501,A421,Scoresheet!$U$2:$U$501,1,Scoresheet!$J$2:$J$501,"No")&gt;0),"🚩 Budget  ·  🚩 No one on camera",IF(COUNTIFS(Scoresheet!$C$2:$C$501,A421,Scoresheet!$U$2:$U$501,1,Scoresheet!$H$2:$H$501,"No")&gt;0,"🚩 Budget under AED 5k",IF(COUNTIFS(Scoresheet!$C$2:$C$501,A421,Scoresheet!$U$2:$U$501,1,Scoresheet!$J$2:$J$501,"No")&gt;0,"🚩 No one on camera",""))))</f>
        <v/>
      </c>
      <c r="T421" s="17"/>
      <c r="U421" s="17"/>
      <c r="V421" s="40"/>
      <c r="W421" s="17"/>
      <c r="X421" s="45" t="str">
        <f aca="false">IF(OR(E421="",V421="",OR(U421="Contract signed + paid",U421="Closed – No response",U421="Lost"),N(W421)&gt;=Settings!$S$3),"",V421+Settings!$S$2)</f>
        <v/>
      </c>
      <c r="Y421" s="40"/>
      <c r="Z421" s="41"/>
      <c r="AA421" s="17"/>
      <c r="AB421" s="17"/>
      <c r="AC421" s="17"/>
      <c r="AD421" s="46" t="str">
        <f aca="true">IF(OR(E421="",B421=""),"",INT(TODAY()-B421))</f>
        <v/>
      </c>
      <c r="AE421" s="44" t="str">
        <f aca="true">IF(E421="","",IF(OR(COUNTIFS(Clients!$C$2:$C$501,E421,Clients!$S$2:$S$501,"Paid")&gt;0,AND(I421&lt;&gt;"",COUNTIFS(Clients!$E$2:$E$501,I421,Clients!$S$2:$S$501,"Paid")&gt;0)),"⚠ Refunded before – no free video",IF(OR(U421="Contract signed + paid",U421="Closed – No response",U421="Lost"),"",IF(U421="","Set a stage",IF(AND(U421="Proposal sent",SUMIFS(Scoresheet!$N$2:$N$501,Scoresheet!$C$2:$C$501,A421,Scoresheet!$U$2:$U$501,1)&lt;6),"Score this lead – fill the call scoresheet",IF(N(W421)&gt;=Settings!$S$3,"Close – 4 follow-ups sent",IF(X421="",IF(V421="","Make first contact",""),IF(TODAY()&gt;X421,"OVERDUE follow-up",IF(TODAY()=X421,"Follow up today","")))))))))</f>
        <v/>
      </c>
    </row>
    <row r="422" customFormat="false" ht="15" hidden="false" customHeight="false" outlineLevel="0" collapsed="false">
      <c r="A422" s="17"/>
      <c r="B422" s="40"/>
      <c r="C422" s="41"/>
      <c r="D422" s="17"/>
      <c r="E422" s="17"/>
      <c r="F422" s="17"/>
      <c r="G422" s="17"/>
      <c r="H422" s="17"/>
      <c r="I422" s="42"/>
      <c r="J422" s="17"/>
      <c r="K422" s="17"/>
      <c r="L422" s="17"/>
      <c r="M422" s="17"/>
      <c r="N422" s="40"/>
      <c r="O422" s="41"/>
      <c r="P422" s="43" t="str">
        <f aca="false">IF(OR(B422="",N422=""),"",ROUND(((N422+N(O422))-(B422+N(C422)))*24,1))</f>
        <v/>
      </c>
      <c r="Q422" s="44" t="str">
        <f aca="false">IF(OR(E422="",A422="",COUNTIFS(Scoresheet!$C$2:$C$501,A422,Scoresheet!$U$2:$U$501,1)=0),"",SUMIFS(Scoresheet!$O$2:$O$501,Scoresheet!$C$2:$C$501,A422,Scoresheet!$U$2:$U$501,1))</f>
        <v/>
      </c>
      <c r="R422" s="44" t="str">
        <f aca="false">IF(E422="","",IF(OR(A422="",COUNTIFS(Scoresheet!$C$2:$C$501,A422,Scoresheet!$U$2:$U$501,1)=0),"No scoresheet yet",IF(SUMIFS(Scoresheet!$N$2:$N$501,Scoresheet!$C$2:$C$501,A422,Scoresheet!$U$2:$U$501,1)&lt;6,"Partly scored ("&amp;SUMIFS(Scoresheet!$N$2:$N$501,Scoresheet!$C$2:$C$501,A422,Scoresheet!$U$2:$U$501,1)&amp;"/6)",IF(Q422&gt;=Settings!$S$8,"Hot",IF(Q422&gt;=Settings!$S$9,"Warm","Cold")))))</f>
        <v/>
      </c>
      <c r="S422" s="44" t="str">
        <f aca="false">IF(OR(E422="",A422=""),"",IF(AND(COUNTIFS(Scoresheet!$C$2:$C$501,A422,Scoresheet!$U$2:$U$501,1,Scoresheet!$H$2:$H$501,"No")&gt;0,COUNTIFS(Scoresheet!$C$2:$C$501,A422,Scoresheet!$U$2:$U$501,1,Scoresheet!$J$2:$J$501,"No")&gt;0),"🚩 Budget  ·  🚩 No one on camera",IF(COUNTIFS(Scoresheet!$C$2:$C$501,A422,Scoresheet!$U$2:$U$501,1,Scoresheet!$H$2:$H$501,"No")&gt;0,"🚩 Budget under AED 5k",IF(COUNTIFS(Scoresheet!$C$2:$C$501,A422,Scoresheet!$U$2:$U$501,1,Scoresheet!$J$2:$J$501,"No")&gt;0,"🚩 No one on camera",""))))</f>
        <v/>
      </c>
      <c r="T422" s="17"/>
      <c r="U422" s="17"/>
      <c r="V422" s="40"/>
      <c r="W422" s="17"/>
      <c r="X422" s="45" t="str">
        <f aca="false">IF(OR(E422="",V422="",OR(U422="Contract signed + paid",U422="Closed – No response",U422="Lost"),N(W422)&gt;=Settings!$S$3),"",V422+Settings!$S$2)</f>
        <v/>
      </c>
      <c r="Y422" s="40"/>
      <c r="Z422" s="41"/>
      <c r="AA422" s="17"/>
      <c r="AB422" s="17"/>
      <c r="AC422" s="17"/>
      <c r="AD422" s="46" t="str">
        <f aca="true">IF(OR(E422="",B422=""),"",INT(TODAY()-B422))</f>
        <v/>
      </c>
      <c r="AE422" s="44" t="str">
        <f aca="true">IF(E422="","",IF(OR(COUNTIFS(Clients!$C$2:$C$501,E422,Clients!$S$2:$S$501,"Paid")&gt;0,AND(I422&lt;&gt;"",COUNTIFS(Clients!$E$2:$E$501,I422,Clients!$S$2:$S$501,"Paid")&gt;0)),"⚠ Refunded before – no free video",IF(OR(U422="Contract signed + paid",U422="Closed – No response",U422="Lost"),"",IF(U422="","Set a stage",IF(AND(U422="Proposal sent",SUMIFS(Scoresheet!$N$2:$N$501,Scoresheet!$C$2:$C$501,A422,Scoresheet!$U$2:$U$501,1)&lt;6),"Score this lead – fill the call scoresheet",IF(N(W422)&gt;=Settings!$S$3,"Close – 4 follow-ups sent",IF(X422="",IF(V422="","Make first contact",""),IF(TODAY()&gt;X422,"OVERDUE follow-up",IF(TODAY()=X422,"Follow up today","")))))))))</f>
        <v/>
      </c>
    </row>
    <row r="423" customFormat="false" ht="15" hidden="false" customHeight="false" outlineLevel="0" collapsed="false">
      <c r="A423" s="17"/>
      <c r="B423" s="40"/>
      <c r="C423" s="41"/>
      <c r="D423" s="17"/>
      <c r="E423" s="17"/>
      <c r="F423" s="17"/>
      <c r="G423" s="17"/>
      <c r="H423" s="17"/>
      <c r="I423" s="42"/>
      <c r="J423" s="17"/>
      <c r="K423" s="17"/>
      <c r="L423" s="17"/>
      <c r="M423" s="17"/>
      <c r="N423" s="40"/>
      <c r="O423" s="41"/>
      <c r="P423" s="43" t="str">
        <f aca="false">IF(OR(B423="",N423=""),"",ROUND(((N423+N(O423))-(B423+N(C423)))*24,1))</f>
        <v/>
      </c>
      <c r="Q423" s="44" t="str">
        <f aca="false">IF(OR(E423="",A423="",COUNTIFS(Scoresheet!$C$2:$C$501,A423,Scoresheet!$U$2:$U$501,1)=0),"",SUMIFS(Scoresheet!$O$2:$O$501,Scoresheet!$C$2:$C$501,A423,Scoresheet!$U$2:$U$501,1))</f>
        <v/>
      </c>
      <c r="R423" s="44" t="str">
        <f aca="false">IF(E423="","",IF(OR(A423="",COUNTIFS(Scoresheet!$C$2:$C$501,A423,Scoresheet!$U$2:$U$501,1)=0),"No scoresheet yet",IF(SUMIFS(Scoresheet!$N$2:$N$501,Scoresheet!$C$2:$C$501,A423,Scoresheet!$U$2:$U$501,1)&lt;6,"Partly scored ("&amp;SUMIFS(Scoresheet!$N$2:$N$501,Scoresheet!$C$2:$C$501,A423,Scoresheet!$U$2:$U$501,1)&amp;"/6)",IF(Q423&gt;=Settings!$S$8,"Hot",IF(Q423&gt;=Settings!$S$9,"Warm","Cold")))))</f>
        <v/>
      </c>
      <c r="S423" s="44" t="str">
        <f aca="false">IF(OR(E423="",A423=""),"",IF(AND(COUNTIFS(Scoresheet!$C$2:$C$501,A423,Scoresheet!$U$2:$U$501,1,Scoresheet!$H$2:$H$501,"No")&gt;0,COUNTIFS(Scoresheet!$C$2:$C$501,A423,Scoresheet!$U$2:$U$501,1,Scoresheet!$J$2:$J$501,"No")&gt;0),"🚩 Budget  ·  🚩 No one on camera",IF(COUNTIFS(Scoresheet!$C$2:$C$501,A423,Scoresheet!$U$2:$U$501,1,Scoresheet!$H$2:$H$501,"No")&gt;0,"🚩 Budget under AED 5k",IF(COUNTIFS(Scoresheet!$C$2:$C$501,A423,Scoresheet!$U$2:$U$501,1,Scoresheet!$J$2:$J$501,"No")&gt;0,"🚩 No one on camera",""))))</f>
        <v/>
      </c>
      <c r="T423" s="17"/>
      <c r="U423" s="17"/>
      <c r="V423" s="40"/>
      <c r="W423" s="17"/>
      <c r="X423" s="45" t="str">
        <f aca="false">IF(OR(E423="",V423="",OR(U423="Contract signed + paid",U423="Closed – No response",U423="Lost"),N(W423)&gt;=Settings!$S$3),"",V423+Settings!$S$2)</f>
        <v/>
      </c>
      <c r="Y423" s="40"/>
      <c r="Z423" s="41"/>
      <c r="AA423" s="17"/>
      <c r="AB423" s="17"/>
      <c r="AC423" s="17"/>
      <c r="AD423" s="46" t="str">
        <f aca="true">IF(OR(E423="",B423=""),"",INT(TODAY()-B423))</f>
        <v/>
      </c>
      <c r="AE423" s="44" t="str">
        <f aca="true">IF(E423="","",IF(OR(COUNTIFS(Clients!$C$2:$C$501,E423,Clients!$S$2:$S$501,"Paid")&gt;0,AND(I423&lt;&gt;"",COUNTIFS(Clients!$E$2:$E$501,I423,Clients!$S$2:$S$501,"Paid")&gt;0)),"⚠ Refunded before – no free video",IF(OR(U423="Contract signed + paid",U423="Closed – No response",U423="Lost"),"",IF(U423="","Set a stage",IF(AND(U423="Proposal sent",SUMIFS(Scoresheet!$N$2:$N$501,Scoresheet!$C$2:$C$501,A423,Scoresheet!$U$2:$U$501,1)&lt;6),"Score this lead – fill the call scoresheet",IF(N(W423)&gt;=Settings!$S$3,"Close – 4 follow-ups sent",IF(X423="",IF(V423="","Make first contact",""),IF(TODAY()&gt;X423,"OVERDUE follow-up",IF(TODAY()=X423,"Follow up today","")))))))))</f>
        <v/>
      </c>
    </row>
    <row r="424" customFormat="false" ht="15" hidden="false" customHeight="false" outlineLevel="0" collapsed="false">
      <c r="A424" s="17"/>
      <c r="B424" s="40"/>
      <c r="C424" s="41"/>
      <c r="D424" s="17"/>
      <c r="E424" s="17"/>
      <c r="F424" s="17"/>
      <c r="G424" s="17"/>
      <c r="H424" s="17"/>
      <c r="I424" s="42"/>
      <c r="J424" s="17"/>
      <c r="K424" s="17"/>
      <c r="L424" s="17"/>
      <c r="M424" s="17"/>
      <c r="N424" s="40"/>
      <c r="O424" s="41"/>
      <c r="P424" s="43" t="str">
        <f aca="false">IF(OR(B424="",N424=""),"",ROUND(((N424+N(O424))-(B424+N(C424)))*24,1))</f>
        <v/>
      </c>
      <c r="Q424" s="44" t="str">
        <f aca="false">IF(OR(E424="",A424="",COUNTIFS(Scoresheet!$C$2:$C$501,A424,Scoresheet!$U$2:$U$501,1)=0),"",SUMIFS(Scoresheet!$O$2:$O$501,Scoresheet!$C$2:$C$501,A424,Scoresheet!$U$2:$U$501,1))</f>
        <v/>
      </c>
      <c r="R424" s="44" t="str">
        <f aca="false">IF(E424="","",IF(OR(A424="",COUNTIFS(Scoresheet!$C$2:$C$501,A424,Scoresheet!$U$2:$U$501,1)=0),"No scoresheet yet",IF(SUMIFS(Scoresheet!$N$2:$N$501,Scoresheet!$C$2:$C$501,A424,Scoresheet!$U$2:$U$501,1)&lt;6,"Partly scored ("&amp;SUMIFS(Scoresheet!$N$2:$N$501,Scoresheet!$C$2:$C$501,A424,Scoresheet!$U$2:$U$501,1)&amp;"/6)",IF(Q424&gt;=Settings!$S$8,"Hot",IF(Q424&gt;=Settings!$S$9,"Warm","Cold")))))</f>
        <v/>
      </c>
      <c r="S424" s="44" t="str">
        <f aca="false">IF(OR(E424="",A424=""),"",IF(AND(COUNTIFS(Scoresheet!$C$2:$C$501,A424,Scoresheet!$U$2:$U$501,1,Scoresheet!$H$2:$H$501,"No")&gt;0,COUNTIFS(Scoresheet!$C$2:$C$501,A424,Scoresheet!$U$2:$U$501,1,Scoresheet!$J$2:$J$501,"No")&gt;0),"🚩 Budget  ·  🚩 No one on camera",IF(COUNTIFS(Scoresheet!$C$2:$C$501,A424,Scoresheet!$U$2:$U$501,1,Scoresheet!$H$2:$H$501,"No")&gt;0,"🚩 Budget under AED 5k",IF(COUNTIFS(Scoresheet!$C$2:$C$501,A424,Scoresheet!$U$2:$U$501,1,Scoresheet!$J$2:$J$501,"No")&gt;0,"🚩 No one on camera",""))))</f>
        <v/>
      </c>
      <c r="T424" s="17"/>
      <c r="U424" s="17"/>
      <c r="V424" s="40"/>
      <c r="W424" s="17"/>
      <c r="X424" s="45" t="str">
        <f aca="false">IF(OR(E424="",V424="",OR(U424="Contract signed + paid",U424="Closed – No response",U424="Lost"),N(W424)&gt;=Settings!$S$3),"",V424+Settings!$S$2)</f>
        <v/>
      </c>
      <c r="Y424" s="40"/>
      <c r="Z424" s="41"/>
      <c r="AA424" s="17"/>
      <c r="AB424" s="17"/>
      <c r="AC424" s="17"/>
      <c r="AD424" s="46" t="str">
        <f aca="true">IF(OR(E424="",B424=""),"",INT(TODAY()-B424))</f>
        <v/>
      </c>
      <c r="AE424" s="44" t="str">
        <f aca="true">IF(E424="","",IF(OR(COUNTIFS(Clients!$C$2:$C$501,E424,Clients!$S$2:$S$501,"Paid")&gt;0,AND(I424&lt;&gt;"",COUNTIFS(Clients!$E$2:$E$501,I424,Clients!$S$2:$S$501,"Paid")&gt;0)),"⚠ Refunded before – no free video",IF(OR(U424="Contract signed + paid",U424="Closed – No response",U424="Lost"),"",IF(U424="","Set a stage",IF(AND(U424="Proposal sent",SUMIFS(Scoresheet!$N$2:$N$501,Scoresheet!$C$2:$C$501,A424,Scoresheet!$U$2:$U$501,1)&lt;6),"Score this lead – fill the call scoresheet",IF(N(W424)&gt;=Settings!$S$3,"Close – 4 follow-ups sent",IF(X424="",IF(V424="","Make first contact",""),IF(TODAY()&gt;X424,"OVERDUE follow-up",IF(TODAY()=X424,"Follow up today","")))))))))</f>
        <v/>
      </c>
    </row>
    <row r="425" customFormat="false" ht="15" hidden="false" customHeight="false" outlineLevel="0" collapsed="false">
      <c r="A425" s="17"/>
      <c r="B425" s="40"/>
      <c r="C425" s="41"/>
      <c r="D425" s="17"/>
      <c r="E425" s="17"/>
      <c r="F425" s="17"/>
      <c r="G425" s="17"/>
      <c r="H425" s="17"/>
      <c r="I425" s="42"/>
      <c r="J425" s="17"/>
      <c r="K425" s="17"/>
      <c r="L425" s="17"/>
      <c r="M425" s="17"/>
      <c r="N425" s="40"/>
      <c r="O425" s="41"/>
      <c r="P425" s="43" t="str">
        <f aca="false">IF(OR(B425="",N425=""),"",ROUND(((N425+N(O425))-(B425+N(C425)))*24,1))</f>
        <v/>
      </c>
      <c r="Q425" s="44" t="str">
        <f aca="false">IF(OR(E425="",A425="",COUNTIFS(Scoresheet!$C$2:$C$501,A425,Scoresheet!$U$2:$U$501,1)=0),"",SUMIFS(Scoresheet!$O$2:$O$501,Scoresheet!$C$2:$C$501,A425,Scoresheet!$U$2:$U$501,1))</f>
        <v/>
      </c>
      <c r="R425" s="44" t="str">
        <f aca="false">IF(E425="","",IF(OR(A425="",COUNTIFS(Scoresheet!$C$2:$C$501,A425,Scoresheet!$U$2:$U$501,1)=0),"No scoresheet yet",IF(SUMIFS(Scoresheet!$N$2:$N$501,Scoresheet!$C$2:$C$501,A425,Scoresheet!$U$2:$U$501,1)&lt;6,"Partly scored ("&amp;SUMIFS(Scoresheet!$N$2:$N$501,Scoresheet!$C$2:$C$501,A425,Scoresheet!$U$2:$U$501,1)&amp;"/6)",IF(Q425&gt;=Settings!$S$8,"Hot",IF(Q425&gt;=Settings!$S$9,"Warm","Cold")))))</f>
        <v/>
      </c>
      <c r="S425" s="44" t="str">
        <f aca="false">IF(OR(E425="",A425=""),"",IF(AND(COUNTIFS(Scoresheet!$C$2:$C$501,A425,Scoresheet!$U$2:$U$501,1,Scoresheet!$H$2:$H$501,"No")&gt;0,COUNTIFS(Scoresheet!$C$2:$C$501,A425,Scoresheet!$U$2:$U$501,1,Scoresheet!$J$2:$J$501,"No")&gt;0),"🚩 Budget  ·  🚩 No one on camera",IF(COUNTIFS(Scoresheet!$C$2:$C$501,A425,Scoresheet!$U$2:$U$501,1,Scoresheet!$H$2:$H$501,"No")&gt;0,"🚩 Budget under AED 5k",IF(COUNTIFS(Scoresheet!$C$2:$C$501,A425,Scoresheet!$U$2:$U$501,1,Scoresheet!$J$2:$J$501,"No")&gt;0,"🚩 No one on camera",""))))</f>
        <v/>
      </c>
      <c r="T425" s="17"/>
      <c r="U425" s="17"/>
      <c r="V425" s="40"/>
      <c r="W425" s="17"/>
      <c r="X425" s="45" t="str">
        <f aca="false">IF(OR(E425="",V425="",OR(U425="Contract signed + paid",U425="Closed – No response",U425="Lost"),N(W425)&gt;=Settings!$S$3),"",V425+Settings!$S$2)</f>
        <v/>
      </c>
      <c r="Y425" s="40"/>
      <c r="Z425" s="41"/>
      <c r="AA425" s="17"/>
      <c r="AB425" s="17"/>
      <c r="AC425" s="17"/>
      <c r="AD425" s="46" t="str">
        <f aca="true">IF(OR(E425="",B425=""),"",INT(TODAY()-B425))</f>
        <v/>
      </c>
      <c r="AE425" s="44" t="str">
        <f aca="true">IF(E425="","",IF(OR(COUNTIFS(Clients!$C$2:$C$501,E425,Clients!$S$2:$S$501,"Paid")&gt;0,AND(I425&lt;&gt;"",COUNTIFS(Clients!$E$2:$E$501,I425,Clients!$S$2:$S$501,"Paid")&gt;0)),"⚠ Refunded before – no free video",IF(OR(U425="Contract signed + paid",U425="Closed – No response",U425="Lost"),"",IF(U425="","Set a stage",IF(AND(U425="Proposal sent",SUMIFS(Scoresheet!$N$2:$N$501,Scoresheet!$C$2:$C$501,A425,Scoresheet!$U$2:$U$501,1)&lt;6),"Score this lead – fill the call scoresheet",IF(N(W425)&gt;=Settings!$S$3,"Close – 4 follow-ups sent",IF(X425="",IF(V425="","Make first contact",""),IF(TODAY()&gt;X425,"OVERDUE follow-up",IF(TODAY()=X425,"Follow up today","")))))))))</f>
        <v/>
      </c>
    </row>
    <row r="426" customFormat="false" ht="15" hidden="false" customHeight="false" outlineLevel="0" collapsed="false">
      <c r="A426" s="17"/>
      <c r="B426" s="40"/>
      <c r="C426" s="41"/>
      <c r="D426" s="17"/>
      <c r="E426" s="17"/>
      <c r="F426" s="17"/>
      <c r="G426" s="17"/>
      <c r="H426" s="17"/>
      <c r="I426" s="42"/>
      <c r="J426" s="17"/>
      <c r="K426" s="17"/>
      <c r="L426" s="17"/>
      <c r="M426" s="17"/>
      <c r="N426" s="40"/>
      <c r="O426" s="41"/>
      <c r="P426" s="43" t="str">
        <f aca="false">IF(OR(B426="",N426=""),"",ROUND(((N426+N(O426))-(B426+N(C426)))*24,1))</f>
        <v/>
      </c>
      <c r="Q426" s="44" t="str">
        <f aca="false">IF(OR(E426="",A426="",COUNTIFS(Scoresheet!$C$2:$C$501,A426,Scoresheet!$U$2:$U$501,1)=0),"",SUMIFS(Scoresheet!$O$2:$O$501,Scoresheet!$C$2:$C$501,A426,Scoresheet!$U$2:$U$501,1))</f>
        <v/>
      </c>
      <c r="R426" s="44" t="str">
        <f aca="false">IF(E426="","",IF(OR(A426="",COUNTIFS(Scoresheet!$C$2:$C$501,A426,Scoresheet!$U$2:$U$501,1)=0),"No scoresheet yet",IF(SUMIFS(Scoresheet!$N$2:$N$501,Scoresheet!$C$2:$C$501,A426,Scoresheet!$U$2:$U$501,1)&lt;6,"Partly scored ("&amp;SUMIFS(Scoresheet!$N$2:$N$501,Scoresheet!$C$2:$C$501,A426,Scoresheet!$U$2:$U$501,1)&amp;"/6)",IF(Q426&gt;=Settings!$S$8,"Hot",IF(Q426&gt;=Settings!$S$9,"Warm","Cold")))))</f>
        <v/>
      </c>
      <c r="S426" s="44" t="str">
        <f aca="false">IF(OR(E426="",A426=""),"",IF(AND(COUNTIFS(Scoresheet!$C$2:$C$501,A426,Scoresheet!$U$2:$U$501,1,Scoresheet!$H$2:$H$501,"No")&gt;0,COUNTIFS(Scoresheet!$C$2:$C$501,A426,Scoresheet!$U$2:$U$501,1,Scoresheet!$J$2:$J$501,"No")&gt;0),"🚩 Budget  ·  🚩 No one on camera",IF(COUNTIFS(Scoresheet!$C$2:$C$501,A426,Scoresheet!$U$2:$U$501,1,Scoresheet!$H$2:$H$501,"No")&gt;0,"🚩 Budget under AED 5k",IF(COUNTIFS(Scoresheet!$C$2:$C$501,A426,Scoresheet!$U$2:$U$501,1,Scoresheet!$J$2:$J$501,"No")&gt;0,"🚩 No one on camera",""))))</f>
        <v/>
      </c>
      <c r="T426" s="17"/>
      <c r="U426" s="17"/>
      <c r="V426" s="40"/>
      <c r="W426" s="17"/>
      <c r="X426" s="45" t="str">
        <f aca="false">IF(OR(E426="",V426="",OR(U426="Contract signed + paid",U426="Closed – No response",U426="Lost"),N(W426)&gt;=Settings!$S$3),"",V426+Settings!$S$2)</f>
        <v/>
      </c>
      <c r="Y426" s="40"/>
      <c r="Z426" s="41"/>
      <c r="AA426" s="17"/>
      <c r="AB426" s="17"/>
      <c r="AC426" s="17"/>
      <c r="AD426" s="46" t="str">
        <f aca="true">IF(OR(E426="",B426=""),"",INT(TODAY()-B426))</f>
        <v/>
      </c>
      <c r="AE426" s="44" t="str">
        <f aca="true">IF(E426="","",IF(OR(COUNTIFS(Clients!$C$2:$C$501,E426,Clients!$S$2:$S$501,"Paid")&gt;0,AND(I426&lt;&gt;"",COUNTIFS(Clients!$E$2:$E$501,I426,Clients!$S$2:$S$501,"Paid")&gt;0)),"⚠ Refunded before – no free video",IF(OR(U426="Contract signed + paid",U426="Closed – No response",U426="Lost"),"",IF(U426="","Set a stage",IF(AND(U426="Proposal sent",SUMIFS(Scoresheet!$N$2:$N$501,Scoresheet!$C$2:$C$501,A426,Scoresheet!$U$2:$U$501,1)&lt;6),"Score this lead – fill the call scoresheet",IF(N(W426)&gt;=Settings!$S$3,"Close – 4 follow-ups sent",IF(X426="",IF(V426="","Make first contact",""),IF(TODAY()&gt;X426,"OVERDUE follow-up",IF(TODAY()=X426,"Follow up today","")))))))))</f>
        <v/>
      </c>
    </row>
    <row r="427" customFormat="false" ht="15" hidden="false" customHeight="false" outlineLevel="0" collapsed="false">
      <c r="A427" s="17"/>
      <c r="B427" s="40"/>
      <c r="C427" s="41"/>
      <c r="D427" s="17"/>
      <c r="E427" s="17"/>
      <c r="F427" s="17"/>
      <c r="G427" s="17"/>
      <c r="H427" s="17"/>
      <c r="I427" s="42"/>
      <c r="J427" s="17"/>
      <c r="K427" s="17"/>
      <c r="L427" s="17"/>
      <c r="M427" s="17"/>
      <c r="N427" s="40"/>
      <c r="O427" s="41"/>
      <c r="P427" s="43" t="str">
        <f aca="false">IF(OR(B427="",N427=""),"",ROUND(((N427+N(O427))-(B427+N(C427)))*24,1))</f>
        <v/>
      </c>
      <c r="Q427" s="44" t="str">
        <f aca="false">IF(OR(E427="",A427="",COUNTIFS(Scoresheet!$C$2:$C$501,A427,Scoresheet!$U$2:$U$501,1)=0),"",SUMIFS(Scoresheet!$O$2:$O$501,Scoresheet!$C$2:$C$501,A427,Scoresheet!$U$2:$U$501,1))</f>
        <v/>
      </c>
      <c r="R427" s="44" t="str">
        <f aca="false">IF(E427="","",IF(OR(A427="",COUNTIFS(Scoresheet!$C$2:$C$501,A427,Scoresheet!$U$2:$U$501,1)=0),"No scoresheet yet",IF(SUMIFS(Scoresheet!$N$2:$N$501,Scoresheet!$C$2:$C$501,A427,Scoresheet!$U$2:$U$501,1)&lt;6,"Partly scored ("&amp;SUMIFS(Scoresheet!$N$2:$N$501,Scoresheet!$C$2:$C$501,A427,Scoresheet!$U$2:$U$501,1)&amp;"/6)",IF(Q427&gt;=Settings!$S$8,"Hot",IF(Q427&gt;=Settings!$S$9,"Warm","Cold")))))</f>
        <v/>
      </c>
      <c r="S427" s="44" t="str">
        <f aca="false">IF(OR(E427="",A427=""),"",IF(AND(COUNTIFS(Scoresheet!$C$2:$C$501,A427,Scoresheet!$U$2:$U$501,1,Scoresheet!$H$2:$H$501,"No")&gt;0,COUNTIFS(Scoresheet!$C$2:$C$501,A427,Scoresheet!$U$2:$U$501,1,Scoresheet!$J$2:$J$501,"No")&gt;0),"🚩 Budget  ·  🚩 No one on camera",IF(COUNTIFS(Scoresheet!$C$2:$C$501,A427,Scoresheet!$U$2:$U$501,1,Scoresheet!$H$2:$H$501,"No")&gt;0,"🚩 Budget under AED 5k",IF(COUNTIFS(Scoresheet!$C$2:$C$501,A427,Scoresheet!$U$2:$U$501,1,Scoresheet!$J$2:$J$501,"No")&gt;0,"🚩 No one on camera",""))))</f>
        <v/>
      </c>
      <c r="T427" s="17"/>
      <c r="U427" s="17"/>
      <c r="V427" s="40"/>
      <c r="W427" s="17"/>
      <c r="X427" s="45" t="str">
        <f aca="false">IF(OR(E427="",V427="",OR(U427="Contract signed + paid",U427="Closed – No response",U427="Lost"),N(W427)&gt;=Settings!$S$3),"",V427+Settings!$S$2)</f>
        <v/>
      </c>
      <c r="Y427" s="40"/>
      <c r="Z427" s="41"/>
      <c r="AA427" s="17"/>
      <c r="AB427" s="17"/>
      <c r="AC427" s="17"/>
      <c r="AD427" s="46" t="str">
        <f aca="true">IF(OR(E427="",B427=""),"",INT(TODAY()-B427))</f>
        <v/>
      </c>
      <c r="AE427" s="44" t="str">
        <f aca="true">IF(E427="","",IF(OR(COUNTIFS(Clients!$C$2:$C$501,E427,Clients!$S$2:$S$501,"Paid")&gt;0,AND(I427&lt;&gt;"",COUNTIFS(Clients!$E$2:$E$501,I427,Clients!$S$2:$S$501,"Paid")&gt;0)),"⚠ Refunded before – no free video",IF(OR(U427="Contract signed + paid",U427="Closed – No response",U427="Lost"),"",IF(U427="","Set a stage",IF(AND(U427="Proposal sent",SUMIFS(Scoresheet!$N$2:$N$501,Scoresheet!$C$2:$C$501,A427,Scoresheet!$U$2:$U$501,1)&lt;6),"Score this lead – fill the call scoresheet",IF(N(W427)&gt;=Settings!$S$3,"Close – 4 follow-ups sent",IF(X427="",IF(V427="","Make first contact",""),IF(TODAY()&gt;X427,"OVERDUE follow-up",IF(TODAY()=X427,"Follow up today","")))))))))</f>
        <v/>
      </c>
    </row>
    <row r="428" customFormat="false" ht="15" hidden="false" customHeight="false" outlineLevel="0" collapsed="false">
      <c r="A428" s="17"/>
      <c r="B428" s="40"/>
      <c r="C428" s="41"/>
      <c r="D428" s="17"/>
      <c r="E428" s="17"/>
      <c r="F428" s="17"/>
      <c r="G428" s="17"/>
      <c r="H428" s="17"/>
      <c r="I428" s="42"/>
      <c r="J428" s="17"/>
      <c r="K428" s="17"/>
      <c r="L428" s="17"/>
      <c r="M428" s="17"/>
      <c r="N428" s="40"/>
      <c r="O428" s="41"/>
      <c r="P428" s="43" t="str">
        <f aca="false">IF(OR(B428="",N428=""),"",ROUND(((N428+N(O428))-(B428+N(C428)))*24,1))</f>
        <v/>
      </c>
      <c r="Q428" s="44" t="str">
        <f aca="false">IF(OR(E428="",A428="",COUNTIFS(Scoresheet!$C$2:$C$501,A428,Scoresheet!$U$2:$U$501,1)=0),"",SUMIFS(Scoresheet!$O$2:$O$501,Scoresheet!$C$2:$C$501,A428,Scoresheet!$U$2:$U$501,1))</f>
        <v/>
      </c>
      <c r="R428" s="44" t="str">
        <f aca="false">IF(E428="","",IF(OR(A428="",COUNTIFS(Scoresheet!$C$2:$C$501,A428,Scoresheet!$U$2:$U$501,1)=0),"No scoresheet yet",IF(SUMIFS(Scoresheet!$N$2:$N$501,Scoresheet!$C$2:$C$501,A428,Scoresheet!$U$2:$U$501,1)&lt;6,"Partly scored ("&amp;SUMIFS(Scoresheet!$N$2:$N$501,Scoresheet!$C$2:$C$501,A428,Scoresheet!$U$2:$U$501,1)&amp;"/6)",IF(Q428&gt;=Settings!$S$8,"Hot",IF(Q428&gt;=Settings!$S$9,"Warm","Cold")))))</f>
        <v/>
      </c>
      <c r="S428" s="44" t="str">
        <f aca="false">IF(OR(E428="",A428=""),"",IF(AND(COUNTIFS(Scoresheet!$C$2:$C$501,A428,Scoresheet!$U$2:$U$501,1,Scoresheet!$H$2:$H$501,"No")&gt;0,COUNTIFS(Scoresheet!$C$2:$C$501,A428,Scoresheet!$U$2:$U$501,1,Scoresheet!$J$2:$J$501,"No")&gt;0),"🚩 Budget  ·  🚩 No one on camera",IF(COUNTIFS(Scoresheet!$C$2:$C$501,A428,Scoresheet!$U$2:$U$501,1,Scoresheet!$H$2:$H$501,"No")&gt;0,"🚩 Budget under AED 5k",IF(COUNTIFS(Scoresheet!$C$2:$C$501,A428,Scoresheet!$U$2:$U$501,1,Scoresheet!$J$2:$J$501,"No")&gt;0,"🚩 No one on camera",""))))</f>
        <v/>
      </c>
      <c r="T428" s="17"/>
      <c r="U428" s="17"/>
      <c r="V428" s="40"/>
      <c r="W428" s="17"/>
      <c r="X428" s="45" t="str">
        <f aca="false">IF(OR(E428="",V428="",OR(U428="Contract signed + paid",U428="Closed – No response",U428="Lost"),N(W428)&gt;=Settings!$S$3),"",V428+Settings!$S$2)</f>
        <v/>
      </c>
      <c r="Y428" s="40"/>
      <c r="Z428" s="41"/>
      <c r="AA428" s="17"/>
      <c r="AB428" s="17"/>
      <c r="AC428" s="17"/>
      <c r="AD428" s="46" t="str">
        <f aca="true">IF(OR(E428="",B428=""),"",INT(TODAY()-B428))</f>
        <v/>
      </c>
      <c r="AE428" s="44" t="str">
        <f aca="true">IF(E428="","",IF(OR(COUNTIFS(Clients!$C$2:$C$501,E428,Clients!$S$2:$S$501,"Paid")&gt;0,AND(I428&lt;&gt;"",COUNTIFS(Clients!$E$2:$E$501,I428,Clients!$S$2:$S$501,"Paid")&gt;0)),"⚠ Refunded before – no free video",IF(OR(U428="Contract signed + paid",U428="Closed – No response",U428="Lost"),"",IF(U428="","Set a stage",IF(AND(U428="Proposal sent",SUMIFS(Scoresheet!$N$2:$N$501,Scoresheet!$C$2:$C$501,A428,Scoresheet!$U$2:$U$501,1)&lt;6),"Score this lead – fill the call scoresheet",IF(N(W428)&gt;=Settings!$S$3,"Close – 4 follow-ups sent",IF(X428="",IF(V428="","Make first contact",""),IF(TODAY()&gt;X428,"OVERDUE follow-up",IF(TODAY()=X428,"Follow up today","")))))))))</f>
        <v/>
      </c>
    </row>
    <row r="429" customFormat="false" ht="15" hidden="false" customHeight="false" outlineLevel="0" collapsed="false">
      <c r="A429" s="17"/>
      <c r="B429" s="40"/>
      <c r="C429" s="41"/>
      <c r="D429" s="17"/>
      <c r="E429" s="17"/>
      <c r="F429" s="17"/>
      <c r="G429" s="17"/>
      <c r="H429" s="17"/>
      <c r="I429" s="42"/>
      <c r="J429" s="17"/>
      <c r="K429" s="17"/>
      <c r="L429" s="17"/>
      <c r="M429" s="17"/>
      <c r="N429" s="40"/>
      <c r="O429" s="41"/>
      <c r="P429" s="43" t="str">
        <f aca="false">IF(OR(B429="",N429=""),"",ROUND(((N429+N(O429))-(B429+N(C429)))*24,1))</f>
        <v/>
      </c>
      <c r="Q429" s="44" t="str">
        <f aca="false">IF(OR(E429="",A429="",COUNTIFS(Scoresheet!$C$2:$C$501,A429,Scoresheet!$U$2:$U$501,1)=0),"",SUMIFS(Scoresheet!$O$2:$O$501,Scoresheet!$C$2:$C$501,A429,Scoresheet!$U$2:$U$501,1))</f>
        <v/>
      </c>
      <c r="R429" s="44" t="str">
        <f aca="false">IF(E429="","",IF(OR(A429="",COUNTIFS(Scoresheet!$C$2:$C$501,A429,Scoresheet!$U$2:$U$501,1)=0),"No scoresheet yet",IF(SUMIFS(Scoresheet!$N$2:$N$501,Scoresheet!$C$2:$C$501,A429,Scoresheet!$U$2:$U$501,1)&lt;6,"Partly scored ("&amp;SUMIFS(Scoresheet!$N$2:$N$501,Scoresheet!$C$2:$C$501,A429,Scoresheet!$U$2:$U$501,1)&amp;"/6)",IF(Q429&gt;=Settings!$S$8,"Hot",IF(Q429&gt;=Settings!$S$9,"Warm","Cold")))))</f>
        <v/>
      </c>
      <c r="S429" s="44" t="str">
        <f aca="false">IF(OR(E429="",A429=""),"",IF(AND(COUNTIFS(Scoresheet!$C$2:$C$501,A429,Scoresheet!$U$2:$U$501,1,Scoresheet!$H$2:$H$501,"No")&gt;0,COUNTIFS(Scoresheet!$C$2:$C$501,A429,Scoresheet!$U$2:$U$501,1,Scoresheet!$J$2:$J$501,"No")&gt;0),"🚩 Budget  ·  🚩 No one on camera",IF(COUNTIFS(Scoresheet!$C$2:$C$501,A429,Scoresheet!$U$2:$U$501,1,Scoresheet!$H$2:$H$501,"No")&gt;0,"🚩 Budget under AED 5k",IF(COUNTIFS(Scoresheet!$C$2:$C$501,A429,Scoresheet!$U$2:$U$501,1,Scoresheet!$J$2:$J$501,"No")&gt;0,"🚩 No one on camera",""))))</f>
        <v/>
      </c>
      <c r="T429" s="17"/>
      <c r="U429" s="17"/>
      <c r="V429" s="40"/>
      <c r="W429" s="17"/>
      <c r="X429" s="45" t="str">
        <f aca="false">IF(OR(E429="",V429="",OR(U429="Contract signed + paid",U429="Closed – No response",U429="Lost"),N(W429)&gt;=Settings!$S$3),"",V429+Settings!$S$2)</f>
        <v/>
      </c>
      <c r="Y429" s="40"/>
      <c r="Z429" s="41"/>
      <c r="AA429" s="17"/>
      <c r="AB429" s="17"/>
      <c r="AC429" s="17"/>
      <c r="AD429" s="46" t="str">
        <f aca="true">IF(OR(E429="",B429=""),"",INT(TODAY()-B429))</f>
        <v/>
      </c>
      <c r="AE429" s="44" t="str">
        <f aca="true">IF(E429="","",IF(OR(COUNTIFS(Clients!$C$2:$C$501,E429,Clients!$S$2:$S$501,"Paid")&gt;0,AND(I429&lt;&gt;"",COUNTIFS(Clients!$E$2:$E$501,I429,Clients!$S$2:$S$501,"Paid")&gt;0)),"⚠ Refunded before – no free video",IF(OR(U429="Contract signed + paid",U429="Closed – No response",U429="Lost"),"",IF(U429="","Set a stage",IF(AND(U429="Proposal sent",SUMIFS(Scoresheet!$N$2:$N$501,Scoresheet!$C$2:$C$501,A429,Scoresheet!$U$2:$U$501,1)&lt;6),"Score this lead – fill the call scoresheet",IF(N(W429)&gt;=Settings!$S$3,"Close – 4 follow-ups sent",IF(X429="",IF(V429="","Make first contact",""),IF(TODAY()&gt;X429,"OVERDUE follow-up",IF(TODAY()=X429,"Follow up today","")))))))))</f>
        <v/>
      </c>
    </row>
    <row r="430" customFormat="false" ht="15" hidden="false" customHeight="false" outlineLevel="0" collapsed="false">
      <c r="A430" s="17"/>
      <c r="B430" s="40"/>
      <c r="C430" s="41"/>
      <c r="D430" s="17"/>
      <c r="E430" s="17"/>
      <c r="F430" s="17"/>
      <c r="G430" s="17"/>
      <c r="H430" s="17"/>
      <c r="I430" s="42"/>
      <c r="J430" s="17"/>
      <c r="K430" s="17"/>
      <c r="L430" s="17"/>
      <c r="M430" s="17"/>
      <c r="N430" s="40"/>
      <c r="O430" s="41"/>
      <c r="P430" s="43" t="str">
        <f aca="false">IF(OR(B430="",N430=""),"",ROUND(((N430+N(O430))-(B430+N(C430)))*24,1))</f>
        <v/>
      </c>
      <c r="Q430" s="44" t="str">
        <f aca="false">IF(OR(E430="",A430="",COUNTIFS(Scoresheet!$C$2:$C$501,A430,Scoresheet!$U$2:$U$501,1)=0),"",SUMIFS(Scoresheet!$O$2:$O$501,Scoresheet!$C$2:$C$501,A430,Scoresheet!$U$2:$U$501,1))</f>
        <v/>
      </c>
      <c r="R430" s="44" t="str">
        <f aca="false">IF(E430="","",IF(OR(A430="",COUNTIFS(Scoresheet!$C$2:$C$501,A430,Scoresheet!$U$2:$U$501,1)=0),"No scoresheet yet",IF(SUMIFS(Scoresheet!$N$2:$N$501,Scoresheet!$C$2:$C$501,A430,Scoresheet!$U$2:$U$501,1)&lt;6,"Partly scored ("&amp;SUMIFS(Scoresheet!$N$2:$N$501,Scoresheet!$C$2:$C$501,A430,Scoresheet!$U$2:$U$501,1)&amp;"/6)",IF(Q430&gt;=Settings!$S$8,"Hot",IF(Q430&gt;=Settings!$S$9,"Warm","Cold")))))</f>
        <v/>
      </c>
      <c r="S430" s="44" t="str">
        <f aca="false">IF(OR(E430="",A430=""),"",IF(AND(COUNTIFS(Scoresheet!$C$2:$C$501,A430,Scoresheet!$U$2:$U$501,1,Scoresheet!$H$2:$H$501,"No")&gt;0,COUNTIFS(Scoresheet!$C$2:$C$501,A430,Scoresheet!$U$2:$U$501,1,Scoresheet!$J$2:$J$501,"No")&gt;0),"🚩 Budget  ·  🚩 No one on camera",IF(COUNTIFS(Scoresheet!$C$2:$C$501,A430,Scoresheet!$U$2:$U$501,1,Scoresheet!$H$2:$H$501,"No")&gt;0,"🚩 Budget under AED 5k",IF(COUNTIFS(Scoresheet!$C$2:$C$501,A430,Scoresheet!$U$2:$U$501,1,Scoresheet!$J$2:$J$501,"No")&gt;0,"🚩 No one on camera",""))))</f>
        <v/>
      </c>
      <c r="T430" s="17"/>
      <c r="U430" s="17"/>
      <c r="V430" s="40"/>
      <c r="W430" s="17"/>
      <c r="X430" s="45" t="str">
        <f aca="false">IF(OR(E430="",V430="",OR(U430="Contract signed + paid",U430="Closed – No response",U430="Lost"),N(W430)&gt;=Settings!$S$3),"",V430+Settings!$S$2)</f>
        <v/>
      </c>
      <c r="Y430" s="40"/>
      <c r="Z430" s="41"/>
      <c r="AA430" s="17"/>
      <c r="AB430" s="17"/>
      <c r="AC430" s="17"/>
      <c r="AD430" s="46" t="str">
        <f aca="true">IF(OR(E430="",B430=""),"",INT(TODAY()-B430))</f>
        <v/>
      </c>
      <c r="AE430" s="44" t="str">
        <f aca="true">IF(E430="","",IF(OR(COUNTIFS(Clients!$C$2:$C$501,E430,Clients!$S$2:$S$501,"Paid")&gt;0,AND(I430&lt;&gt;"",COUNTIFS(Clients!$E$2:$E$501,I430,Clients!$S$2:$S$501,"Paid")&gt;0)),"⚠ Refunded before – no free video",IF(OR(U430="Contract signed + paid",U430="Closed – No response",U430="Lost"),"",IF(U430="","Set a stage",IF(AND(U430="Proposal sent",SUMIFS(Scoresheet!$N$2:$N$501,Scoresheet!$C$2:$C$501,A430,Scoresheet!$U$2:$U$501,1)&lt;6),"Score this lead – fill the call scoresheet",IF(N(W430)&gt;=Settings!$S$3,"Close – 4 follow-ups sent",IF(X430="",IF(V430="","Make first contact",""),IF(TODAY()&gt;X430,"OVERDUE follow-up",IF(TODAY()=X430,"Follow up today","")))))))))</f>
        <v/>
      </c>
    </row>
    <row r="431" customFormat="false" ht="15" hidden="false" customHeight="false" outlineLevel="0" collapsed="false">
      <c r="A431" s="17"/>
      <c r="B431" s="40"/>
      <c r="C431" s="41"/>
      <c r="D431" s="17"/>
      <c r="E431" s="17"/>
      <c r="F431" s="17"/>
      <c r="G431" s="17"/>
      <c r="H431" s="17"/>
      <c r="I431" s="42"/>
      <c r="J431" s="17"/>
      <c r="K431" s="17"/>
      <c r="L431" s="17"/>
      <c r="M431" s="17"/>
      <c r="N431" s="40"/>
      <c r="O431" s="41"/>
      <c r="P431" s="43" t="str">
        <f aca="false">IF(OR(B431="",N431=""),"",ROUND(((N431+N(O431))-(B431+N(C431)))*24,1))</f>
        <v/>
      </c>
      <c r="Q431" s="44" t="str">
        <f aca="false">IF(OR(E431="",A431="",COUNTIFS(Scoresheet!$C$2:$C$501,A431,Scoresheet!$U$2:$U$501,1)=0),"",SUMIFS(Scoresheet!$O$2:$O$501,Scoresheet!$C$2:$C$501,A431,Scoresheet!$U$2:$U$501,1))</f>
        <v/>
      </c>
      <c r="R431" s="44" t="str">
        <f aca="false">IF(E431="","",IF(OR(A431="",COUNTIFS(Scoresheet!$C$2:$C$501,A431,Scoresheet!$U$2:$U$501,1)=0),"No scoresheet yet",IF(SUMIFS(Scoresheet!$N$2:$N$501,Scoresheet!$C$2:$C$501,A431,Scoresheet!$U$2:$U$501,1)&lt;6,"Partly scored ("&amp;SUMIFS(Scoresheet!$N$2:$N$501,Scoresheet!$C$2:$C$501,A431,Scoresheet!$U$2:$U$501,1)&amp;"/6)",IF(Q431&gt;=Settings!$S$8,"Hot",IF(Q431&gt;=Settings!$S$9,"Warm","Cold")))))</f>
        <v/>
      </c>
      <c r="S431" s="44" t="str">
        <f aca="false">IF(OR(E431="",A431=""),"",IF(AND(COUNTIFS(Scoresheet!$C$2:$C$501,A431,Scoresheet!$U$2:$U$501,1,Scoresheet!$H$2:$H$501,"No")&gt;0,COUNTIFS(Scoresheet!$C$2:$C$501,A431,Scoresheet!$U$2:$U$501,1,Scoresheet!$J$2:$J$501,"No")&gt;0),"🚩 Budget  ·  🚩 No one on camera",IF(COUNTIFS(Scoresheet!$C$2:$C$501,A431,Scoresheet!$U$2:$U$501,1,Scoresheet!$H$2:$H$501,"No")&gt;0,"🚩 Budget under AED 5k",IF(COUNTIFS(Scoresheet!$C$2:$C$501,A431,Scoresheet!$U$2:$U$501,1,Scoresheet!$J$2:$J$501,"No")&gt;0,"🚩 No one on camera",""))))</f>
        <v/>
      </c>
      <c r="T431" s="17"/>
      <c r="U431" s="17"/>
      <c r="V431" s="40"/>
      <c r="W431" s="17"/>
      <c r="X431" s="45" t="str">
        <f aca="false">IF(OR(E431="",V431="",OR(U431="Contract signed + paid",U431="Closed – No response",U431="Lost"),N(W431)&gt;=Settings!$S$3),"",V431+Settings!$S$2)</f>
        <v/>
      </c>
      <c r="Y431" s="40"/>
      <c r="Z431" s="41"/>
      <c r="AA431" s="17"/>
      <c r="AB431" s="17"/>
      <c r="AC431" s="17"/>
      <c r="AD431" s="46" t="str">
        <f aca="true">IF(OR(E431="",B431=""),"",INT(TODAY()-B431))</f>
        <v/>
      </c>
      <c r="AE431" s="44" t="str">
        <f aca="true">IF(E431="","",IF(OR(COUNTIFS(Clients!$C$2:$C$501,E431,Clients!$S$2:$S$501,"Paid")&gt;0,AND(I431&lt;&gt;"",COUNTIFS(Clients!$E$2:$E$501,I431,Clients!$S$2:$S$501,"Paid")&gt;0)),"⚠ Refunded before – no free video",IF(OR(U431="Contract signed + paid",U431="Closed – No response",U431="Lost"),"",IF(U431="","Set a stage",IF(AND(U431="Proposal sent",SUMIFS(Scoresheet!$N$2:$N$501,Scoresheet!$C$2:$C$501,A431,Scoresheet!$U$2:$U$501,1)&lt;6),"Score this lead – fill the call scoresheet",IF(N(W431)&gt;=Settings!$S$3,"Close – 4 follow-ups sent",IF(X431="",IF(V431="","Make first contact",""),IF(TODAY()&gt;X431,"OVERDUE follow-up",IF(TODAY()=X431,"Follow up today","")))))))))</f>
        <v/>
      </c>
    </row>
    <row r="432" customFormat="false" ht="15" hidden="false" customHeight="false" outlineLevel="0" collapsed="false">
      <c r="A432" s="17"/>
      <c r="B432" s="40"/>
      <c r="C432" s="41"/>
      <c r="D432" s="17"/>
      <c r="E432" s="17"/>
      <c r="F432" s="17"/>
      <c r="G432" s="17"/>
      <c r="H432" s="17"/>
      <c r="I432" s="42"/>
      <c r="J432" s="17"/>
      <c r="K432" s="17"/>
      <c r="L432" s="17"/>
      <c r="M432" s="17"/>
      <c r="N432" s="40"/>
      <c r="O432" s="41"/>
      <c r="P432" s="43" t="str">
        <f aca="false">IF(OR(B432="",N432=""),"",ROUND(((N432+N(O432))-(B432+N(C432)))*24,1))</f>
        <v/>
      </c>
      <c r="Q432" s="44" t="str">
        <f aca="false">IF(OR(E432="",A432="",COUNTIFS(Scoresheet!$C$2:$C$501,A432,Scoresheet!$U$2:$U$501,1)=0),"",SUMIFS(Scoresheet!$O$2:$O$501,Scoresheet!$C$2:$C$501,A432,Scoresheet!$U$2:$U$501,1))</f>
        <v/>
      </c>
      <c r="R432" s="44" t="str">
        <f aca="false">IF(E432="","",IF(OR(A432="",COUNTIFS(Scoresheet!$C$2:$C$501,A432,Scoresheet!$U$2:$U$501,1)=0),"No scoresheet yet",IF(SUMIFS(Scoresheet!$N$2:$N$501,Scoresheet!$C$2:$C$501,A432,Scoresheet!$U$2:$U$501,1)&lt;6,"Partly scored ("&amp;SUMIFS(Scoresheet!$N$2:$N$501,Scoresheet!$C$2:$C$501,A432,Scoresheet!$U$2:$U$501,1)&amp;"/6)",IF(Q432&gt;=Settings!$S$8,"Hot",IF(Q432&gt;=Settings!$S$9,"Warm","Cold")))))</f>
        <v/>
      </c>
      <c r="S432" s="44" t="str">
        <f aca="false">IF(OR(E432="",A432=""),"",IF(AND(COUNTIFS(Scoresheet!$C$2:$C$501,A432,Scoresheet!$U$2:$U$501,1,Scoresheet!$H$2:$H$501,"No")&gt;0,COUNTIFS(Scoresheet!$C$2:$C$501,A432,Scoresheet!$U$2:$U$501,1,Scoresheet!$J$2:$J$501,"No")&gt;0),"🚩 Budget  ·  🚩 No one on camera",IF(COUNTIFS(Scoresheet!$C$2:$C$501,A432,Scoresheet!$U$2:$U$501,1,Scoresheet!$H$2:$H$501,"No")&gt;0,"🚩 Budget under AED 5k",IF(COUNTIFS(Scoresheet!$C$2:$C$501,A432,Scoresheet!$U$2:$U$501,1,Scoresheet!$J$2:$J$501,"No")&gt;0,"🚩 No one on camera",""))))</f>
        <v/>
      </c>
      <c r="T432" s="17"/>
      <c r="U432" s="17"/>
      <c r="V432" s="40"/>
      <c r="W432" s="17"/>
      <c r="X432" s="45" t="str">
        <f aca="false">IF(OR(E432="",V432="",OR(U432="Contract signed + paid",U432="Closed – No response",U432="Lost"),N(W432)&gt;=Settings!$S$3),"",V432+Settings!$S$2)</f>
        <v/>
      </c>
      <c r="Y432" s="40"/>
      <c r="Z432" s="41"/>
      <c r="AA432" s="17"/>
      <c r="AB432" s="17"/>
      <c r="AC432" s="17"/>
      <c r="AD432" s="46" t="str">
        <f aca="true">IF(OR(E432="",B432=""),"",INT(TODAY()-B432))</f>
        <v/>
      </c>
      <c r="AE432" s="44" t="str">
        <f aca="true">IF(E432="","",IF(OR(COUNTIFS(Clients!$C$2:$C$501,E432,Clients!$S$2:$S$501,"Paid")&gt;0,AND(I432&lt;&gt;"",COUNTIFS(Clients!$E$2:$E$501,I432,Clients!$S$2:$S$501,"Paid")&gt;0)),"⚠ Refunded before – no free video",IF(OR(U432="Contract signed + paid",U432="Closed – No response",U432="Lost"),"",IF(U432="","Set a stage",IF(AND(U432="Proposal sent",SUMIFS(Scoresheet!$N$2:$N$501,Scoresheet!$C$2:$C$501,A432,Scoresheet!$U$2:$U$501,1)&lt;6),"Score this lead – fill the call scoresheet",IF(N(W432)&gt;=Settings!$S$3,"Close – 4 follow-ups sent",IF(X432="",IF(V432="","Make first contact",""),IF(TODAY()&gt;X432,"OVERDUE follow-up",IF(TODAY()=X432,"Follow up today","")))))))))</f>
        <v/>
      </c>
    </row>
    <row r="433" customFormat="false" ht="15" hidden="false" customHeight="false" outlineLevel="0" collapsed="false">
      <c r="A433" s="17"/>
      <c r="B433" s="40"/>
      <c r="C433" s="41"/>
      <c r="D433" s="17"/>
      <c r="E433" s="17"/>
      <c r="F433" s="17"/>
      <c r="G433" s="17"/>
      <c r="H433" s="17"/>
      <c r="I433" s="42"/>
      <c r="J433" s="17"/>
      <c r="K433" s="17"/>
      <c r="L433" s="17"/>
      <c r="M433" s="17"/>
      <c r="N433" s="40"/>
      <c r="O433" s="41"/>
      <c r="P433" s="43" t="str">
        <f aca="false">IF(OR(B433="",N433=""),"",ROUND(((N433+N(O433))-(B433+N(C433)))*24,1))</f>
        <v/>
      </c>
      <c r="Q433" s="44" t="str">
        <f aca="false">IF(OR(E433="",A433="",COUNTIFS(Scoresheet!$C$2:$C$501,A433,Scoresheet!$U$2:$U$501,1)=0),"",SUMIFS(Scoresheet!$O$2:$O$501,Scoresheet!$C$2:$C$501,A433,Scoresheet!$U$2:$U$501,1))</f>
        <v/>
      </c>
      <c r="R433" s="44" t="str">
        <f aca="false">IF(E433="","",IF(OR(A433="",COUNTIFS(Scoresheet!$C$2:$C$501,A433,Scoresheet!$U$2:$U$501,1)=0),"No scoresheet yet",IF(SUMIFS(Scoresheet!$N$2:$N$501,Scoresheet!$C$2:$C$501,A433,Scoresheet!$U$2:$U$501,1)&lt;6,"Partly scored ("&amp;SUMIFS(Scoresheet!$N$2:$N$501,Scoresheet!$C$2:$C$501,A433,Scoresheet!$U$2:$U$501,1)&amp;"/6)",IF(Q433&gt;=Settings!$S$8,"Hot",IF(Q433&gt;=Settings!$S$9,"Warm","Cold")))))</f>
        <v/>
      </c>
      <c r="S433" s="44" t="str">
        <f aca="false">IF(OR(E433="",A433=""),"",IF(AND(COUNTIFS(Scoresheet!$C$2:$C$501,A433,Scoresheet!$U$2:$U$501,1,Scoresheet!$H$2:$H$501,"No")&gt;0,COUNTIFS(Scoresheet!$C$2:$C$501,A433,Scoresheet!$U$2:$U$501,1,Scoresheet!$J$2:$J$501,"No")&gt;0),"🚩 Budget  ·  🚩 No one on camera",IF(COUNTIFS(Scoresheet!$C$2:$C$501,A433,Scoresheet!$U$2:$U$501,1,Scoresheet!$H$2:$H$501,"No")&gt;0,"🚩 Budget under AED 5k",IF(COUNTIFS(Scoresheet!$C$2:$C$501,A433,Scoresheet!$U$2:$U$501,1,Scoresheet!$J$2:$J$501,"No")&gt;0,"🚩 No one on camera",""))))</f>
        <v/>
      </c>
      <c r="T433" s="17"/>
      <c r="U433" s="17"/>
      <c r="V433" s="40"/>
      <c r="W433" s="17"/>
      <c r="X433" s="45" t="str">
        <f aca="false">IF(OR(E433="",V433="",OR(U433="Contract signed + paid",U433="Closed – No response",U433="Lost"),N(W433)&gt;=Settings!$S$3),"",V433+Settings!$S$2)</f>
        <v/>
      </c>
      <c r="Y433" s="40"/>
      <c r="Z433" s="41"/>
      <c r="AA433" s="17"/>
      <c r="AB433" s="17"/>
      <c r="AC433" s="17"/>
      <c r="AD433" s="46" t="str">
        <f aca="true">IF(OR(E433="",B433=""),"",INT(TODAY()-B433))</f>
        <v/>
      </c>
      <c r="AE433" s="44" t="str">
        <f aca="true">IF(E433="","",IF(OR(COUNTIFS(Clients!$C$2:$C$501,E433,Clients!$S$2:$S$501,"Paid")&gt;0,AND(I433&lt;&gt;"",COUNTIFS(Clients!$E$2:$E$501,I433,Clients!$S$2:$S$501,"Paid")&gt;0)),"⚠ Refunded before – no free video",IF(OR(U433="Contract signed + paid",U433="Closed – No response",U433="Lost"),"",IF(U433="","Set a stage",IF(AND(U433="Proposal sent",SUMIFS(Scoresheet!$N$2:$N$501,Scoresheet!$C$2:$C$501,A433,Scoresheet!$U$2:$U$501,1)&lt;6),"Score this lead – fill the call scoresheet",IF(N(W433)&gt;=Settings!$S$3,"Close – 4 follow-ups sent",IF(X433="",IF(V433="","Make first contact",""),IF(TODAY()&gt;X433,"OVERDUE follow-up",IF(TODAY()=X433,"Follow up today","")))))))))</f>
        <v/>
      </c>
    </row>
    <row r="434" customFormat="false" ht="15" hidden="false" customHeight="false" outlineLevel="0" collapsed="false">
      <c r="A434" s="17"/>
      <c r="B434" s="40"/>
      <c r="C434" s="41"/>
      <c r="D434" s="17"/>
      <c r="E434" s="17"/>
      <c r="F434" s="17"/>
      <c r="G434" s="17"/>
      <c r="H434" s="17"/>
      <c r="I434" s="42"/>
      <c r="J434" s="17"/>
      <c r="K434" s="17"/>
      <c r="L434" s="17"/>
      <c r="M434" s="17"/>
      <c r="N434" s="40"/>
      <c r="O434" s="41"/>
      <c r="P434" s="43" t="str">
        <f aca="false">IF(OR(B434="",N434=""),"",ROUND(((N434+N(O434))-(B434+N(C434)))*24,1))</f>
        <v/>
      </c>
      <c r="Q434" s="44" t="str">
        <f aca="false">IF(OR(E434="",A434="",COUNTIFS(Scoresheet!$C$2:$C$501,A434,Scoresheet!$U$2:$U$501,1)=0),"",SUMIFS(Scoresheet!$O$2:$O$501,Scoresheet!$C$2:$C$501,A434,Scoresheet!$U$2:$U$501,1))</f>
        <v/>
      </c>
      <c r="R434" s="44" t="str">
        <f aca="false">IF(E434="","",IF(OR(A434="",COUNTIFS(Scoresheet!$C$2:$C$501,A434,Scoresheet!$U$2:$U$501,1)=0),"No scoresheet yet",IF(SUMIFS(Scoresheet!$N$2:$N$501,Scoresheet!$C$2:$C$501,A434,Scoresheet!$U$2:$U$501,1)&lt;6,"Partly scored ("&amp;SUMIFS(Scoresheet!$N$2:$N$501,Scoresheet!$C$2:$C$501,A434,Scoresheet!$U$2:$U$501,1)&amp;"/6)",IF(Q434&gt;=Settings!$S$8,"Hot",IF(Q434&gt;=Settings!$S$9,"Warm","Cold")))))</f>
        <v/>
      </c>
      <c r="S434" s="44" t="str">
        <f aca="false">IF(OR(E434="",A434=""),"",IF(AND(COUNTIFS(Scoresheet!$C$2:$C$501,A434,Scoresheet!$U$2:$U$501,1,Scoresheet!$H$2:$H$501,"No")&gt;0,COUNTIFS(Scoresheet!$C$2:$C$501,A434,Scoresheet!$U$2:$U$501,1,Scoresheet!$J$2:$J$501,"No")&gt;0),"🚩 Budget  ·  🚩 No one on camera",IF(COUNTIFS(Scoresheet!$C$2:$C$501,A434,Scoresheet!$U$2:$U$501,1,Scoresheet!$H$2:$H$501,"No")&gt;0,"🚩 Budget under AED 5k",IF(COUNTIFS(Scoresheet!$C$2:$C$501,A434,Scoresheet!$U$2:$U$501,1,Scoresheet!$J$2:$J$501,"No")&gt;0,"🚩 No one on camera",""))))</f>
        <v/>
      </c>
      <c r="T434" s="17"/>
      <c r="U434" s="17"/>
      <c r="V434" s="40"/>
      <c r="W434" s="17"/>
      <c r="X434" s="45" t="str">
        <f aca="false">IF(OR(E434="",V434="",OR(U434="Contract signed + paid",U434="Closed – No response",U434="Lost"),N(W434)&gt;=Settings!$S$3),"",V434+Settings!$S$2)</f>
        <v/>
      </c>
      <c r="Y434" s="40"/>
      <c r="Z434" s="41"/>
      <c r="AA434" s="17"/>
      <c r="AB434" s="17"/>
      <c r="AC434" s="17"/>
      <c r="AD434" s="46" t="str">
        <f aca="true">IF(OR(E434="",B434=""),"",INT(TODAY()-B434))</f>
        <v/>
      </c>
      <c r="AE434" s="44" t="str">
        <f aca="true">IF(E434="","",IF(OR(COUNTIFS(Clients!$C$2:$C$501,E434,Clients!$S$2:$S$501,"Paid")&gt;0,AND(I434&lt;&gt;"",COUNTIFS(Clients!$E$2:$E$501,I434,Clients!$S$2:$S$501,"Paid")&gt;0)),"⚠ Refunded before – no free video",IF(OR(U434="Contract signed + paid",U434="Closed – No response",U434="Lost"),"",IF(U434="","Set a stage",IF(AND(U434="Proposal sent",SUMIFS(Scoresheet!$N$2:$N$501,Scoresheet!$C$2:$C$501,A434,Scoresheet!$U$2:$U$501,1)&lt;6),"Score this lead – fill the call scoresheet",IF(N(W434)&gt;=Settings!$S$3,"Close – 4 follow-ups sent",IF(X434="",IF(V434="","Make first contact",""),IF(TODAY()&gt;X434,"OVERDUE follow-up",IF(TODAY()=X434,"Follow up today","")))))))))</f>
        <v/>
      </c>
    </row>
    <row r="435" customFormat="false" ht="15" hidden="false" customHeight="false" outlineLevel="0" collapsed="false">
      <c r="A435" s="17"/>
      <c r="B435" s="40"/>
      <c r="C435" s="41"/>
      <c r="D435" s="17"/>
      <c r="E435" s="17"/>
      <c r="F435" s="17"/>
      <c r="G435" s="17"/>
      <c r="H435" s="17"/>
      <c r="I435" s="42"/>
      <c r="J435" s="17"/>
      <c r="K435" s="17"/>
      <c r="L435" s="17"/>
      <c r="M435" s="17"/>
      <c r="N435" s="40"/>
      <c r="O435" s="41"/>
      <c r="P435" s="43" t="str">
        <f aca="false">IF(OR(B435="",N435=""),"",ROUND(((N435+N(O435))-(B435+N(C435)))*24,1))</f>
        <v/>
      </c>
      <c r="Q435" s="44" t="str">
        <f aca="false">IF(OR(E435="",A435="",COUNTIFS(Scoresheet!$C$2:$C$501,A435,Scoresheet!$U$2:$U$501,1)=0),"",SUMIFS(Scoresheet!$O$2:$O$501,Scoresheet!$C$2:$C$501,A435,Scoresheet!$U$2:$U$501,1))</f>
        <v/>
      </c>
      <c r="R435" s="44" t="str">
        <f aca="false">IF(E435="","",IF(OR(A435="",COUNTIFS(Scoresheet!$C$2:$C$501,A435,Scoresheet!$U$2:$U$501,1)=0),"No scoresheet yet",IF(SUMIFS(Scoresheet!$N$2:$N$501,Scoresheet!$C$2:$C$501,A435,Scoresheet!$U$2:$U$501,1)&lt;6,"Partly scored ("&amp;SUMIFS(Scoresheet!$N$2:$N$501,Scoresheet!$C$2:$C$501,A435,Scoresheet!$U$2:$U$501,1)&amp;"/6)",IF(Q435&gt;=Settings!$S$8,"Hot",IF(Q435&gt;=Settings!$S$9,"Warm","Cold")))))</f>
        <v/>
      </c>
      <c r="S435" s="44" t="str">
        <f aca="false">IF(OR(E435="",A435=""),"",IF(AND(COUNTIFS(Scoresheet!$C$2:$C$501,A435,Scoresheet!$U$2:$U$501,1,Scoresheet!$H$2:$H$501,"No")&gt;0,COUNTIFS(Scoresheet!$C$2:$C$501,A435,Scoresheet!$U$2:$U$501,1,Scoresheet!$J$2:$J$501,"No")&gt;0),"🚩 Budget  ·  🚩 No one on camera",IF(COUNTIFS(Scoresheet!$C$2:$C$501,A435,Scoresheet!$U$2:$U$501,1,Scoresheet!$H$2:$H$501,"No")&gt;0,"🚩 Budget under AED 5k",IF(COUNTIFS(Scoresheet!$C$2:$C$501,A435,Scoresheet!$U$2:$U$501,1,Scoresheet!$J$2:$J$501,"No")&gt;0,"🚩 No one on camera",""))))</f>
        <v/>
      </c>
      <c r="T435" s="17"/>
      <c r="U435" s="17"/>
      <c r="V435" s="40"/>
      <c r="W435" s="17"/>
      <c r="X435" s="45" t="str">
        <f aca="false">IF(OR(E435="",V435="",OR(U435="Contract signed + paid",U435="Closed – No response",U435="Lost"),N(W435)&gt;=Settings!$S$3),"",V435+Settings!$S$2)</f>
        <v/>
      </c>
      <c r="Y435" s="40"/>
      <c r="Z435" s="41"/>
      <c r="AA435" s="17"/>
      <c r="AB435" s="17"/>
      <c r="AC435" s="17"/>
      <c r="AD435" s="46" t="str">
        <f aca="true">IF(OR(E435="",B435=""),"",INT(TODAY()-B435))</f>
        <v/>
      </c>
      <c r="AE435" s="44" t="str">
        <f aca="true">IF(E435="","",IF(OR(COUNTIFS(Clients!$C$2:$C$501,E435,Clients!$S$2:$S$501,"Paid")&gt;0,AND(I435&lt;&gt;"",COUNTIFS(Clients!$E$2:$E$501,I435,Clients!$S$2:$S$501,"Paid")&gt;0)),"⚠ Refunded before – no free video",IF(OR(U435="Contract signed + paid",U435="Closed – No response",U435="Lost"),"",IF(U435="","Set a stage",IF(AND(U435="Proposal sent",SUMIFS(Scoresheet!$N$2:$N$501,Scoresheet!$C$2:$C$501,A435,Scoresheet!$U$2:$U$501,1)&lt;6),"Score this lead – fill the call scoresheet",IF(N(W435)&gt;=Settings!$S$3,"Close – 4 follow-ups sent",IF(X435="",IF(V435="","Make first contact",""),IF(TODAY()&gt;X435,"OVERDUE follow-up",IF(TODAY()=X435,"Follow up today","")))))))))</f>
        <v/>
      </c>
    </row>
    <row r="436" customFormat="false" ht="15" hidden="false" customHeight="false" outlineLevel="0" collapsed="false">
      <c r="A436" s="17"/>
      <c r="B436" s="40"/>
      <c r="C436" s="41"/>
      <c r="D436" s="17"/>
      <c r="E436" s="17"/>
      <c r="F436" s="17"/>
      <c r="G436" s="17"/>
      <c r="H436" s="17"/>
      <c r="I436" s="42"/>
      <c r="J436" s="17"/>
      <c r="K436" s="17"/>
      <c r="L436" s="17"/>
      <c r="M436" s="17"/>
      <c r="N436" s="40"/>
      <c r="O436" s="41"/>
      <c r="P436" s="43" t="str">
        <f aca="false">IF(OR(B436="",N436=""),"",ROUND(((N436+N(O436))-(B436+N(C436)))*24,1))</f>
        <v/>
      </c>
      <c r="Q436" s="44" t="str">
        <f aca="false">IF(OR(E436="",A436="",COUNTIFS(Scoresheet!$C$2:$C$501,A436,Scoresheet!$U$2:$U$501,1)=0),"",SUMIFS(Scoresheet!$O$2:$O$501,Scoresheet!$C$2:$C$501,A436,Scoresheet!$U$2:$U$501,1))</f>
        <v/>
      </c>
      <c r="R436" s="44" t="str">
        <f aca="false">IF(E436="","",IF(OR(A436="",COUNTIFS(Scoresheet!$C$2:$C$501,A436,Scoresheet!$U$2:$U$501,1)=0),"No scoresheet yet",IF(SUMIFS(Scoresheet!$N$2:$N$501,Scoresheet!$C$2:$C$501,A436,Scoresheet!$U$2:$U$501,1)&lt;6,"Partly scored ("&amp;SUMIFS(Scoresheet!$N$2:$N$501,Scoresheet!$C$2:$C$501,A436,Scoresheet!$U$2:$U$501,1)&amp;"/6)",IF(Q436&gt;=Settings!$S$8,"Hot",IF(Q436&gt;=Settings!$S$9,"Warm","Cold")))))</f>
        <v/>
      </c>
      <c r="S436" s="44" t="str">
        <f aca="false">IF(OR(E436="",A436=""),"",IF(AND(COUNTIFS(Scoresheet!$C$2:$C$501,A436,Scoresheet!$U$2:$U$501,1,Scoresheet!$H$2:$H$501,"No")&gt;0,COUNTIFS(Scoresheet!$C$2:$C$501,A436,Scoresheet!$U$2:$U$501,1,Scoresheet!$J$2:$J$501,"No")&gt;0),"🚩 Budget  ·  🚩 No one on camera",IF(COUNTIFS(Scoresheet!$C$2:$C$501,A436,Scoresheet!$U$2:$U$501,1,Scoresheet!$H$2:$H$501,"No")&gt;0,"🚩 Budget under AED 5k",IF(COUNTIFS(Scoresheet!$C$2:$C$501,A436,Scoresheet!$U$2:$U$501,1,Scoresheet!$J$2:$J$501,"No")&gt;0,"🚩 No one on camera",""))))</f>
        <v/>
      </c>
      <c r="T436" s="17"/>
      <c r="U436" s="17"/>
      <c r="V436" s="40"/>
      <c r="W436" s="17"/>
      <c r="X436" s="45" t="str">
        <f aca="false">IF(OR(E436="",V436="",OR(U436="Contract signed + paid",U436="Closed – No response",U436="Lost"),N(W436)&gt;=Settings!$S$3),"",V436+Settings!$S$2)</f>
        <v/>
      </c>
      <c r="Y436" s="40"/>
      <c r="Z436" s="41"/>
      <c r="AA436" s="17"/>
      <c r="AB436" s="17"/>
      <c r="AC436" s="17"/>
      <c r="AD436" s="46" t="str">
        <f aca="true">IF(OR(E436="",B436=""),"",INT(TODAY()-B436))</f>
        <v/>
      </c>
      <c r="AE436" s="44" t="str">
        <f aca="true">IF(E436="","",IF(OR(COUNTIFS(Clients!$C$2:$C$501,E436,Clients!$S$2:$S$501,"Paid")&gt;0,AND(I436&lt;&gt;"",COUNTIFS(Clients!$E$2:$E$501,I436,Clients!$S$2:$S$501,"Paid")&gt;0)),"⚠ Refunded before – no free video",IF(OR(U436="Contract signed + paid",U436="Closed – No response",U436="Lost"),"",IF(U436="","Set a stage",IF(AND(U436="Proposal sent",SUMIFS(Scoresheet!$N$2:$N$501,Scoresheet!$C$2:$C$501,A436,Scoresheet!$U$2:$U$501,1)&lt;6),"Score this lead – fill the call scoresheet",IF(N(W436)&gt;=Settings!$S$3,"Close – 4 follow-ups sent",IF(X436="",IF(V436="","Make first contact",""),IF(TODAY()&gt;X436,"OVERDUE follow-up",IF(TODAY()=X436,"Follow up today","")))))))))</f>
        <v/>
      </c>
    </row>
    <row r="437" customFormat="false" ht="15" hidden="false" customHeight="false" outlineLevel="0" collapsed="false">
      <c r="A437" s="17"/>
      <c r="B437" s="40"/>
      <c r="C437" s="41"/>
      <c r="D437" s="17"/>
      <c r="E437" s="17"/>
      <c r="F437" s="17"/>
      <c r="G437" s="17"/>
      <c r="H437" s="17"/>
      <c r="I437" s="42"/>
      <c r="J437" s="17"/>
      <c r="K437" s="17"/>
      <c r="L437" s="17"/>
      <c r="M437" s="17"/>
      <c r="N437" s="40"/>
      <c r="O437" s="41"/>
      <c r="P437" s="43" t="str">
        <f aca="false">IF(OR(B437="",N437=""),"",ROUND(((N437+N(O437))-(B437+N(C437)))*24,1))</f>
        <v/>
      </c>
      <c r="Q437" s="44" t="str">
        <f aca="false">IF(OR(E437="",A437="",COUNTIFS(Scoresheet!$C$2:$C$501,A437,Scoresheet!$U$2:$U$501,1)=0),"",SUMIFS(Scoresheet!$O$2:$O$501,Scoresheet!$C$2:$C$501,A437,Scoresheet!$U$2:$U$501,1))</f>
        <v/>
      </c>
      <c r="R437" s="44" t="str">
        <f aca="false">IF(E437="","",IF(OR(A437="",COUNTIFS(Scoresheet!$C$2:$C$501,A437,Scoresheet!$U$2:$U$501,1)=0),"No scoresheet yet",IF(SUMIFS(Scoresheet!$N$2:$N$501,Scoresheet!$C$2:$C$501,A437,Scoresheet!$U$2:$U$501,1)&lt;6,"Partly scored ("&amp;SUMIFS(Scoresheet!$N$2:$N$501,Scoresheet!$C$2:$C$501,A437,Scoresheet!$U$2:$U$501,1)&amp;"/6)",IF(Q437&gt;=Settings!$S$8,"Hot",IF(Q437&gt;=Settings!$S$9,"Warm","Cold")))))</f>
        <v/>
      </c>
      <c r="S437" s="44" t="str">
        <f aca="false">IF(OR(E437="",A437=""),"",IF(AND(COUNTIFS(Scoresheet!$C$2:$C$501,A437,Scoresheet!$U$2:$U$501,1,Scoresheet!$H$2:$H$501,"No")&gt;0,COUNTIFS(Scoresheet!$C$2:$C$501,A437,Scoresheet!$U$2:$U$501,1,Scoresheet!$J$2:$J$501,"No")&gt;0),"🚩 Budget  ·  🚩 No one on camera",IF(COUNTIFS(Scoresheet!$C$2:$C$501,A437,Scoresheet!$U$2:$U$501,1,Scoresheet!$H$2:$H$501,"No")&gt;0,"🚩 Budget under AED 5k",IF(COUNTIFS(Scoresheet!$C$2:$C$501,A437,Scoresheet!$U$2:$U$501,1,Scoresheet!$J$2:$J$501,"No")&gt;0,"🚩 No one on camera",""))))</f>
        <v/>
      </c>
      <c r="T437" s="17"/>
      <c r="U437" s="17"/>
      <c r="V437" s="40"/>
      <c r="W437" s="17"/>
      <c r="X437" s="45" t="str">
        <f aca="false">IF(OR(E437="",V437="",OR(U437="Contract signed + paid",U437="Closed – No response",U437="Lost"),N(W437)&gt;=Settings!$S$3),"",V437+Settings!$S$2)</f>
        <v/>
      </c>
      <c r="Y437" s="40"/>
      <c r="Z437" s="41"/>
      <c r="AA437" s="17"/>
      <c r="AB437" s="17"/>
      <c r="AC437" s="17"/>
      <c r="AD437" s="46" t="str">
        <f aca="true">IF(OR(E437="",B437=""),"",INT(TODAY()-B437))</f>
        <v/>
      </c>
      <c r="AE437" s="44" t="str">
        <f aca="true">IF(E437="","",IF(OR(COUNTIFS(Clients!$C$2:$C$501,E437,Clients!$S$2:$S$501,"Paid")&gt;0,AND(I437&lt;&gt;"",COUNTIFS(Clients!$E$2:$E$501,I437,Clients!$S$2:$S$501,"Paid")&gt;0)),"⚠ Refunded before – no free video",IF(OR(U437="Contract signed + paid",U437="Closed – No response",U437="Lost"),"",IF(U437="","Set a stage",IF(AND(U437="Proposal sent",SUMIFS(Scoresheet!$N$2:$N$501,Scoresheet!$C$2:$C$501,A437,Scoresheet!$U$2:$U$501,1)&lt;6),"Score this lead – fill the call scoresheet",IF(N(W437)&gt;=Settings!$S$3,"Close – 4 follow-ups sent",IF(X437="",IF(V437="","Make first contact",""),IF(TODAY()&gt;X437,"OVERDUE follow-up",IF(TODAY()=X437,"Follow up today","")))))))))</f>
        <v/>
      </c>
    </row>
    <row r="438" customFormat="false" ht="15" hidden="false" customHeight="false" outlineLevel="0" collapsed="false">
      <c r="A438" s="17"/>
      <c r="B438" s="40"/>
      <c r="C438" s="41"/>
      <c r="D438" s="17"/>
      <c r="E438" s="17"/>
      <c r="F438" s="17"/>
      <c r="G438" s="17"/>
      <c r="H438" s="17"/>
      <c r="I438" s="42"/>
      <c r="J438" s="17"/>
      <c r="K438" s="17"/>
      <c r="L438" s="17"/>
      <c r="M438" s="17"/>
      <c r="N438" s="40"/>
      <c r="O438" s="41"/>
      <c r="P438" s="43" t="str">
        <f aca="false">IF(OR(B438="",N438=""),"",ROUND(((N438+N(O438))-(B438+N(C438)))*24,1))</f>
        <v/>
      </c>
      <c r="Q438" s="44" t="str">
        <f aca="false">IF(OR(E438="",A438="",COUNTIFS(Scoresheet!$C$2:$C$501,A438,Scoresheet!$U$2:$U$501,1)=0),"",SUMIFS(Scoresheet!$O$2:$O$501,Scoresheet!$C$2:$C$501,A438,Scoresheet!$U$2:$U$501,1))</f>
        <v/>
      </c>
      <c r="R438" s="44" t="str">
        <f aca="false">IF(E438="","",IF(OR(A438="",COUNTIFS(Scoresheet!$C$2:$C$501,A438,Scoresheet!$U$2:$U$501,1)=0),"No scoresheet yet",IF(SUMIFS(Scoresheet!$N$2:$N$501,Scoresheet!$C$2:$C$501,A438,Scoresheet!$U$2:$U$501,1)&lt;6,"Partly scored ("&amp;SUMIFS(Scoresheet!$N$2:$N$501,Scoresheet!$C$2:$C$501,A438,Scoresheet!$U$2:$U$501,1)&amp;"/6)",IF(Q438&gt;=Settings!$S$8,"Hot",IF(Q438&gt;=Settings!$S$9,"Warm","Cold")))))</f>
        <v/>
      </c>
      <c r="S438" s="44" t="str">
        <f aca="false">IF(OR(E438="",A438=""),"",IF(AND(COUNTIFS(Scoresheet!$C$2:$C$501,A438,Scoresheet!$U$2:$U$501,1,Scoresheet!$H$2:$H$501,"No")&gt;0,COUNTIFS(Scoresheet!$C$2:$C$501,A438,Scoresheet!$U$2:$U$501,1,Scoresheet!$J$2:$J$501,"No")&gt;0),"🚩 Budget  ·  🚩 No one on camera",IF(COUNTIFS(Scoresheet!$C$2:$C$501,A438,Scoresheet!$U$2:$U$501,1,Scoresheet!$H$2:$H$501,"No")&gt;0,"🚩 Budget under AED 5k",IF(COUNTIFS(Scoresheet!$C$2:$C$501,A438,Scoresheet!$U$2:$U$501,1,Scoresheet!$J$2:$J$501,"No")&gt;0,"🚩 No one on camera",""))))</f>
        <v/>
      </c>
      <c r="T438" s="17"/>
      <c r="U438" s="17"/>
      <c r="V438" s="40"/>
      <c r="W438" s="17"/>
      <c r="X438" s="45" t="str">
        <f aca="false">IF(OR(E438="",V438="",OR(U438="Contract signed + paid",U438="Closed – No response",U438="Lost"),N(W438)&gt;=Settings!$S$3),"",V438+Settings!$S$2)</f>
        <v/>
      </c>
      <c r="Y438" s="40"/>
      <c r="Z438" s="41"/>
      <c r="AA438" s="17"/>
      <c r="AB438" s="17"/>
      <c r="AC438" s="17"/>
      <c r="AD438" s="46" t="str">
        <f aca="true">IF(OR(E438="",B438=""),"",INT(TODAY()-B438))</f>
        <v/>
      </c>
      <c r="AE438" s="44" t="str">
        <f aca="true">IF(E438="","",IF(OR(COUNTIFS(Clients!$C$2:$C$501,E438,Clients!$S$2:$S$501,"Paid")&gt;0,AND(I438&lt;&gt;"",COUNTIFS(Clients!$E$2:$E$501,I438,Clients!$S$2:$S$501,"Paid")&gt;0)),"⚠ Refunded before – no free video",IF(OR(U438="Contract signed + paid",U438="Closed – No response",U438="Lost"),"",IF(U438="","Set a stage",IF(AND(U438="Proposal sent",SUMIFS(Scoresheet!$N$2:$N$501,Scoresheet!$C$2:$C$501,A438,Scoresheet!$U$2:$U$501,1)&lt;6),"Score this lead – fill the call scoresheet",IF(N(W438)&gt;=Settings!$S$3,"Close – 4 follow-ups sent",IF(X438="",IF(V438="","Make first contact",""),IF(TODAY()&gt;X438,"OVERDUE follow-up",IF(TODAY()=X438,"Follow up today","")))))))))</f>
        <v/>
      </c>
    </row>
    <row r="439" customFormat="false" ht="15" hidden="false" customHeight="false" outlineLevel="0" collapsed="false">
      <c r="A439" s="17"/>
      <c r="B439" s="40"/>
      <c r="C439" s="41"/>
      <c r="D439" s="17"/>
      <c r="E439" s="17"/>
      <c r="F439" s="17"/>
      <c r="G439" s="17"/>
      <c r="H439" s="17"/>
      <c r="I439" s="42"/>
      <c r="J439" s="17"/>
      <c r="K439" s="17"/>
      <c r="L439" s="17"/>
      <c r="M439" s="17"/>
      <c r="N439" s="40"/>
      <c r="O439" s="41"/>
      <c r="P439" s="43" t="str">
        <f aca="false">IF(OR(B439="",N439=""),"",ROUND(((N439+N(O439))-(B439+N(C439)))*24,1))</f>
        <v/>
      </c>
      <c r="Q439" s="44" t="str">
        <f aca="false">IF(OR(E439="",A439="",COUNTIFS(Scoresheet!$C$2:$C$501,A439,Scoresheet!$U$2:$U$501,1)=0),"",SUMIFS(Scoresheet!$O$2:$O$501,Scoresheet!$C$2:$C$501,A439,Scoresheet!$U$2:$U$501,1))</f>
        <v/>
      </c>
      <c r="R439" s="44" t="str">
        <f aca="false">IF(E439="","",IF(OR(A439="",COUNTIFS(Scoresheet!$C$2:$C$501,A439,Scoresheet!$U$2:$U$501,1)=0),"No scoresheet yet",IF(SUMIFS(Scoresheet!$N$2:$N$501,Scoresheet!$C$2:$C$501,A439,Scoresheet!$U$2:$U$501,1)&lt;6,"Partly scored ("&amp;SUMIFS(Scoresheet!$N$2:$N$501,Scoresheet!$C$2:$C$501,A439,Scoresheet!$U$2:$U$501,1)&amp;"/6)",IF(Q439&gt;=Settings!$S$8,"Hot",IF(Q439&gt;=Settings!$S$9,"Warm","Cold")))))</f>
        <v/>
      </c>
      <c r="S439" s="44" t="str">
        <f aca="false">IF(OR(E439="",A439=""),"",IF(AND(COUNTIFS(Scoresheet!$C$2:$C$501,A439,Scoresheet!$U$2:$U$501,1,Scoresheet!$H$2:$H$501,"No")&gt;0,COUNTIFS(Scoresheet!$C$2:$C$501,A439,Scoresheet!$U$2:$U$501,1,Scoresheet!$J$2:$J$501,"No")&gt;0),"🚩 Budget  ·  🚩 No one on camera",IF(COUNTIFS(Scoresheet!$C$2:$C$501,A439,Scoresheet!$U$2:$U$501,1,Scoresheet!$H$2:$H$501,"No")&gt;0,"🚩 Budget under AED 5k",IF(COUNTIFS(Scoresheet!$C$2:$C$501,A439,Scoresheet!$U$2:$U$501,1,Scoresheet!$J$2:$J$501,"No")&gt;0,"🚩 No one on camera",""))))</f>
        <v/>
      </c>
      <c r="T439" s="17"/>
      <c r="U439" s="17"/>
      <c r="V439" s="40"/>
      <c r="W439" s="17"/>
      <c r="X439" s="45" t="str">
        <f aca="false">IF(OR(E439="",V439="",OR(U439="Contract signed + paid",U439="Closed – No response",U439="Lost"),N(W439)&gt;=Settings!$S$3),"",V439+Settings!$S$2)</f>
        <v/>
      </c>
      <c r="Y439" s="40"/>
      <c r="Z439" s="41"/>
      <c r="AA439" s="17"/>
      <c r="AB439" s="17"/>
      <c r="AC439" s="17"/>
      <c r="AD439" s="46" t="str">
        <f aca="true">IF(OR(E439="",B439=""),"",INT(TODAY()-B439))</f>
        <v/>
      </c>
      <c r="AE439" s="44" t="str">
        <f aca="true">IF(E439="","",IF(OR(COUNTIFS(Clients!$C$2:$C$501,E439,Clients!$S$2:$S$501,"Paid")&gt;0,AND(I439&lt;&gt;"",COUNTIFS(Clients!$E$2:$E$501,I439,Clients!$S$2:$S$501,"Paid")&gt;0)),"⚠ Refunded before – no free video",IF(OR(U439="Contract signed + paid",U439="Closed – No response",U439="Lost"),"",IF(U439="","Set a stage",IF(AND(U439="Proposal sent",SUMIFS(Scoresheet!$N$2:$N$501,Scoresheet!$C$2:$C$501,A439,Scoresheet!$U$2:$U$501,1)&lt;6),"Score this lead – fill the call scoresheet",IF(N(W439)&gt;=Settings!$S$3,"Close – 4 follow-ups sent",IF(X439="",IF(V439="","Make first contact",""),IF(TODAY()&gt;X439,"OVERDUE follow-up",IF(TODAY()=X439,"Follow up today","")))))))))</f>
        <v/>
      </c>
    </row>
    <row r="440" customFormat="false" ht="15" hidden="false" customHeight="false" outlineLevel="0" collapsed="false">
      <c r="A440" s="17"/>
      <c r="B440" s="40"/>
      <c r="C440" s="41"/>
      <c r="D440" s="17"/>
      <c r="E440" s="17"/>
      <c r="F440" s="17"/>
      <c r="G440" s="17"/>
      <c r="H440" s="17"/>
      <c r="I440" s="42"/>
      <c r="J440" s="17"/>
      <c r="K440" s="17"/>
      <c r="L440" s="17"/>
      <c r="M440" s="17"/>
      <c r="N440" s="40"/>
      <c r="O440" s="41"/>
      <c r="P440" s="43" t="str">
        <f aca="false">IF(OR(B440="",N440=""),"",ROUND(((N440+N(O440))-(B440+N(C440)))*24,1))</f>
        <v/>
      </c>
      <c r="Q440" s="44" t="str">
        <f aca="false">IF(OR(E440="",A440="",COUNTIFS(Scoresheet!$C$2:$C$501,A440,Scoresheet!$U$2:$U$501,1)=0),"",SUMIFS(Scoresheet!$O$2:$O$501,Scoresheet!$C$2:$C$501,A440,Scoresheet!$U$2:$U$501,1))</f>
        <v/>
      </c>
      <c r="R440" s="44" t="str">
        <f aca="false">IF(E440="","",IF(OR(A440="",COUNTIFS(Scoresheet!$C$2:$C$501,A440,Scoresheet!$U$2:$U$501,1)=0),"No scoresheet yet",IF(SUMIFS(Scoresheet!$N$2:$N$501,Scoresheet!$C$2:$C$501,A440,Scoresheet!$U$2:$U$501,1)&lt;6,"Partly scored ("&amp;SUMIFS(Scoresheet!$N$2:$N$501,Scoresheet!$C$2:$C$501,A440,Scoresheet!$U$2:$U$501,1)&amp;"/6)",IF(Q440&gt;=Settings!$S$8,"Hot",IF(Q440&gt;=Settings!$S$9,"Warm","Cold")))))</f>
        <v/>
      </c>
      <c r="S440" s="44" t="str">
        <f aca="false">IF(OR(E440="",A440=""),"",IF(AND(COUNTIFS(Scoresheet!$C$2:$C$501,A440,Scoresheet!$U$2:$U$501,1,Scoresheet!$H$2:$H$501,"No")&gt;0,COUNTIFS(Scoresheet!$C$2:$C$501,A440,Scoresheet!$U$2:$U$501,1,Scoresheet!$J$2:$J$501,"No")&gt;0),"🚩 Budget  ·  🚩 No one on camera",IF(COUNTIFS(Scoresheet!$C$2:$C$501,A440,Scoresheet!$U$2:$U$501,1,Scoresheet!$H$2:$H$501,"No")&gt;0,"🚩 Budget under AED 5k",IF(COUNTIFS(Scoresheet!$C$2:$C$501,A440,Scoresheet!$U$2:$U$501,1,Scoresheet!$J$2:$J$501,"No")&gt;0,"🚩 No one on camera",""))))</f>
        <v/>
      </c>
      <c r="T440" s="17"/>
      <c r="U440" s="17"/>
      <c r="V440" s="40"/>
      <c r="W440" s="17"/>
      <c r="X440" s="45" t="str">
        <f aca="false">IF(OR(E440="",V440="",OR(U440="Contract signed + paid",U440="Closed – No response",U440="Lost"),N(W440)&gt;=Settings!$S$3),"",V440+Settings!$S$2)</f>
        <v/>
      </c>
      <c r="Y440" s="40"/>
      <c r="Z440" s="41"/>
      <c r="AA440" s="17"/>
      <c r="AB440" s="17"/>
      <c r="AC440" s="17"/>
      <c r="AD440" s="46" t="str">
        <f aca="true">IF(OR(E440="",B440=""),"",INT(TODAY()-B440))</f>
        <v/>
      </c>
      <c r="AE440" s="44" t="str">
        <f aca="true">IF(E440="","",IF(OR(COUNTIFS(Clients!$C$2:$C$501,E440,Clients!$S$2:$S$501,"Paid")&gt;0,AND(I440&lt;&gt;"",COUNTIFS(Clients!$E$2:$E$501,I440,Clients!$S$2:$S$501,"Paid")&gt;0)),"⚠ Refunded before – no free video",IF(OR(U440="Contract signed + paid",U440="Closed – No response",U440="Lost"),"",IF(U440="","Set a stage",IF(AND(U440="Proposal sent",SUMIFS(Scoresheet!$N$2:$N$501,Scoresheet!$C$2:$C$501,A440,Scoresheet!$U$2:$U$501,1)&lt;6),"Score this lead – fill the call scoresheet",IF(N(W440)&gt;=Settings!$S$3,"Close – 4 follow-ups sent",IF(X440="",IF(V440="","Make first contact",""),IF(TODAY()&gt;X440,"OVERDUE follow-up",IF(TODAY()=X440,"Follow up today","")))))))))</f>
        <v/>
      </c>
    </row>
    <row r="441" customFormat="false" ht="15" hidden="false" customHeight="false" outlineLevel="0" collapsed="false">
      <c r="A441" s="17"/>
      <c r="B441" s="40"/>
      <c r="C441" s="41"/>
      <c r="D441" s="17"/>
      <c r="E441" s="17"/>
      <c r="F441" s="17"/>
      <c r="G441" s="17"/>
      <c r="H441" s="17"/>
      <c r="I441" s="42"/>
      <c r="J441" s="17"/>
      <c r="K441" s="17"/>
      <c r="L441" s="17"/>
      <c r="M441" s="17"/>
      <c r="N441" s="40"/>
      <c r="O441" s="41"/>
      <c r="P441" s="43" t="str">
        <f aca="false">IF(OR(B441="",N441=""),"",ROUND(((N441+N(O441))-(B441+N(C441)))*24,1))</f>
        <v/>
      </c>
      <c r="Q441" s="44" t="str">
        <f aca="false">IF(OR(E441="",A441="",COUNTIFS(Scoresheet!$C$2:$C$501,A441,Scoresheet!$U$2:$U$501,1)=0),"",SUMIFS(Scoresheet!$O$2:$O$501,Scoresheet!$C$2:$C$501,A441,Scoresheet!$U$2:$U$501,1))</f>
        <v/>
      </c>
      <c r="R441" s="44" t="str">
        <f aca="false">IF(E441="","",IF(OR(A441="",COUNTIFS(Scoresheet!$C$2:$C$501,A441,Scoresheet!$U$2:$U$501,1)=0),"No scoresheet yet",IF(SUMIFS(Scoresheet!$N$2:$N$501,Scoresheet!$C$2:$C$501,A441,Scoresheet!$U$2:$U$501,1)&lt;6,"Partly scored ("&amp;SUMIFS(Scoresheet!$N$2:$N$501,Scoresheet!$C$2:$C$501,A441,Scoresheet!$U$2:$U$501,1)&amp;"/6)",IF(Q441&gt;=Settings!$S$8,"Hot",IF(Q441&gt;=Settings!$S$9,"Warm","Cold")))))</f>
        <v/>
      </c>
      <c r="S441" s="44" t="str">
        <f aca="false">IF(OR(E441="",A441=""),"",IF(AND(COUNTIFS(Scoresheet!$C$2:$C$501,A441,Scoresheet!$U$2:$U$501,1,Scoresheet!$H$2:$H$501,"No")&gt;0,COUNTIFS(Scoresheet!$C$2:$C$501,A441,Scoresheet!$U$2:$U$501,1,Scoresheet!$J$2:$J$501,"No")&gt;0),"🚩 Budget  ·  🚩 No one on camera",IF(COUNTIFS(Scoresheet!$C$2:$C$501,A441,Scoresheet!$U$2:$U$501,1,Scoresheet!$H$2:$H$501,"No")&gt;0,"🚩 Budget under AED 5k",IF(COUNTIFS(Scoresheet!$C$2:$C$501,A441,Scoresheet!$U$2:$U$501,1,Scoresheet!$J$2:$J$501,"No")&gt;0,"🚩 No one on camera",""))))</f>
        <v/>
      </c>
      <c r="T441" s="17"/>
      <c r="U441" s="17"/>
      <c r="V441" s="40"/>
      <c r="W441" s="17"/>
      <c r="X441" s="45" t="str">
        <f aca="false">IF(OR(E441="",V441="",OR(U441="Contract signed + paid",U441="Closed – No response",U441="Lost"),N(W441)&gt;=Settings!$S$3),"",V441+Settings!$S$2)</f>
        <v/>
      </c>
      <c r="Y441" s="40"/>
      <c r="Z441" s="41"/>
      <c r="AA441" s="17"/>
      <c r="AB441" s="17"/>
      <c r="AC441" s="17"/>
      <c r="AD441" s="46" t="str">
        <f aca="true">IF(OR(E441="",B441=""),"",INT(TODAY()-B441))</f>
        <v/>
      </c>
      <c r="AE441" s="44" t="str">
        <f aca="true">IF(E441="","",IF(OR(COUNTIFS(Clients!$C$2:$C$501,E441,Clients!$S$2:$S$501,"Paid")&gt;0,AND(I441&lt;&gt;"",COUNTIFS(Clients!$E$2:$E$501,I441,Clients!$S$2:$S$501,"Paid")&gt;0)),"⚠ Refunded before – no free video",IF(OR(U441="Contract signed + paid",U441="Closed – No response",U441="Lost"),"",IF(U441="","Set a stage",IF(AND(U441="Proposal sent",SUMIFS(Scoresheet!$N$2:$N$501,Scoresheet!$C$2:$C$501,A441,Scoresheet!$U$2:$U$501,1)&lt;6),"Score this lead – fill the call scoresheet",IF(N(W441)&gt;=Settings!$S$3,"Close – 4 follow-ups sent",IF(X441="",IF(V441="","Make first contact",""),IF(TODAY()&gt;X441,"OVERDUE follow-up",IF(TODAY()=X441,"Follow up today","")))))))))</f>
        <v/>
      </c>
    </row>
    <row r="442" customFormat="false" ht="15" hidden="false" customHeight="false" outlineLevel="0" collapsed="false">
      <c r="A442" s="17"/>
      <c r="B442" s="40"/>
      <c r="C442" s="41"/>
      <c r="D442" s="17"/>
      <c r="E442" s="17"/>
      <c r="F442" s="17"/>
      <c r="G442" s="17"/>
      <c r="H442" s="17"/>
      <c r="I442" s="42"/>
      <c r="J442" s="17"/>
      <c r="K442" s="17"/>
      <c r="L442" s="17"/>
      <c r="M442" s="17"/>
      <c r="N442" s="40"/>
      <c r="O442" s="41"/>
      <c r="P442" s="43" t="str">
        <f aca="false">IF(OR(B442="",N442=""),"",ROUND(((N442+N(O442))-(B442+N(C442)))*24,1))</f>
        <v/>
      </c>
      <c r="Q442" s="44" t="str">
        <f aca="false">IF(OR(E442="",A442="",COUNTIFS(Scoresheet!$C$2:$C$501,A442,Scoresheet!$U$2:$U$501,1)=0),"",SUMIFS(Scoresheet!$O$2:$O$501,Scoresheet!$C$2:$C$501,A442,Scoresheet!$U$2:$U$501,1))</f>
        <v/>
      </c>
      <c r="R442" s="44" t="str">
        <f aca="false">IF(E442="","",IF(OR(A442="",COUNTIFS(Scoresheet!$C$2:$C$501,A442,Scoresheet!$U$2:$U$501,1)=0),"No scoresheet yet",IF(SUMIFS(Scoresheet!$N$2:$N$501,Scoresheet!$C$2:$C$501,A442,Scoresheet!$U$2:$U$501,1)&lt;6,"Partly scored ("&amp;SUMIFS(Scoresheet!$N$2:$N$501,Scoresheet!$C$2:$C$501,A442,Scoresheet!$U$2:$U$501,1)&amp;"/6)",IF(Q442&gt;=Settings!$S$8,"Hot",IF(Q442&gt;=Settings!$S$9,"Warm","Cold")))))</f>
        <v/>
      </c>
      <c r="S442" s="44" t="str">
        <f aca="false">IF(OR(E442="",A442=""),"",IF(AND(COUNTIFS(Scoresheet!$C$2:$C$501,A442,Scoresheet!$U$2:$U$501,1,Scoresheet!$H$2:$H$501,"No")&gt;0,COUNTIFS(Scoresheet!$C$2:$C$501,A442,Scoresheet!$U$2:$U$501,1,Scoresheet!$J$2:$J$501,"No")&gt;0),"🚩 Budget  ·  🚩 No one on camera",IF(COUNTIFS(Scoresheet!$C$2:$C$501,A442,Scoresheet!$U$2:$U$501,1,Scoresheet!$H$2:$H$501,"No")&gt;0,"🚩 Budget under AED 5k",IF(COUNTIFS(Scoresheet!$C$2:$C$501,A442,Scoresheet!$U$2:$U$501,1,Scoresheet!$J$2:$J$501,"No")&gt;0,"🚩 No one on camera",""))))</f>
        <v/>
      </c>
      <c r="T442" s="17"/>
      <c r="U442" s="17"/>
      <c r="V442" s="40"/>
      <c r="W442" s="17"/>
      <c r="X442" s="45" t="str">
        <f aca="false">IF(OR(E442="",V442="",OR(U442="Contract signed + paid",U442="Closed – No response",U442="Lost"),N(W442)&gt;=Settings!$S$3),"",V442+Settings!$S$2)</f>
        <v/>
      </c>
      <c r="Y442" s="40"/>
      <c r="Z442" s="41"/>
      <c r="AA442" s="17"/>
      <c r="AB442" s="17"/>
      <c r="AC442" s="17"/>
      <c r="AD442" s="46" t="str">
        <f aca="true">IF(OR(E442="",B442=""),"",INT(TODAY()-B442))</f>
        <v/>
      </c>
      <c r="AE442" s="44" t="str">
        <f aca="true">IF(E442="","",IF(OR(COUNTIFS(Clients!$C$2:$C$501,E442,Clients!$S$2:$S$501,"Paid")&gt;0,AND(I442&lt;&gt;"",COUNTIFS(Clients!$E$2:$E$501,I442,Clients!$S$2:$S$501,"Paid")&gt;0)),"⚠ Refunded before – no free video",IF(OR(U442="Contract signed + paid",U442="Closed – No response",U442="Lost"),"",IF(U442="","Set a stage",IF(AND(U442="Proposal sent",SUMIFS(Scoresheet!$N$2:$N$501,Scoresheet!$C$2:$C$501,A442,Scoresheet!$U$2:$U$501,1)&lt;6),"Score this lead – fill the call scoresheet",IF(N(W442)&gt;=Settings!$S$3,"Close – 4 follow-ups sent",IF(X442="",IF(V442="","Make first contact",""),IF(TODAY()&gt;X442,"OVERDUE follow-up",IF(TODAY()=X442,"Follow up today","")))))))))</f>
        <v/>
      </c>
    </row>
    <row r="443" customFormat="false" ht="15" hidden="false" customHeight="false" outlineLevel="0" collapsed="false">
      <c r="A443" s="17"/>
      <c r="B443" s="40"/>
      <c r="C443" s="41"/>
      <c r="D443" s="17"/>
      <c r="E443" s="17"/>
      <c r="F443" s="17"/>
      <c r="G443" s="17"/>
      <c r="H443" s="17"/>
      <c r="I443" s="42"/>
      <c r="J443" s="17"/>
      <c r="K443" s="17"/>
      <c r="L443" s="17"/>
      <c r="M443" s="17"/>
      <c r="N443" s="40"/>
      <c r="O443" s="41"/>
      <c r="P443" s="43" t="str">
        <f aca="false">IF(OR(B443="",N443=""),"",ROUND(((N443+N(O443))-(B443+N(C443)))*24,1))</f>
        <v/>
      </c>
      <c r="Q443" s="44" t="str">
        <f aca="false">IF(OR(E443="",A443="",COUNTIFS(Scoresheet!$C$2:$C$501,A443,Scoresheet!$U$2:$U$501,1)=0),"",SUMIFS(Scoresheet!$O$2:$O$501,Scoresheet!$C$2:$C$501,A443,Scoresheet!$U$2:$U$501,1))</f>
        <v/>
      </c>
      <c r="R443" s="44" t="str">
        <f aca="false">IF(E443="","",IF(OR(A443="",COUNTIFS(Scoresheet!$C$2:$C$501,A443,Scoresheet!$U$2:$U$501,1)=0),"No scoresheet yet",IF(SUMIFS(Scoresheet!$N$2:$N$501,Scoresheet!$C$2:$C$501,A443,Scoresheet!$U$2:$U$501,1)&lt;6,"Partly scored ("&amp;SUMIFS(Scoresheet!$N$2:$N$501,Scoresheet!$C$2:$C$501,A443,Scoresheet!$U$2:$U$501,1)&amp;"/6)",IF(Q443&gt;=Settings!$S$8,"Hot",IF(Q443&gt;=Settings!$S$9,"Warm","Cold")))))</f>
        <v/>
      </c>
      <c r="S443" s="44" t="str">
        <f aca="false">IF(OR(E443="",A443=""),"",IF(AND(COUNTIFS(Scoresheet!$C$2:$C$501,A443,Scoresheet!$U$2:$U$501,1,Scoresheet!$H$2:$H$501,"No")&gt;0,COUNTIFS(Scoresheet!$C$2:$C$501,A443,Scoresheet!$U$2:$U$501,1,Scoresheet!$J$2:$J$501,"No")&gt;0),"🚩 Budget  ·  🚩 No one on camera",IF(COUNTIFS(Scoresheet!$C$2:$C$501,A443,Scoresheet!$U$2:$U$501,1,Scoresheet!$H$2:$H$501,"No")&gt;0,"🚩 Budget under AED 5k",IF(COUNTIFS(Scoresheet!$C$2:$C$501,A443,Scoresheet!$U$2:$U$501,1,Scoresheet!$J$2:$J$501,"No")&gt;0,"🚩 No one on camera",""))))</f>
        <v/>
      </c>
      <c r="T443" s="17"/>
      <c r="U443" s="17"/>
      <c r="V443" s="40"/>
      <c r="W443" s="17"/>
      <c r="X443" s="45" t="str">
        <f aca="false">IF(OR(E443="",V443="",OR(U443="Contract signed + paid",U443="Closed – No response",U443="Lost"),N(W443)&gt;=Settings!$S$3),"",V443+Settings!$S$2)</f>
        <v/>
      </c>
      <c r="Y443" s="40"/>
      <c r="Z443" s="41"/>
      <c r="AA443" s="17"/>
      <c r="AB443" s="17"/>
      <c r="AC443" s="17"/>
      <c r="AD443" s="46" t="str">
        <f aca="true">IF(OR(E443="",B443=""),"",INT(TODAY()-B443))</f>
        <v/>
      </c>
      <c r="AE443" s="44" t="str">
        <f aca="true">IF(E443="","",IF(OR(COUNTIFS(Clients!$C$2:$C$501,E443,Clients!$S$2:$S$501,"Paid")&gt;0,AND(I443&lt;&gt;"",COUNTIFS(Clients!$E$2:$E$501,I443,Clients!$S$2:$S$501,"Paid")&gt;0)),"⚠ Refunded before – no free video",IF(OR(U443="Contract signed + paid",U443="Closed – No response",U443="Lost"),"",IF(U443="","Set a stage",IF(AND(U443="Proposal sent",SUMIFS(Scoresheet!$N$2:$N$501,Scoresheet!$C$2:$C$501,A443,Scoresheet!$U$2:$U$501,1)&lt;6),"Score this lead – fill the call scoresheet",IF(N(W443)&gt;=Settings!$S$3,"Close – 4 follow-ups sent",IF(X443="",IF(V443="","Make first contact",""),IF(TODAY()&gt;X443,"OVERDUE follow-up",IF(TODAY()=X443,"Follow up today","")))))))))</f>
        <v/>
      </c>
    </row>
    <row r="444" customFormat="false" ht="15" hidden="false" customHeight="false" outlineLevel="0" collapsed="false">
      <c r="A444" s="17"/>
      <c r="B444" s="40"/>
      <c r="C444" s="41"/>
      <c r="D444" s="17"/>
      <c r="E444" s="17"/>
      <c r="F444" s="17"/>
      <c r="G444" s="17"/>
      <c r="H444" s="17"/>
      <c r="I444" s="42"/>
      <c r="J444" s="17"/>
      <c r="K444" s="17"/>
      <c r="L444" s="17"/>
      <c r="M444" s="17"/>
      <c r="N444" s="40"/>
      <c r="O444" s="41"/>
      <c r="P444" s="43" t="str">
        <f aca="false">IF(OR(B444="",N444=""),"",ROUND(((N444+N(O444))-(B444+N(C444)))*24,1))</f>
        <v/>
      </c>
      <c r="Q444" s="44" t="str">
        <f aca="false">IF(OR(E444="",A444="",COUNTIFS(Scoresheet!$C$2:$C$501,A444,Scoresheet!$U$2:$U$501,1)=0),"",SUMIFS(Scoresheet!$O$2:$O$501,Scoresheet!$C$2:$C$501,A444,Scoresheet!$U$2:$U$501,1))</f>
        <v/>
      </c>
      <c r="R444" s="44" t="str">
        <f aca="false">IF(E444="","",IF(OR(A444="",COUNTIFS(Scoresheet!$C$2:$C$501,A444,Scoresheet!$U$2:$U$501,1)=0),"No scoresheet yet",IF(SUMIFS(Scoresheet!$N$2:$N$501,Scoresheet!$C$2:$C$501,A444,Scoresheet!$U$2:$U$501,1)&lt;6,"Partly scored ("&amp;SUMIFS(Scoresheet!$N$2:$N$501,Scoresheet!$C$2:$C$501,A444,Scoresheet!$U$2:$U$501,1)&amp;"/6)",IF(Q444&gt;=Settings!$S$8,"Hot",IF(Q444&gt;=Settings!$S$9,"Warm","Cold")))))</f>
        <v/>
      </c>
      <c r="S444" s="44" t="str">
        <f aca="false">IF(OR(E444="",A444=""),"",IF(AND(COUNTIFS(Scoresheet!$C$2:$C$501,A444,Scoresheet!$U$2:$U$501,1,Scoresheet!$H$2:$H$501,"No")&gt;0,COUNTIFS(Scoresheet!$C$2:$C$501,A444,Scoresheet!$U$2:$U$501,1,Scoresheet!$J$2:$J$501,"No")&gt;0),"🚩 Budget  ·  🚩 No one on camera",IF(COUNTIFS(Scoresheet!$C$2:$C$501,A444,Scoresheet!$U$2:$U$501,1,Scoresheet!$H$2:$H$501,"No")&gt;0,"🚩 Budget under AED 5k",IF(COUNTIFS(Scoresheet!$C$2:$C$501,A444,Scoresheet!$U$2:$U$501,1,Scoresheet!$J$2:$J$501,"No")&gt;0,"🚩 No one on camera",""))))</f>
        <v/>
      </c>
      <c r="T444" s="17"/>
      <c r="U444" s="17"/>
      <c r="V444" s="40"/>
      <c r="W444" s="17"/>
      <c r="X444" s="45" t="str">
        <f aca="false">IF(OR(E444="",V444="",OR(U444="Contract signed + paid",U444="Closed – No response",U444="Lost"),N(W444)&gt;=Settings!$S$3),"",V444+Settings!$S$2)</f>
        <v/>
      </c>
      <c r="Y444" s="40"/>
      <c r="Z444" s="41"/>
      <c r="AA444" s="17"/>
      <c r="AB444" s="17"/>
      <c r="AC444" s="17"/>
      <c r="AD444" s="46" t="str">
        <f aca="true">IF(OR(E444="",B444=""),"",INT(TODAY()-B444))</f>
        <v/>
      </c>
      <c r="AE444" s="44" t="str">
        <f aca="true">IF(E444="","",IF(OR(COUNTIFS(Clients!$C$2:$C$501,E444,Clients!$S$2:$S$501,"Paid")&gt;0,AND(I444&lt;&gt;"",COUNTIFS(Clients!$E$2:$E$501,I444,Clients!$S$2:$S$501,"Paid")&gt;0)),"⚠ Refunded before – no free video",IF(OR(U444="Contract signed + paid",U444="Closed – No response",U444="Lost"),"",IF(U444="","Set a stage",IF(AND(U444="Proposal sent",SUMIFS(Scoresheet!$N$2:$N$501,Scoresheet!$C$2:$C$501,A444,Scoresheet!$U$2:$U$501,1)&lt;6),"Score this lead – fill the call scoresheet",IF(N(W444)&gt;=Settings!$S$3,"Close – 4 follow-ups sent",IF(X444="",IF(V444="","Make first contact",""),IF(TODAY()&gt;X444,"OVERDUE follow-up",IF(TODAY()=X444,"Follow up today","")))))))))</f>
        <v/>
      </c>
    </row>
    <row r="445" customFormat="false" ht="15" hidden="false" customHeight="false" outlineLevel="0" collapsed="false">
      <c r="A445" s="17"/>
      <c r="B445" s="40"/>
      <c r="C445" s="41"/>
      <c r="D445" s="17"/>
      <c r="E445" s="17"/>
      <c r="F445" s="17"/>
      <c r="G445" s="17"/>
      <c r="H445" s="17"/>
      <c r="I445" s="42"/>
      <c r="J445" s="17"/>
      <c r="K445" s="17"/>
      <c r="L445" s="17"/>
      <c r="M445" s="17"/>
      <c r="N445" s="40"/>
      <c r="O445" s="41"/>
      <c r="P445" s="43" t="str">
        <f aca="false">IF(OR(B445="",N445=""),"",ROUND(((N445+N(O445))-(B445+N(C445)))*24,1))</f>
        <v/>
      </c>
      <c r="Q445" s="44" t="str">
        <f aca="false">IF(OR(E445="",A445="",COUNTIFS(Scoresheet!$C$2:$C$501,A445,Scoresheet!$U$2:$U$501,1)=0),"",SUMIFS(Scoresheet!$O$2:$O$501,Scoresheet!$C$2:$C$501,A445,Scoresheet!$U$2:$U$501,1))</f>
        <v/>
      </c>
      <c r="R445" s="44" t="str">
        <f aca="false">IF(E445="","",IF(OR(A445="",COUNTIFS(Scoresheet!$C$2:$C$501,A445,Scoresheet!$U$2:$U$501,1)=0),"No scoresheet yet",IF(SUMIFS(Scoresheet!$N$2:$N$501,Scoresheet!$C$2:$C$501,A445,Scoresheet!$U$2:$U$501,1)&lt;6,"Partly scored ("&amp;SUMIFS(Scoresheet!$N$2:$N$501,Scoresheet!$C$2:$C$501,A445,Scoresheet!$U$2:$U$501,1)&amp;"/6)",IF(Q445&gt;=Settings!$S$8,"Hot",IF(Q445&gt;=Settings!$S$9,"Warm","Cold")))))</f>
        <v/>
      </c>
      <c r="S445" s="44" t="str">
        <f aca="false">IF(OR(E445="",A445=""),"",IF(AND(COUNTIFS(Scoresheet!$C$2:$C$501,A445,Scoresheet!$U$2:$U$501,1,Scoresheet!$H$2:$H$501,"No")&gt;0,COUNTIFS(Scoresheet!$C$2:$C$501,A445,Scoresheet!$U$2:$U$501,1,Scoresheet!$J$2:$J$501,"No")&gt;0),"🚩 Budget  ·  🚩 No one on camera",IF(COUNTIFS(Scoresheet!$C$2:$C$501,A445,Scoresheet!$U$2:$U$501,1,Scoresheet!$H$2:$H$501,"No")&gt;0,"🚩 Budget under AED 5k",IF(COUNTIFS(Scoresheet!$C$2:$C$501,A445,Scoresheet!$U$2:$U$501,1,Scoresheet!$J$2:$J$501,"No")&gt;0,"🚩 No one on camera",""))))</f>
        <v/>
      </c>
      <c r="T445" s="17"/>
      <c r="U445" s="17"/>
      <c r="V445" s="40"/>
      <c r="W445" s="17"/>
      <c r="X445" s="45" t="str">
        <f aca="false">IF(OR(E445="",V445="",OR(U445="Contract signed + paid",U445="Closed – No response",U445="Lost"),N(W445)&gt;=Settings!$S$3),"",V445+Settings!$S$2)</f>
        <v/>
      </c>
      <c r="Y445" s="40"/>
      <c r="Z445" s="41"/>
      <c r="AA445" s="17"/>
      <c r="AB445" s="17"/>
      <c r="AC445" s="17"/>
      <c r="AD445" s="46" t="str">
        <f aca="true">IF(OR(E445="",B445=""),"",INT(TODAY()-B445))</f>
        <v/>
      </c>
      <c r="AE445" s="44" t="str">
        <f aca="true">IF(E445="","",IF(OR(COUNTIFS(Clients!$C$2:$C$501,E445,Clients!$S$2:$S$501,"Paid")&gt;0,AND(I445&lt;&gt;"",COUNTIFS(Clients!$E$2:$E$501,I445,Clients!$S$2:$S$501,"Paid")&gt;0)),"⚠ Refunded before – no free video",IF(OR(U445="Contract signed + paid",U445="Closed – No response",U445="Lost"),"",IF(U445="","Set a stage",IF(AND(U445="Proposal sent",SUMIFS(Scoresheet!$N$2:$N$501,Scoresheet!$C$2:$C$501,A445,Scoresheet!$U$2:$U$501,1)&lt;6),"Score this lead – fill the call scoresheet",IF(N(W445)&gt;=Settings!$S$3,"Close – 4 follow-ups sent",IF(X445="",IF(V445="","Make first contact",""),IF(TODAY()&gt;X445,"OVERDUE follow-up",IF(TODAY()=X445,"Follow up today","")))))))))</f>
        <v/>
      </c>
    </row>
    <row r="446" customFormat="false" ht="15" hidden="false" customHeight="false" outlineLevel="0" collapsed="false">
      <c r="A446" s="17"/>
      <c r="B446" s="40"/>
      <c r="C446" s="41"/>
      <c r="D446" s="17"/>
      <c r="E446" s="17"/>
      <c r="F446" s="17"/>
      <c r="G446" s="17"/>
      <c r="H446" s="17"/>
      <c r="I446" s="42"/>
      <c r="J446" s="17"/>
      <c r="K446" s="17"/>
      <c r="L446" s="17"/>
      <c r="M446" s="17"/>
      <c r="N446" s="40"/>
      <c r="O446" s="41"/>
      <c r="P446" s="43" t="str">
        <f aca="false">IF(OR(B446="",N446=""),"",ROUND(((N446+N(O446))-(B446+N(C446)))*24,1))</f>
        <v/>
      </c>
      <c r="Q446" s="44" t="str">
        <f aca="false">IF(OR(E446="",A446="",COUNTIFS(Scoresheet!$C$2:$C$501,A446,Scoresheet!$U$2:$U$501,1)=0),"",SUMIFS(Scoresheet!$O$2:$O$501,Scoresheet!$C$2:$C$501,A446,Scoresheet!$U$2:$U$501,1))</f>
        <v/>
      </c>
      <c r="R446" s="44" t="str">
        <f aca="false">IF(E446="","",IF(OR(A446="",COUNTIFS(Scoresheet!$C$2:$C$501,A446,Scoresheet!$U$2:$U$501,1)=0),"No scoresheet yet",IF(SUMIFS(Scoresheet!$N$2:$N$501,Scoresheet!$C$2:$C$501,A446,Scoresheet!$U$2:$U$501,1)&lt;6,"Partly scored ("&amp;SUMIFS(Scoresheet!$N$2:$N$501,Scoresheet!$C$2:$C$501,A446,Scoresheet!$U$2:$U$501,1)&amp;"/6)",IF(Q446&gt;=Settings!$S$8,"Hot",IF(Q446&gt;=Settings!$S$9,"Warm","Cold")))))</f>
        <v/>
      </c>
      <c r="S446" s="44" t="str">
        <f aca="false">IF(OR(E446="",A446=""),"",IF(AND(COUNTIFS(Scoresheet!$C$2:$C$501,A446,Scoresheet!$U$2:$U$501,1,Scoresheet!$H$2:$H$501,"No")&gt;0,COUNTIFS(Scoresheet!$C$2:$C$501,A446,Scoresheet!$U$2:$U$501,1,Scoresheet!$J$2:$J$501,"No")&gt;0),"🚩 Budget  ·  🚩 No one on camera",IF(COUNTIFS(Scoresheet!$C$2:$C$501,A446,Scoresheet!$U$2:$U$501,1,Scoresheet!$H$2:$H$501,"No")&gt;0,"🚩 Budget under AED 5k",IF(COUNTIFS(Scoresheet!$C$2:$C$501,A446,Scoresheet!$U$2:$U$501,1,Scoresheet!$J$2:$J$501,"No")&gt;0,"🚩 No one on camera",""))))</f>
        <v/>
      </c>
      <c r="T446" s="17"/>
      <c r="U446" s="17"/>
      <c r="V446" s="40"/>
      <c r="W446" s="17"/>
      <c r="X446" s="45" t="str">
        <f aca="false">IF(OR(E446="",V446="",OR(U446="Contract signed + paid",U446="Closed – No response",U446="Lost"),N(W446)&gt;=Settings!$S$3),"",V446+Settings!$S$2)</f>
        <v/>
      </c>
      <c r="Y446" s="40"/>
      <c r="Z446" s="41"/>
      <c r="AA446" s="17"/>
      <c r="AB446" s="17"/>
      <c r="AC446" s="17"/>
      <c r="AD446" s="46" t="str">
        <f aca="true">IF(OR(E446="",B446=""),"",INT(TODAY()-B446))</f>
        <v/>
      </c>
      <c r="AE446" s="44" t="str">
        <f aca="true">IF(E446="","",IF(OR(COUNTIFS(Clients!$C$2:$C$501,E446,Clients!$S$2:$S$501,"Paid")&gt;0,AND(I446&lt;&gt;"",COUNTIFS(Clients!$E$2:$E$501,I446,Clients!$S$2:$S$501,"Paid")&gt;0)),"⚠ Refunded before – no free video",IF(OR(U446="Contract signed + paid",U446="Closed – No response",U446="Lost"),"",IF(U446="","Set a stage",IF(AND(U446="Proposal sent",SUMIFS(Scoresheet!$N$2:$N$501,Scoresheet!$C$2:$C$501,A446,Scoresheet!$U$2:$U$501,1)&lt;6),"Score this lead – fill the call scoresheet",IF(N(W446)&gt;=Settings!$S$3,"Close – 4 follow-ups sent",IF(X446="",IF(V446="","Make first contact",""),IF(TODAY()&gt;X446,"OVERDUE follow-up",IF(TODAY()=X446,"Follow up today","")))))))))</f>
        <v/>
      </c>
    </row>
    <row r="447" customFormat="false" ht="15" hidden="false" customHeight="false" outlineLevel="0" collapsed="false">
      <c r="A447" s="17"/>
      <c r="B447" s="40"/>
      <c r="C447" s="41"/>
      <c r="D447" s="17"/>
      <c r="E447" s="17"/>
      <c r="F447" s="17"/>
      <c r="G447" s="17"/>
      <c r="H447" s="17"/>
      <c r="I447" s="42"/>
      <c r="J447" s="17"/>
      <c r="K447" s="17"/>
      <c r="L447" s="17"/>
      <c r="M447" s="17"/>
      <c r="N447" s="40"/>
      <c r="O447" s="41"/>
      <c r="P447" s="43" t="str">
        <f aca="false">IF(OR(B447="",N447=""),"",ROUND(((N447+N(O447))-(B447+N(C447)))*24,1))</f>
        <v/>
      </c>
      <c r="Q447" s="44" t="str">
        <f aca="false">IF(OR(E447="",A447="",COUNTIFS(Scoresheet!$C$2:$C$501,A447,Scoresheet!$U$2:$U$501,1)=0),"",SUMIFS(Scoresheet!$O$2:$O$501,Scoresheet!$C$2:$C$501,A447,Scoresheet!$U$2:$U$501,1))</f>
        <v/>
      </c>
      <c r="R447" s="44" t="str">
        <f aca="false">IF(E447="","",IF(OR(A447="",COUNTIFS(Scoresheet!$C$2:$C$501,A447,Scoresheet!$U$2:$U$501,1)=0),"No scoresheet yet",IF(SUMIFS(Scoresheet!$N$2:$N$501,Scoresheet!$C$2:$C$501,A447,Scoresheet!$U$2:$U$501,1)&lt;6,"Partly scored ("&amp;SUMIFS(Scoresheet!$N$2:$N$501,Scoresheet!$C$2:$C$501,A447,Scoresheet!$U$2:$U$501,1)&amp;"/6)",IF(Q447&gt;=Settings!$S$8,"Hot",IF(Q447&gt;=Settings!$S$9,"Warm","Cold")))))</f>
        <v/>
      </c>
      <c r="S447" s="44" t="str">
        <f aca="false">IF(OR(E447="",A447=""),"",IF(AND(COUNTIFS(Scoresheet!$C$2:$C$501,A447,Scoresheet!$U$2:$U$501,1,Scoresheet!$H$2:$H$501,"No")&gt;0,COUNTIFS(Scoresheet!$C$2:$C$501,A447,Scoresheet!$U$2:$U$501,1,Scoresheet!$J$2:$J$501,"No")&gt;0),"🚩 Budget  ·  🚩 No one on camera",IF(COUNTIFS(Scoresheet!$C$2:$C$501,A447,Scoresheet!$U$2:$U$501,1,Scoresheet!$H$2:$H$501,"No")&gt;0,"🚩 Budget under AED 5k",IF(COUNTIFS(Scoresheet!$C$2:$C$501,A447,Scoresheet!$U$2:$U$501,1,Scoresheet!$J$2:$J$501,"No")&gt;0,"🚩 No one on camera",""))))</f>
        <v/>
      </c>
      <c r="T447" s="17"/>
      <c r="U447" s="17"/>
      <c r="V447" s="40"/>
      <c r="W447" s="17"/>
      <c r="X447" s="45" t="str">
        <f aca="false">IF(OR(E447="",V447="",OR(U447="Contract signed + paid",U447="Closed – No response",U447="Lost"),N(W447)&gt;=Settings!$S$3),"",V447+Settings!$S$2)</f>
        <v/>
      </c>
      <c r="Y447" s="40"/>
      <c r="Z447" s="41"/>
      <c r="AA447" s="17"/>
      <c r="AB447" s="17"/>
      <c r="AC447" s="17"/>
      <c r="AD447" s="46" t="str">
        <f aca="true">IF(OR(E447="",B447=""),"",INT(TODAY()-B447))</f>
        <v/>
      </c>
      <c r="AE447" s="44" t="str">
        <f aca="true">IF(E447="","",IF(OR(COUNTIFS(Clients!$C$2:$C$501,E447,Clients!$S$2:$S$501,"Paid")&gt;0,AND(I447&lt;&gt;"",COUNTIFS(Clients!$E$2:$E$501,I447,Clients!$S$2:$S$501,"Paid")&gt;0)),"⚠ Refunded before – no free video",IF(OR(U447="Contract signed + paid",U447="Closed – No response",U447="Lost"),"",IF(U447="","Set a stage",IF(AND(U447="Proposal sent",SUMIFS(Scoresheet!$N$2:$N$501,Scoresheet!$C$2:$C$501,A447,Scoresheet!$U$2:$U$501,1)&lt;6),"Score this lead – fill the call scoresheet",IF(N(W447)&gt;=Settings!$S$3,"Close – 4 follow-ups sent",IF(X447="",IF(V447="","Make first contact",""),IF(TODAY()&gt;X447,"OVERDUE follow-up",IF(TODAY()=X447,"Follow up today","")))))))))</f>
        <v/>
      </c>
    </row>
    <row r="448" customFormat="false" ht="15" hidden="false" customHeight="false" outlineLevel="0" collapsed="false">
      <c r="A448" s="17"/>
      <c r="B448" s="40"/>
      <c r="C448" s="41"/>
      <c r="D448" s="17"/>
      <c r="E448" s="17"/>
      <c r="F448" s="17"/>
      <c r="G448" s="17"/>
      <c r="H448" s="17"/>
      <c r="I448" s="42"/>
      <c r="J448" s="17"/>
      <c r="K448" s="17"/>
      <c r="L448" s="17"/>
      <c r="M448" s="17"/>
      <c r="N448" s="40"/>
      <c r="O448" s="41"/>
      <c r="P448" s="43" t="str">
        <f aca="false">IF(OR(B448="",N448=""),"",ROUND(((N448+N(O448))-(B448+N(C448)))*24,1))</f>
        <v/>
      </c>
      <c r="Q448" s="44" t="str">
        <f aca="false">IF(OR(E448="",A448="",COUNTIFS(Scoresheet!$C$2:$C$501,A448,Scoresheet!$U$2:$U$501,1)=0),"",SUMIFS(Scoresheet!$O$2:$O$501,Scoresheet!$C$2:$C$501,A448,Scoresheet!$U$2:$U$501,1))</f>
        <v/>
      </c>
      <c r="R448" s="44" t="str">
        <f aca="false">IF(E448="","",IF(OR(A448="",COUNTIFS(Scoresheet!$C$2:$C$501,A448,Scoresheet!$U$2:$U$501,1)=0),"No scoresheet yet",IF(SUMIFS(Scoresheet!$N$2:$N$501,Scoresheet!$C$2:$C$501,A448,Scoresheet!$U$2:$U$501,1)&lt;6,"Partly scored ("&amp;SUMIFS(Scoresheet!$N$2:$N$501,Scoresheet!$C$2:$C$501,A448,Scoresheet!$U$2:$U$501,1)&amp;"/6)",IF(Q448&gt;=Settings!$S$8,"Hot",IF(Q448&gt;=Settings!$S$9,"Warm","Cold")))))</f>
        <v/>
      </c>
      <c r="S448" s="44" t="str">
        <f aca="false">IF(OR(E448="",A448=""),"",IF(AND(COUNTIFS(Scoresheet!$C$2:$C$501,A448,Scoresheet!$U$2:$U$501,1,Scoresheet!$H$2:$H$501,"No")&gt;0,COUNTIFS(Scoresheet!$C$2:$C$501,A448,Scoresheet!$U$2:$U$501,1,Scoresheet!$J$2:$J$501,"No")&gt;0),"🚩 Budget  ·  🚩 No one on camera",IF(COUNTIFS(Scoresheet!$C$2:$C$501,A448,Scoresheet!$U$2:$U$501,1,Scoresheet!$H$2:$H$501,"No")&gt;0,"🚩 Budget under AED 5k",IF(COUNTIFS(Scoresheet!$C$2:$C$501,A448,Scoresheet!$U$2:$U$501,1,Scoresheet!$J$2:$J$501,"No")&gt;0,"🚩 No one on camera",""))))</f>
        <v/>
      </c>
      <c r="T448" s="17"/>
      <c r="U448" s="17"/>
      <c r="V448" s="40"/>
      <c r="W448" s="17"/>
      <c r="X448" s="45" t="str">
        <f aca="false">IF(OR(E448="",V448="",OR(U448="Contract signed + paid",U448="Closed – No response",U448="Lost"),N(W448)&gt;=Settings!$S$3),"",V448+Settings!$S$2)</f>
        <v/>
      </c>
      <c r="Y448" s="40"/>
      <c r="Z448" s="41"/>
      <c r="AA448" s="17"/>
      <c r="AB448" s="17"/>
      <c r="AC448" s="17"/>
      <c r="AD448" s="46" t="str">
        <f aca="true">IF(OR(E448="",B448=""),"",INT(TODAY()-B448))</f>
        <v/>
      </c>
      <c r="AE448" s="44" t="str">
        <f aca="true">IF(E448="","",IF(OR(COUNTIFS(Clients!$C$2:$C$501,E448,Clients!$S$2:$S$501,"Paid")&gt;0,AND(I448&lt;&gt;"",COUNTIFS(Clients!$E$2:$E$501,I448,Clients!$S$2:$S$501,"Paid")&gt;0)),"⚠ Refunded before – no free video",IF(OR(U448="Contract signed + paid",U448="Closed – No response",U448="Lost"),"",IF(U448="","Set a stage",IF(AND(U448="Proposal sent",SUMIFS(Scoresheet!$N$2:$N$501,Scoresheet!$C$2:$C$501,A448,Scoresheet!$U$2:$U$501,1)&lt;6),"Score this lead – fill the call scoresheet",IF(N(W448)&gt;=Settings!$S$3,"Close – 4 follow-ups sent",IF(X448="",IF(V448="","Make first contact",""),IF(TODAY()&gt;X448,"OVERDUE follow-up",IF(TODAY()=X448,"Follow up today","")))))))))</f>
        <v/>
      </c>
    </row>
    <row r="449" customFormat="false" ht="15" hidden="false" customHeight="false" outlineLevel="0" collapsed="false">
      <c r="A449" s="17"/>
      <c r="B449" s="40"/>
      <c r="C449" s="41"/>
      <c r="D449" s="17"/>
      <c r="E449" s="17"/>
      <c r="F449" s="17"/>
      <c r="G449" s="17"/>
      <c r="H449" s="17"/>
      <c r="I449" s="42"/>
      <c r="J449" s="17"/>
      <c r="K449" s="17"/>
      <c r="L449" s="17"/>
      <c r="M449" s="17"/>
      <c r="N449" s="40"/>
      <c r="O449" s="41"/>
      <c r="P449" s="43" t="str">
        <f aca="false">IF(OR(B449="",N449=""),"",ROUND(((N449+N(O449))-(B449+N(C449)))*24,1))</f>
        <v/>
      </c>
      <c r="Q449" s="44" t="str">
        <f aca="false">IF(OR(E449="",A449="",COUNTIFS(Scoresheet!$C$2:$C$501,A449,Scoresheet!$U$2:$U$501,1)=0),"",SUMIFS(Scoresheet!$O$2:$O$501,Scoresheet!$C$2:$C$501,A449,Scoresheet!$U$2:$U$501,1))</f>
        <v/>
      </c>
      <c r="R449" s="44" t="str">
        <f aca="false">IF(E449="","",IF(OR(A449="",COUNTIFS(Scoresheet!$C$2:$C$501,A449,Scoresheet!$U$2:$U$501,1)=0),"No scoresheet yet",IF(SUMIFS(Scoresheet!$N$2:$N$501,Scoresheet!$C$2:$C$501,A449,Scoresheet!$U$2:$U$501,1)&lt;6,"Partly scored ("&amp;SUMIFS(Scoresheet!$N$2:$N$501,Scoresheet!$C$2:$C$501,A449,Scoresheet!$U$2:$U$501,1)&amp;"/6)",IF(Q449&gt;=Settings!$S$8,"Hot",IF(Q449&gt;=Settings!$S$9,"Warm","Cold")))))</f>
        <v/>
      </c>
      <c r="S449" s="44" t="str">
        <f aca="false">IF(OR(E449="",A449=""),"",IF(AND(COUNTIFS(Scoresheet!$C$2:$C$501,A449,Scoresheet!$U$2:$U$501,1,Scoresheet!$H$2:$H$501,"No")&gt;0,COUNTIFS(Scoresheet!$C$2:$C$501,A449,Scoresheet!$U$2:$U$501,1,Scoresheet!$J$2:$J$501,"No")&gt;0),"🚩 Budget  ·  🚩 No one on camera",IF(COUNTIFS(Scoresheet!$C$2:$C$501,A449,Scoresheet!$U$2:$U$501,1,Scoresheet!$H$2:$H$501,"No")&gt;0,"🚩 Budget under AED 5k",IF(COUNTIFS(Scoresheet!$C$2:$C$501,A449,Scoresheet!$U$2:$U$501,1,Scoresheet!$J$2:$J$501,"No")&gt;0,"🚩 No one on camera",""))))</f>
        <v/>
      </c>
      <c r="T449" s="17"/>
      <c r="U449" s="17"/>
      <c r="V449" s="40"/>
      <c r="W449" s="17"/>
      <c r="X449" s="45" t="str">
        <f aca="false">IF(OR(E449="",V449="",OR(U449="Contract signed + paid",U449="Closed – No response",U449="Lost"),N(W449)&gt;=Settings!$S$3),"",V449+Settings!$S$2)</f>
        <v/>
      </c>
      <c r="Y449" s="40"/>
      <c r="Z449" s="41"/>
      <c r="AA449" s="17"/>
      <c r="AB449" s="17"/>
      <c r="AC449" s="17"/>
      <c r="AD449" s="46" t="str">
        <f aca="true">IF(OR(E449="",B449=""),"",INT(TODAY()-B449))</f>
        <v/>
      </c>
      <c r="AE449" s="44" t="str">
        <f aca="true">IF(E449="","",IF(OR(COUNTIFS(Clients!$C$2:$C$501,E449,Clients!$S$2:$S$501,"Paid")&gt;0,AND(I449&lt;&gt;"",COUNTIFS(Clients!$E$2:$E$501,I449,Clients!$S$2:$S$501,"Paid")&gt;0)),"⚠ Refunded before – no free video",IF(OR(U449="Contract signed + paid",U449="Closed – No response",U449="Lost"),"",IF(U449="","Set a stage",IF(AND(U449="Proposal sent",SUMIFS(Scoresheet!$N$2:$N$501,Scoresheet!$C$2:$C$501,A449,Scoresheet!$U$2:$U$501,1)&lt;6),"Score this lead – fill the call scoresheet",IF(N(W449)&gt;=Settings!$S$3,"Close – 4 follow-ups sent",IF(X449="",IF(V449="","Make first contact",""),IF(TODAY()&gt;X449,"OVERDUE follow-up",IF(TODAY()=X449,"Follow up today","")))))))))</f>
        <v/>
      </c>
    </row>
    <row r="450" customFormat="false" ht="15" hidden="false" customHeight="false" outlineLevel="0" collapsed="false">
      <c r="A450" s="17"/>
      <c r="B450" s="40"/>
      <c r="C450" s="41"/>
      <c r="D450" s="17"/>
      <c r="E450" s="17"/>
      <c r="F450" s="17"/>
      <c r="G450" s="17"/>
      <c r="H450" s="17"/>
      <c r="I450" s="42"/>
      <c r="J450" s="17"/>
      <c r="K450" s="17"/>
      <c r="L450" s="17"/>
      <c r="M450" s="17"/>
      <c r="N450" s="40"/>
      <c r="O450" s="41"/>
      <c r="P450" s="43" t="str">
        <f aca="false">IF(OR(B450="",N450=""),"",ROUND(((N450+N(O450))-(B450+N(C450)))*24,1))</f>
        <v/>
      </c>
      <c r="Q450" s="44" t="str">
        <f aca="false">IF(OR(E450="",A450="",COUNTIFS(Scoresheet!$C$2:$C$501,A450,Scoresheet!$U$2:$U$501,1)=0),"",SUMIFS(Scoresheet!$O$2:$O$501,Scoresheet!$C$2:$C$501,A450,Scoresheet!$U$2:$U$501,1))</f>
        <v/>
      </c>
      <c r="R450" s="44" t="str">
        <f aca="false">IF(E450="","",IF(OR(A450="",COUNTIFS(Scoresheet!$C$2:$C$501,A450,Scoresheet!$U$2:$U$501,1)=0),"No scoresheet yet",IF(SUMIFS(Scoresheet!$N$2:$N$501,Scoresheet!$C$2:$C$501,A450,Scoresheet!$U$2:$U$501,1)&lt;6,"Partly scored ("&amp;SUMIFS(Scoresheet!$N$2:$N$501,Scoresheet!$C$2:$C$501,A450,Scoresheet!$U$2:$U$501,1)&amp;"/6)",IF(Q450&gt;=Settings!$S$8,"Hot",IF(Q450&gt;=Settings!$S$9,"Warm","Cold")))))</f>
        <v/>
      </c>
      <c r="S450" s="44" t="str">
        <f aca="false">IF(OR(E450="",A450=""),"",IF(AND(COUNTIFS(Scoresheet!$C$2:$C$501,A450,Scoresheet!$U$2:$U$501,1,Scoresheet!$H$2:$H$501,"No")&gt;0,COUNTIFS(Scoresheet!$C$2:$C$501,A450,Scoresheet!$U$2:$U$501,1,Scoresheet!$J$2:$J$501,"No")&gt;0),"🚩 Budget  ·  🚩 No one on camera",IF(COUNTIFS(Scoresheet!$C$2:$C$501,A450,Scoresheet!$U$2:$U$501,1,Scoresheet!$H$2:$H$501,"No")&gt;0,"🚩 Budget under AED 5k",IF(COUNTIFS(Scoresheet!$C$2:$C$501,A450,Scoresheet!$U$2:$U$501,1,Scoresheet!$J$2:$J$501,"No")&gt;0,"🚩 No one on camera",""))))</f>
        <v/>
      </c>
      <c r="T450" s="17"/>
      <c r="U450" s="17"/>
      <c r="V450" s="40"/>
      <c r="W450" s="17"/>
      <c r="X450" s="45" t="str">
        <f aca="false">IF(OR(E450="",V450="",OR(U450="Contract signed + paid",U450="Closed – No response",U450="Lost"),N(W450)&gt;=Settings!$S$3),"",V450+Settings!$S$2)</f>
        <v/>
      </c>
      <c r="Y450" s="40"/>
      <c r="Z450" s="41"/>
      <c r="AA450" s="17"/>
      <c r="AB450" s="17"/>
      <c r="AC450" s="17"/>
      <c r="AD450" s="46" t="str">
        <f aca="true">IF(OR(E450="",B450=""),"",INT(TODAY()-B450))</f>
        <v/>
      </c>
      <c r="AE450" s="44" t="str">
        <f aca="true">IF(E450="","",IF(OR(COUNTIFS(Clients!$C$2:$C$501,E450,Clients!$S$2:$S$501,"Paid")&gt;0,AND(I450&lt;&gt;"",COUNTIFS(Clients!$E$2:$E$501,I450,Clients!$S$2:$S$501,"Paid")&gt;0)),"⚠ Refunded before – no free video",IF(OR(U450="Contract signed + paid",U450="Closed – No response",U450="Lost"),"",IF(U450="","Set a stage",IF(AND(U450="Proposal sent",SUMIFS(Scoresheet!$N$2:$N$501,Scoresheet!$C$2:$C$501,A450,Scoresheet!$U$2:$U$501,1)&lt;6),"Score this lead – fill the call scoresheet",IF(N(W450)&gt;=Settings!$S$3,"Close – 4 follow-ups sent",IF(X450="",IF(V450="","Make first contact",""),IF(TODAY()&gt;X450,"OVERDUE follow-up",IF(TODAY()=X450,"Follow up today","")))))))))</f>
        <v/>
      </c>
    </row>
    <row r="451" customFormat="false" ht="15" hidden="false" customHeight="false" outlineLevel="0" collapsed="false">
      <c r="A451" s="17"/>
      <c r="B451" s="40"/>
      <c r="C451" s="41"/>
      <c r="D451" s="17"/>
      <c r="E451" s="17"/>
      <c r="F451" s="17"/>
      <c r="G451" s="17"/>
      <c r="H451" s="17"/>
      <c r="I451" s="42"/>
      <c r="J451" s="17"/>
      <c r="K451" s="17"/>
      <c r="L451" s="17"/>
      <c r="M451" s="17"/>
      <c r="N451" s="40"/>
      <c r="O451" s="41"/>
      <c r="P451" s="43" t="str">
        <f aca="false">IF(OR(B451="",N451=""),"",ROUND(((N451+N(O451))-(B451+N(C451)))*24,1))</f>
        <v/>
      </c>
      <c r="Q451" s="44" t="str">
        <f aca="false">IF(OR(E451="",A451="",COUNTIFS(Scoresheet!$C$2:$C$501,A451,Scoresheet!$U$2:$U$501,1)=0),"",SUMIFS(Scoresheet!$O$2:$O$501,Scoresheet!$C$2:$C$501,A451,Scoresheet!$U$2:$U$501,1))</f>
        <v/>
      </c>
      <c r="R451" s="44" t="str">
        <f aca="false">IF(E451="","",IF(OR(A451="",COUNTIFS(Scoresheet!$C$2:$C$501,A451,Scoresheet!$U$2:$U$501,1)=0),"No scoresheet yet",IF(SUMIFS(Scoresheet!$N$2:$N$501,Scoresheet!$C$2:$C$501,A451,Scoresheet!$U$2:$U$501,1)&lt;6,"Partly scored ("&amp;SUMIFS(Scoresheet!$N$2:$N$501,Scoresheet!$C$2:$C$501,A451,Scoresheet!$U$2:$U$501,1)&amp;"/6)",IF(Q451&gt;=Settings!$S$8,"Hot",IF(Q451&gt;=Settings!$S$9,"Warm","Cold")))))</f>
        <v/>
      </c>
      <c r="S451" s="44" t="str">
        <f aca="false">IF(OR(E451="",A451=""),"",IF(AND(COUNTIFS(Scoresheet!$C$2:$C$501,A451,Scoresheet!$U$2:$U$501,1,Scoresheet!$H$2:$H$501,"No")&gt;0,COUNTIFS(Scoresheet!$C$2:$C$501,A451,Scoresheet!$U$2:$U$501,1,Scoresheet!$J$2:$J$501,"No")&gt;0),"🚩 Budget  ·  🚩 No one on camera",IF(COUNTIFS(Scoresheet!$C$2:$C$501,A451,Scoresheet!$U$2:$U$501,1,Scoresheet!$H$2:$H$501,"No")&gt;0,"🚩 Budget under AED 5k",IF(COUNTIFS(Scoresheet!$C$2:$C$501,A451,Scoresheet!$U$2:$U$501,1,Scoresheet!$J$2:$J$501,"No")&gt;0,"🚩 No one on camera",""))))</f>
        <v/>
      </c>
      <c r="T451" s="17"/>
      <c r="U451" s="17"/>
      <c r="V451" s="40"/>
      <c r="W451" s="17"/>
      <c r="X451" s="45" t="str">
        <f aca="false">IF(OR(E451="",V451="",OR(U451="Contract signed + paid",U451="Closed – No response",U451="Lost"),N(W451)&gt;=Settings!$S$3),"",V451+Settings!$S$2)</f>
        <v/>
      </c>
      <c r="Y451" s="40"/>
      <c r="Z451" s="41"/>
      <c r="AA451" s="17"/>
      <c r="AB451" s="17"/>
      <c r="AC451" s="17"/>
      <c r="AD451" s="46" t="str">
        <f aca="true">IF(OR(E451="",B451=""),"",INT(TODAY()-B451))</f>
        <v/>
      </c>
      <c r="AE451" s="44" t="str">
        <f aca="true">IF(E451="","",IF(OR(COUNTIFS(Clients!$C$2:$C$501,E451,Clients!$S$2:$S$501,"Paid")&gt;0,AND(I451&lt;&gt;"",COUNTIFS(Clients!$E$2:$E$501,I451,Clients!$S$2:$S$501,"Paid")&gt;0)),"⚠ Refunded before – no free video",IF(OR(U451="Contract signed + paid",U451="Closed – No response",U451="Lost"),"",IF(U451="","Set a stage",IF(AND(U451="Proposal sent",SUMIFS(Scoresheet!$N$2:$N$501,Scoresheet!$C$2:$C$501,A451,Scoresheet!$U$2:$U$501,1)&lt;6),"Score this lead – fill the call scoresheet",IF(N(W451)&gt;=Settings!$S$3,"Close – 4 follow-ups sent",IF(X451="",IF(V451="","Make first contact",""),IF(TODAY()&gt;X451,"OVERDUE follow-up",IF(TODAY()=X451,"Follow up today","")))))))))</f>
        <v/>
      </c>
    </row>
    <row r="452" customFormat="false" ht="15" hidden="false" customHeight="false" outlineLevel="0" collapsed="false">
      <c r="A452" s="17"/>
      <c r="B452" s="40"/>
      <c r="C452" s="41"/>
      <c r="D452" s="17"/>
      <c r="E452" s="17"/>
      <c r="F452" s="17"/>
      <c r="G452" s="17"/>
      <c r="H452" s="17"/>
      <c r="I452" s="42"/>
      <c r="J452" s="17"/>
      <c r="K452" s="17"/>
      <c r="L452" s="17"/>
      <c r="M452" s="17"/>
      <c r="N452" s="40"/>
      <c r="O452" s="41"/>
      <c r="P452" s="43" t="str">
        <f aca="false">IF(OR(B452="",N452=""),"",ROUND(((N452+N(O452))-(B452+N(C452)))*24,1))</f>
        <v/>
      </c>
      <c r="Q452" s="44" t="str">
        <f aca="false">IF(OR(E452="",A452="",COUNTIFS(Scoresheet!$C$2:$C$501,A452,Scoresheet!$U$2:$U$501,1)=0),"",SUMIFS(Scoresheet!$O$2:$O$501,Scoresheet!$C$2:$C$501,A452,Scoresheet!$U$2:$U$501,1))</f>
        <v/>
      </c>
      <c r="R452" s="44" t="str">
        <f aca="false">IF(E452="","",IF(OR(A452="",COUNTIFS(Scoresheet!$C$2:$C$501,A452,Scoresheet!$U$2:$U$501,1)=0),"No scoresheet yet",IF(SUMIFS(Scoresheet!$N$2:$N$501,Scoresheet!$C$2:$C$501,A452,Scoresheet!$U$2:$U$501,1)&lt;6,"Partly scored ("&amp;SUMIFS(Scoresheet!$N$2:$N$501,Scoresheet!$C$2:$C$501,A452,Scoresheet!$U$2:$U$501,1)&amp;"/6)",IF(Q452&gt;=Settings!$S$8,"Hot",IF(Q452&gt;=Settings!$S$9,"Warm","Cold")))))</f>
        <v/>
      </c>
      <c r="S452" s="44" t="str">
        <f aca="false">IF(OR(E452="",A452=""),"",IF(AND(COUNTIFS(Scoresheet!$C$2:$C$501,A452,Scoresheet!$U$2:$U$501,1,Scoresheet!$H$2:$H$501,"No")&gt;0,COUNTIFS(Scoresheet!$C$2:$C$501,A452,Scoresheet!$U$2:$U$501,1,Scoresheet!$J$2:$J$501,"No")&gt;0),"🚩 Budget  ·  🚩 No one on camera",IF(COUNTIFS(Scoresheet!$C$2:$C$501,A452,Scoresheet!$U$2:$U$501,1,Scoresheet!$H$2:$H$501,"No")&gt;0,"🚩 Budget under AED 5k",IF(COUNTIFS(Scoresheet!$C$2:$C$501,A452,Scoresheet!$U$2:$U$501,1,Scoresheet!$J$2:$J$501,"No")&gt;0,"🚩 No one on camera",""))))</f>
        <v/>
      </c>
      <c r="T452" s="17"/>
      <c r="U452" s="17"/>
      <c r="V452" s="40"/>
      <c r="W452" s="17"/>
      <c r="X452" s="45" t="str">
        <f aca="false">IF(OR(E452="",V452="",OR(U452="Contract signed + paid",U452="Closed – No response",U452="Lost"),N(W452)&gt;=Settings!$S$3),"",V452+Settings!$S$2)</f>
        <v/>
      </c>
      <c r="Y452" s="40"/>
      <c r="Z452" s="41"/>
      <c r="AA452" s="17"/>
      <c r="AB452" s="17"/>
      <c r="AC452" s="17"/>
      <c r="AD452" s="46" t="str">
        <f aca="true">IF(OR(E452="",B452=""),"",INT(TODAY()-B452))</f>
        <v/>
      </c>
      <c r="AE452" s="44" t="str">
        <f aca="true">IF(E452="","",IF(OR(COUNTIFS(Clients!$C$2:$C$501,E452,Clients!$S$2:$S$501,"Paid")&gt;0,AND(I452&lt;&gt;"",COUNTIFS(Clients!$E$2:$E$501,I452,Clients!$S$2:$S$501,"Paid")&gt;0)),"⚠ Refunded before – no free video",IF(OR(U452="Contract signed + paid",U452="Closed – No response",U452="Lost"),"",IF(U452="","Set a stage",IF(AND(U452="Proposal sent",SUMIFS(Scoresheet!$N$2:$N$501,Scoresheet!$C$2:$C$501,A452,Scoresheet!$U$2:$U$501,1)&lt;6),"Score this lead – fill the call scoresheet",IF(N(W452)&gt;=Settings!$S$3,"Close – 4 follow-ups sent",IF(X452="",IF(V452="","Make first contact",""),IF(TODAY()&gt;X452,"OVERDUE follow-up",IF(TODAY()=X452,"Follow up today","")))))))))</f>
        <v/>
      </c>
    </row>
    <row r="453" customFormat="false" ht="15" hidden="false" customHeight="false" outlineLevel="0" collapsed="false">
      <c r="A453" s="17"/>
      <c r="B453" s="40"/>
      <c r="C453" s="41"/>
      <c r="D453" s="17"/>
      <c r="E453" s="17"/>
      <c r="F453" s="17"/>
      <c r="G453" s="17"/>
      <c r="H453" s="17"/>
      <c r="I453" s="42"/>
      <c r="J453" s="17"/>
      <c r="K453" s="17"/>
      <c r="L453" s="17"/>
      <c r="M453" s="17"/>
      <c r="N453" s="40"/>
      <c r="O453" s="41"/>
      <c r="P453" s="43" t="str">
        <f aca="false">IF(OR(B453="",N453=""),"",ROUND(((N453+N(O453))-(B453+N(C453)))*24,1))</f>
        <v/>
      </c>
      <c r="Q453" s="44" t="str">
        <f aca="false">IF(OR(E453="",A453="",COUNTIFS(Scoresheet!$C$2:$C$501,A453,Scoresheet!$U$2:$U$501,1)=0),"",SUMIFS(Scoresheet!$O$2:$O$501,Scoresheet!$C$2:$C$501,A453,Scoresheet!$U$2:$U$501,1))</f>
        <v/>
      </c>
      <c r="R453" s="44" t="str">
        <f aca="false">IF(E453="","",IF(OR(A453="",COUNTIFS(Scoresheet!$C$2:$C$501,A453,Scoresheet!$U$2:$U$501,1)=0),"No scoresheet yet",IF(SUMIFS(Scoresheet!$N$2:$N$501,Scoresheet!$C$2:$C$501,A453,Scoresheet!$U$2:$U$501,1)&lt;6,"Partly scored ("&amp;SUMIFS(Scoresheet!$N$2:$N$501,Scoresheet!$C$2:$C$501,A453,Scoresheet!$U$2:$U$501,1)&amp;"/6)",IF(Q453&gt;=Settings!$S$8,"Hot",IF(Q453&gt;=Settings!$S$9,"Warm","Cold")))))</f>
        <v/>
      </c>
      <c r="S453" s="44" t="str">
        <f aca="false">IF(OR(E453="",A453=""),"",IF(AND(COUNTIFS(Scoresheet!$C$2:$C$501,A453,Scoresheet!$U$2:$U$501,1,Scoresheet!$H$2:$H$501,"No")&gt;0,COUNTIFS(Scoresheet!$C$2:$C$501,A453,Scoresheet!$U$2:$U$501,1,Scoresheet!$J$2:$J$501,"No")&gt;0),"🚩 Budget  ·  🚩 No one on camera",IF(COUNTIFS(Scoresheet!$C$2:$C$501,A453,Scoresheet!$U$2:$U$501,1,Scoresheet!$H$2:$H$501,"No")&gt;0,"🚩 Budget under AED 5k",IF(COUNTIFS(Scoresheet!$C$2:$C$501,A453,Scoresheet!$U$2:$U$501,1,Scoresheet!$J$2:$J$501,"No")&gt;0,"🚩 No one on camera",""))))</f>
        <v/>
      </c>
      <c r="T453" s="17"/>
      <c r="U453" s="17"/>
      <c r="V453" s="40"/>
      <c r="W453" s="17"/>
      <c r="X453" s="45" t="str">
        <f aca="false">IF(OR(E453="",V453="",OR(U453="Contract signed + paid",U453="Closed – No response",U453="Lost"),N(W453)&gt;=Settings!$S$3),"",V453+Settings!$S$2)</f>
        <v/>
      </c>
      <c r="Y453" s="40"/>
      <c r="Z453" s="41"/>
      <c r="AA453" s="17"/>
      <c r="AB453" s="17"/>
      <c r="AC453" s="17"/>
      <c r="AD453" s="46" t="str">
        <f aca="true">IF(OR(E453="",B453=""),"",INT(TODAY()-B453))</f>
        <v/>
      </c>
      <c r="AE453" s="44" t="str">
        <f aca="true">IF(E453="","",IF(OR(COUNTIFS(Clients!$C$2:$C$501,E453,Clients!$S$2:$S$501,"Paid")&gt;0,AND(I453&lt;&gt;"",COUNTIFS(Clients!$E$2:$E$501,I453,Clients!$S$2:$S$501,"Paid")&gt;0)),"⚠ Refunded before – no free video",IF(OR(U453="Contract signed + paid",U453="Closed – No response",U453="Lost"),"",IF(U453="","Set a stage",IF(AND(U453="Proposal sent",SUMIFS(Scoresheet!$N$2:$N$501,Scoresheet!$C$2:$C$501,A453,Scoresheet!$U$2:$U$501,1)&lt;6),"Score this lead – fill the call scoresheet",IF(N(W453)&gt;=Settings!$S$3,"Close – 4 follow-ups sent",IF(X453="",IF(V453="","Make first contact",""),IF(TODAY()&gt;X453,"OVERDUE follow-up",IF(TODAY()=X453,"Follow up today","")))))))))</f>
        <v/>
      </c>
    </row>
    <row r="454" customFormat="false" ht="15" hidden="false" customHeight="false" outlineLevel="0" collapsed="false">
      <c r="A454" s="17"/>
      <c r="B454" s="40"/>
      <c r="C454" s="41"/>
      <c r="D454" s="17"/>
      <c r="E454" s="17"/>
      <c r="F454" s="17"/>
      <c r="G454" s="17"/>
      <c r="H454" s="17"/>
      <c r="I454" s="42"/>
      <c r="J454" s="17"/>
      <c r="K454" s="17"/>
      <c r="L454" s="17"/>
      <c r="M454" s="17"/>
      <c r="N454" s="40"/>
      <c r="O454" s="41"/>
      <c r="P454" s="43" t="str">
        <f aca="false">IF(OR(B454="",N454=""),"",ROUND(((N454+N(O454))-(B454+N(C454)))*24,1))</f>
        <v/>
      </c>
      <c r="Q454" s="44" t="str">
        <f aca="false">IF(OR(E454="",A454="",COUNTIFS(Scoresheet!$C$2:$C$501,A454,Scoresheet!$U$2:$U$501,1)=0),"",SUMIFS(Scoresheet!$O$2:$O$501,Scoresheet!$C$2:$C$501,A454,Scoresheet!$U$2:$U$501,1))</f>
        <v/>
      </c>
      <c r="R454" s="44" t="str">
        <f aca="false">IF(E454="","",IF(OR(A454="",COUNTIFS(Scoresheet!$C$2:$C$501,A454,Scoresheet!$U$2:$U$501,1)=0),"No scoresheet yet",IF(SUMIFS(Scoresheet!$N$2:$N$501,Scoresheet!$C$2:$C$501,A454,Scoresheet!$U$2:$U$501,1)&lt;6,"Partly scored ("&amp;SUMIFS(Scoresheet!$N$2:$N$501,Scoresheet!$C$2:$C$501,A454,Scoresheet!$U$2:$U$501,1)&amp;"/6)",IF(Q454&gt;=Settings!$S$8,"Hot",IF(Q454&gt;=Settings!$S$9,"Warm","Cold")))))</f>
        <v/>
      </c>
      <c r="S454" s="44" t="str">
        <f aca="false">IF(OR(E454="",A454=""),"",IF(AND(COUNTIFS(Scoresheet!$C$2:$C$501,A454,Scoresheet!$U$2:$U$501,1,Scoresheet!$H$2:$H$501,"No")&gt;0,COUNTIFS(Scoresheet!$C$2:$C$501,A454,Scoresheet!$U$2:$U$501,1,Scoresheet!$J$2:$J$501,"No")&gt;0),"🚩 Budget  ·  🚩 No one on camera",IF(COUNTIFS(Scoresheet!$C$2:$C$501,A454,Scoresheet!$U$2:$U$501,1,Scoresheet!$H$2:$H$501,"No")&gt;0,"🚩 Budget under AED 5k",IF(COUNTIFS(Scoresheet!$C$2:$C$501,A454,Scoresheet!$U$2:$U$501,1,Scoresheet!$J$2:$J$501,"No")&gt;0,"🚩 No one on camera",""))))</f>
        <v/>
      </c>
      <c r="T454" s="17"/>
      <c r="U454" s="17"/>
      <c r="V454" s="40"/>
      <c r="W454" s="17"/>
      <c r="X454" s="45" t="str">
        <f aca="false">IF(OR(E454="",V454="",OR(U454="Contract signed + paid",U454="Closed – No response",U454="Lost"),N(W454)&gt;=Settings!$S$3),"",V454+Settings!$S$2)</f>
        <v/>
      </c>
      <c r="Y454" s="40"/>
      <c r="Z454" s="41"/>
      <c r="AA454" s="17"/>
      <c r="AB454" s="17"/>
      <c r="AC454" s="17"/>
      <c r="AD454" s="46" t="str">
        <f aca="true">IF(OR(E454="",B454=""),"",INT(TODAY()-B454))</f>
        <v/>
      </c>
      <c r="AE454" s="44" t="str">
        <f aca="true">IF(E454="","",IF(OR(COUNTIFS(Clients!$C$2:$C$501,E454,Clients!$S$2:$S$501,"Paid")&gt;0,AND(I454&lt;&gt;"",COUNTIFS(Clients!$E$2:$E$501,I454,Clients!$S$2:$S$501,"Paid")&gt;0)),"⚠ Refunded before – no free video",IF(OR(U454="Contract signed + paid",U454="Closed – No response",U454="Lost"),"",IF(U454="","Set a stage",IF(AND(U454="Proposal sent",SUMIFS(Scoresheet!$N$2:$N$501,Scoresheet!$C$2:$C$501,A454,Scoresheet!$U$2:$U$501,1)&lt;6),"Score this lead – fill the call scoresheet",IF(N(W454)&gt;=Settings!$S$3,"Close – 4 follow-ups sent",IF(X454="",IF(V454="","Make first contact",""),IF(TODAY()&gt;X454,"OVERDUE follow-up",IF(TODAY()=X454,"Follow up today","")))))))))</f>
        <v/>
      </c>
    </row>
    <row r="455" customFormat="false" ht="15" hidden="false" customHeight="false" outlineLevel="0" collapsed="false">
      <c r="A455" s="17"/>
      <c r="B455" s="40"/>
      <c r="C455" s="41"/>
      <c r="D455" s="17"/>
      <c r="E455" s="17"/>
      <c r="F455" s="17"/>
      <c r="G455" s="17"/>
      <c r="H455" s="17"/>
      <c r="I455" s="42"/>
      <c r="J455" s="17"/>
      <c r="K455" s="17"/>
      <c r="L455" s="17"/>
      <c r="M455" s="17"/>
      <c r="N455" s="40"/>
      <c r="O455" s="41"/>
      <c r="P455" s="43" t="str">
        <f aca="false">IF(OR(B455="",N455=""),"",ROUND(((N455+N(O455))-(B455+N(C455)))*24,1))</f>
        <v/>
      </c>
      <c r="Q455" s="44" t="str">
        <f aca="false">IF(OR(E455="",A455="",COUNTIFS(Scoresheet!$C$2:$C$501,A455,Scoresheet!$U$2:$U$501,1)=0),"",SUMIFS(Scoresheet!$O$2:$O$501,Scoresheet!$C$2:$C$501,A455,Scoresheet!$U$2:$U$501,1))</f>
        <v/>
      </c>
      <c r="R455" s="44" t="str">
        <f aca="false">IF(E455="","",IF(OR(A455="",COUNTIFS(Scoresheet!$C$2:$C$501,A455,Scoresheet!$U$2:$U$501,1)=0),"No scoresheet yet",IF(SUMIFS(Scoresheet!$N$2:$N$501,Scoresheet!$C$2:$C$501,A455,Scoresheet!$U$2:$U$501,1)&lt;6,"Partly scored ("&amp;SUMIFS(Scoresheet!$N$2:$N$501,Scoresheet!$C$2:$C$501,A455,Scoresheet!$U$2:$U$501,1)&amp;"/6)",IF(Q455&gt;=Settings!$S$8,"Hot",IF(Q455&gt;=Settings!$S$9,"Warm","Cold")))))</f>
        <v/>
      </c>
      <c r="S455" s="44" t="str">
        <f aca="false">IF(OR(E455="",A455=""),"",IF(AND(COUNTIFS(Scoresheet!$C$2:$C$501,A455,Scoresheet!$U$2:$U$501,1,Scoresheet!$H$2:$H$501,"No")&gt;0,COUNTIFS(Scoresheet!$C$2:$C$501,A455,Scoresheet!$U$2:$U$501,1,Scoresheet!$J$2:$J$501,"No")&gt;0),"🚩 Budget  ·  🚩 No one on camera",IF(COUNTIFS(Scoresheet!$C$2:$C$501,A455,Scoresheet!$U$2:$U$501,1,Scoresheet!$H$2:$H$501,"No")&gt;0,"🚩 Budget under AED 5k",IF(COUNTIFS(Scoresheet!$C$2:$C$501,A455,Scoresheet!$U$2:$U$501,1,Scoresheet!$J$2:$J$501,"No")&gt;0,"🚩 No one on camera",""))))</f>
        <v/>
      </c>
      <c r="T455" s="17"/>
      <c r="U455" s="17"/>
      <c r="V455" s="40"/>
      <c r="W455" s="17"/>
      <c r="X455" s="45" t="str">
        <f aca="false">IF(OR(E455="",V455="",OR(U455="Contract signed + paid",U455="Closed – No response",U455="Lost"),N(W455)&gt;=Settings!$S$3),"",V455+Settings!$S$2)</f>
        <v/>
      </c>
      <c r="Y455" s="40"/>
      <c r="Z455" s="41"/>
      <c r="AA455" s="17"/>
      <c r="AB455" s="17"/>
      <c r="AC455" s="17"/>
      <c r="AD455" s="46" t="str">
        <f aca="true">IF(OR(E455="",B455=""),"",INT(TODAY()-B455))</f>
        <v/>
      </c>
      <c r="AE455" s="44" t="str">
        <f aca="true">IF(E455="","",IF(OR(COUNTIFS(Clients!$C$2:$C$501,E455,Clients!$S$2:$S$501,"Paid")&gt;0,AND(I455&lt;&gt;"",COUNTIFS(Clients!$E$2:$E$501,I455,Clients!$S$2:$S$501,"Paid")&gt;0)),"⚠ Refunded before – no free video",IF(OR(U455="Contract signed + paid",U455="Closed – No response",U455="Lost"),"",IF(U455="","Set a stage",IF(AND(U455="Proposal sent",SUMIFS(Scoresheet!$N$2:$N$501,Scoresheet!$C$2:$C$501,A455,Scoresheet!$U$2:$U$501,1)&lt;6),"Score this lead – fill the call scoresheet",IF(N(W455)&gt;=Settings!$S$3,"Close – 4 follow-ups sent",IF(X455="",IF(V455="","Make first contact",""),IF(TODAY()&gt;X455,"OVERDUE follow-up",IF(TODAY()=X455,"Follow up today","")))))))))</f>
        <v/>
      </c>
    </row>
    <row r="456" customFormat="false" ht="15" hidden="false" customHeight="false" outlineLevel="0" collapsed="false">
      <c r="A456" s="17"/>
      <c r="B456" s="40"/>
      <c r="C456" s="41"/>
      <c r="D456" s="17"/>
      <c r="E456" s="17"/>
      <c r="F456" s="17"/>
      <c r="G456" s="17"/>
      <c r="H456" s="17"/>
      <c r="I456" s="42"/>
      <c r="J456" s="17"/>
      <c r="K456" s="17"/>
      <c r="L456" s="17"/>
      <c r="M456" s="17"/>
      <c r="N456" s="40"/>
      <c r="O456" s="41"/>
      <c r="P456" s="43" t="str">
        <f aca="false">IF(OR(B456="",N456=""),"",ROUND(((N456+N(O456))-(B456+N(C456)))*24,1))</f>
        <v/>
      </c>
      <c r="Q456" s="44" t="str">
        <f aca="false">IF(OR(E456="",A456="",COUNTIFS(Scoresheet!$C$2:$C$501,A456,Scoresheet!$U$2:$U$501,1)=0),"",SUMIFS(Scoresheet!$O$2:$O$501,Scoresheet!$C$2:$C$501,A456,Scoresheet!$U$2:$U$501,1))</f>
        <v/>
      </c>
      <c r="R456" s="44" t="str">
        <f aca="false">IF(E456="","",IF(OR(A456="",COUNTIFS(Scoresheet!$C$2:$C$501,A456,Scoresheet!$U$2:$U$501,1)=0),"No scoresheet yet",IF(SUMIFS(Scoresheet!$N$2:$N$501,Scoresheet!$C$2:$C$501,A456,Scoresheet!$U$2:$U$501,1)&lt;6,"Partly scored ("&amp;SUMIFS(Scoresheet!$N$2:$N$501,Scoresheet!$C$2:$C$501,A456,Scoresheet!$U$2:$U$501,1)&amp;"/6)",IF(Q456&gt;=Settings!$S$8,"Hot",IF(Q456&gt;=Settings!$S$9,"Warm","Cold")))))</f>
        <v/>
      </c>
      <c r="S456" s="44" t="str">
        <f aca="false">IF(OR(E456="",A456=""),"",IF(AND(COUNTIFS(Scoresheet!$C$2:$C$501,A456,Scoresheet!$U$2:$U$501,1,Scoresheet!$H$2:$H$501,"No")&gt;0,COUNTIFS(Scoresheet!$C$2:$C$501,A456,Scoresheet!$U$2:$U$501,1,Scoresheet!$J$2:$J$501,"No")&gt;0),"🚩 Budget  ·  🚩 No one on camera",IF(COUNTIFS(Scoresheet!$C$2:$C$501,A456,Scoresheet!$U$2:$U$501,1,Scoresheet!$H$2:$H$501,"No")&gt;0,"🚩 Budget under AED 5k",IF(COUNTIFS(Scoresheet!$C$2:$C$501,A456,Scoresheet!$U$2:$U$501,1,Scoresheet!$J$2:$J$501,"No")&gt;0,"🚩 No one on camera",""))))</f>
        <v/>
      </c>
      <c r="T456" s="17"/>
      <c r="U456" s="17"/>
      <c r="V456" s="40"/>
      <c r="W456" s="17"/>
      <c r="X456" s="45" t="str">
        <f aca="false">IF(OR(E456="",V456="",OR(U456="Contract signed + paid",U456="Closed – No response",U456="Lost"),N(W456)&gt;=Settings!$S$3),"",V456+Settings!$S$2)</f>
        <v/>
      </c>
      <c r="Y456" s="40"/>
      <c r="Z456" s="41"/>
      <c r="AA456" s="17"/>
      <c r="AB456" s="17"/>
      <c r="AC456" s="17"/>
      <c r="AD456" s="46" t="str">
        <f aca="true">IF(OR(E456="",B456=""),"",INT(TODAY()-B456))</f>
        <v/>
      </c>
      <c r="AE456" s="44" t="str">
        <f aca="true">IF(E456="","",IF(OR(COUNTIFS(Clients!$C$2:$C$501,E456,Clients!$S$2:$S$501,"Paid")&gt;0,AND(I456&lt;&gt;"",COUNTIFS(Clients!$E$2:$E$501,I456,Clients!$S$2:$S$501,"Paid")&gt;0)),"⚠ Refunded before – no free video",IF(OR(U456="Contract signed + paid",U456="Closed – No response",U456="Lost"),"",IF(U456="","Set a stage",IF(AND(U456="Proposal sent",SUMIFS(Scoresheet!$N$2:$N$501,Scoresheet!$C$2:$C$501,A456,Scoresheet!$U$2:$U$501,1)&lt;6),"Score this lead – fill the call scoresheet",IF(N(W456)&gt;=Settings!$S$3,"Close – 4 follow-ups sent",IF(X456="",IF(V456="","Make first contact",""),IF(TODAY()&gt;X456,"OVERDUE follow-up",IF(TODAY()=X456,"Follow up today","")))))))))</f>
        <v/>
      </c>
    </row>
    <row r="457" customFormat="false" ht="15" hidden="false" customHeight="false" outlineLevel="0" collapsed="false">
      <c r="A457" s="17"/>
      <c r="B457" s="40"/>
      <c r="C457" s="41"/>
      <c r="D457" s="17"/>
      <c r="E457" s="17"/>
      <c r="F457" s="17"/>
      <c r="G457" s="17"/>
      <c r="H457" s="17"/>
      <c r="I457" s="42"/>
      <c r="J457" s="17"/>
      <c r="K457" s="17"/>
      <c r="L457" s="17"/>
      <c r="M457" s="17"/>
      <c r="N457" s="40"/>
      <c r="O457" s="41"/>
      <c r="P457" s="43" t="str">
        <f aca="false">IF(OR(B457="",N457=""),"",ROUND(((N457+N(O457))-(B457+N(C457)))*24,1))</f>
        <v/>
      </c>
      <c r="Q457" s="44" t="str">
        <f aca="false">IF(OR(E457="",A457="",COUNTIFS(Scoresheet!$C$2:$C$501,A457,Scoresheet!$U$2:$U$501,1)=0),"",SUMIFS(Scoresheet!$O$2:$O$501,Scoresheet!$C$2:$C$501,A457,Scoresheet!$U$2:$U$501,1))</f>
        <v/>
      </c>
      <c r="R457" s="44" t="str">
        <f aca="false">IF(E457="","",IF(OR(A457="",COUNTIFS(Scoresheet!$C$2:$C$501,A457,Scoresheet!$U$2:$U$501,1)=0),"No scoresheet yet",IF(SUMIFS(Scoresheet!$N$2:$N$501,Scoresheet!$C$2:$C$501,A457,Scoresheet!$U$2:$U$501,1)&lt;6,"Partly scored ("&amp;SUMIFS(Scoresheet!$N$2:$N$501,Scoresheet!$C$2:$C$501,A457,Scoresheet!$U$2:$U$501,1)&amp;"/6)",IF(Q457&gt;=Settings!$S$8,"Hot",IF(Q457&gt;=Settings!$S$9,"Warm","Cold")))))</f>
        <v/>
      </c>
      <c r="S457" s="44" t="str">
        <f aca="false">IF(OR(E457="",A457=""),"",IF(AND(COUNTIFS(Scoresheet!$C$2:$C$501,A457,Scoresheet!$U$2:$U$501,1,Scoresheet!$H$2:$H$501,"No")&gt;0,COUNTIFS(Scoresheet!$C$2:$C$501,A457,Scoresheet!$U$2:$U$501,1,Scoresheet!$J$2:$J$501,"No")&gt;0),"🚩 Budget  ·  🚩 No one on camera",IF(COUNTIFS(Scoresheet!$C$2:$C$501,A457,Scoresheet!$U$2:$U$501,1,Scoresheet!$H$2:$H$501,"No")&gt;0,"🚩 Budget under AED 5k",IF(COUNTIFS(Scoresheet!$C$2:$C$501,A457,Scoresheet!$U$2:$U$501,1,Scoresheet!$J$2:$J$501,"No")&gt;0,"🚩 No one on camera",""))))</f>
        <v/>
      </c>
      <c r="T457" s="17"/>
      <c r="U457" s="17"/>
      <c r="V457" s="40"/>
      <c r="W457" s="17"/>
      <c r="X457" s="45" t="str">
        <f aca="false">IF(OR(E457="",V457="",OR(U457="Contract signed + paid",U457="Closed – No response",U457="Lost"),N(W457)&gt;=Settings!$S$3),"",V457+Settings!$S$2)</f>
        <v/>
      </c>
      <c r="Y457" s="40"/>
      <c r="Z457" s="41"/>
      <c r="AA457" s="17"/>
      <c r="AB457" s="17"/>
      <c r="AC457" s="17"/>
      <c r="AD457" s="46" t="str">
        <f aca="true">IF(OR(E457="",B457=""),"",INT(TODAY()-B457))</f>
        <v/>
      </c>
      <c r="AE457" s="44" t="str">
        <f aca="true">IF(E457="","",IF(OR(COUNTIFS(Clients!$C$2:$C$501,E457,Clients!$S$2:$S$501,"Paid")&gt;0,AND(I457&lt;&gt;"",COUNTIFS(Clients!$E$2:$E$501,I457,Clients!$S$2:$S$501,"Paid")&gt;0)),"⚠ Refunded before – no free video",IF(OR(U457="Contract signed + paid",U457="Closed – No response",U457="Lost"),"",IF(U457="","Set a stage",IF(AND(U457="Proposal sent",SUMIFS(Scoresheet!$N$2:$N$501,Scoresheet!$C$2:$C$501,A457,Scoresheet!$U$2:$U$501,1)&lt;6),"Score this lead – fill the call scoresheet",IF(N(W457)&gt;=Settings!$S$3,"Close – 4 follow-ups sent",IF(X457="",IF(V457="","Make first contact",""),IF(TODAY()&gt;X457,"OVERDUE follow-up",IF(TODAY()=X457,"Follow up today","")))))))))</f>
        <v/>
      </c>
    </row>
    <row r="458" customFormat="false" ht="15" hidden="false" customHeight="false" outlineLevel="0" collapsed="false">
      <c r="A458" s="17"/>
      <c r="B458" s="40"/>
      <c r="C458" s="41"/>
      <c r="D458" s="17"/>
      <c r="E458" s="17"/>
      <c r="F458" s="17"/>
      <c r="G458" s="17"/>
      <c r="H458" s="17"/>
      <c r="I458" s="42"/>
      <c r="J458" s="17"/>
      <c r="K458" s="17"/>
      <c r="L458" s="17"/>
      <c r="M458" s="17"/>
      <c r="N458" s="40"/>
      <c r="O458" s="41"/>
      <c r="P458" s="43" t="str">
        <f aca="false">IF(OR(B458="",N458=""),"",ROUND(((N458+N(O458))-(B458+N(C458)))*24,1))</f>
        <v/>
      </c>
      <c r="Q458" s="44" t="str">
        <f aca="false">IF(OR(E458="",A458="",COUNTIFS(Scoresheet!$C$2:$C$501,A458,Scoresheet!$U$2:$U$501,1)=0),"",SUMIFS(Scoresheet!$O$2:$O$501,Scoresheet!$C$2:$C$501,A458,Scoresheet!$U$2:$U$501,1))</f>
        <v/>
      </c>
      <c r="R458" s="44" t="str">
        <f aca="false">IF(E458="","",IF(OR(A458="",COUNTIFS(Scoresheet!$C$2:$C$501,A458,Scoresheet!$U$2:$U$501,1)=0),"No scoresheet yet",IF(SUMIFS(Scoresheet!$N$2:$N$501,Scoresheet!$C$2:$C$501,A458,Scoresheet!$U$2:$U$501,1)&lt;6,"Partly scored ("&amp;SUMIFS(Scoresheet!$N$2:$N$501,Scoresheet!$C$2:$C$501,A458,Scoresheet!$U$2:$U$501,1)&amp;"/6)",IF(Q458&gt;=Settings!$S$8,"Hot",IF(Q458&gt;=Settings!$S$9,"Warm","Cold")))))</f>
        <v/>
      </c>
      <c r="S458" s="44" t="str">
        <f aca="false">IF(OR(E458="",A458=""),"",IF(AND(COUNTIFS(Scoresheet!$C$2:$C$501,A458,Scoresheet!$U$2:$U$501,1,Scoresheet!$H$2:$H$501,"No")&gt;0,COUNTIFS(Scoresheet!$C$2:$C$501,A458,Scoresheet!$U$2:$U$501,1,Scoresheet!$J$2:$J$501,"No")&gt;0),"🚩 Budget  ·  🚩 No one on camera",IF(COUNTIFS(Scoresheet!$C$2:$C$501,A458,Scoresheet!$U$2:$U$501,1,Scoresheet!$H$2:$H$501,"No")&gt;0,"🚩 Budget under AED 5k",IF(COUNTIFS(Scoresheet!$C$2:$C$501,A458,Scoresheet!$U$2:$U$501,1,Scoresheet!$J$2:$J$501,"No")&gt;0,"🚩 No one on camera",""))))</f>
        <v/>
      </c>
      <c r="T458" s="17"/>
      <c r="U458" s="17"/>
      <c r="V458" s="40"/>
      <c r="W458" s="17"/>
      <c r="X458" s="45" t="str">
        <f aca="false">IF(OR(E458="",V458="",OR(U458="Contract signed + paid",U458="Closed – No response",U458="Lost"),N(W458)&gt;=Settings!$S$3),"",V458+Settings!$S$2)</f>
        <v/>
      </c>
      <c r="Y458" s="40"/>
      <c r="Z458" s="41"/>
      <c r="AA458" s="17"/>
      <c r="AB458" s="17"/>
      <c r="AC458" s="17"/>
      <c r="AD458" s="46" t="str">
        <f aca="true">IF(OR(E458="",B458=""),"",INT(TODAY()-B458))</f>
        <v/>
      </c>
      <c r="AE458" s="44" t="str">
        <f aca="true">IF(E458="","",IF(OR(COUNTIFS(Clients!$C$2:$C$501,E458,Clients!$S$2:$S$501,"Paid")&gt;0,AND(I458&lt;&gt;"",COUNTIFS(Clients!$E$2:$E$501,I458,Clients!$S$2:$S$501,"Paid")&gt;0)),"⚠ Refunded before – no free video",IF(OR(U458="Contract signed + paid",U458="Closed – No response",U458="Lost"),"",IF(U458="","Set a stage",IF(AND(U458="Proposal sent",SUMIFS(Scoresheet!$N$2:$N$501,Scoresheet!$C$2:$C$501,A458,Scoresheet!$U$2:$U$501,1)&lt;6),"Score this lead – fill the call scoresheet",IF(N(W458)&gt;=Settings!$S$3,"Close – 4 follow-ups sent",IF(X458="",IF(V458="","Make first contact",""),IF(TODAY()&gt;X458,"OVERDUE follow-up",IF(TODAY()=X458,"Follow up today","")))))))))</f>
        <v/>
      </c>
    </row>
    <row r="459" customFormat="false" ht="15" hidden="false" customHeight="false" outlineLevel="0" collapsed="false">
      <c r="A459" s="17"/>
      <c r="B459" s="40"/>
      <c r="C459" s="41"/>
      <c r="D459" s="17"/>
      <c r="E459" s="17"/>
      <c r="F459" s="17"/>
      <c r="G459" s="17"/>
      <c r="H459" s="17"/>
      <c r="I459" s="42"/>
      <c r="J459" s="17"/>
      <c r="K459" s="17"/>
      <c r="L459" s="17"/>
      <c r="M459" s="17"/>
      <c r="N459" s="40"/>
      <c r="O459" s="41"/>
      <c r="P459" s="43" t="str">
        <f aca="false">IF(OR(B459="",N459=""),"",ROUND(((N459+N(O459))-(B459+N(C459)))*24,1))</f>
        <v/>
      </c>
      <c r="Q459" s="44" t="str">
        <f aca="false">IF(OR(E459="",A459="",COUNTIFS(Scoresheet!$C$2:$C$501,A459,Scoresheet!$U$2:$U$501,1)=0),"",SUMIFS(Scoresheet!$O$2:$O$501,Scoresheet!$C$2:$C$501,A459,Scoresheet!$U$2:$U$501,1))</f>
        <v/>
      </c>
      <c r="R459" s="44" t="str">
        <f aca="false">IF(E459="","",IF(OR(A459="",COUNTIFS(Scoresheet!$C$2:$C$501,A459,Scoresheet!$U$2:$U$501,1)=0),"No scoresheet yet",IF(SUMIFS(Scoresheet!$N$2:$N$501,Scoresheet!$C$2:$C$501,A459,Scoresheet!$U$2:$U$501,1)&lt;6,"Partly scored ("&amp;SUMIFS(Scoresheet!$N$2:$N$501,Scoresheet!$C$2:$C$501,A459,Scoresheet!$U$2:$U$501,1)&amp;"/6)",IF(Q459&gt;=Settings!$S$8,"Hot",IF(Q459&gt;=Settings!$S$9,"Warm","Cold")))))</f>
        <v/>
      </c>
      <c r="S459" s="44" t="str">
        <f aca="false">IF(OR(E459="",A459=""),"",IF(AND(COUNTIFS(Scoresheet!$C$2:$C$501,A459,Scoresheet!$U$2:$U$501,1,Scoresheet!$H$2:$H$501,"No")&gt;0,COUNTIFS(Scoresheet!$C$2:$C$501,A459,Scoresheet!$U$2:$U$501,1,Scoresheet!$J$2:$J$501,"No")&gt;0),"🚩 Budget  ·  🚩 No one on camera",IF(COUNTIFS(Scoresheet!$C$2:$C$501,A459,Scoresheet!$U$2:$U$501,1,Scoresheet!$H$2:$H$501,"No")&gt;0,"🚩 Budget under AED 5k",IF(COUNTIFS(Scoresheet!$C$2:$C$501,A459,Scoresheet!$U$2:$U$501,1,Scoresheet!$J$2:$J$501,"No")&gt;0,"🚩 No one on camera",""))))</f>
        <v/>
      </c>
      <c r="T459" s="17"/>
      <c r="U459" s="17"/>
      <c r="V459" s="40"/>
      <c r="W459" s="17"/>
      <c r="X459" s="45" t="str">
        <f aca="false">IF(OR(E459="",V459="",OR(U459="Contract signed + paid",U459="Closed – No response",U459="Lost"),N(W459)&gt;=Settings!$S$3),"",V459+Settings!$S$2)</f>
        <v/>
      </c>
      <c r="Y459" s="40"/>
      <c r="Z459" s="41"/>
      <c r="AA459" s="17"/>
      <c r="AB459" s="17"/>
      <c r="AC459" s="17"/>
      <c r="AD459" s="46" t="str">
        <f aca="true">IF(OR(E459="",B459=""),"",INT(TODAY()-B459))</f>
        <v/>
      </c>
      <c r="AE459" s="44" t="str">
        <f aca="true">IF(E459="","",IF(OR(COUNTIFS(Clients!$C$2:$C$501,E459,Clients!$S$2:$S$501,"Paid")&gt;0,AND(I459&lt;&gt;"",COUNTIFS(Clients!$E$2:$E$501,I459,Clients!$S$2:$S$501,"Paid")&gt;0)),"⚠ Refunded before – no free video",IF(OR(U459="Contract signed + paid",U459="Closed – No response",U459="Lost"),"",IF(U459="","Set a stage",IF(AND(U459="Proposal sent",SUMIFS(Scoresheet!$N$2:$N$501,Scoresheet!$C$2:$C$501,A459,Scoresheet!$U$2:$U$501,1)&lt;6),"Score this lead – fill the call scoresheet",IF(N(W459)&gt;=Settings!$S$3,"Close – 4 follow-ups sent",IF(X459="",IF(V459="","Make first contact",""),IF(TODAY()&gt;X459,"OVERDUE follow-up",IF(TODAY()=X459,"Follow up today","")))))))))</f>
        <v/>
      </c>
    </row>
    <row r="460" customFormat="false" ht="15" hidden="false" customHeight="false" outlineLevel="0" collapsed="false">
      <c r="A460" s="17"/>
      <c r="B460" s="40"/>
      <c r="C460" s="41"/>
      <c r="D460" s="17"/>
      <c r="E460" s="17"/>
      <c r="F460" s="17"/>
      <c r="G460" s="17"/>
      <c r="H460" s="17"/>
      <c r="I460" s="42"/>
      <c r="J460" s="17"/>
      <c r="K460" s="17"/>
      <c r="L460" s="17"/>
      <c r="M460" s="17"/>
      <c r="N460" s="40"/>
      <c r="O460" s="41"/>
      <c r="P460" s="43" t="str">
        <f aca="false">IF(OR(B460="",N460=""),"",ROUND(((N460+N(O460))-(B460+N(C460)))*24,1))</f>
        <v/>
      </c>
      <c r="Q460" s="44" t="str">
        <f aca="false">IF(OR(E460="",A460="",COUNTIFS(Scoresheet!$C$2:$C$501,A460,Scoresheet!$U$2:$U$501,1)=0),"",SUMIFS(Scoresheet!$O$2:$O$501,Scoresheet!$C$2:$C$501,A460,Scoresheet!$U$2:$U$501,1))</f>
        <v/>
      </c>
      <c r="R460" s="44" t="str">
        <f aca="false">IF(E460="","",IF(OR(A460="",COUNTIFS(Scoresheet!$C$2:$C$501,A460,Scoresheet!$U$2:$U$501,1)=0),"No scoresheet yet",IF(SUMIFS(Scoresheet!$N$2:$N$501,Scoresheet!$C$2:$C$501,A460,Scoresheet!$U$2:$U$501,1)&lt;6,"Partly scored ("&amp;SUMIFS(Scoresheet!$N$2:$N$501,Scoresheet!$C$2:$C$501,A460,Scoresheet!$U$2:$U$501,1)&amp;"/6)",IF(Q460&gt;=Settings!$S$8,"Hot",IF(Q460&gt;=Settings!$S$9,"Warm","Cold")))))</f>
        <v/>
      </c>
      <c r="S460" s="44" t="str">
        <f aca="false">IF(OR(E460="",A460=""),"",IF(AND(COUNTIFS(Scoresheet!$C$2:$C$501,A460,Scoresheet!$U$2:$U$501,1,Scoresheet!$H$2:$H$501,"No")&gt;0,COUNTIFS(Scoresheet!$C$2:$C$501,A460,Scoresheet!$U$2:$U$501,1,Scoresheet!$J$2:$J$501,"No")&gt;0),"🚩 Budget  ·  🚩 No one on camera",IF(COUNTIFS(Scoresheet!$C$2:$C$501,A460,Scoresheet!$U$2:$U$501,1,Scoresheet!$H$2:$H$501,"No")&gt;0,"🚩 Budget under AED 5k",IF(COUNTIFS(Scoresheet!$C$2:$C$501,A460,Scoresheet!$U$2:$U$501,1,Scoresheet!$J$2:$J$501,"No")&gt;0,"🚩 No one on camera",""))))</f>
        <v/>
      </c>
      <c r="T460" s="17"/>
      <c r="U460" s="17"/>
      <c r="V460" s="40"/>
      <c r="W460" s="17"/>
      <c r="X460" s="45" t="str">
        <f aca="false">IF(OR(E460="",V460="",OR(U460="Contract signed + paid",U460="Closed – No response",U460="Lost"),N(W460)&gt;=Settings!$S$3),"",V460+Settings!$S$2)</f>
        <v/>
      </c>
      <c r="Y460" s="40"/>
      <c r="Z460" s="41"/>
      <c r="AA460" s="17"/>
      <c r="AB460" s="17"/>
      <c r="AC460" s="17"/>
      <c r="AD460" s="46" t="str">
        <f aca="true">IF(OR(E460="",B460=""),"",INT(TODAY()-B460))</f>
        <v/>
      </c>
      <c r="AE460" s="44" t="str">
        <f aca="true">IF(E460="","",IF(OR(COUNTIFS(Clients!$C$2:$C$501,E460,Clients!$S$2:$S$501,"Paid")&gt;0,AND(I460&lt;&gt;"",COUNTIFS(Clients!$E$2:$E$501,I460,Clients!$S$2:$S$501,"Paid")&gt;0)),"⚠ Refunded before – no free video",IF(OR(U460="Contract signed + paid",U460="Closed – No response",U460="Lost"),"",IF(U460="","Set a stage",IF(AND(U460="Proposal sent",SUMIFS(Scoresheet!$N$2:$N$501,Scoresheet!$C$2:$C$501,A460,Scoresheet!$U$2:$U$501,1)&lt;6),"Score this lead – fill the call scoresheet",IF(N(W460)&gt;=Settings!$S$3,"Close – 4 follow-ups sent",IF(X460="",IF(V460="","Make first contact",""),IF(TODAY()&gt;X460,"OVERDUE follow-up",IF(TODAY()=X460,"Follow up today","")))))))))</f>
        <v/>
      </c>
    </row>
    <row r="461" customFormat="false" ht="15" hidden="false" customHeight="false" outlineLevel="0" collapsed="false">
      <c r="A461" s="17"/>
      <c r="B461" s="40"/>
      <c r="C461" s="41"/>
      <c r="D461" s="17"/>
      <c r="E461" s="17"/>
      <c r="F461" s="17"/>
      <c r="G461" s="17"/>
      <c r="H461" s="17"/>
      <c r="I461" s="42"/>
      <c r="J461" s="17"/>
      <c r="K461" s="17"/>
      <c r="L461" s="17"/>
      <c r="M461" s="17"/>
      <c r="N461" s="40"/>
      <c r="O461" s="41"/>
      <c r="P461" s="43" t="str">
        <f aca="false">IF(OR(B461="",N461=""),"",ROUND(((N461+N(O461))-(B461+N(C461)))*24,1))</f>
        <v/>
      </c>
      <c r="Q461" s="44" t="str">
        <f aca="false">IF(OR(E461="",A461="",COUNTIFS(Scoresheet!$C$2:$C$501,A461,Scoresheet!$U$2:$U$501,1)=0),"",SUMIFS(Scoresheet!$O$2:$O$501,Scoresheet!$C$2:$C$501,A461,Scoresheet!$U$2:$U$501,1))</f>
        <v/>
      </c>
      <c r="R461" s="44" t="str">
        <f aca="false">IF(E461="","",IF(OR(A461="",COUNTIFS(Scoresheet!$C$2:$C$501,A461,Scoresheet!$U$2:$U$501,1)=0),"No scoresheet yet",IF(SUMIFS(Scoresheet!$N$2:$N$501,Scoresheet!$C$2:$C$501,A461,Scoresheet!$U$2:$U$501,1)&lt;6,"Partly scored ("&amp;SUMIFS(Scoresheet!$N$2:$N$501,Scoresheet!$C$2:$C$501,A461,Scoresheet!$U$2:$U$501,1)&amp;"/6)",IF(Q461&gt;=Settings!$S$8,"Hot",IF(Q461&gt;=Settings!$S$9,"Warm","Cold")))))</f>
        <v/>
      </c>
      <c r="S461" s="44" t="str">
        <f aca="false">IF(OR(E461="",A461=""),"",IF(AND(COUNTIFS(Scoresheet!$C$2:$C$501,A461,Scoresheet!$U$2:$U$501,1,Scoresheet!$H$2:$H$501,"No")&gt;0,COUNTIFS(Scoresheet!$C$2:$C$501,A461,Scoresheet!$U$2:$U$501,1,Scoresheet!$J$2:$J$501,"No")&gt;0),"🚩 Budget  ·  🚩 No one on camera",IF(COUNTIFS(Scoresheet!$C$2:$C$501,A461,Scoresheet!$U$2:$U$501,1,Scoresheet!$H$2:$H$501,"No")&gt;0,"🚩 Budget under AED 5k",IF(COUNTIFS(Scoresheet!$C$2:$C$501,A461,Scoresheet!$U$2:$U$501,1,Scoresheet!$J$2:$J$501,"No")&gt;0,"🚩 No one on camera",""))))</f>
        <v/>
      </c>
      <c r="T461" s="17"/>
      <c r="U461" s="17"/>
      <c r="V461" s="40"/>
      <c r="W461" s="17"/>
      <c r="X461" s="45" t="str">
        <f aca="false">IF(OR(E461="",V461="",OR(U461="Contract signed + paid",U461="Closed – No response",U461="Lost"),N(W461)&gt;=Settings!$S$3),"",V461+Settings!$S$2)</f>
        <v/>
      </c>
      <c r="Y461" s="40"/>
      <c r="Z461" s="41"/>
      <c r="AA461" s="17"/>
      <c r="AB461" s="17"/>
      <c r="AC461" s="17"/>
      <c r="AD461" s="46" t="str">
        <f aca="true">IF(OR(E461="",B461=""),"",INT(TODAY()-B461))</f>
        <v/>
      </c>
      <c r="AE461" s="44" t="str">
        <f aca="true">IF(E461="","",IF(OR(COUNTIFS(Clients!$C$2:$C$501,E461,Clients!$S$2:$S$501,"Paid")&gt;0,AND(I461&lt;&gt;"",COUNTIFS(Clients!$E$2:$E$501,I461,Clients!$S$2:$S$501,"Paid")&gt;0)),"⚠ Refunded before – no free video",IF(OR(U461="Contract signed + paid",U461="Closed – No response",U461="Lost"),"",IF(U461="","Set a stage",IF(AND(U461="Proposal sent",SUMIFS(Scoresheet!$N$2:$N$501,Scoresheet!$C$2:$C$501,A461,Scoresheet!$U$2:$U$501,1)&lt;6),"Score this lead – fill the call scoresheet",IF(N(W461)&gt;=Settings!$S$3,"Close – 4 follow-ups sent",IF(X461="",IF(V461="","Make first contact",""),IF(TODAY()&gt;X461,"OVERDUE follow-up",IF(TODAY()=X461,"Follow up today","")))))))))</f>
        <v/>
      </c>
    </row>
    <row r="462" customFormat="false" ht="15" hidden="false" customHeight="false" outlineLevel="0" collapsed="false">
      <c r="A462" s="17"/>
      <c r="B462" s="40"/>
      <c r="C462" s="41"/>
      <c r="D462" s="17"/>
      <c r="E462" s="17"/>
      <c r="F462" s="17"/>
      <c r="G462" s="17"/>
      <c r="H462" s="17"/>
      <c r="I462" s="42"/>
      <c r="J462" s="17"/>
      <c r="K462" s="17"/>
      <c r="L462" s="17"/>
      <c r="M462" s="17"/>
      <c r="N462" s="40"/>
      <c r="O462" s="41"/>
      <c r="P462" s="43" t="str">
        <f aca="false">IF(OR(B462="",N462=""),"",ROUND(((N462+N(O462))-(B462+N(C462)))*24,1))</f>
        <v/>
      </c>
      <c r="Q462" s="44" t="str">
        <f aca="false">IF(OR(E462="",A462="",COUNTIFS(Scoresheet!$C$2:$C$501,A462,Scoresheet!$U$2:$U$501,1)=0),"",SUMIFS(Scoresheet!$O$2:$O$501,Scoresheet!$C$2:$C$501,A462,Scoresheet!$U$2:$U$501,1))</f>
        <v/>
      </c>
      <c r="R462" s="44" t="str">
        <f aca="false">IF(E462="","",IF(OR(A462="",COUNTIFS(Scoresheet!$C$2:$C$501,A462,Scoresheet!$U$2:$U$501,1)=0),"No scoresheet yet",IF(SUMIFS(Scoresheet!$N$2:$N$501,Scoresheet!$C$2:$C$501,A462,Scoresheet!$U$2:$U$501,1)&lt;6,"Partly scored ("&amp;SUMIFS(Scoresheet!$N$2:$N$501,Scoresheet!$C$2:$C$501,A462,Scoresheet!$U$2:$U$501,1)&amp;"/6)",IF(Q462&gt;=Settings!$S$8,"Hot",IF(Q462&gt;=Settings!$S$9,"Warm","Cold")))))</f>
        <v/>
      </c>
      <c r="S462" s="44" t="str">
        <f aca="false">IF(OR(E462="",A462=""),"",IF(AND(COUNTIFS(Scoresheet!$C$2:$C$501,A462,Scoresheet!$U$2:$U$501,1,Scoresheet!$H$2:$H$501,"No")&gt;0,COUNTIFS(Scoresheet!$C$2:$C$501,A462,Scoresheet!$U$2:$U$501,1,Scoresheet!$J$2:$J$501,"No")&gt;0),"🚩 Budget  ·  🚩 No one on camera",IF(COUNTIFS(Scoresheet!$C$2:$C$501,A462,Scoresheet!$U$2:$U$501,1,Scoresheet!$H$2:$H$501,"No")&gt;0,"🚩 Budget under AED 5k",IF(COUNTIFS(Scoresheet!$C$2:$C$501,A462,Scoresheet!$U$2:$U$501,1,Scoresheet!$J$2:$J$501,"No")&gt;0,"🚩 No one on camera",""))))</f>
        <v/>
      </c>
      <c r="T462" s="17"/>
      <c r="U462" s="17"/>
      <c r="V462" s="40"/>
      <c r="W462" s="17"/>
      <c r="X462" s="45" t="str">
        <f aca="false">IF(OR(E462="",V462="",OR(U462="Contract signed + paid",U462="Closed – No response",U462="Lost"),N(W462)&gt;=Settings!$S$3),"",V462+Settings!$S$2)</f>
        <v/>
      </c>
      <c r="Y462" s="40"/>
      <c r="Z462" s="41"/>
      <c r="AA462" s="17"/>
      <c r="AB462" s="17"/>
      <c r="AC462" s="17"/>
      <c r="AD462" s="46" t="str">
        <f aca="true">IF(OR(E462="",B462=""),"",INT(TODAY()-B462))</f>
        <v/>
      </c>
      <c r="AE462" s="44" t="str">
        <f aca="true">IF(E462="","",IF(OR(COUNTIFS(Clients!$C$2:$C$501,E462,Clients!$S$2:$S$501,"Paid")&gt;0,AND(I462&lt;&gt;"",COUNTIFS(Clients!$E$2:$E$501,I462,Clients!$S$2:$S$501,"Paid")&gt;0)),"⚠ Refunded before – no free video",IF(OR(U462="Contract signed + paid",U462="Closed – No response",U462="Lost"),"",IF(U462="","Set a stage",IF(AND(U462="Proposal sent",SUMIFS(Scoresheet!$N$2:$N$501,Scoresheet!$C$2:$C$501,A462,Scoresheet!$U$2:$U$501,1)&lt;6),"Score this lead – fill the call scoresheet",IF(N(W462)&gt;=Settings!$S$3,"Close – 4 follow-ups sent",IF(X462="",IF(V462="","Make first contact",""),IF(TODAY()&gt;X462,"OVERDUE follow-up",IF(TODAY()=X462,"Follow up today","")))))))))</f>
        <v/>
      </c>
    </row>
    <row r="463" customFormat="false" ht="15" hidden="false" customHeight="false" outlineLevel="0" collapsed="false">
      <c r="A463" s="17"/>
      <c r="B463" s="40"/>
      <c r="C463" s="41"/>
      <c r="D463" s="17"/>
      <c r="E463" s="17"/>
      <c r="F463" s="17"/>
      <c r="G463" s="17"/>
      <c r="H463" s="17"/>
      <c r="I463" s="42"/>
      <c r="J463" s="17"/>
      <c r="K463" s="17"/>
      <c r="L463" s="17"/>
      <c r="M463" s="17"/>
      <c r="N463" s="40"/>
      <c r="O463" s="41"/>
      <c r="P463" s="43" t="str">
        <f aca="false">IF(OR(B463="",N463=""),"",ROUND(((N463+N(O463))-(B463+N(C463)))*24,1))</f>
        <v/>
      </c>
      <c r="Q463" s="44" t="str">
        <f aca="false">IF(OR(E463="",A463="",COUNTIFS(Scoresheet!$C$2:$C$501,A463,Scoresheet!$U$2:$U$501,1)=0),"",SUMIFS(Scoresheet!$O$2:$O$501,Scoresheet!$C$2:$C$501,A463,Scoresheet!$U$2:$U$501,1))</f>
        <v/>
      </c>
      <c r="R463" s="44" t="str">
        <f aca="false">IF(E463="","",IF(OR(A463="",COUNTIFS(Scoresheet!$C$2:$C$501,A463,Scoresheet!$U$2:$U$501,1)=0),"No scoresheet yet",IF(SUMIFS(Scoresheet!$N$2:$N$501,Scoresheet!$C$2:$C$501,A463,Scoresheet!$U$2:$U$501,1)&lt;6,"Partly scored ("&amp;SUMIFS(Scoresheet!$N$2:$N$501,Scoresheet!$C$2:$C$501,A463,Scoresheet!$U$2:$U$501,1)&amp;"/6)",IF(Q463&gt;=Settings!$S$8,"Hot",IF(Q463&gt;=Settings!$S$9,"Warm","Cold")))))</f>
        <v/>
      </c>
      <c r="S463" s="44" t="str">
        <f aca="false">IF(OR(E463="",A463=""),"",IF(AND(COUNTIFS(Scoresheet!$C$2:$C$501,A463,Scoresheet!$U$2:$U$501,1,Scoresheet!$H$2:$H$501,"No")&gt;0,COUNTIFS(Scoresheet!$C$2:$C$501,A463,Scoresheet!$U$2:$U$501,1,Scoresheet!$J$2:$J$501,"No")&gt;0),"🚩 Budget  ·  🚩 No one on camera",IF(COUNTIFS(Scoresheet!$C$2:$C$501,A463,Scoresheet!$U$2:$U$501,1,Scoresheet!$H$2:$H$501,"No")&gt;0,"🚩 Budget under AED 5k",IF(COUNTIFS(Scoresheet!$C$2:$C$501,A463,Scoresheet!$U$2:$U$501,1,Scoresheet!$J$2:$J$501,"No")&gt;0,"🚩 No one on camera",""))))</f>
        <v/>
      </c>
      <c r="T463" s="17"/>
      <c r="U463" s="17"/>
      <c r="V463" s="40"/>
      <c r="W463" s="17"/>
      <c r="X463" s="45" t="str">
        <f aca="false">IF(OR(E463="",V463="",OR(U463="Contract signed + paid",U463="Closed – No response",U463="Lost"),N(W463)&gt;=Settings!$S$3),"",V463+Settings!$S$2)</f>
        <v/>
      </c>
      <c r="Y463" s="40"/>
      <c r="Z463" s="41"/>
      <c r="AA463" s="17"/>
      <c r="AB463" s="17"/>
      <c r="AC463" s="17"/>
      <c r="AD463" s="46" t="str">
        <f aca="true">IF(OR(E463="",B463=""),"",INT(TODAY()-B463))</f>
        <v/>
      </c>
      <c r="AE463" s="44" t="str">
        <f aca="true">IF(E463="","",IF(OR(COUNTIFS(Clients!$C$2:$C$501,E463,Clients!$S$2:$S$501,"Paid")&gt;0,AND(I463&lt;&gt;"",COUNTIFS(Clients!$E$2:$E$501,I463,Clients!$S$2:$S$501,"Paid")&gt;0)),"⚠ Refunded before – no free video",IF(OR(U463="Contract signed + paid",U463="Closed – No response",U463="Lost"),"",IF(U463="","Set a stage",IF(AND(U463="Proposal sent",SUMIFS(Scoresheet!$N$2:$N$501,Scoresheet!$C$2:$C$501,A463,Scoresheet!$U$2:$U$501,1)&lt;6),"Score this lead – fill the call scoresheet",IF(N(W463)&gt;=Settings!$S$3,"Close – 4 follow-ups sent",IF(X463="",IF(V463="","Make first contact",""),IF(TODAY()&gt;X463,"OVERDUE follow-up",IF(TODAY()=X463,"Follow up today","")))))))))</f>
        <v/>
      </c>
    </row>
    <row r="464" customFormat="false" ht="15" hidden="false" customHeight="false" outlineLevel="0" collapsed="false">
      <c r="A464" s="17"/>
      <c r="B464" s="40"/>
      <c r="C464" s="41"/>
      <c r="D464" s="17"/>
      <c r="E464" s="17"/>
      <c r="F464" s="17"/>
      <c r="G464" s="17"/>
      <c r="H464" s="17"/>
      <c r="I464" s="42"/>
      <c r="J464" s="17"/>
      <c r="K464" s="17"/>
      <c r="L464" s="17"/>
      <c r="M464" s="17"/>
      <c r="N464" s="40"/>
      <c r="O464" s="41"/>
      <c r="P464" s="43" t="str">
        <f aca="false">IF(OR(B464="",N464=""),"",ROUND(((N464+N(O464))-(B464+N(C464)))*24,1))</f>
        <v/>
      </c>
      <c r="Q464" s="44" t="str">
        <f aca="false">IF(OR(E464="",A464="",COUNTIFS(Scoresheet!$C$2:$C$501,A464,Scoresheet!$U$2:$U$501,1)=0),"",SUMIFS(Scoresheet!$O$2:$O$501,Scoresheet!$C$2:$C$501,A464,Scoresheet!$U$2:$U$501,1))</f>
        <v/>
      </c>
      <c r="R464" s="44" t="str">
        <f aca="false">IF(E464="","",IF(OR(A464="",COUNTIFS(Scoresheet!$C$2:$C$501,A464,Scoresheet!$U$2:$U$501,1)=0),"No scoresheet yet",IF(SUMIFS(Scoresheet!$N$2:$N$501,Scoresheet!$C$2:$C$501,A464,Scoresheet!$U$2:$U$501,1)&lt;6,"Partly scored ("&amp;SUMIFS(Scoresheet!$N$2:$N$501,Scoresheet!$C$2:$C$501,A464,Scoresheet!$U$2:$U$501,1)&amp;"/6)",IF(Q464&gt;=Settings!$S$8,"Hot",IF(Q464&gt;=Settings!$S$9,"Warm","Cold")))))</f>
        <v/>
      </c>
      <c r="S464" s="44" t="str">
        <f aca="false">IF(OR(E464="",A464=""),"",IF(AND(COUNTIFS(Scoresheet!$C$2:$C$501,A464,Scoresheet!$U$2:$U$501,1,Scoresheet!$H$2:$H$501,"No")&gt;0,COUNTIFS(Scoresheet!$C$2:$C$501,A464,Scoresheet!$U$2:$U$501,1,Scoresheet!$J$2:$J$501,"No")&gt;0),"🚩 Budget  ·  🚩 No one on camera",IF(COUNTIFS(Scoresheet!$C$2:$C$501,A464,Scoresheet!$U$2:$U$501,1,Scoresheet!$H$2:$H$501,"No")&gt;0,"🚩 Budget under AED 5k",IF(COUNTIFS(Scoresheet!$C$2:$C$501,A464,Scoresheet!$U$2:$U$501,1,Scoresheet!$J$2:$J$501,"No")&gt;0,"🚩 No one on camera",""))))</f>
        <v/>
      </c>
      <c r="T464" s="17"/>
      <c r="U464" s="17"/>
      <c r="V464" s="40"/>
      <c r="W464" s="17"/>
      <c r="X464" s="45" t="str">
        <f aca="false">IF(OR(E464="",V464="",OR(U464="Contract signed + paid",U464="Closed – No response",U464="Lost"),N(W464)&gt;=Settings!$S$3),"",V464+Settings!$S$2)</f>
        <v/>
      </c>
      <c r="Y464" s="40"/>
      <c r="Z464" s="41"/>
      <c r="AA464" s="17"/>
      <c r="AB464" s="17"/>
      <c r="AC464" s="17"/>
      <c r="AD464" s="46" t="str">
        <f aca="true">IF(OR(E464="",B464=""),"",INT(TODAY()-B464))</f>
        <v/>
      </c>
      <c r="AE464" s="44" t="str">
        <f aca="true">IF(E464="","",IF(OR(COUNTIFS(Clients!$C$2:$C$501,E464,Clients!$S$2:$S$501,"Paid")&gt;0,AND(I464&lt;&gt;"",COUNTIFS(Clients!$E$2:$E$501,I464,Clients!$S$2:$S$501,"Paid")&gt;0)),"⚠ Refunded before – no free video",IF(OR(U464="Contract signed + paid",U464="Closed – No response",U464="Lost"),"",IF(U464="","Set a stage",IF(AND(U464="Proposal sent",SUMIFS(Scoresheet!$N$2:$N$501,Scoresheet!$C$2:$C$501,A464,Scoresheet!$U$2:$U$501,1)&lt;6),"Score this lead – fill the call scoresheet",IF(N(W464)&gt;=Settings!$S$3,"Close – 4 follow-ups sent",IF(X464="",IF(V464="","Make first contact",""),IF(TODAY()&gt;X464,"OVERDUE follow-up",IF(TODAY()=X464,"Follow up today","")))))))))</f>
        <v/>
      </c>
    </row>
    <row r="465" customFormat="false" ht="15" hidden="false" customHeight="false" outlineLevel="0" collapsed="false">
      <c r="A465" s="17"/>
      <c r="B465" s="40"/>
      <c r="C465" s="41"/>
      <c r="D465" s="17"/>
      <c r="E465" s="17"/>
      <c r="F465" s="17"/>
      <c r="G465" s="17"/>
      <c r="H465" s="17"/>
      <c r="I465" s="42"/>
      <c r="J465" s="17"/>
      <c r="K465" s="17"/>
      <c r="L465" s="17"/>
      <c r="M465" s="17"/>
      <c r="N465" s="40"/>
      <c r="O465" s="41"/>
      <c r="P465" s="43" t="str">
        <f aca="false">IF(OR(B465="",N465=""),"",ROUND(((N465+N(O465))-(B465+N(C465)))*24,1))</f>
        <v/>
      </c>
      <c r="Q465" s="44" t="str">
        <f aca="false">IF(OR(E465="",A465="",COUNTIFS(Scoresheet!$C$2:$C$501,A465,Scoresheet!$U$2:$U$501,1)=0),"",SUMIFS(Scoresheet!$O$2:$O$501,Scoresheet!$C$2:$C$501,A465,Scoresheet!$U$2:$U$501,1))</f>
        <v/>
      </c>
      <c r="R465" s="44" t="str">
        <f aca="false">IF(E465="","",IF(OR(A465="",COUNTIFS(Scoresheet!$C$2:$C$501,A465,Scoresheet!$U$2:$U$501,1)=0),"No scoresheet yet",IF(SUMIFS(Scoresheet!$N$2:$N$501,Scoresheet!$C$2:$C$501,A465,Scoresheet!$U$2:$U$501,1)&lt;6,"Partly scored ("&amp;SUMIFS(Scoresheet!$N$2:$N$501,Scoresheet!$C$2:$C$501,A465,Scoresheet!$U$2:$U$501,1)&amp;"/6)",IF(Q465&gt;=Settings!$S$8,"Hot",IF(Q465&gt;=Settings!$S$9,"Warm","Cold")))))</f>
        <v/>
      </c>
      <c r="S465" s="44" t="str">
        <f aca="false">IF(OR(E465="",A465=""),"",IF(AND(COUNTIFS(Scoresheet!$C$2:$C$501,A465,Scoresheet!$U$2:$U$501,1,Scoresheet!$H$2:$H$501,"No")&gt;0,COUNTIFS(Scoresheet!$C$2:$C$501,A465,Scoresheet!$U$2:$U$501,1,Scoresheet!$J$2:$J$501,"No")&gt;0),"🚩 Budget  ·  🚩 No one on camera",IF(COUNTIFS(Scoresheet!$C$2:$C$501,A465,Scoresheet!$U$2:$U$501,1,Scoresheet!$H$2:$H$501,"No")&gt;0,"🚩 Budget under AED 5k",IF(COUNTIFS(Scoresheet!$C$2:$C$501,A465,Scoresheet!$U$2:$U$501,1,Scoresheet!$J$2:$J$501,"No")&gt;0,"🚩 No one on camera",""))))</f>
        <v/>
      </c>
      <c r="T465" s="17"/>
      <c r="U465" s="17"/>
      <c r="V465" s="40"/>
      <c r="W465" s="17"/>
      <c r="X465" s="45" t="str">
        <f aca="false">IF(OR(E465="",V465="",OR(U465="Contract signed + paid",U465="Closed – No response",U465="Lost"),N(W465)&gt;=Settings!$S$3),"",V465+Settings!$S$2)</f>
        <v/>
      </c>
      <c r="Y465" s="40"/>
      <c r="Z465" s="41"/>
      <c r="AA465" s="17"/>
      <c r="AB465" s="17"/>
      <c r="AC465" s="17"/>
      <c r="AD465" s="46" t="str">
        <f aca="true">IF(OR(E465="",B465=""),"",INT(TODAY()-B465))</f>
        <v/>
      </c>
      <c r="AE465" s="44" t="str">
        <f aca="true">IF(E465="","",IF(OR(COUNTIFS(Clients!$C$2:$C$501,E465,Clients!$S$2:$S$501,"Paid")&gt;0,AND(I465&lt;&gt;"",COUNTIFS(Clients!$E$2:$E$501,I465,Clients!$S$2:$S$501,"Paid")&gt;0)),"⚠ Refunded before – no free video",IF(OR(U465="Contract signed + paid",U465="Closed – No response",U465="Lost"),"",IF(U465="","Set a stage",IF(AND(U465="Proposal sent",SUMIFS(Scoresheet!$N$2:$N$501,Scoresheet!$C$2:$C$501,A465,Scoresheet!$U$2:$U$501,1)&lt;6),"Score this lead – fill the call scoresheet",IF(N(W465)&gt;=Settings!$S$3,"Close – 4 follow-ups sent",IF(X465="",IF(V465="","Make first contact",""),IF(TODAY()&gt;X465,"OVERDUE follow-up",IF(TODAY()=X465,"Follow up today","")))))))))</f>
        <v/>
      </c>
    </row>
    <row r="466" customFormat="false" ht="15" hidden="false" customHeight="false" outlineLevel="0" collapsed="false">
      <c r="A466" s="17"/>
      <c r="B466" s="40"/>
      <c r="C466" s="41"/>
      <c r="D466" s="17"/>
      <c r="E466" s="17"/>
      <c r="F466" s="17"/>
      <c r="G466" s="17"/>
      <c r="H466" s="17"/>
      <c r="I466" s="42"/>
      <c r="J466" s="17"/>
      <c r="K466" s="17"/>
      <c r="L466" s="17"/>
      <c r="M466" s="17"/>
      <c r="N466" s="40"/>
      <c r="O466" s="41"/>
      <c r="P466" s="43" t="str">
        <f aca="false">IF(OR(B466="",N466=""),"",ROUND(((N466+N(O466))-(B466+N(C466)))*24,1))</f>
        <v/>
      </c>
      <c r="Q466" s="44" t="str">
        <f aca="false">IF(OR(E466="",A466="",COUNTIFS(Scoresheet!$C$2:$C$501,A466,Scoresheet!$U$2:$U$501,1)=0),"",SUMIFS(Scoresheet!$O$2:$O$501,Scoresheet!$C$2:$C$501,A466,Scoresheet!$U$2:$U$501,1))</f>
        <v/>
      </c>
      <c r="R466" s="44" t="str">
        <f aca="false">IF(E466="","",IF(OR(A466="",COUNTIFS(Scoresheet!$C$2:$C$501,A466,Scoresheet!$U$2:$U$501,1)=0),"No scoresheet yet",IF(SUMIFS(Scoresheet!$N$2:$N$501,Scoresheet!$C$2:$C$501,A466,Scoresheet!$U$2:$U$501,1)&lt;6,"Partly scored ("&amp;SUMIFS(Scoresheet!$N$2:$N$501,Scoresheet!$C$2:$C$501,A466,Scoresheet!$U$2:$U$501,1)&amp;"/6)",IF(Q466&gt;=Settings!$S$8,"Hot",IF(Q466&gt;=Settings!$S$9,"Warm","Cold")))))</f>
        <v/>
      </c>
      <c r="S466" s="44" t="str">
        <f aca="false">IF(OR(E466="",A466=""),"",IF(AND(COUNTIFS(Scoresheet!$C$2:$C$501,A466,Scoresheet!$U$2:$U$501,1,Scoresheet!$H$2:$H$501,"No")&gt;0,COUNTIFS(Scoresheet!$C$2:$C$501,A466,Scoresheet!$U$2:$U$501,1,Scoresheet!$J$2:$J$501,"No")&gt;0),"🚩 Budget  ·  🚩 No one on camera",IF(COUNTIFS(Scoresheet!$C$2:$C$501,A466,Scoresheet!$U$2:$U$501,1,Scoresheet!$H$2:$H$501,"No")&gt;0,"🚩 Budget under AED 5k",IF(COUNTIFS(Scoresheet!$C$2:$C$501,A466,Scoresheet!$U$2:$U$501,1,Scoresheet!$J$2:$J$501,"No")&gt;0,"🚩 No one on camera",""))))</f>
        <v/>
      </c>
      <c r="T466" s="17"/>
      <c r="U466" s="17"/>
      <c r="V466" s="40"/>
      <c r="W466" s="17"/>
      <c r="X466" s="45" t="str">
        <f aca="false">IF(OR(E466="",V466="",OR(U466="Contract signed + paid",U466="Closed – No response",U466="Lost"),N(W466)&gt;=Settings!$S$3),"",V466+Settings!$S$2)</f>
        <v/>
      </c>
      <c r="Y466" s="40"/>
      <c r="Z466" s="41"/>
      <c r="AA466" s="17"/>
      <c r="AB466" s="17"/>
      <c r="AC466" s="17"/>
      <c r="AD466" s="46" t="str">
        <f aca="true">IF(OR(E466="",B466=""),"",INT(TODAY()-B466))</f>
        <v/>
      </c>
      <c r="AE466" s="44" t="str">
        <f aca="true">IF(E466="","",IF(OR(COUNTIFS(Clients!$C$2:$C$501,E466,Clients!$S$2:$S$501,"Paid")&gt;0,AND(I466&lt;&gt;"",COUNTIFS(Clients!$E$2:$E$501,I466,Clients!$S$2:$S$501,"Paid")&gt;0)),"⚠ Refunded before – no free video",IF(OR(U466="Contract signed + paid",U466="Closed – No response",U466="Lost"),"",IF(U466="","Set a stage",IF(AND(U466="Proposal sent",SUMIFS(Scoresheet!$N$2:$N$501,Scoresheet!$C$2:$C$501,A466,Scoresheet!$U$2:$U$501,1)&lt;6),"Score this lead – fill the call scoresheet",IF(N(W466)&gt;=Settings!$S$3,"Close – 4 follow-ups sent",IF(X466="",IF(V466="","Make first contact",""),IF(TODAY()&gt;X466,"OVERDUE follow-up",IF(TODAY()=X466,"Follow up today","")))))))))</f>
        <v/>
      </c>
    </row>
    <row r="467" customFormat="false" ht="15" hidden="false" customHeight="false" outlineLevel="0" collapsed="false">
      <c r="A467" s="17"/>
      <c r="B467" s="40"/>
      <c r="C467" s="41"/>
      <c r="D467" s="17"/>
      <c r="E467" s="17"/>
      <c r="F467" s="17"/>
      <c r="G467" s="17"/>
      <c r="H467" s="17"/>
      <c r="I467" s="42"/>
      <c r="J467" s="17"/>
      <c r="K467" s="17"/>
      <c r="L467" s="17"/>
      <c r="M467" s="17"/>
      <c r="N467" s="40"/>
      <c r="O467" s="41"/>
      <c r="P467" s="43" t="str">
        <f aca="false">IF(OR(B467="",N467=""),"",ROUND(((N467+N(O467))-(B467+N(C467)))*24,1))</f>
        <v/>
      </c>
      <c r="Q467" s="44" t="str">
        <f aca="false">IF(OR(E467="",A467="",COUNTIFS(Scoresheet!$C$2:$C$501,A467,Scoresheet!$U$2:$U$501,1)=0),"",SUMIFS(Scoresheet!$O$2:$O$501,Scoresheet!$C$2:$C$501,A467,Scoresheet!$U$2:$U$501,1))</f>
        <v/>
      </c>
      <c r="R467" s="44" t="str">
        <f aca="false">IF(E467="","",IF(OR(A467="",COUNTIFS(Scoresheet!$C$2:$C$501,A467,Scoresheet!$U$2:$U$501,1)=0),"No scoresheet yet",IF(SUMIFS(Scoresheet!$N$2:$N$501,Scoresheet!$C$2:$C$501,A467,Scoresheet!$U$2:$U$501,1)&lt;6,"Partly scored ("&amp;SUMIFS(Scoresheet!$N$2:$N$501,Scoresheet!$C$2:$C$501,A467,Scoresheet!$U$2:$U$501,1)&amp;"/6)",IF(Q467&gt;=Settings!$S$8,"Hot",IF(Q467&gt;=Settings!$S$9,"Warm","Cold")))))</f>
        <v/>
      </c>
      <c r="S467" s="44" t="str">
        <f aca="false">IF(OR(E467="",A467=""),"",IF(AND(COUNTIFS(Scoresheet!$C$2:$C$501,A467,Scoresheet!$U$2:$U$501,1,Scoresheet!$H$2:$H$501,"No")&gt;0,COUNTIFS(Scoresheet!$C$2:$C$501,A467,Scoresheet!$U$2:$U$501,1,Scoresheet!$J$2:$J$501,"No")&gt;0),"🚩 Budget  ·  🚩 No one on camera",IF(COUNTIFS(Scoresheet!$C$2:$C$501,A467,Scoresheet!$U$2:$U$501,1,Scoresheet!$H$2:$H$501,"No")&gt;0,"🚩 Budget under AED 5k",IF(COUNTIFS(Scoresheet!$C$2:$C$501,A467,Scoresheet!$U$2:$U$501,1,Scoresheet!$J$2:$J$501,"No")&gt;0,"🚩 No one on camera",""))))</f>
        <v/>
      </c>
      <c r="T467" s="17"/>
      <c r="U467" s="17"/>
      <c r="V467" s="40"/>
      <c r="W467" s="17"/>
      <c r="X467" s="45" t="str">
        <f aca="false">IF(OR(E467="",V467="",OR(U467="Contract signed + paid",U467="Closed – No response",U467="Lost"),N(W467)&gt;=Settings!$S$3),"",V467+Settings!$S$2)</f>
        <v/>
      </c>
      <c r="Y467" s="40"/>
      <c r="Z467" s="41"/>
      <c r="AA467" s="17"/>
      <c r="AB467" s="17"/>
      <c r="AC467" s="17"/>
      <c r="AD467" s="46" t="str">
        <f aca="true">IF(OR(E467="",B467=""),"",INT(TODAY()-B467))</f>
        <v/>
      </c>
      <c r="AE467" s="44" t="str">
        <f aca="true">IF(E467="","",IF(OR(COUNTIFS(Clients!$C$2:$C$501,E467,Clients!$S$2:$S$501,"Paid")&gt;0,AND(I467&lt;&gt;"",COUNTIFS(Clients!$E$2:$E$501,I467,Clients!$S$2:$S$501,"Paid")&gt;0)),"⚠ Refunded before – no free video",IF(OR(U467="Contract signed + paid",U467="Closed – No response",U467="Lost"),"",IF(U467="","Set a stage",IF(AND(U467="Proposal sent",SUMIFS(Scoresheet!$N$2:$N$501,Scoresheet!$C$2:$C$501,A467,Scoresheet!$U$2:$U$501,1)&lt;6),"Score this lead – fill the call scoresheet",IF(N(W467)&gt;=Settings!$S$3,"Close – 4 follow-ups sent",IF(X467="",IF(V467="","Make first contact",""),IF(TODAY()&gt;X467,"OVERDUE follow-up",IF(TODAY()=X467,"Follow up today","")))))))))</f>
        <v/>
      </c>
    </row>
    <row r="468" customFormat="false" ht="15" hidden="false" customHeight="false" outlineLevel="0" collapsed="false">
      <c r="A468" s="17"/>
      <c r="B468" s="40"/>
      <c r="C468" s="41"/>
      <c r="D468" s="17"/>
      <c r="E468" s="17"/>
      <c r="F468" s="17"/>
      <c r="G468" s="17"/>
      <c r="H468" s="17"/>
      <c r="I468" s="42"/>
      <c r="J468" s="17"/>
      <c r="K468" s="17"/>
      <c r="L468" s="17"/>
      <c r="M468" s="17"/>
      <c r="N468" s="40"/>
      <c r="O468" s="41"/>
      <c r="P468" s="43" t="str">
        <f aca="false">IF(OR(B468="",N468=""),"",ROUND(((N468+N(O468))-(B468+N(C468)))*24,1))</f>
        <v/>
      </c>
      <c r="Q468" s="44" t="str">
        <f aca="false">IF(OR(E468="",A468="",COUNTIFS(Scoresheet!$C$2:$C$501,A468,Scoresheet!$U$2:$U$501,1)=0),"",SUMIFS(Scoresheet!$O$2:$O$501,Scoresheet!$C$2:$C$501,A468,Scoresheet!$U$2:$U$501,1))</f>
        <v/>
      </c>
      <c r="R468" s="44" t="str">
        <f aca="false">IF(E468="","",IF(OR(A468="",COUNTIFS(Scoresheet!$C$2:$C$501,A468,Scoresheet!$U$2:$U$501,1)=0),"No scoresheet yet",IF(SUMIFS(Scoresheet!$N$2:$N$501,Scoresheet!$C$2:$C$501,A468,Scoresheet!$U$2:$U$501,1)&lt;6,"Partly scored ("&amp;SUMIFS(Scoresheet!$N$2:$N$501,Scoresheet!$C$2:$C$501,A468,Scoresheet!$U$2:$U$501,1)&amp;"/6)",IF(Q468&gt;=Settings!$S$8,"Hot",IF(Q468&gt;=Settings!$S$9,"Warm","Cold")))))</f>
        <v/>
      </c>
      <c r="S468" s="44" t="str">
        <f aca="false">IF(OR(E468="",A468=""),"",IF(AND(COUNTIFS(Scoresheet!$C$2:$C$501,A468,Scoresheet!$U$2:$U$501,1,Scoresheet!$H$2:$H$501,"No")&gt;0,COUNTIFS(Scoresheet!$C$2:$C$501,A468,Scoresheet!$U$2:$U$501,1,Scoresheet!$J$2:$J$501,"No")&gt;0),"🚩 Budget  ·  🚩 No one on camera",IF(COUNTIFS(Scoresheet!$C$2:$C$501,A468,Scoresheet!$U$2:$U$501,1,Scoresheet!$H$2:$H$501,"No")&gt;0,"🚩 Budget under AED 5k",IF(COUNTIFS(Scoresheet!$C$2:$C$501,A468,Scoresheet!$U$2:$U$501,1,Scoresheet!$J$2:$J$501,"No")&gt;0,"🚩 No one on camera",""))))</f>
        <v/>
      </c>
      <c r="T468" s="17"/>
      <c r="U468" s="17"/>
      <c r="V468" s="40"/>
      <c r="W468" s="17"/>
      <c r="X468" s="45" t="str">
        <f aca="false">IF(OR(E468="",V468="",OR(U468="Contract signed + paid",U468="Closed – No response",U468="Lost"),N(W468)&gt;=Settings!$S$3),"",V468+Settings!$S$2)</f>
        <v/>
      </c>
      <c r="Y468" s="40"/>
      <c r="Z468" s="41"/>
      <c r="AA468" s="17"/>
      <c r="AB468" s="17"/>
      <c r="AC468" s="17"/>
      <c r="AD468" s="46" t="str">
        <f aca="true">IF(OR(E468="",B468=""),"",INT(TODAY()-B468))</f>
        <v/>
      </c>
      <c r="AE468" s="44" t="str">
        <f aca="true">IF(E468="","",IF(OR(COUNTIFS(Clients!$C$2:$C$501,E468,Clients!$S$2:$S$501,"Paid")&gt;0,AND(I468&lt;&gt;"",COUNTIFS(Clients!$E$2:$E$501,I468,Clients!$S$2:$S$501,"Paid")&gt;0)),"⚠ Refunded before – no free video",IF(OR(U468="Contract signed + paid",U468="Closed – No response",U468="Lost"),"",IF(U468="","Set a stage",IF(AND(U468="Proposal sent",SUMIFS(Scoresheet!$N$2:$N$501,Scoresheet!$C$2:$C$501,A468,Scoresheet!$U$2:$U$501,1)&lt;6),"Score this lead – fill the call scoresheet",IF(N(W468)&gt;=Settings!$S$3,"Close – 4 follow-ups sent",IF(X468="",IF(V468="","Make first contact",""),IF(TODAY()&gt;X468,"OVERDUE follow-up",IF(TODAY()=X468,"Follow up today","")))))))))</f>
        <v/>
      </c>
    </row>
    <row r="469" customFormat="false" ht="15" hidden="false" customHeight="false" outlineLevel="0" collapsed="false">
      <c r="A469" s="17"/>
      <c r="B469" s="40"/>
      <c r="C469" s="41"/>
      <c r="D469" s="17"/>
      <c r="E469" s="17"/>
      <c r="F469" s="17"/>
      <c r="G469" s="17"/>
      <c r="H469" s="17"/>
      <c r="I469" s="42"/>
      <c r="J469" s="17"/>
      <c r="K469" s="17"/>
      <c r="L469" s="17"/>
      <c r="M469" s="17"/>
      <c r="N469" s="40"/>
      <c r="O469" s="41"/>
      <c r="P469" s="43" t="str">
        <f aca="false">IF(OR(B469="",N469=""),"",ROUND(((N469+N(O469))-(B469+N(C469)))*24,1))</f>
        <v/>
      </c>
      <c r="Q469" s="44" t="str">
        <f aca="false">IF(OR(E469="",A469="",COUNTIFS(Scoresheet!$C$2:$C$501,A469,Scoresheet!$U$2:$U$501,1)=0),"",SUMIFS(Scoresheet!$O$2:$O$501,Scoresheet!$C$2:$C$501,A469,Scoresheet!$U$2:$U$501,1))</f>
        <v/>
      </c>
      <c r="R469" s="44" t="str">
        <f aca="false">IF(E469="","",IF(OR(A469="",COUNTIFS(Scoresheet!$C$2:$C$501,A469,Scoresheet!$U$2:$U$501,1)=0),"No scoresheet yet",IF(SUMIFS(Scoresheet!$N$2:$N$501,Scoresheet!$C$2:$C$501,A469,Scoresheet!$U$2:$U$501,1)&lt;6,"Partly scored ("&amp;SUMIFS(Scoresheet!$N$2:$N$501,Scoresheet!$C$2:$C$501,A469,Scoresheet!$U$2:$U$501,1)&amp;"/6)",IF(Q469&gt;=Settings!$S$8,"Hot",IF(Q469&gt;=Settings!$S$9,"Warm","Cold")))))</f>
        <v/>
      </c>
      <c r="S469" s="44" t="str">
        <f aca="false">IF(OR(E469="",A469=""),"",IF(AND(COUNTIFS(Scoresheet!$C$2:$C$501,A469,Scoresheet!$U$2:$U$501,1,Scoresheet!$H$2:$H$501,"No")&gt;0,COUNTIFS(Scoresheet!$C$2:$C$501,A469,Scoresheet!$U$2:$U$501,1,Scoresheet!$J$2:$J$501,"No")&gt;0),"🚩 Budget  ·  🚩 No one on camera",IF(COUNTIFS(Scoresheet!$C$2:$C$501,A469,Scoresheet!$U$2:$U$501,1,Scoresheet!$H$2:$H$501,"No")&gt;0,"🚩 Budget under AED 5k",IF(COUNTIFS(Scoresheet!$C$2:$C$501,A469,Scoresheet!$U$2:$U$501,1,Scoresheet!$J$2:$J$501,"No")&gt;0,"🚩 No one on camera",""))))</f>
        <v/>
      </c>
      <c r="T469" s="17"/>
      <c r="U469" s="17"/>
      <c r="V469" s="40"/>
      <c r="W469" s="17"/>
      <c r="X469" s="45" t="str">
        <f aca="false">IF(OR(E469="",V469="",OR(U469="Contract signed + paid",U469="Closed – No response",U469="Lost"),N(W469)&gt;=Settings!$S$3),"",V469+Settings!$S$2)</f>
        <v/>
      </c>
      <c r="Y469" s="40"/>
      <c r="Z469" s="41"/>
      <c r="AA469" s="17"/>
      <c r="AB469" s="17"/>
      <c r="AC469" s="17"/>
      <c r="AD469" s="46" t="str">
        <f aca="true">IF(OR(E469="",B469=""),"",INT(TODAY()-B469))</f>
        <v/>
      </c>
      <c r="AE469" s="44" t="str">
        <f aca="true">IF(E469="","",IF(OR(COUNTIFS(Clients!$C$2:$C$501,E469,Clients!$S$2:$S$501,"Paid")&gt;0,AND(I469&lt;&gt;"",COUNTIFS(Clients!$E$2:$E$501,I469,Clients!$S$2:$S$501,"Paid")&gt;0)),"⚠ Refunded before – no free video",IF(OR(U469="Contract signed + paid",U469="Closed – No response",U469="Lost"),"",IF(U469="","Set a stage",IF(AND(U469="Proposal sent",SUMIFS(Scoresheet!$N$2:$N$501,Scoresheet!$C$2:$C$501,A469,Scoresheet!$U$2:$U$501,1)&lt;6),"Score this lead – fill the call scoresheet",IF(N(W469)&gt;=Settings!$S$3,"Close – 4 follow-ups sent",IF(X469="",IF(V469="","Make first contact",""),IF(TODAY()&gt;X469,"OVERDUE follow-up",IF(TODAY()=X469,"Follow up today","")))))))))</f>
        <v/>
      </c>
    </row>
    <row r="470" customFormat="false" ht="15" hidden="false" customHeight="false" outlineLevel="0" collapsed="false">
      <c r="A470" s="17"/>
      <c r="B470" s="40"/>
      <c r="C470" s="41"/>
      <c r="D470" s="17"/>
      <c r="E470" s="17"/>
      <c r="F470" s="17"/>
      <c r="G470" s="17"/>
      <c r="H470" s="17"/>
      <c r="I470" s="42"/>
      <c r="J470" s="17"/>
      <c r="K470" s="17"/>
      <c r="L470" s="17"/>
      <c r="M470" s="17"/>
      <c r="N470" s="40"/>
      <c r="O470" s="41"/>
      <c r="P470" s="43" t="str">
        <f aca="false">IF(OR(B470="",N470=""),"",ROUND(((N470+N(O470))-(B470+N(C470)))*24,1))</f>
        <v/>
      </c>
      <c r="Q470" s="44" t="str">
        <f aca="false">IF(OR(E470="",A470="",COUNTIFS(Scoresheet!$C$2:$C$501,A470,Scoresheet!$U$2:$U$501,1)=0),"",SUMIFS(Scoresheet!$O$2:$O$501,Scoresheet!$C$2:$C$501,A470,Scoresheet!$U$2:$U$501,1))</f>
        <v/>
      </c>
      <c r="R470" s="44" t="str">
        <f aca="false">IF(E470="","",IF(OR(A470="",COUNTIFS(Scoresheet!$C$2:$C$501,A470,Scoresheet!$U$2:$U$501,1)=0),"No scoresheet yet",IF(SUMIFS(Scoresheet!$N$2:$N$501,Scoresheet!$C$2:$C$501,A470,Scoresheet!$U$2:$U$501,1)&lt;6,"Partly scored ("&amp;SUMIFS(Scoresheet!$N$2:$N$501,Scoresheet!$C$2:$C$501,A470,Scoresheet!$U$2:$U$501,1)&amp;"/6)",IF(Q470&gt;=Settings!$S$8,"Hot",IF(Q470&gt;=Settings!$S$9,"Warm","Cold")))))</f>
        <v/>
      </c>
      <c r="S470" s="44" t="str">
        <f aca="false">IF(OR(E470="",A470=""),"",IF(AND(COUNTIFS(Scoresheet!$C$2:$C$501,A470,Scoresheet!$U$2:$U$501,1,Scoresheet!$H$2:$H$501,"No")&gt;0,COUNTIFS(Scoresheet!$C$2:$C$501,A470,Scoresheet!$U$2:$U$501,1,Scoresheet!$J$2:$J$501,"No")&gt;0),"🚩 Budget  ·  🚩 No one on camera",IF(COUNTIFS(Scoresheet!$C$2:$C$501,A470,Scoresheet!$U$2:$U$501,1,Scoresheet!$H$2:$H$501,"No")&gt;0,"🚩 Budget under AED 5k",IF(COUNTIFS(Scoresheet!$C$2:$C$501,A470,Scoresheet!$U$2:$U$501,1,Scoresheet!$J$2:$J$501,"No")&gt;0,"🚩 No one on camera",""))))</f>
        <v/>
      </c>
      <c r="T470" s="17"/>
      <c r="U470" s="17"/>
      <c r="V470" s="40"/>
      <c r="W470" s="17"/>
      <c r="X470" s="45" t="str">
        <f aca="false">IF(OR(E470="",V470="",OR(U470="Contract signed + paid",U470="Closed – No response",U470="Lost"),N(W470)&gt;=Settings!$S$3),"",V470+Settings!$S$2)</f>
        <v/>
      </c>
      <c r="Y470" s="40"/>
      <c r="Z470" s="41"/>
      <c r="AA470" s="17"/>
      <c r="AB470" s="17"/>
      <c r="AC470" s="17"/>
      <c r="AD470" s="46" t="str">
        <f aca="true">IF(OR(E470="",B470=""),"",INT(TODAY()-B470))</f>
        <v/>
      </c>
      <c r="AE470" s="44" t="str">
        <f aca="true">IF(E470="","",IF(OR(COUNTIFS(Clients!$C$2:$C$501,E470,Clients!$S$2:$S$501,"Paid")&gt;0,AND(I470&lt;&gt;"",COUNTIFS(Clients!$E$2:$E$501,I470,Clients!$S$2:$S$501,"Paid")&gt;0)),"⚠ Refunded before – no free video",IF(OR(U470="Contract signed + paid",U470="Closed – No response",U470="Lost"),"",IF(U470="","Set a stage",IF(AND(U470="Proposal sent",SUMIFS(Scoresheet!$N$2:$N$501,Scoresheet!$C$2:$C$501,A470,Scoresheet!$U$2:$U$501,1)&lt;6),"Score this lead – fill the call scoresheet",IF(N(W470)&gt;=Settings!$S$3,"Close – 4 follow-ups sent",IF(X470="",IF(V470="","Make first contact",""),IF(TODAY()&gt;X470,"OVERDUE follow-up",IF(TODAY()=X470,"Follow up today","")))))))))</f>
        <v/>
      </c>
    </row>
    <row r="471" customFormat="false" ht="15" hidden="false" customHeight="false" outlineLevel="0" collapsed="false">
      <c r="A471" s="17"/>
      <c r="B471" s="40"/>
      <c r="C471" s="41"/>
      <c r="D471" s="17"/>
      <c r="E471" s="17"/>
      <c r="F471" s="17"/>
      <c r="G471" s="17"/>
      <c r="H471" s="17"/>
      <c r="I471" s="42"/>
      <c r="J471" s="17"/>
      <c r="K471" s="17"/>
      <c r="L471" s="17"/>
      <c r="M471" s="17"/>
      <c r="N471" s="40"/>
      <c r="O471" s="41"/>
      <c r="P471" s="43" t="str">
        <f aca="false">IF(OR(B471="",N471=""),"",ROUND(((N471+N(O471))-(B471+N(C471)))*24,1))</f>
        <v/>
      </c>
      <c r="Q471" s="44" t="str">
        <f aca="false">IF(OR(E471="",A471="",COUNTIFS(Scoresheet!$C$2:$C$501,A471,Scoresheet!$U$2:$U$501,1)=0),"",SUMIFS(Scoresheet!$O$2:$O$501,Scoresheet!$C$2:$C$501,A471,Scoresheet!$U$2:$U$501,1))</f>
        <v/>
      </c>
      <c r="R471" s="44" t="str">
        <f aca="false">IF(E471="","",IF(OR(A471="",COUNTIFS(Scoresheet!$C$2:$C$501,A471,Scoresheet!$U$2:$U$501,1)=0),"No scoresheet yet",IF(SUMIFS(Scoresheet!$N$2:$N$501,Scoresheet!$C$2:$C$501,A471,Scoresheet!$U$2:$U$501,1)&lt;6,"Partly scored ("&amp;SUMIFS(Scoresheet!$N$2:$N$501,Scoresheet!$C$2:$C$501,A471,Scoresheet!$U$2:$U$501,1)&amp;"/6)",IF(Q471&gt;=Settings!$S$8,"Hot",IF(Q471&gt;=Settings!$S$9,"Warm","Cold")))))</f>
        <v/>
      </c>
      <c r="S471" s="44" t="str">
        <f aca="false">IF(OR(E471="",A471=""),"",IF(AND(COUNTIFS(Scoresheet!$C$2:$C$501,A471,Scoresheet!$U$2:$U$501,1,Scoresheet!$H$2:$H$501,"No")&gt;0,COUNTIFS(Scoresheet!$C$2:$C$501,A471,Scoresheet!$U$2:$U$501,1,Scoresheet!$J$2:$J$501,"No")&gt;0),"🚩 Budget  ·  🚩 No one on camera",IF(COUNTIFS(Scoresheet!$C$2:$C$501,A471,Scoresheet!$U$2:$U$501,1,Scoresheet!$H$2:$H$501,"No")&gt;0,"🚩 Budget under AED 5k",IF(COUNTIFS(Scoresheet!$C$2:$C$501,A471,Scoresheet!$U$2:$U$501,1,Scoresheet!$J$2:$J$501,"No")&gt;0,"🚩 No one on camera",""))))</f>
        <v/>
      </c>
      <c r="T471" s="17"/>
      <c r="U471" s="17"/>
      <c r="V471" s="40"/>
      <c r="W471" s="17"/>
      <c r="X471" s="45" t="str">
        <f aca="false">IF(OR(E471="",V471="",OR(U471="Contract signed + paid",U471="Closed – No response",U471="Lost"),N(W471)&gt;=Settings!$S$3),"",V471+Settings!$S$2)</f>
        <v/>
      </c>
      <c r="Y471" s="40"/>
      <c r="Z471" s="41"/>
      <c r="AA471" s="17"/>
      <c r="AB471" s="17"/>
      <c r="AC471" s="17"/>
      <c r="AD471" s="46" t="str">
        <f aca="true">IF(OR(E471="",B471=""),"",INT(TODAY()-B471))</f>
        <v/>
      </c>
      <c r="AE471" s="44" t="str">
        <f aca="true">IF(E471="","",IF(OR(COUNTIFS(Clients!$C$2:$C$501,E471,Clients!$S$2:$S$501,"Paid")&gt;0,AND(I471&lt;&gt;"",COUNTIFS(Clients!$E$2:$E$501,I471,Clients!$S$2:$S$501,"Paid")&gt;0)),"⚠ Refunded before – no free video",IF(OR(U471="Contract signed + paid",U471="Closed – No response",U471="Lost"),"",IF(U471="","Set a stage",IF(AND(U471="Proposal sent",SUMIFS(Scoresheet!$N$2:$N$501,Scoresheet!$C$2:$C$501,A471,Scoresheet!$U$2:$U$501,1)&lt;6),"Score this lead – fill the call scoresheet",IF(N(W471)&gt;=Settings!$S$3,"Close – 4 follow-ups sent",IF(X471="",IF(V471="","Make first contact",""),IF(TODAY()&gt;X471,"OVERDUE follow-up",IF(TODAY()=X471,"Follow up today","")))))))))</f>
        <v/>
      </c>
    </row>
    <row r="472" customFormat="false" ht="15" hidden="false" customHeight="false" outlineLevel="0" collapsed="false">
      <c r="A472" s="17"/>
      <c r="B472" s="40"/>
      <c r="C472" s="41"/>
      <c r="D472" s="17"/>
      <c r="E472" s="17"/>
      <c r="F472" s="17"/>
      <c r="G472" s="17"/>
      <c r="H472" s="17"/>
      <c r="I472" s="42"/>
      <c r="J472" s="17"/>
      <c r="K472" s="17"/>
      <c r="L472" s="17"/>
      <c r="M472" s="17"/>
      <c r="N472" s="40"/>
      <c r="O472" s="41"/>
      <c r="P472" s="43" t="str">
        <f aca="false">IF(OR(B472="",N472=""),"",ROUND(((N472+N(O472))-(B472+N(C472)))*24,1))</f>
        <v/>
      </c>
      <c r="Q472" s="44" t="str">
        <f aca="false">IF(OR(E472="",A472="",COUNTIFS(Scoresheet!$C$2:$C$501,A472,Scoresheet!$U$2:$U$501,1)=0),"",SUMIFS(Scoresheet!$O$2:$O$501,Scoresheet!$C$2:$C$501,A472,Scoresheet!$U$2:$U$501,1))</f>
        <v/>
      </c>
      <c r="R472" s="44" t="str">
        <f aca="false">IF(E472="","",IF(OR(A472="",COUNTIFS(Scoresheet!$C$2:$C$501,A472,Scoresheet!$U$2:$U$501,1)=0),"No scoresheet yet",IF(SUMIFS(Scoresheet!$N$2:$N$501,Scoresheet!$C$2:$C$501,A472,Scoresheet!$U$2:$U$501,1)&lt;6,"Partly scored ("&amp;SUMIFS(Scoresheet!$N$2:$N$501,Scoresheet!$C$2:$C$501,A472,Scoresheet!$U$2:$U$501,1)&amp;"/6)",IF(Q472&gt;=Settings!$S$8,"Hot",IF(Q472&gt;=Settings!$S$9,"Warm","Cold")))))</f>
        <v/>
      </c>
      <c r="S472" s="44" t="str">
        <f aca="false">IF(OR(E472="",A472=""),"",IF(AND(COUNTIFS(Scoresheet!$C$2:$C$501,A472,Scoresheet!$U$2:$U$501,1,Scoresheet!$H$2:$H$501,"No")&gt;0,COUNTIFS(Scoresheet!$C$2:$C$501,A472,Scoresheet!$U$2:$U$501,1,Scoresheet!$J$2:$J$501,"No")&gt;0),"🚩 Budget  ·  🚩 No one on camera",IF(COUNTIFS(Scoresheet!$C$2:$C$501,A472,Scoresheet!$U$2:$U$501,1,Scoresheet!$H$2:$H$501,"No")&gt;0,"🚩 Budget under AED 5k",IF(COUNTIFS(Scoresheet!$C$2:$C$501,A472,Scoresheet!$U$2:$U$501,1,Scoresheet!$J$2:$J$501,"No")&gt;0,"🚩 No one on camera",""))))</f>
        <v/>
      </c>
      <c r="T472" s="17"/>
      <c r="U472" s="17"/>
      <c r="V472" s="40"/>
      <c r="W472" s="17"/>
      <c r="X472" s="45" t="str">
        <f aca="false">IF(OR(E472="",V472="",OR(U472="Contract signed + paid",U472="Closed – No response",U472="Lost"),N(W472)&gt;=Settings!$S$3),"",V472+Settings!$S$2)</f>
        <v/>
      </c>
      <c r="Y472" s="40"/>
      <c r="Z472" s="41"/>
      <c r="AA472" s="17"/>
      <c r="AB472" s="17"/>
      <c r="AC472" s="17"/>
      <c r="AD472" s="46" t="str">
        <f aca="true">IF(OR(E472="",B472=""),"",INT(TODAY()-B472))</f>
        <v/>
      </c>
      <c r="AE472" s="44" t="str">
        <f aca="true">IF(E472="","",IF(OR(COUNTIFS(Clients!$C$2:$C$501,E472,Clients!$S$2:$S$501,"Paid")&gt;0,AND(I472&lt;&gt;"",COUNTIFS(Clients!$E$2:$E$501,I472,Clients!$S$2:$S$501,"Paid")&gt;0)),"⚠ Refunded before – no free video",IF(OR(U472="Contract signed + paid",U472="Closed – No response",U472="Lost"),"",IF(U472="","Set a stage",IF(AND(U472="Proposal sent",SUMIFS(Scoresheet!$N$2:$N$501,Scoresheet!$C$2:$C$501,A472,Scoresheet!$U$2:$U$501,1)&lt;6),"Score this lead – fill the call scoresheet",IF(N(W472)&gt;=Settings!$S$3,"Close – 4 follow-ups sent",IF(X472="",IF(V472="","Make first contact",""),IF(TODAY()&gt;X472,"OVERDUE follow-up",IF(TODAY()=X472,"Follow up today","")))))))))</f>
        <v/>
      </c>
    </row>
    <row r="473" customFormat="false" ht="15" hidden="false" customHeight="false" outlineLevel="0" collapsed="false">
      <c r="A473" s="17"/>
      <c r="B473" s="40"/>
      <c r="C473" s="41"/>
      <c r="D473" s="17"/>
      <c r="E473" s="17"/>
      <c r="F473" s="17"/>
      <c r="G473" s="17"/>
      <c r="H473" s="17"/>
      <c r="I473" s="42"/>
      <c r="J473" s="17"/>
      <c r="K473" s="17"/>
      <c r="L473" s="17"/>
      <c r="M473" s="17"/>
      <c r="N473" s="40"/>
      <c r="O473" s="41"/>
      <c r="P473" s="43" t="str">
        <f aca="false">IF(OR(B473="",N473=""),"",ROUND(((N473+N(O473))-(B473+N(C473)))*24,1))</f>
        <v/>
      </c>
      <c r="Q473" s="44" t="str">
        <f aca="false">IF(OR(E473="",A473="",COUNTIFS(Scoresheet!$C$2:$C$501,A473,Scoresheet!$U$2:$U$501,1)=0),"",SUMIFS(Scoresheet!$O$2:$O$501,Scoresheet!$C$2:$C$501,A473,Scoresheet!$U$2:$U$501,1))</f>
        <v/>
      </c>
      <c r="R473" s="44" t="str">
        <f aca="false">IF(E473="","",IF(OR(A473="",COUNTIFS(Scoresheet!$C$2:$C$501,A473,Scoresheet!$U$2:$U$501,1)=0),"No scoresheet yet",IF(SUMIFS(Scoresheet!$N$2:$N$501,Scoresheet!$C$2:$C$501,A473,Scoresheet!$U$2:$U$501,1)&lt;6,"Partly scored ("&amp;SUMIFS(Scoresheet!$N$2:$N$501,Scoresheet!$C$2:$C$501,A473,Scoresheet!$U$2:$U$501,1)&amp;"/6)",IF(Q473&gt;=Settings!$S$8,"Hot",IF(Q473&gt;=Settings!$S$9,"Warm","Cold")))))</f>
        <v/>
      </c>
      <c r="S473" s="44" t="str">
        <f aca="false">IF(OR(E473="",A473=""),"",IF(AND(COUNTIFS(Scoresheet!$C$2:$C$501,A473,Scoresheet!$U$2:$U$501,1,Scoresheet!$H$2:$H$501,"No")&gt;0,COUNTIFS(Scoresheet!$C$2:$C$501,A473,Scoresheet!$U$2:$U$501,1,Scoresheet!$J$2:$J$501,"No")&gt;0),"🚩 Budget  ·  🚩 No one on camera",IF(COUNTIFS(Scoresheet!$C$2:$C$501,A473,Scoresheet!$U$2:$U$501,1,Scoresheet!$H$2:$H$501,"No")&gt;0,"🚩 Budget under AED 5k",IF(COUNTIFS(Scoresheet!$C$2:$C$501,A473,Scoresheet!$U$2:$U$501,1,Scoresheet!$J$2:$J$501,"No")&gt;0,"🚩 No one on camera",""))))</f>
        <v/>
      </c>
      <c r="T473" s="17"/>
      <c r="U473" s="17"/>
      <c r="V473" s="40"/>
      <c r="W473" s="17"/>
      <c r="X473" s="45" t="str">
        <f aca="false">IF(OR(E473="",V473="",OR(U473="Contract signed + paid",U473="Closed – No response",U473="Lost"),N(W473)&gt;=Settings!$S$3),"",V473+Settings!$S$2)</f>
        <v/>
      </c>
      <c r="Y473" s="40"/>
      <c r="Z473" s="41"/>
      <c r="AA473" s="17"/>
      <c r="AB473" s="17"/>
      <c r="AC473" s="17"/>
      <c r="AD473" s="46" t="str">
        <f aca="true">IF(OR(E473="",B473=""),"",INT(TODAY()-B473))</f>
        <v/>
      </c>
      <c r="AE473" s="44" t="str">
        <f aca="true">IF(E473="","",IF(OR(COUNTIFS(Clients!$C$2:$C$501,E473,Clients!$S$2:$S$501,"Paid")&gt;0,AND(I473&lt;&gt;"",COUNTIFS(Clients!$E$2:$E$501,I473,Clients!$S$2:$S$501,"Paid")&gt;0)),"⚠ Refunded before – no free video",IF(OR(U473="Contract signed + paid",U473="Closed – No response",U473="Lost"),"",IF(U473="","Set a stage",IF(AND(U473="Proposal sent",SUMIFS(Scoresheet!$N$2:$N$501,Scoresheet!$C$2:$C$501,A473,Scoresheet!$U$2:$U$501,1)&lt;6),"Score this lead – fill the call scoresheet",IF(N(W473)&gt;=Settings!$S$3,"Close – 4 follow-ups sent",IF(X473="",IF(V473="","Make first contact",""),IF(TODAY()&gt;X473,"OVERDUE follow-up",IF(TODAY()=X473,"Follow up today","")))))))))</f>
        <v/>
      </c>
    </row>
    <row r="474" customFormat="false" ht="15" hidden="false" customHeight="false" outlineLevel="0" collapsed="false">
      <c r="A474" s="17"/>
      <c r="B474" s="40"/>
      <c r="C474" s="41"/>
      <c r="D474" s="17"/>
      <c r="E474" s="17"/>
      <c r="F474" s="17"/>
      <c r="G474" s="17"/>
      <c r="H474" s="17"/>
      <c r="I474" s="42"/>
      <c r="J474" s="17"/>
      <c r="K474" s="17"/>
      <c r="L474" s="17"/>
      <c r="M474" s="17"/>
      <c r="N474" s="40"/>
      <c r="O474" s="41"/>
      <c r="P474" s="43" t="str">
        <f aca="false">IF(OR(B474="",N474=""),"",ROUND(((N474+N(O474))-(B474+N(C474)))*24,1))</f>
        <v/>
      </c>
      <c r="Q474" s="44" t="str">
        <f aca="false">IF(OR(E474="",A474="",COUNTIFS(Scoresheet!$C$2:$C$501,A474,Scoresheet!$U$2:$U$501,1)=0),"",SUMIFS(Scoresheet!$O$2:$O$501,Scoresheet!$C$2:$C$501,A474,Scoresheet!$U$2:$U$501,1))</f>
        <v/>
      </c>
      <c r="R474" s="44" t="str">
        <f aca="false">IF(E474="","",IF(OR(A474="",COUNTIFS(Scoresheet!$C$2:$C$501,A474,Scoresheet!$U$2:$U$501,1)=0),"No scoresheet yet",IF(SUMIFS(Scoresheet!$N$2:$N$501,Scoresheet!$C$2:$C$501,A474,Scoresheet!$U$2:$U$501,1)&lt;6,"Partly scored ("&amp;SUMIFS(Scoresheet!$N$2:$N$501,Scoresheet!$C$2:$C$501,A474,Scoresheet!$U$2:$U$501,1)&amp;"/6)",IF(Q474&gt;=Settings!$S$8,"Hot",IF(Q474&gt;=Settings!$S$9,"Warm","Cold")))))</f>
        <v/>
      </c>
      <c r="S474" s="44" t="str">
        <f aca="false">IF(OR(E474="",A474=""),"",IF(AND(COUNTIFS(Scoresheet!$C$2:$C$501,A474,Scoresheet!$U$2:$U$501,1,Scoresheet!$H$2:$H$501,"No")&gt;0,COUNTIFS(Scoresheet!$C$2:$C$501,A474,Scoresheet!$U$2:$U$501,1,Scoresheet!$J$2:$J$501,"No")&gt;0),"🚩 Budget  ·  🚩 No one on camera",IF(COUNTIFS(Scoresheet!$C$2:$C$501,A474,Scoresheet!$U$2:$U$501,1,Scoresheet!$H$2:$H$501,"No")&gt;0,"🚩 Budget under AED 5k",IF(COUNTIFS(Scoresheet!$C$2:$C$501,A474,Scoresheet!$U$2:$U$501,1,Scoresheet!$J$2:$J$501,"No")&gt;0,"🚩 No one on camera",""))))</f>
        <v/>
      </c>
      <c r="T474" s="17"/>
      <c r="U474" s="17"/>
      <c r="V474" s="40"/>
      <c r="W474" s="17"/>
      <c r="X474" s="45" t="str">
        <f aca="false">IF(OR(E474="",V474="",OR(U474="Contract signed + paid",U474="Closed – No response",U474="Lost"),N(W474)&gt;=Settings!$S$3),"",V474+Settings!$S$2)</f>
        <v/>
      </c>
      <c r="Y474" s="40"/>
      <c r="Z474" s="41"/>
      <c r="AA474" s="17"/>
      <c r="AB474" s="17"/>
      <c r="AC474" s="17"/>
      <c r="AD474" s="46" t="str">
        <f aca="true">IF(OR(E474="",B474=""),"",INT(TODAY()-B474))</f>
        <v/>
      </c>
      <c r="AE474" s="44" t="str">
        <f aca="true">IF(E474="","",IF(OR(COUNTIFS(Clients!$C$2:$C$501,E474,Clients!$S$2:$S$501,"Paid")&gt;0,AND(I474&lt;&gt;"",COUNTIFS(Clients!$E$2:$E$501,I474,Clients!$S$2:$S$501,"Paid")&gt;0)),"⚠ Refunded before – no free video",IF(OR(U474="Contract signed + paid",U474="Closed – No response",U474="Lost"),"",IF(U474="","Set a stage",IF(AND(U474="Proposal sent",SUMIFS(Scoresheet!$N$2:$N$501,Scoresheet!$C$2:$C$501,A474,Scoresheet!$U$2:$U$501,1)&lt;6),"Score this lead – fill the call scoresheet",IF(N(W474)&gt;=Settings!$S$3,"Close – 4 follow-ups sent",IF(X474="",IF(V474="","Make first contact",""),IF(TODAY()&gt;X474,"OVERDUE follow-up",IF(TODAY()=X474,"Follow up today","")))))))))</f>
        <v/>
      </c>
    </row>
    <row r="475" customFormat="false" ht="15" hidden="false" customHeight="false" outlineLevel="0" collapsed="false">
      <c r="A475" s="17"/>
      <c r="B475" s="40"/>
      <c r="C475" s="41"/>
      <c r="D475" s="17"/>
      <c r="E475" s="17"/>
      <c r="F475" s="17"/>
      <c r="G475" s="17"/>
      <c r="H475" s="17"/>
      <c r="I475" s="42"/>
      <c r="J475" s="17"/>
      <c r="K475" s="17"/>
      <c r="L475" s="17"/>
      <c r="M475" s="17"/>
      <c r="N475" s="40"/>
      <c r="O475" s="41"/>
      <c r="P475" s="43" t="str">
        <f aca="false">IF(OR(B475="",N475=""),"",ROUND(((N475+N(O475))-(B475+N(C475)))*24,1))</f>
        <v/>
      </c>
      <c r="Q475" s="44" t="str">
        <f aca="false">IF(OR(E475="",A475="",COUNTIFS(Scoresheet!$C$2:$C$501,A475,Scoresheet!$U$2:$U$501,1)=0),"",SUMIFS(Scoresheet!$O$2:$O$501,Scoresheet!$C$2:$C$501,A475,Scoresheet!$U$2:$U$501,1))</f>
        <v/>
      </c>
      <c r="R475" s="44" t="str">
        <f aca="false">IF(E475="","",IF(OR(A475="",COUNTIFS(Scoresheet!$C$2:$C$501,A475,Scoresheet!$U$2:$U$501,1)=0),"No scoresheet yet",IF(SUMIFS(Scoresheet!$N$2:$N$501,Scoresheet!$C$2:$C$501,A475,Scoresheet!$U$2:$U$501,1)&lt;6,"Partly scored ("&amp;SUMIFS(Scoresheet!$N$2:$N$501,Scoresheet!$C$2:$C$501,A475,Scoresheet!$U$2:$U$501,1)&amp;"/6)",IF(Q475&gt;=Settings!$S$8,"Hot",IF(Q475&gt;=Settings!$S$9,"Warm","Cold")))))</f>
        <v/>
      </c>
      <c r="S475" s="44" t="str">
        <f aca="false">IF(OR(E475="",A475=""),"",IF(AND(COUNTIFS(Scoresheet!$C$2:$C$501,A475,Scoresheet!$U$2:$U$501,1,Scoresheet!$H$2:$H$501,"No")&gt;0,COUNTIFS(Scoresheet!$C$2:$C$501,A475,Scoresheet!$U$2:$U$501,1,Scoresheet!$J$2:$J$501,"No")&gt;0),"🚩 Budget  ·  🚩 No one on camera",IF(COUNTIFS(Scoresheet!$C$2:$C$501,A475,Scoresheet!$U$2:$U$501,1,Scoresheet!$H$2:$H$501,"No")&gt;0,"🚩 Budget under AED 5k",IF(COUNTIFS(Scoresheet!$C$2:$C$501,A475,Scoresheet!$U$2:$U$501,1,Scoresheet!$J$2:$J$501,"No")&gt;0,"🚩 No one on camera",""))))</f>
        <v/>
      </c>
      <c r="T475" s="17"/>
      <c r="U475" s="17"/>
      <c r="V475" s="40"/>
      <c r="W475" s="17"/>
      <c r="X475" s="45" t="str">
        <f aca="false">IF(OR(E475="",V475="",OR(U475="Contract signed + paid",U475="Closed – No response",U475="Lost"),N(W475)&gt;=Settings!$S$3),"",V475+Settings!$S$2)</f>
        <v/>
      </c>
      <c r="Y475" s="40"/>
      <c r="Z475" s="41"/>
      <c r="AA475" s="17"/>
      <c r="AB475" s="17"/>
      <c r="AC475" s="17"/>
      <c r="AD475" s="46" t="str">
        <f aca="true">IF(OR(E475="",B475=""),"",INT(TODAY()-B475))</f>
        <v/>
      </c>
      <c r="AE475" s="44" t="str">
        <f aca="true">IF(E475="","",IF(OR(COUNTIFS(Clients!$C$2:$C$501,E475,Clients!$S$2:$S$501,"Paid")&gt;0,AND(I475&lt;&gt;"",COUNTIFS(Clients!$E$2:$E$501,I475,Clients!$S$2:$S$501,"Paid")&gt;0)),"⚠ Refunded before – no free video",IF(OR(U475="Contract signed + paid",U475="Closed – No response",U475="Lost"),"",IF(U475="","Set a stage",IF(AND(U475="Proposal sent",SUMIFS(Scoresheet!$N$2:$N$501,Scoresheet!$C$2:$C$501,A475,Scoresheet!$U$2:$U$501,1)&lt;6),"Score this lead – fill the call scoresheet",IF(N(W475)&gt;=Settings!$S$3,"Close – 4 follow-ups sent",IF(X475="",IF(V475="","Make first contact",""),IF(TODAY()&gt;X475,"OVERDUE follow-up",IF(TODAY()=X475,"Follow up today","")))))))))</f>
        <v/>
      </c>
    </row>
    <row r="476" customFormat="false" ht="15" hidden="false" customHeight="false" outlineLevel="0" collapsed="false">
      <c r="A476" s="17"/>
      <c r="B476" s="40"/>
      <c r="C476" s="41"/>
      <c r="D476" s="17"/>
      <c r="E476" s="17"/>
      <c r="F476" s="17"/>
      <c r="G476" s="17"/>
      <c r="H476" s="17"/>
      <c r="I476" s="42"/>
      <c r="J476" s="17"/>
      <c r="K476" s="17"/>
      <c r="L476" s="17"/>
      <c r="M476" s="17"/>
      <c r="N476" s="40"/>
      <c r="O476" s="41"/>
      <c r="P476" s="43" t="str">
        <f aca="false">IF(OR(B476="",N476=""),"",ROUND(((N476+N(O476))-(B476+N(C476)))*24,1))</f>
        <v/>
      </c>
      <c r="Q476" s="44" t="str">
        <f aca="false">IF(OR(E476="",A476="",COUNTIFS(Scoresheet!$C$2:$C$501,A476,Scoresheet!$U$2:$U$501,1)=0),"",SUMIFS(Scoresheet!$O$2:$O$501,Scoresheet!$C$2:$C$501,A476,Scoresheet!$U$2:$U$501,1))</f>
        <v/>
      </c>
      <c r="R476" s="44" t="str">
        <f aca="false">IF(E476="","",IF(OR(A476="",COUNTIFS(Scoresheet!$C$2:$C$501,A476,Scoresheet!$U$2:$U$501,1)=0),"No scoresheet yet",IF(SUMIFS(Scoresheet!$N$2:$N$501,Scoresheet!$C$2:$C$501,A476,Scoresheet!$U$2:$U$501,1)&lt;6,"Partly scored ("&amp;SUMIFS(Scoresheet!$N$2:$N$501,Scoresheet!$C$2:$C$501,A476,Scoresheet!$U$2:$U$501,1)&amp;"/6)",IF(Q476&gt;=Settings!$S$8,"Hot",IF(Q476&gt;=Settings!$S$9,"Warm","Cold")))))</f>
        <v/>
      </c>
      <c r="S476" s="44" t="str">
        <f aca="false">IF(OR(E476="",A476=""),"",IF(AND(COUNTIFS(Scoresheet!$C$2:$C$501,A476,Scoresheet!$U$2:$U$501,1,Scoresheet!$H$2:$H$501,"No")&gt;0,COUNTIFS(Scoresheet!$C$2:$C$501,A476,Scoresheet!$U$2:$U$501,1,Scoresheet!$J$2:$J$501,"No")&gt;0),"🚩 Budget  ·  🚩 No one on camera",IF(COUNTIFS(Scoresheet!$C$2:$C$501,A476,Scoresheet!$U$2:$U$501,1,Scoresheet!$H$2:$H$501,"No")&gt;0,"🚩 Budget under AED 5k",IF(COUNTIFS(Scoresheet!$C$2:$C$501,A476,Scoresheet!$U$2:$U$501,1,Scoresheet!$J$2:$J$501,"No")&gt;0,"🚩 No one on camera",""))))</f>
        <v/>
      </c>
      <c r="T476" s="17"/>
      <c r="U476" s="17"/>
      <c r="V476" s="40"/>
      <c r="W476" s="17"/>
      <c r="X476" s="45" t="str">
        <f aca="false">IF(OR(E476="",V476="",OR(U476="Contract signed + paid",U476="Closed – No response",U476="Lost"),N(W476)&gt;=Settings!$S$3),"",V476+Settings!$S$2)</f>
        <v/>
      </c>
      <c r="Y476" s="40"/>
      <c r="Z476" s="41"/>
      <c r="AA476" s="17"/>
      <c r="AB476" s="17"/>
      <c r="AC476" s="17"/>
      <c r="AD476" s="46" t="str">
        <f aca="true">IF(OR(E476="",B476=""),"",INT(TODAY()-B476))</f>
        <v/>
      </c>
      <c r="AE476" s="44" t="str">
        <f aca="true">IF(E476="","",IF(OR(COUNTIFS(Clients!$C$2:$C$501,E476,Clients!$S$2:$S$501,"Paid")&gt;0,AND(I476&lt;&gt;"",COUNTIFS(Clients!$E$2:$E$501,I476,Clients!$S$2:$S$501,"Paid")&gt;0)),"⚠ Refunded before – no free video",IF(OR(U476="Contract signed + paid",U476="Closed – No response",U476="Lost"),"",IF(U476="","Set a stage",IF(AND(U476="Proposal sent",SUMIFS(Scoresheet!$N$2:$N$501,Scoresheet!$C$2:$C$501,A476,Scoresheet!$U$2:$U$501,1)&lt;6),"Score this lead – fill the call scoresheet",IF(N(W476)&gt;=Settings!$S$3,"Close – 4 follow-ups sent",IF(X476="",IF(V476="","Make first contact",""),IF(TODAY()&gt;X476,"OVERDUE follow-up",IF(TODAY()=X476,"Follow up today","")))))))))</f>
        <v/>
      </c>
    </row>
    <row r="477" customFormat="false" ht="15" hidden="false" customHeight="false" outlineLevel="0" collapsed="false">
      <c r="A477" s="17"/>
      <c r="B477" s="40"/>
      <c r="C477" s="41"/>
      <c r="D477" s="17"/>
      <c r="E477" s="17"/>
      <c r="F477" s="17"/>
      <c r="G477" s="17"/>
      <c r="H477" s="17"/>
      <c r="I477" s="42"/>
      <c r="J477" s="17"/>
      <c r="K477" s="17"/>
      <c r="L477" s="17"/>
      <c r="M477" s="17"/>
      <c r="N477" s="40"/>
      <c r="O477" s="41"/>
      <c r="P477" s="43" t="str">
        <f aca="false">IF(OR(B477="",N477=""),"",ROUND(((N477+N(O477))-(B477+N(C477)))*24,1))</f>
        <v/>
      </c>
      <c r="Q477" s="44" t="str">
        <f aca="false">IF(OR(E477="",A477="",COUNTIFS(Scoresheet!$C$2:$C$501,A477,Scoresheet!$U$2:$U$501,1)=0),"",SUMIFS(Scoresheet!$O$2:$O$501,Scoresheet!$C$2:$C$501,A477,Scoresheet!$U$2:$U$501,1))</f>
        <v/>
      </c>
      <c r="R477" s="44" t="str">
        <f aca="false">IF(E477="","",IF(OR(A477="",COUNTIFS(Scoresheet!$C$2:$C$501,A477,Scoresheet!$U$2:$U$501,1)=0),"No scoresheet yet",IF(SUMIFS(Scoresheet!$N$2:$N$501,Scoresheet!$C$2:$C$501,A477,Scoresheet!$U$2:$U$501,1)&lt;6,"Partly scored ("&amp;SUMIFS(Scoresheet!$N$2:$N$501,Scoresheet!$C$2:$C$501,A477,Scoresheet!$U$2:$U$501,1)&amp;"/6)",IF(Q477&gt;=Settings!$S$8,"Hot",IF(Q477&gt;=Settings!$S$9,"Warm","Cold")))))</f>
        <v/>
      </c>
      <c r="S477" s="44" t="str">
        <f aca="false">IF(OR(E477="",A477=""),"",IF(AND(COUNTIFS(Scoresheet!$C$2:$C$501,A477,Scoresheet!$U$2:$U$501,1,Scoresheet!$H$2:$H$501,"No")&gt;0,COUNTIFS(Scoresheet!$C$2:$C$501,A477,Scoresheet!$U$2:$U$501,1,Scoresheet!$J$2:$J$501,"No")&gt;0),"🚩 Budget  ·  🚩 No one on camera",IF(COUNTIFS(Scoresheet!$C$2:$C$501,A477,Scoresheet!$U$2:$U$501,1,Scoresheet!$H$2:$H$501,"No")&gt;0,"🚩 Budget under AED 5k",IF(COUNTIFS(Scoresheet!$C$2:$C$501,A477,Scoresheet!$U$2:$U$501,1,Scoresheet!$J$2:$J$501,"No")&gt;0,"🚩 No one on camera",""))))</f>
        <v/>
      </c>
      <c r="T477" s="17"/>
      <c r="U477" s="17"/>
      <c r="V477" s="40"/>
      <c r="W477" s="17"/>
      <c r="X477" s="45" t="str">
        <f aca="false">IF(OR(E477="",V477="",OR(U477="Contract signed + paid",U477="Closed – No response",U477="Lost"),N(W477)&gt;=Settings!$S$3),"",V477+Settings!$S$2)</f>
        <v/>
      </c>
      <c r="Y477" s="40"/>
      <c r="Z477" s="41"/>
      <c r="AA477" s="17"/>
      <c r="AB477" s="17"/>
      <c r="AC477" s="17"/>
      <c r="AD477" s="46" t="str">
        <f aca="true">IF(OR(E477="",B477=""),"",INT(TODAY()-B477))</f>
        <v/>
      </c>
      <c r="AE477" s="44" t="str">
        <f aca="true">IF(E477="","",IF(OR(COUNTIFS(Clients!$C$2:$C$501,E477,Clients!$S$2:$S$501,"Paid")&gt;0,AND(I477&lt;&gt;"",COUNTIFS(Clients!$E$2:$E$501,I477,Clients!$S$2:$S$501,"Paid")&gt;0)),"⚠ Refunded before – no free video",IF(OR(U477="Contract signed + paid",U477="Closed – No response",U477="Lost"),"",IF(U477="","Set a stage",IF(AND(U477="Proposal sent",SUMIFS(Scoresheet!$N$2:$N$501,Scoresheet!$C$2:$C$501,A477,Scoresheet!$U$2:$U$501,1)&lt;6),"Score this lead – fill the call scoresheet",IF(N(W477)&gt;=Settings!$S$3,"Close – 4 follow-ups sent",IF(X477="",IF(V477="","Make first contact",""),IF(TODAY()&gt;X477,"OVERDUE follow-up",IF(TODAY()=X477,"Follow up today","")))))))))</f>
        <v/>
      </c>
    </row>
    <row r="478" customFormat="false" ht="15" hidden="false" customHeight="false" outlineLevel="0" collapsed="false">
      <c r="A478" s="17"/>
      <c r="B478" s="40"/>
      <c r="C478" s="41"/>
      <c r="D478" s="17"/>
      <c r="E478" s="17"/>
      <c r="F478" s="17"/>
      <c r="G478" s="17"/>
      <c r="H478" s="17"/>
      <c r="I478" s="42"/>
      <c r="J478" s="17"/>
      <c r="K478" s="17"/>
      <c r="L478" s="17"/>
      <c r="M478" s="17"/>
      <c r="N478" s="40"/>
      <c r="O478" s="41"/>
      <c r="P478" s="43" t="str">
        <f aca="false">IF(OR(B478="",N478=""),"",ROUND(((N478+N(O478))-(B478+N(C478)))*24,1))</f>
        <v/>
      </c>
      <c r="Q478" s="44" t="str">
        <f aca="false">IF(OR(E478="",A478="",COUNTIFS(Scoresheet!$C$2:$C$501,A478,Scoresheet!$U$2:$U$501,1)=0),"",SUMIFS(Scoresheet!$O$2:$O$501,Scoresheet!$C$2:$C$501,A478,Scoresheet!$U$2:$U$501,1))</f>
        <v/>
      </c>
      <c r="R478" s="44" t="str">
        <f aca="false">IF(E478="","",IF(OR(A478="",COUNTIFS(Scoresheet!$C$2:$C$501,A478,Scoresheet!$U$2:$U$501,1)=0),"No scoresheet yet",IF(SUMIFS(Scoresheet!$N$2:$N$501,Scoresheet!$C$2:$C$501,A478,Scoresheet!$U$2:$U$501,1)&lt;6,"Partly scored ("&amp;SUMIFS(Scoresheet!$N$2:$N$501,Scoresheet!$C$2:$C$501,A478,Scoresheet!$U$2:$U$501,1)&amp;"/6)",IF(Q478&gt;=Settings!$S$8,"Hot",IF(Q478&gt;=Settings!$S$9,"Warm","Cold")))))</f>
        <v/>
      </c>
      <c r="S478" s="44" t="str">
        <f aca="false">IF(OR(E478="",A478=""),"",IF(AND(COUNTIFS(Scoresheet!$C$2:$C$501,A478,Scoresheet!$U$2:$U$501,1,Scoresheet!$H$2:$H$501,"No")&gt;0,COUNTIFS(Scoresheet!$C$2:$C$501,A478,Scoresheet!$U$2:$U$501,1,Scoresheet!$J$2:$J$501,"No")&gt;0),"🚩 Budget  ·  🚩 No one on camera",IF(COUNTIFS(Scoresheet!$C$2:$C$501,A478,Scoresheet!$U$2:$U$501,1,Scoresheet!$H$2:$H$501,"No")&gt;0,"🚩 Budget under AED 5k",IF(COUNTIFS(Scoresheet!$C$2:$C$501,A478,Scoresheet!$U$2:$U$501,1,Scoresheet!$J$2:$J$501,"No")&gt;0,"🚩 No one on camera",""))))</f>
        <v/>
      </c>
      <c r="T478" s="17"/>
      <c r="U478" s="17"/>
      <c r="V478" s="40"/>
      <c r="W478" s="17"/>
      <c r="X478" s="45" t="str">
        <f aca="false">IF(OR(E478="",V478="",OR(U478="Contract signed + paid",U478="Closed – No response",U478="Lost"),N(W478)&gt;=Settings!$S$3),"",V478+Settings!$S$2)</f>
        <v/>
      </c>
      <c r="Y478" s="40"/>
      <c r="Z478" s="41"/>
      <c r="AA478" s="17"/>
      <c r="AB478" s="17"/>
      <c r="AC478" s="17"/>
      <c r="AD478" s="46" t="str">
        <f aca="true">IF(OR(E478="",B478=""),"",INT(TODAY()-B478))</f>
        <v/>
      </c>
      <c r="AE478" s="44" t="str">
        <f aca="true">IF(E478="","",IF(OR(COUNTIFS(Clients!$C$2:$C$501,E478,Clients!$S$2:$S$501,"Paid")&gt;0,AND(I478&lt;&gt;"",COUNTIFS(Clients!$E$2:$E$501,I478,Clients!$S$2:$S$501,"Paid")&gt;0)),"⚠ Refunded before – no free video",IF(OR(U478="Contract signed + paid",U478="Closed – No response",U478="Lost"),"",IF(U478="","Set a stage",IF(AND(U478="Proposal sent",SUMIFS(Scoresheet!$N$2:$N$501,Scoresheet!$C$2:$C$501,A478,Scoresheet!$U$2:$U$501,1)&lt;6),"Score this lead – fill the call scoresheet",IF(N(W478)&gt;=Settings!$S$3,"Close – 4 follow-ups sent",IF(X478="",IF(V478="","Make first contact",""),IF(TODAY()&gt;X478,"OVERDUE follow-up",IF(TODAY()=X478,"Follow up today","")))))))))</f>
        <v/>
      </c>
    </row>
    <row r="479" customFormat="false" ht="15" hidden="false" customHeight="false" outlineLevel="0" collapsed="false">
      <c r="A479" s="17"/>
      <c r="B479" s="40"/>
      <c r="C479" s="41"/>
      <c r="D479" s="17"/>
      <c r="E479" s="17"/>
      <c r="F479" s="17"/>
      <c r="G479" s="17"/>
      <c r="H479" s="17"/>
      <c r="I479" s="42"/>
      <c r="J479" s="17"/>
      <c r="K479" s="17"/>
      <c r="L479" s="17"/>
      <c r="M479" s="17"/>
      <c r="N479" s="40"/>
      <c r="O479" s="41"/>
      <c r="P479" s="43" t="str">
        <f aca="false">IF(OR(B479="",N479=""),"",ROUND(((N479+N(O479))-(B479+N(C479)))*24,1))</f>
        <v/>
      </c>
      <c r="Q479" s="44" t="str">
        <f aca="false">IF(OR(E479="",A479="",COUNTIFS(Scoresheet!$C$2:$C$501,A479,Scoresheet!$U$2:$U$501,1)=0),"",SUMIFS(Scoresheet!$O$2:$O$501,Scoresheet!$C$2:$C$501,A479,Scoresheet!$U$2:$U$501,1))</f>
        <v/>
      </c>
      <c r="R479" s="44" t="str">
        <f aca="false">IF(E479="","",IF(OR(A479="",COUNTIFS(Scoresheet!$C$2:$C$501,A479,Scoresheet!$U$2:$U$501,1)=0),"No scoresheet yet",IF(SUMIFS(Scoresheet!$N$2:$N$501,Scoresheet!$C$2:$C$501,A479,Scoresheet!$U$2:$U$501,1)&lt;6,"Partly scored ("&amp;SUMIFS(Scoresheet!$N$2:$N$501,Scoresheet!$C$2:$C$501,A479,Scoresheet!$U$2:$U$501,1)&amp;"/6)",IF(Q479&gt;=Settings!$S$8,"Hot",IF(Q479&gt;=Settings!$S$9,"Warm","Cold")))))</f>
        <v/>
      </c>
      <c r="S479" s="44" t="str">
        <f aca="false">IF(OR(E479="",A479=""),"",IF(AND(COUNTIFS(Scoresheet!$C$2:$C$501,A479,Scoresheet!$U$2:$U$501,1,Scoresheet!$H$2:$H$501,"No")&gt;0,COUNTIFS(Scoresheet!$C$2:$C$501,A479,Scoresheet!$U$2:$U$501,1,Scoresheet!$J$2:$J$501,"No")&gt;0),"🚩 Budget  ·  🚩 No one on camera",IF(COUNTIFS(Scoresheet!$C$2:$C$501,A479,Scoresheet!$U$2:$U$501,1,Scoresheet!$H$2:$H$501,"No")&gt;0,"🚩 Budget under AED 5k",IF(COUNTIFS(Scoresheet!$C$2:$C$501,A479,Scoresheet!$U$2:$U$501,1,Scoresheet!$J$2:$J$501,"No")&gt;0,"🚩 No one on camera",""))))</f>
        <v/>
      </c>
      <c r="T479" s="17"/>
      <c r="U479" s="17"/>
      <c r="V479" s="40"/>
      <c r="W479" s="17"/>
      <c r="X479" s="45" t="str">
        <f aca="false">IF(OR(E479="",V479="",OR(U479="Contract signed + paid",U479="Closed – No response",U479="Lost"),N(W479)&gt;=Settings!$S$3),"",V479+Settings!$S$2)</f>
        <v/>
      </c>
      <c r="Y479" s="40"/>
      <c r="Z479" s="41"/>
      <c r="AA479" s="17"/>
      <c r="AB479" s="17"/>
      <c r="AC479" s="17"/>
      <c r="AD479" s="46" t="str">
        <f aca="true">IF(OR(E479="",B479=""),"",INT(TODAY()-B479))</f>
        <v/>
      </c>
      <c r="AE479" s="44" t="str">
        <f aca="true">IF(E479="","",IF(OR(COUNTIFS(Clients!$C$2:$C$501,E479,Clients!$S$2:$S$501,"Paid")&gt;0,AND(I479&lt;&gt;"",COUNTIFS(Clients!$E$2:$E$501,I479,Clients!$S$2:$S$501,"Paid")&gt;0)),"⚠ Refunded before – no free video",IF(OR(U479="Contract signed + paid",U479="Closed – No response",U479="Lost"),"",IF(U479="","Set a stage",IF(AND(U479="Proposal sent",SUMIFS(Scoresheet!$N$2:$N$501,Scoresheet!$C$2:$C$501,A479,Scoresheet!$U$2:$U$501,1)&lt;6),"Score this lead – fill the call scoresheet",IF(N(W479)&gt;=Settings!$S$3,"Close – 4 follow-ups sent",IF(X479="",IF(V479="","Make first contact",""),IF(TODAY()&gt;X479,"OVERDUE follow-up",IF(TODAY()=X479,"Follow up today","")))))))))</f>
        <v/>
      </c>
    </row>
    <row r="480" customFormat="false" ht="15" hidden="false" customHeight="false" outlineLevel="0" collapsed="false">
      <c r="A480" s="17"/>
      <c r="B480" s="40"/>
      <c r="C480" s="41"/>
      <c r="D480" s="17"/>
      <c r="E480" s="17"/>
      <c r="F480" s="17"/>
      <c r="G480" s="17"/>
      <c r="H480" s="17"/>
      <c r="I480" s="42"/>
      <c r="J480" s="17"/>
      <c r="K480" s="17"/>
      <c r="L480" s="17"/>
      <c r="M480" s="17"/>
      <c r="N480" s="40"/>
      <c r="O480" s="41"/>
      <c r="P480" s="43" t="str">
        <f aca="false">IF(OR(B480="",N480=""),"",ROUND(((N480+N(O480))-(B480+N(C480)))*24,1))</f>
        <v/>
      </c>
      <c r="Q480" s="44" t="str">
        <f aca="false">IF(OR(E480="",A480="",COUNTIFS(Scoresheet!$C$2:$C$501,A480,Scoresheet!$U$2:$U$501,1)=0),"",SUMIFS(Scoresheet!$O$2:$O$501,Scoresheet!$C$2:$C$501,A480,Scoresheet!$U$2:$U$501,1))</f>
        <v/>
      </c>
      <c r="R480" s="44" t="str">
        <f aca="false">IF(E480="","",IF(OR(A480="",COUNTIFS(Scoresheet!$C$2:$C$501,A480,Scoresheet!$U$2:$U$501,1)=0),"No scoresheet yet",IF(SUMIFS(Scoresheet!$N$2:$N$501,Scoresheet!$C$2:$C$501,A480,Scoresheet!$U$2:$U$501,1)&lt;6,"Partly scored ("&amp;SUMIFS(Scoresheet!$N$2:$N$501,Scoresheet!$C$2:$C$501,A480,Scoresheet!$U$2:$U$501,1)&amp;"/6)",IF(Q480&gt;=Settings!$S$8,"Hot",IF(Q480&gt;=Settings!$S$9,"Warm","Cold")))))</f>
        <v/>
      </c>
      <c r="S480" s="44" t="str">
        <f aca="false">IF(OR(E480="",A480=""),"",IF(AND(COUNTIFS(Scoresheet!$C$2:$C$501,A480,Scoresheet!$U$2:$U$501,1,Scoresheet!$H$2:$H$501,"No")&gt;0,COUNTIFS(Scoresheet!$C$2:$C$501,A480,Scoresheet!$U$2:$U$501,1,Scoresheet!$J$2:$J$501,"No")&gt;0),"🚩 Budget  ·  🚩 No one on camera",IF(COUNTIFS(Scoresheet!$C$2:$C$501,A480,Scoresheet!$U$2:$U$501,1,Scoresheet!$H$2:$H$501,"No")&gt;0,"🚩 Budget under AED 5k",IF(COUNTIFS(Scoresheet!$C$2:$C$501,A480,Scoresheet!$U$2:$U$501,1,Scoresheet!$J$2:$J$501,"No")&gt;0,"🚩 No one on camera",""))))</f>
        <v/>
      </c>
      <c r="T480" s="17"/>
      <c r="U480" s="17"/>
      <c r="V480" s="40"/>
      <c r="W480" s="17"/>
      <c r="X480" s="45" t="str">
        <f aca="false">IF(OR(E480="",V480="",OR(U480="Contract signed + paid",U480="Closed – No response",U480="Lost"),N(W480)&gt;=Settings!$S$3),"",V480+Settings!$S$2)</f>
        <v/>
      </c>
      <c r="Y480" s="40"/>
      <c r="Z480" s="41"/>
      <c r="AA480" s="17"/>
      <c r="AB480" s="17"/>
      <c r="AC480" s="17"/>
      <c r="AD480" s="46" t="str">
        <f aca="true">IF(OR(E480="",B480=""),"",INT(TODAY()-B480))</f>
        <v/>
      </c>
      <c r="AE480" s="44" t="str">
        <f aca="true">IF(E480="","",IF(OR(COUNTIFS(Clients!$C$2:$C$501,E480,Clients!$S$2:$S$501,"Paid")&gt;0,AND(I480&lt;&gt;"",COUNTIFS(Clients!$E$2:$E$501,I480,Clients!$S$2:$S$501,"Paid")&gt;0)),"⚠ Refunded before – no free video",IF(OR(U480="Contract signed + paid",U480="Closed – No response",U480="Lost"),"",IF(U480="","Set a stage",IF(AND(U480="Proposal sent",SUMIFS(Scoresheet!$N$2:$N$501,Scoresheet!$C$2:$C$501,A480,Scoresheet!$U$2:$U$501,1)&lt;6),"Score this lead – fill the call scoresheet",IF(N(W480)&gt;=Settings!$S$3,"Close – 4 follow-ups sent",IF(X480="",IF(V480="","Make first contact",""),IF(TODAY()&gt;X480,"OVERDUE follow-up",IF(TODAY()=X480,"Follow up today","")))))))))</f>
        <v/>
      </c>
    </row>
    <row r="481" customFormat="false" ht="15" hidden="false" customHeight="false" outlineLevel="0" collapsed="false">
      <c r="A481" s="17"/>
      <c r="B481" s="40"/>
      <c r="C481" s="41"/>
      <c r="D481" s="17"/>
      <c r="E481" s="17"/>
      <c r="F481" s="17"/>
      <c r="G481" s="17"/>
      <c r="H481" s="17"/>
      <c r="I481" s="42"/>
      <c r="J481" s="17"/>
      <c r="K481" s="17"/>
      <c r="L481" s="17"/>
      <c r="M481" s="17"/>
      <c r="N481" s="40"/>
      <c r="O481" s="41"/>
      <c r="P481" s="43" t="str">
        <f aca="false">IF(OR(B481="",N481=""),"",ROUND(((N481+N(O481))-(B481+N(C481)))*24,1))</f>
        <v/>
      </c>
      <c r="Q481" s="44" t="str">
        <f aca="false">IF(OR(E481="",A481="",COUNTIFS(Scoresheet!$C$2:$C$501,A481,Scoresheet!$U$2:$U$501,1)=0),"",SUMIFS(Scoresheet!$O$2:$O$501,Scoresheet!$C$2:$C$501,A481,Scoresheet!$U$2:$U$501,1))</f>
        <v/>
      </c>
      <c r="R481" s="44" t="str">
        <f aca="false">IF(E481="","",IF(OR(A481="",COUNTIFS(Scoresheet!$C$2:$C$501,A481,Scoresheet!$U$2:$U$501,1)=0),"No scoresheet yet",IF(SUMIFS(Scoresheet!$N$2:$N$501,Scoresheet!$C$2:$C$501,A481,Scoresheet!$U$2:$U$501,1)&lt;6,"Partly scored ("&amp;SUMIFS(Scoresheet!$N$2:$N$501,Scoresheet!$C$2:$C$501,A481,Scoresheet!$U$2:$U$501,1)&amp;"/6)",IF(Q481&gt;=Settings!$S$8,"Hot",IF(Q481&gt;=Settings!$S$9,"Warm","Cold")))))</f>
        <v/>
      </c>
      <c r="S481" s="44" t="str">
        <f aca="false">IF(OR(E481="",A481=""),"",IF(AND(COUNTIFS(Scoresheet!$C$2:$C$501,A481,Scoresheet!$U$2:$U$501,1,Scoresheet!$H$2:$H$501,"No")&gt;0,COUNTIFS(Scoresheet!$C$2:$C$501,A481,Scoresheet!$U$2:$U$501,1,Scoresheet!$J$2:$J$501,"No")&gt;0),"🚩 Budget  ·  🚩 No one on camera",IF(COUNTIFS(Scoresheet!$C$2:$C$501,A481,Scoresheet!$U$2:$U$501,1,Scoresheet!$H$2:$H$501,"No")&gt;0,"🚩 Budget under AED 5k",IF(COUNTIFS(Scoresheet!$C$2:$C$501,A481,Scoresheet!$U$2:$U$501,1,Scoresheet!$J$2:$J$501,"No")&gt;0,"🚩 No one on camera",""))))</f>
        <v/>
      </c>
      <c r="T481" s="17"/>
      <c r="U481" s="17"/>
      <c r="V481" s="40"/>
      <c r="W481" s="17"/>
      <c r="X481" s="45" t="str">
        <f aca="false">IF(OR(E481="",V481="",OR(U481="Contract signed + paid",U481="Closed – No response",U481="Lost"),N(W481)&gt;=Settings!$S$3),"",V481+Settings!$S$2)</f>
        <v/>
      </c>
      <c r="Y481" s="40"/>
      <c r="Z481" s="41"/>
      <c r="AA481" s="17"/>
      <c r="AB481" s="17"/>
      <c r="AC481" s="17"/>
      <c r="AD481" s="46" t="str">
        <f aca="true">IF(OR(E481="",B481=""),"",INT(TODAY()-B481))</f>
        <v/>
      </c>
      <c r="AE481" s="44" t="str">
        <f aca="true">IF(E481="","",IF(OR(COUNTIFS(Clients!$C$2:$C$501,E481,Clients!$S$2:$S$501,"Paid")&gt;0,AND(I481&lt;&gt;"",COUNTIFS(Clients!$E$2:$E$501,I481,Clients!$S$2:$S$501,"Paid")&gt;0)),"⚠ Refunded before – no free video",IF(OR(U481="Contract signed + paid",U481="Closed – No response",U481="Lost"),"",IF(U481="","Set a stage",IF(AND(U481="Proposal sent",SUMIFS(Scoresheet!$N$2:$N$501,Scoresheet!$C$2:$C$501,A481,Scoresheet!$U$2:$U$501,1)&lt;6),"Score this lead – fill the call scoresheet",IF(N(W481)&gt;=Settings!$S$3,"Close – 4 follow-ups sent",IF(X481="",IF(V481="","Make first contact",""),IF(TODAY()&gt;X481,"OVERDUE follow-up",IF(TODAY()=X481,"Follow up today","")))))))))</f>
        <v/>
      </c>
    </row>
    <row r="482" customFormat="false" ht="15" hidden="false" customHeight="false" outlineLevel="0" collapsed="false">
      <c r="A482" s="17"/>
      <c r="B482" s="40"/>
      <c r="C482" s="41"/>
      <c r="D482" s="17"/>
      <c r="E482" s="17"/>
      <c r="F482" s="17"/>
      <c r="G482" s="17"/>
      <c r="H482" s="17"/>
      <c r="I482" s="42"/>
      <c r="J482" s="17"/>
      <c r="K482" s="17"/>
      <c r="L482" s="17"/>
      <c r="M482" s="17"/>
      <c r="N482" s="40"/>
      <c r="O482" s="41"/>
      <c r="P482" s="43" t="str">
        <f aca="false">IF(OR(B482="",N482=""),"",ROUND(((N482+N(O482))-(B482+N(C482)))*24,1))</f>
        <v/>
      </c>
      <c r="Q482" s="44" t="str">
        <f aca="false">IF(OR(E482="",A482="",COUNTIFS(Scoresheet!$C$2:$C$501,A482,Scoresheet!$U$2:$U$501,1)=0),"",SUMIFS(Scoresheet!$O$2:$O$501,Scoresheet!$C$2:$C$501,A482,Scoresheet!$U$2:$U$501,1))</f>
        <v/>
      </c>
      <c r="R482" s="44" t="str">
        <f aca="false">IF(E482="","",IF(OR(A482="",COUNTIFS(Scoresheet!$C$2:$C$501,A482,Scoresheet!$U$2:$U$501,1)=0),"No scoresheet yet",IF(SUMIFS(Scoresheet!$N$2:$N$501,Scoresheet!$C$2:$C$501,A482,Scoresheet!$U$2:$U$501,1)&lt;6,"Partly scored ("&amp;SUMIFS(Scoresheet!$N$2:$N$501,Scoresheet!$C$2:$C$501,A482,Scoresheet!$U$2:$U$501,1)&amp;"/6)",IF(Q482&gt;=Settings!$S$8,"Hot",IF(Q482&gt;=Settings!$S$9,"Warm","Cold")))))</f>
        <v/>
      </c>
      <c r="S482" s="44" t="str">
        <f aca="false">IF(OR(E482="",A482=""),"",IF(AND(COUNTIFS(Scoresheet!$C$2:$C$501,A482,Scoresheet!$U$2:$U$501,1,Scoresheet!$H$2:$H$501,"No")&gt;0,COUNTIFS(Scoresheet!$C$2:$C$501,A482,Scoresheet!$U$2:$U$501,1,Scoresheet!$J$2:$J$501,"No")&gt;0),"🚩 Budget  ·  🚩 No one on camera",IF(COUNTIFS(Scoresheet!$C$2:$C$501,A482,Scoresheet!$U$2:$U$501,1,Scoresheet!$H$2:$H$501,"No")&gt;0,"🚩 Budget under AED 5k",IF(COUNTIFS(Scoresheet!$C$2:$C$501,A482,Scoresheet!$U$2:$U$501,1,Scoresheet!$J$2:$J$501,"No")&gt;0,"🚩 No one on camera",""))))</f>
        <v/>
      </c>
      <c r="T482" s="17"/>
      <c r="U482" s="17"/>
      <c r="V482" s="40"/>
      <c r="W482" s="17"/>
      <c r="X482" s="45" t="str">
        <f aca="false">IF(OR(E482="",V482="",OR(U482="Contract signed + paid",U482="Closed – No response",U482="Lost"),N(W482)&gt;=Settings!$S$3),"",V482+Settings!$S$2)</f>
        <v/>
      </c>
      <c r="Y482" s="40"/>
      <c r="Z482" s="41"/>
      <c r="AA482" s="17"/>
      <c r="AB482" s="17"/>
      <c r="AC482" s="17"/>
      <c r="AD482" s="46" t="str">
        <f aca="true">IF(OR(E482="",B482=""),"",INT(TODAY()-B482))</f>
        <v/>
      </c>
      <c r="AE482" s="44" t="str">
        <f aca="true">IF(E482="","",IF(OR(COUNTIFS(Clients!$C$2:$C$501,E482,Clients!$S$2:$S$501,"Paid")&gt;0,AND(I482&lt;&gt;"",COUNTIFS(Clients!$E$2:$E$501,I482,Clients!$S$2:$S$501,"Paid")&gt;0)),"⚠ Refunded before – no free video",IF(OR(U482="Contract signed + paid",U482="Closed – No response",U482="Lost"),"",IF(U482="","Set a stage",IF(AND(U482="Proposal sent",SUMIFS(Scoresheet!$N$2:$N$501,Scoresheet!$C$2:$C$501,A482,Scoresheet!$U$2:$U$501,1)&lt;6),"Score this lead – fill the call scoresheet",IF(N(W482)&gt;=Settings!$S$3,"Close – 4 follow-ups sent",IF(X482="",IF(V482="","Make first contact",""),IF(TODAY()&gt;X482,"OVERDUE follow-up",IF(TODAY()=X482,"Follow up today","")))))))))</f>
        <v/>
      </c>
    </row>
    <row r="483" customFormat="false" ht="15" hidden="false" customHeight="false" outlineLevel="0" collapsed="false">
      <c r="A483" s="17"/>
      <c r="B483" s="40"/>
      <c r="C483" s="41"/>
      <c r="D483" s="17"/>
      <c r="E483" s="17"/>
      <c r="F483" s="17"/>
      <c r="G483" s="17"/>
      <c r="H483" s="17"/>
      <c r="I483" s="42"/>
      <c r="J483" s="17"/>
      <c r="K483" s="17"/>
      <c r="L483" s="17"/>
      <c r="M483" s="17"/>
      <c r="N483" s="40"/>
      <c r="O483" s="41"/>
      <c r="P483" s="43" t="str">
        <f aca="false">IF(OR(B483="",N483=""),"",ROUND(((N483+N(O483))-(B483+N(C483)))*24,1))</f>
        <v/>
      </c>
      <c r="Q483" s="44" t="str">
        <f aca="false">IF(OR(E483="",A483="",COUNTIFS(Scoresheet!$C$2:$C$501,A483,Scoresheet!$U$2:$U$501,1)=0),"",SUMIFS(Scoresheet!$O$2:$O$501,Scoresheet!$C$2:$C$501,A483,Scoresheet!$U$2:$U$501,1))</f>
        <v/>
      </c>
      <c r="R483" s="44" t="str">
        <f aca="false">IF(E483="","",IF(OR(A483="",COUNTIFS(Scoresheet!$C$2:$C$501,A483,Scoresheet!$U$2:$U$501,1)=0),"No scoresheet yet",IF(SUMIFS(Scoresheet!$N$2:$N$501,Scoresheet!$C$2:$C$501,A483,Scoresheet!$U$2:$U$501,1)&lt;6,"Partly scored ("&amp;SUMIFS(Scoresheet!$N$2:$N$501,Scoresheet!$C$2:$C$501,A483,Scoresheet!$U$2:$U$501,1)&amp;"/6)",IF(Q483&gt;=Settings!$S$8,"Hot",IF(Q483&gt;=Settings!$S$9,"Warm","Cold")))))</f>
        <v/>
      </c>
      <c r="S483" s="44" t="str">
        <f aca="false">IF(OR(E483="",A483=""),"",IF(AND(COUNTIFS(Scoresheet!$C$2:$C$501,A483,Scoresheet!$U$2:$U$501,1,Scoresheet!$H$2:$H$501,"No")&gt;0,COUNTIFS(Scoresheet!$C$2:$C$501,A483,Scoresheet!$U$2:$U$501,1,Scoresheet!$J$2:$J$501,"No")&gt;0),"🚩 Budget  ·  🚩 No one on camera",IF(COUNTIFS(Scoresheet!$C$2:$C$501,A483,Scoresheet!$U$2:$U$501,1,Scoresheet!$H$2:$H$501,"No")&gt;0,"🚩 Budget under AED 5k",IF(COUNTIFS(Scoresheet!$C$2:$C$501,A483,Scoresheet!$U$2:$U$501,1,Scoresheet!$J$2:$J$501,"No")&gt;0,"🚩 No one on camera",""))))</f>
        <v/>
      </c>
      <c r="T483" s="17"/>
      <c r="U483" s="17"/>
      <c r="V483" s="40"/>
      <c r="W483" s="17"/>
      <c r="X483" s="45" t="str">
        <f aca="false">IF(OR(E483="",V483="",OR(U483="Contract signed + paid",U483="Closed – No response",U483="Lost"),N(W483)&gt;=Settings!$S$3),"",V483+Settings!$S$2)</f>
        <v/>
      </c>
      <c r="Y483" s="40"/>
      <c r="Z483" s="41"/>
      <c r="AA483" s="17"/>
      <c r="AB483" s="17"/>
      <c r="AC483" s="17"/>
      <c r="AD483" s="46" t="str">
        <f aca="true">IF(OR(E483="",B483=""),"",INT(TODAY()-B483))</f>
        <v/>
      </c>
      <c r="AE483" s="44" t="str">
        <f aca="true">IF(E483="","",IF(OR(COUNTIFS(Clients!$C$2:$C$501,E483,Clients!$S$2:$S$501,"Paid")&gt;0,AND(I483&lt;&gt;"",COUNTIFS(Clients!$E$2:$E$501,I483,Clients!$S$2:$S$501,"Paid")&gt;0)),"⚠ Refunded before – no free video",IF(OR(U483="Contract signed + paid",U483="Closed – No response",U483="Lost"),"",IF(U483="","Set a stage",IF(AND(U483="Proposal sent",SUMIFS(Scoresheet!$N$2:$N$501,Scoresheet!$C$2:$C$501,A483,Scoresheet!$U$2:$U$501,1)&lt;6),"Score this lead – fill the call scoresheet",IF(N(W483)&gt;=Settings!$S$3,"Close – 4 follow-ups sent",IF(X483="",IF(V483="","Make first contact",""),IF(TODAY()&gt;X483,"OVERDUE follow-up",IF(TODAY()=X483,"Follow up today","")))))))))</f>
        <v/>
      </c>
    </row>
    <row r="484" customFormat="false" ht="15" hidden="false" customHeight="false" outlineLevel="0" collapsed="false">
      <c r="A484" s="17"/>
      <c r="B484" s="40"/>
      <c r="C484" s="41"/>
      <c r="D484" s="17"/>
      <c r="E484" s="17"/>
      <c r="F484" s="17"/>
      <c r="G484" s="17"/>
      <c r="H484" s="17"/>
      <c r="I484" s="42"/>
      <c r="J484" s="17"/>
      <c r="K484" s="17"/>
      <c r="L484" s="17"/>
      <c r="M484" s="17"/>
      <c r="N484" s="40"/>
      <c r="O484" s="41"/>
      <c r="P484" s="43" t="str">
        <f aca="false">IF(OR(B484="",N484=""),"",ROUND(((N484+N(O484))-(B484+N(C484)))*24,1))</f>
        <v/>
      </c>
      <c r="Q484" s="44" t="str">
        <f aca="false">IF(OR(E484="",A484="",COUNTIFS(Scoresheet!$C$2:$C$501,A484,Scoresheet!$U$2:$U$501,1)=0),"",SUMIFS(Scoresheet!$O$2:$O$501,Scoresheet!$C$2:$C$501,A484,Scoresheet!$U$2:$U$501,1))</f>
        <v/>
      </c>
      <c r="R484" s="44" t="str">
        <f aca="false">IF(E484="","",IF(OR(A484="",COUNTIFS(Scoresheet!$C$2:$C$501,A484,Scoresheet!$U$2:$U$501,1)=0),"No scoresheet yet",IF(SUMIFS(Scoresheet!$N$2:$N$501,Scoresheet!$C$2:$C$501,A484,Scoresheet!$U$2:$U$501,1)&lt;6,"Partly scored ("&amp;SUMIFS(Scoresheet!$N$2:$N$501,Scoresheet!$C$2:$C$501,A484,Scoresheet!$U$2:$U$501,1)&amp;"/6)",IF(Q484&gt;=Settings!$S$8,"Hot",IF(Q484&gt;=Settings!$S$9,"Warm","Cold")))))</f>
        <v/>
      </c>
      <c r="S484" s="44" t="str">
        <f aca="false">IF(OR(E484="",A484=""),"",IF(AND(COUNTIFS(Scoresheet!$C$2:$C$501,A484,Scoresheet!$U$2:$U$501,1,Scoresheet!$H$2:$H$501,"No")&gt;0,COUNTIFS(Scoresheet!$C$2:$C$501,A484,Scoresheet!$U$2:$U$501,1,Scoresheet!$J$2:$J$501,"No")&gt;0),"🚩 Budget  ·  🚩 No one on camera",IF(COUNTIFS(Scoresheet!$C$2:$C$501,A484,Scoresheet!$U$2:$U$501,1,Scoresheet!$H$2:$H$501,"No")&gt;0,"🚩 Budget under AED 5k",IF(COUNTIFS(Scoresheet!$C$2:$C$501,A484,Scoresheet!$U$2:$U$501,1,Scoresheet!$J$2:$J$501,"No")&gt;0,"🚩 No one on camera",""))))</f>
        <v/>
      </c>
      <c r="T484" s="17"/>
      <c r="U484" s="17"/>
      <c r="V484" s="40"/>
      <c r="W484" s="17"/>
      <c r="X484" s="45" t="str">
        <f aca="false">IF(OR(E484="",V484="",OR(U484="Contract signed + paid",U484="Closed – No response",U484="Lost"),N(W484)&gt;=Settings!$S$3),"",V484+Settings!$S$2)</f>
        <v/>
      </c>
      <c r="Y484" s="40"/>
      <c r="Z484" s="41"/>
      <c r="AA484" s="17"/>
      <c r="AB484" s="17"/>
      <c r="AC484" s="17"/>
      <c r="AD484" s="46" t="str">
        <f aca="true">IF(OR(E484="",B484=""),"",INT(TODAY()-B484))</f>
        <v/>
      </c>
      <c r="AE484" s="44" t="str">
        <f aca="true">IF(E484="","",IF(OR(COUNTIFS(Clients!$C$2:$C$501,E484,Clients!$S$2:$S$501,"Paid")&gt;0,AND(I484&lt;&gt;"",COUNTIFS(Clients!$E$2:$E$501,I484,Clients!$S$2:$S$501,"Paid")&gt;0)),"⚠ Refunded before – no free video",IF(OR(U484="Contract signed + paid",U484="Closed – No response",U484="Lost"),"",IF(U484="","Set a stage",IF(AND(U484="Proposal sent",SUMIFS(Scoresheet!$N$2:$N$501,Scoresheet!$C$2:$C$501,A484,Scoresheet!$U$2:$U$501,1)&lt;6),"Score this lead – fill the call scoresheet",IF(N(W484)&gt;=Settings!$S$3,"Close – 4 follow-ups sent",IF(X484="",IF(V484="","Make first contact",""),IF(TODAY()&gt;X484,"OVERDUE follow-up",IF(TODAY()=X484,"Follow up today","")))))))))</f>
        <v/>
      </c>
    </row>
    <row r="485" customFormat="false" ht="15" hidden="false" customHeight="false" outlineLevel="0" collapsed="false">
      <c r="A485" s="17"/>
      <c r="B485" s="40"/>
      <c r="C485" s="41"/>
      <c r="D485" s="17"/>
      <c r="E485" s="17"/>
      <c r="F485" s="17"/>
      <c r="G485" s="17"/>
      <c r="H485" s="17"/>
      <c r="I485" s="42"/>
      <c r="J485" s="17"/>
      <c r="K485" s="17"/>
      <c r="L485" s="17"/>
      <c r="M485" s="17"/>
      <c r="N485" s="40"/>
      <c r="O485" s="41"/>
      <c r="P485" s="43" t="str">
        <f aca="false">IF(OR(B485="",N485=""),"",ROUND(((N485+N(O485))-(B485+N(C485)))*24,1))</f>
        <v/>
      </c>
      <c r="Q485" s="44" t="str">
        <f aca="false">IF(OR(E485="",A485="",COUNTIFS(Scoresheet!$C$2:$C$501,A485,Scoresheet!$U$2:$U$501,1)=0),"",SUMIFS(Scoresheet!$O$2:$O$501,Scoresheet!$C$2:$C$501,A485,Scoresheet!$U$2:$U$501,1))</f>
        <v/>
      </c>
      <c r="R485" s="44" t="str">
        <f aca="false">IF(E485="","",IF(OR(A485="",COUNTIFS(Scoresheet!$C$2:$C$501,A485,Scoresheet!$U$2:$U$501,1)=0),"No scoresheet yet",IF(SUMIFS(Scoresheet!$N$2:$N$501,Scoresheet!$C$2:$C$501,A485,Scoresheet!$U$2:$U$501,1)&lt;6,"Partly scored ("&amp;SUMIFS(Scoresheet!$N$2:$N$501,Scoresheet!$C$2:$C$501,A485,Scoresheet!$U$2:$U$501,1)&amp;"/6)",IF(Q485&gt;=Settings!$S$8,"Hot",IF(Q485&gt;=Settings!$S$9,"Warm","Cold")))))</f>
        <v/>
      </c>
      <c r="S485" s="44" t="str">
        <f aca="false">IF(OR(E485="",A485=""),"",IF(AND(COUNTIFS(Scoresheet!$C$2:$C$501,A485,Scoresheet!$U$2:$U$501,1,Scoresheet!$H$2:$H$501,"No")&gt;0,COUNTIFS(Scoresheet!$C$2:$C$501,A485,Scoresheet!$U$2:$U$501,1,Scoresheet!$J$2:$J$501,"No")&gt;0),"🚩 Budget  ·  🚩 No one on camera",IF(COUNTIFS(Scoresheet!$C$2:$C$501,A485,Scoresheet!$U$2:$U$501,1,Scoresheet!$H$2:$H$501,"No")&gt;0,"🚩 Budget under AED 5k",IF(COUNTIFS(Scoresheet!$C$2:$C$501,A485,Scoresheet!$U$2:$U$501,1,Scoresheet!$J$2:$J$501,"No")&gt;0,"🚩 No one on camera",""))))</f>
        <v/>
      </c>
      <c r="T485" s="17"/>
      <c r="U485" s="17"/>
      <c r="V485" s="40"/>
      <c r="W485" s="17"/>
      <c r="X485" s="45" t="str">
        <f aca="false">IF(OR(E485="",V485="",OR(U485="Contract signed + paid",U485="Closed – No response",U485="Lost"),N(W485)&gt;=Settings!$S$3),"",V485+Settings!$S$2)</f>
        <v/>
      </c>
      <c r="Y485" s="40"/>
      <c r="Z485" s="41"/>
      <c r="AA485" s="17"/>
      <c r="AB485" s="17"/>
      <c r="AC485" s="17"/>
      <c r="AD485" s="46" t="str">
        <f aca="true">IF(OR(E485="",B485=""),"",INT(TODAY()-B485))</f>
        <v/>
      </c>
      <c r="AE485" s="44" t="str">
        <f aca="true">IF(E485="","",IF(OR(COUNTIFS(Clients!$C$2:$C$501,E485,Clients!$S$2:$S$501,"Paid")&gt;0,AND(I485&lt;&gt;"",COUNTIFS(Clients!$E$2:$E$501,I485,Clients!$S$2:$S$501,"Paid")&gt;0)),"⚠ Refunded before – no free video",IF(OR(U485="Contract signed + paid",U485="Closed – No response",U485="Lost"),"",IF(U485="","Set a stage",IF(AND(U485="Proposal sent",SUMIFS(Scoresheet!$N$2:$N$501,Scoresheet!$C$2:$C$501,A485,Scoresheet!$U$2:$U$501,1)&lt;6),"Score this lead – fill the call scoresheet",IF(N(W485)&gt;=Settings!$S$3,"Close – 4 follow-ups sent",IF(X485="",IF(V485="","Make first contact",""),IF(TODAY()&gt;X485,"OVERDUE follow-up",IF(TODAY()=X485,"Follow up today","")))))))))</f>
        <v/>
      </c>
    </row>
    <row r="486" customFormat="false" ht="15" hidden="false" customHeight="false" outlineLevel="0" collapsed="false">
      <c r="A486" s="17"/>
      <c r="B486" s="40"/>
      <c r="C486" s="41"/>
      <c r="D486" s="17"/>
      <c r="E486" s="17"/>
      <c r="F486" s="17"/>
      <c r="G486" s="17"/>
      <c r="H486" s="17"/>
      <c r="I486" s="42"/>
      <c r="J486" s="17"/>
      <c r="K486" s="17"/>
      <c r="L486" s="17"/>
      <c r="M486" s="17"/>
      <c r="N486" s="40"/>
      <c r="O486" s="41"/>
      <c r="P486" s="43" t="str">
        <f aca="false">IF(OR(B486="",N486=""),"",ROUND(((N486+N(O486))-(B486+N(C486)))*24,1))</f>
        <v/>
      </c>
      <c r="Q486" s="44" t="str">
        <f aca="false">IF(OR(E486="",A486="",COUNTIFS(Scoresheet!$C$2:$C$501,A486,Scoresheet!$U$2:$U$501,1)=0),"",SUMIFS(Scoresheet!$O$2:$O$501,Scoresheet!$C$2:$C$501,A486,Scoresheet!$U$2:$U$501,1))</f>
        <v/>
      </c>
      <c r="R486" s="44" t="str">
        <f aca="false">IF(E486="","",IF(OR(A486="",COUNTIFS(Scoresheet!$C$2:$C$501,A486,Scoresheet!$U$2:$U$501,1)=0),"No scoresheet yet",IF(SUMIFS(Scoresheet!$N$2:$N$501,Scoresheet!$C$2:$C$501,A486,Scoresheet!$U$2:$U$501,1)&lt;6,"Partly scored ("&amp;SUMIFS(Scoresheet!$N$2:$N$501,Scoresheet!$C$2:$C$501,A486,Scoresheet!$U$2:$U$501,1)&amp;"/6)",IF(Q486&gt;=Settings!$S$8,"Hot",IF(Q486&gt;=Settings!$S$9,"Warm","Cold")))))</f>
        <v/>
      </c>
      <c r="S486" s="44" t="str">
        <f aca="false">IF(OR(E486="",A486=""),"",IF(AND(COUNTIFS(Scoresheet!$C$2:$C$501,A486,Scoresheet!$U$2:$U$501,1,Scoresheet!$H$2:$H$501,"No")&gt;0,COUNTIFS(Scoresheet!$C$2:$C$501,A486,Scoresheet!$U$2:$U$501,1,Scoresheet!$J$2:$J$501,"No")&gt;0),"🚩 Budget  ·  🚩 No one on camera",IF(COUNTIFS(Scoresheet!$C$2:$C$501,A486,Scoresheet!$U$2:$U$501,1,Scoresheet!$H$2:$H$501,"No")&gt;0,"🚩 Budget under AED 5k",IF(COUNTIFS(Scoresheet!$C$2:$C$501,A486,Scoresheet!$U$2:$U$501,1,Scoresheet!$J$2:$J$501,"No")&gt;0,"🚩 No one on camera",""))))</f>
        <v/>
      </c>
      <c r="T486" s="17"/>
      <c r="U486" s="17"/>
      <c r="V486" s="40"/>
      <c r="W486" s="17"/>
      <c r="X486" s="45" t="str">
        <f aca="false">IF(OR(E486="",V486="",OR(U486="Contract signed + paid",U486="Closed – No response",U486="Lost"),N(W486)&gt;=Settings!$S$3),"",V486+Settings!$S$2)</f>
        <v/>
      </c>
      <c r="Y486" s="40"/>
      <c r="Z486" s="41"/>
      <c r="AA486" s="17"/>
      <c r="AB486" s="17"/>
      <c r="AC486" s="17"/>
      <c r="AD486" s="46" t="str">
        <f aca="true">IF(OR(E486="",B486=""),"",INT(TODAY()-B486))</f>
        <v/>
      </c>
      <c r="AE486" s="44" t="str">
        <f aca="true">IF(E486="","",IF(OR(COUNTIFS(Clients!$C$2:$C$501,E486,Clients!$S$2:$S$501,"Paid")&gt;0,AND(I486&lt;&gt;"",COUNTIFS(Clients!$E$2:$E$501,I486,Clients!$S$2:$S$501,"Paid")&gt;0)),"⚠ Refunded before – no free video",IF(OR(U486="Contract signed + paid",U486="Closed – No response",U486="Lost"),"",IF(U486="","Set a stage",IF(AND(U486="Proposal sent",SUMIFS(Scoresheet!$N$2:$N$501,Scoresheet!$C$2:$C$501,A486,Scoresheet!$U$2:$U$501,1)&lt;6),"Score this lead – fill the call scoresheet",IF(N(W486)&gt;=Settings!$S$3,"Close – 4 follow-ups sent",IF(X486="",IF(V486="","Make first contact",""),IF(TODAY()&gt;X486,"OVERDUE follow-up",IF(TODAY()=X486,"Follow up today","")))))))))</f>
        <v/>
      </c>
    </row>
    <row r="487" customFormat="false" ht="15" hidden="false" customHeight="false" outlineLevel="0" collapsed="false">
      <c r="A487" s="17"/>
      <c r="B487" s="40"/>
      <c r="C487" s="41"/>
      <c r="D487" s="17"/>
      <c r="E487" s="17"/>
      <c r="F487" s="17"/>
      <c r="G487" s="17"/>
      <c r="H487" s="17"/>
      <c r="I487" s="42"/>
      <c r="J487" s="17"/>
      <c r="K487" s="17"/>
      <c r="L487" s="17"/>
      <c r="M487" s="17"/>
      <c r="N487" s="40"/>
      <c r="O487" s="41"/>
      <c r="P487" s="43" t="str">
        <f aca="false">IF(OR(B487="",N487=""),"",ROUND(((N487+N(O487))-(B487+N(C487)))*24,1))</f>
        <v/>
      </c>
      <c r="Q487" s="44" t="str">
        <f aca="false">IF(OR(E487="",A487="",COUNTIFS(Scoresheet!$C$2:$C$501,A487,Scoresheet!$U$2:$U$501,1)=0),"",SUMIFS(Scoresheet!$O$2:$O$501,Scoresheet!$C$2:$C$501,A487,Scoresheet!$U$2:$U$501,1))</f>
        <v/>
      </c>
      <c r="R487" s="44" t="str">
        <f aca="false">IF(E487="","",IF(OR(A487="",COUNTIFS(Scoresheet!$C$2:$C$501,A487,Scoresheet!$U$2:$U$501,1)=0),"No scoresheet yet",IF(SUMIFS(Scoresheet!$N$2:$N$501,Scoresheet!$C$2:$C$501,A487,Scoresheet!$U$2:$U$501,1)&lt;6,"Partly scored ("&amp;SUMIFS(Scoresheet!$N$2:$N$501,Scoresheet!$C$2:$C$501,A487,Scoresheet!$U$2:$U$501,1)&amp;"/6)",IF(Q487&gt;=Settings!$S$8,"Hot",IF(Q487&gt;=Settings!$S$9,"Warm","Cold")))))</f>
        <v/>
      </c>
      <c r="S487" s="44" t="str">
        <f aca="false">IF(OR(E487="",A487=""),"",IF(AND(COUNTIFS(Scoresheet!$C$2:$C$501,A487,Scoresheet!$U$2:$U$501,1,Scoresheet!$H$2:$H$501,"No")&gt;0,COUNTIFS(Scoresheet!$C$2:$C$501,A487,Scoresheet!$U$2:$U$501,1,Scoresheet!$J$2:$J$501,"No")&gt;0),"🚩 Budget  ·  🚩 No one on camera",IF(COUNTIFS(Scoresheet!$C$2:$C$501,A487,Scoresheet!$U$2:$U$501,1,Scoresheet!$H$2:$H$501,"No")&gt;0,"🚩 Budget under AED 5k",IF(COUNTIFS(Scoresheet!$C$2:$C$501,A487,Scoresheet!$U$2:$U$501,1,Scoresheet!$J$2:$J$501,"No")&gt;0,"🚩 No one on camera",""))))</f>
        <v/>
      </c>
      <c r="T487" s="17"/>
      <c r="U487" s="17"/>
      <c r="V487" s="40"/>
      <c r="W487" s="17"/>
      <c r="X487" s="45" t="str">
        <f aca="false">IF(OR(E487="",V487="",OR(U487="Contract signed + paid",U487="Closed – No response",U487="Lost"),N(W487)&gt;=Settings!$S$3),"",V487+Settings!$S$2)</f>
        <v/>
      </c>
      <c r="Y487" s="40"/>
      <c r="Z487" s="41"/>
      <c r="AA487" s="17"/>
      <c r="AB487" s="17"/>
      <c r="AC487" s="17"/>
      <c r="AD487" s="46" t="str">
        <f aca="true">IF(OR(E487="",B487=""),"",INT(TODAY()-B487))</f>
        <v/>
      </c>
      <c r="AE487" s="44" t="str">
        <f aca="true">IF(E487="","",IF(OR(COUNTIFS(Clients!$C$2:$C$501,E487,Clients!$S$2:$S$501,"Paid")&gt;0,AND(I487&lt;&gt;"",COUNTIFS(Clients!$E$2:$E$501,I487,Clients!$S$2:$S$501,"Paid")&gt;0)),"⚠ Refunded before – no free video",IF(OR(U487="Contract signed + paid",U487="Closed – No response",U487="Lost"),"",IF(U487="","Set a stage",IF(AND(U487="Proposal sent",SUMIFS(Scoresheet!$N$2:$N$501,Scoresheet!$C$2:$C$501,A487,Scoresheet!$U$2:$U$501,1)&lt;6),"Score this lead – fill the call scoresheet",IF(N(W487)&gt;=Settings!$S$3,"Close – 4 follow-ups sent",IF(X487="",IF(V487="","Make first contact",""),IF(TODAY()&gt;X487,"OVERDUE follow-up",IF(TODAY()=X487,"Follow up today","")))))))))</f>
        <v/>
      </c>
    </row>
    <row r="488" customFormat="false" ht="15" hidden="false" customHeight="false" outlineLevel="0" collapsed="false">
      <c r="A488" s="17"/>
      <c r="B488" s="40"/>
      <c r="C488" s="41"/>
      <c r="D488" s="17"/>
      <c r="E488" s="17"/>
      <c r="F488" s="17"/>
      <c r="G488" s="17"/>
      <c r="H488" s="17"/>
      <c r="I488" s="42"/>
      <c r="J488" s="17"/>
      <c r="K488" s="17"/>
      <c r="L488" s="17"/>
      <c r="M488" s="17"/>
      <c r="N488" s="40"/>
      <c r="O488" s="41"/>
      <c r="P488" s="43" t="str">
        <f aca="false">IF(OR(B488="",N488=""),"",ROUND(((N488+N(O488))-(B488+N(C488)))*24,1))</f>
        <v/>
      </c>
      <c r="Q488" s="44" t="str">
        <f aca="false">IF(OR(E488="",A488="",COUNTIFS(Scoresheet!$C$2:$C$501,A488,Scoresheet!$U$2:$U$501,1)=0),"",SUMIFS(Scoresheet!$O$2:$O$501,Scoresheet!$C$2:$C$501,A488,Scoresheet!$U$2:$U$501,1))</f>
        <v/>
      </c>
      <c r="R488" s="44" t="str">
        <f aca="false">IF(E488="","",IF(OR(A488="",COUNTIFS(Scoresheet!$C$2:$C$501,A488,Scoresheet!$U$2:$U$501,1)=0),"No scoresheet yet",IF(SUMIFS(Scoresheet!$N$2:$N$501,Scoresheet!$C$2:$C$501,A488,Scoresheet!$U$2:$U$501,1)&lt;6,"Partly scored ("&amp;SUMIFS(Scoresheet!$N$2:$N$501,Scoresheet!$C$2:$C$501,A488,Scoresheet!$U$2:$U$501,1)&amp;"/6)",IF(Q488&gt;=Settings!$S$8,"Hot",IF(Q488&gt;=Settings!$S$9,"Warm","Cold")))))</f>
        <v/>
      </c>
      <c r="S488" s="44" t="str">
        <f aca="false">IF(OR(E488="",A488=""),"",IF(AND(COUNTIFS(Scoresheet!$C$2:$C$501,A488,Scoresheet!$U$2:$U$501,1,Scoresheet!$H$2:$H$501,"No")&gt;0,COUNTIFS(Scoresheet!$C$2:$C$501,A488,Scoresheet!$U$2:$U$501,1,Scoresheet!$J$2:$J$501,"No")&gt;0),"🚩 Budget  ·  🚩 No one on camera",IF(COUNTIFS(Scoresheet!$C$2:$C$501,A488,Scoresheet!$U$2:$U$501,1,Scoresheet!$H$2:$H$501,"No")&gt;0,"🚩 Budget under AED 5k",IF(COUNTIFS(Scoresheet!$C$2:$C$501,A488,Scoresheet!$U$2:$U$501,1,Scoresheet!$J$2:$J$501,"No")&gt;0,"🚩 No one on camera",""))))</f>
        <v/>
      </c>
      <c r="T488" s="17"/>
      <c r="U488" s="17"/>
      <c r="V488" s="40"/>
      <c r="W488" s="17"/>
      <c r="X488" s="45" t="str">
        <f aca="false">IF(OR(E488="",V488="",OR(U488="Contract signed + paid",U488="Closed – No response",U488="Lost"),N(W488)&gt;=Settings!$S$3),"",V488+Settings!$S$2)</f>
        <v/>
      </c>
      <c r="Y488" s="40"/>
      <c r="Z488" s="41"/>
      <c r="AA488" s="17"/>
      <c r="AB488" s="17"/>
      <c r="AC488" s="17"/>
      <c r="AD488" s="46" t="str">
        <f aca="true">IF(OR(E488="",B488=""),"",INT(TODAY()-B488))</f>
        <v/>
      </c>
      <c r="AE488" s="44" t="str">
        <f aca="true">IF(E488="","",IF(OR(COUNTIFS(Clients!$C$2:$C$501,E488,Clients!$S$2:$S$501,"Paid")&gt;0,AND(I488&lt;&gt;"",COUNTIFS(Clients!$E$2:$E$501,I488,Clients!$S$2:$S$501,"Paid")&gt;0)),"⚠ Refunded before – no free video",IF(OR(U488="Contract signed + paid",U488="Closed – No response",U488="Lost"),"",IF(U488="","Set a stage",IF(AND(U488="Proposal sent",SUMIFS(Scoresheet!$N$2:$N$501,Scoresheet!$C$2:$C$501,A488,Scoresheet!$U$2:$U$501,1)&lt;6),"Score this lead – fill the call scoresheet",IF(N(W488)&gt;=Settings!$S$3,"Close – 4 follow-ups sent",IF(X488="",IF(V488="","Make first contact",""),IF(TODAY()&gt;X488,"OVERDUE follow-up",IF(TODAY()=X488,"Follow up today","")))))))))</f>
        <v/>
      </c>
    </row>
    <row r="489" customFormat="false" ht="15" hidden="false" customHeight="false" outlineLevel="0" collapsed="false">
      <c r="A489" s="17"/>
      <c r="B489" s="40"/>
      <c r="C489" s="41"/>
      <c r="D489" s="17"/>
      <c r="E489" s="17"/>
      <c r="F489" s="17"/>
      <c r="G489" s="17"/>
      <c r="H489" s="17"/>
      <c r="I489" s="42"/>
      <c r="J489" s="17"/>
      <c r="K489" s="17"/>
      <c r="L489" s="17"/>
      <c r="M489" s="17"/>
      <c r="N489" s="40"/>
      <c r="O489" s="41"/>
      <c r="P489" s="43" t="str">
        <f aca="false">IF(OR(B489="",N489=""),"",ROUND(((N489+N(O489))-(B489+N(C489)))*24,1))</f>
        <v/>
      </c>
      <c r="Q489" s="44" t="str">
        <f aca="false">IF(OR(E489="",A489="",COUNTIFS(Scoresheet!$C$2:$C$501,A489,Scoresheet!$U$2:$U$501,1)=0),"",SUMIFS(Scoresheet!$O$2:$O$501,Scoresheet!$C$2:$C$501,A489,Scoresheet!$U$2:$U$501,1))</f>
        <v/>
      </c>
      <c r="R489" s="44" t="str">
        <f aca="false">IF(E489="","",IF(OR(A489="",COUNTIFS(Scoresheet!$C$2:$C$501,A489,Scoresheet!$U$2:$U$501,1)=0),"No scoresheet yet",IF(SUMIFS(Scoresheet!$N$2:$N$501,Scoresheet!$C$2:$C$501,A489,Scoresheet!$U$2:$U$501,1)&lt;6,"Partly scored ("&amp;SUMIFS(Scoresheet!$N$2:$N$501,Scoresheet!$C$2:$C$501,A489,Scoresheet!$U$2:$U$501,1)&amp;"/6)",IF(Q489&gt;=Settings!$S$8,"Hot",IF(Q489&gt;=Settings!$S$9,"Warm","Cold")))))</f>
        <v/>
      </c>
      <c r="S489" s="44" t="str">
        <f aca="false">IF(OR(E489="",A489=""),"",IF(AND(COUNTIFS(Scoresheet!$C$2:$C$501,A489,Scoresheet!$U$2:$U$501,1,Scoresheet!$H$2:$H$501,"No")&gt;0,COUNTIFS(Scoresheet!$C$2:$C$501,A489,Scoresheet!$U$2:$U$501,1,Scoresheet!$J$2:$J$501,"No")&gt;0),"🚩 Budget  ·  🚩 No one on camera",IF(COUNTIFS(Scoresheet!$C$2:$C$501,A489,Scoresheet!$U$2:$U$501,1,Scoresheet!$H$2:$H$501,"No")&gt;0,"🚩 Budget under AED 5k",IF(COUNTIFS(Scoresheet!$C$2:$C$501,A489,Scoresheet!$U$2:$U$501,1,Scoresheet!$J$2:$J$501,"No")&gt;0,"🚩 No one on camera",""))))</f>
        <v/>
      </c>
      <c r="T489" s="17"/>
      <c r="U489" s="17"/>
      <c r="V489" s="40"/>
      <c r="W489" s="17"/>
      <c r="X489" s="45" t="str">
        <f aca="false">IF(OR(E489="",V489="",OR(U489="Contract signed + paid",U489="Closed – No response",U489="Lost"),N(W489)&gt;=Settings!$S$3),"",V489+Settings!$S$2)</f>
        <v/>
      </c>
      <c r="Y489" s="40"/>
      <c r="Z489" s="41"/>
      <c r="AA489" s="17"/>
      <c r="AB489" s="17"/>
      <c r="AC489" s="17"/>
      <c r="AD489" s="46" t="str">
        <f aca="true">IF(OR(E489="",B489=""),"",INT(TODAY()-B489))</f>
        <v/>
      </c>
      <c r="AE489" s="44" t="str">
        <f aca="true">IF(E489="","",IF(OR(COUNTIFS(Clients!$C$2:$C$501,E489,Clients!$S$2:$S$501,"Paid")&gt;0,AND(I489&lt;&gt;"",COUNTIFS(Clients!$E$2:$E$501,I489,Clients!$S$2:$S$501,"Paid")&gt;0)),"⚠ Refunded before – no free video",IF(OR(U489="Contract signed + paid",U489="Closed – No response",U489="Lost"),"",IF(U489="","Set a stage",IF(AND(U489="Proposal sent",SUMIFS(Scoresheet!$N$2:$N$501,Scoresheet!$C$2:$C$501,A489,Scoresheet!$U$2:$U$501,1)&lt;6),"Score this lead – fill the call scoresheet",IF(N(W489)&gt;=Settings!$S$3,"Close – 4 follow-ups sent",IF(X489="",IF(V489="","Make first contact",""),IF(TODAY()&gt;X489,"OVERDUE follow-up",IF(TODAY()=X489,"Follow up today","")))))))))</f>
        <v/>
      </c>
    </row>
    <row r="490" customFormat="false" ht="15" hidden="false" customHeight="false" outlineLevel="0" collapsed="false">
      <c r="A490" s="17"/>
      <c r="B490" s="40"/>
      <c r="C490" s="41"/>
      <c r="D490" s="17"/>
      <c r="E490" s="17"/>
      <c r="F490" s="17"/>
      <c r="G490" s="17"/>
      <c r="H490" s="17"/>
      <c r="I490" s="42"/>
      <c r="J490" s="17"/>
      <c r="K490" s="17"/>
      <c r="L490" s="17"/>
      <c r="M490" s="17"/>
      <c r="N490" s="40"/>
      <c r="O490" s="41"/>
      <c r="P490" s="43" t="str">
        <f aca="false">IF(OR(B490="",N490=""),"",ROUND(((N490+N(O490))-(B490+N(C490)))*24,1))</f>
        <v/>
      </c>
      <c r="Q490" s="44" t="str">
        <f aca="false">IF(OR(E490="",A490="",COUNTIFS(Scoresheet!$C$2:$C$501,A490,Scoresheet!$U$2:$U$501,1)=0),"",SUMIFS(Scoresheet!$O$2:$O$501,Scoresheet!$C$2:$C$501,A490,Scoresheet!$U$2:$U$501,1))</f>
        <v/>
      </c>
      <c r="R490" s="44" t="str">
        <f aca="false">IF(E490="","",IF(OR(A490="",COUNTIFS(Scoresheet!$C$2:$C$501,A490,Scoresheet!$U$2:$U$501,1)=0),"No scoresheet yet",IF(SUMIFS(Scoresheet!$N$2:$N$501,Scoresheet!$C$2:$C$501,A490,Scoresheet!$U$2:$U$501,1)&lt;6,"Partly scored ("&amp;SUMIFS(Scoresheet!$N$2:$N$501,Scoresheet!$C$2:$C$501,A490,Scoresheet!$U$2:$U$501,1)&amp;"/6)",IF(Q490&gt;=Settings!$S$8,"Hot",IF(Q490&gt;=Settings!$S$9,"Warm","Cold")))))</f>
        <v/>
      </c>
      <c r="S490" s="44" t="str">
        <f aca="false">IF(OR(E490="",A490=""),"",IF(AND(COUNTIFS(Scoresheet!$C$2:$C$501,A490,Scoresheet!$U$2:$U$501,1,Scoresheet!$H$2:$H$501,"No")&gt;0,COUNTIFS(Scoresheet!$C$2:$C$501,A490,Scoresheet!$U$2:$U$501,1,Scoresheet!$J$2:$J$501,"No")&gt;0),"🚩 Budget  ·  🚩 No one on camera",IF(COUNTIFS(Scoresheet!$C$2:$C$501,A490,Scoresheet!$U$2:$U$501,1,Scoresheet!$H$2:$H$501,"No")&gt;0,"🚩 Budget under AED 5k",IF(COUNTIFS(Scoresheet!$C$2:$C$501,A490,Scoresheet!$U$2:$U$501,1,Scoresheet!$J$2:$J$501,"No")&gt;0,"🚩 No one on camera",""))))</f>
        <v/>
      </c>
      <c r="T490" s="17"/>
      <c r="U490" s="17"/>
      <c r="V490" s="40"/>
      <c r="W490" s="17"/>
      <c r="X490" s="45" t="str">
        <f aca="false">IF(OR(E490="",V490="",OR(U490="Contract signed + paid",U490="Closed – No response",U490="Lost"),N(W490)&gt;=Settings!$S$3),"",V490+Settings!$S$2)</f>
        <v/>
      </c>
      <c r="Y490" s="40"/>
      <c r="Z490" s="41"/>
      <c r="AA490" s="17"/>
      <c r="AB490" s="17"/>
      <c r="AC490" s="17"/>
      <c r="AD490" s="46" t="str">
        <f aca="true">IF(OR(E490="",B490=""),"",INT(TODAY()-B490))</f>
        <v/>
      </c>
      <c r="AE490" s="44" t="str">
        <f aca="true">IF(E490="","",IF(OR(COUNTIFS(Clients!$C$2:$C$501,E490,Clients!$S$2:$S$501,"Paid")&gt;0,AND(I490&lt;&gt;"",COUNTIFS(Clients!$E$2:$E$501,I490,Clients!$S$2:$S$501,"Paid")&gt;0)),"⚠ Refunded before – no free video",IF(OR(U490="Contract signed + paid",U490="Closed – No response",U490="Lost"),"",IF(U490="","Set a stage",IF(AND(U490="Proposal sent",SUMIFS(Scoresheet!$N$2:$N$501,Scoresheet!$C$2:$C$501,A490,Scoresheet!$U$2:$U$501,1)&lt;6),"Score this lead – fill the call scoresheet",IF(N(W490)&gt;=Settings!$S$3,"Close – 4 follow-ups sent",IF(X490="",IF(V490="","Make first contact",""),IF(TODAY()&gt;X490,"OVERDUE follow-up",IF(TODAY()=X490,"Follow up today","")))))))))</f>
        <v/>
      </c>
    </row>
    <row r="491" customFormat="false" ht="15" hidden="false" customHeight="false" outlineLevel="0" collapsed="false">
      <c r="A491" s="17"/>
      <c r="B491" s="40"/>
      <c r="C491" s="41"/>
      <c r="D491" s="17"/>
      <c r="E491" s="17"/>
      <c r="F491" s="17"/>
      <c r="G491" s="17"/>
      <c r="H491" s="17"/>
      <c r="I491" s="42"/>
      <c r="J491" s="17"/>
      <c r="K491" s="17"/>
      <c r="L491" s="17"/>
      <c r="M491" s="17"/>
      <c r="N491" s="40"/>
      <c r="O491" s="41"/>
      <c r="P491" s="43" t="str">
        <f aca="false">IF(OR(B491="",N491=""),"",ROUND(((N491+N(O491))-(B491+N(C491)))*24,1))</f>
        <v/>
      </c>
      <c r="Q491" s="44" t="str">
        <f aca="false">IF(OR(E491="",A491="",COUNTIFS(Scoresheet!$C$2:$C$501,A491,Scoresheet!$U$2:$U$501,1)=0),"",SUMIFS(Scoresheet!$O$2:$O$501,Scoresheet!$C$2:$C$501,A491,Scoresheet!$U$2:$U$501,1))</f>
        <v/>
      </c>
      <c r="R491" s="44" t="str">
        <f aca="false">IF(E491="","",IF(OR(A491="",COUNTIFS(Scoresheet!$C$2:$C$501,A491,Scoresheet!$U$2:$U$501,1)=0),"No scoresheet yet",IF(SUMIFS(Scoresheet!$N$2:$N$501,Scoresheet!$C$2:$C$501,A491,Scoresheet!$U$2:$U$501,1)&lt;6,"Partly scored ("&amp;SUMIFS(Scoresheet!$N$2:$N$501,Scoresheet!$C$2:$C$501,A491,Scoresheet!$U$2:$U$501,1)&amp;"/6)",IF(Q491&gt;=Settings!$S$8,"Hot",IF(Q491&gt;=Settings!$S$9,"Warm","Cold")))))</f>
        <v/>
      </c>
      <c r="S491" s="44" t="str">
        <f aca="false">IF(OR(E491="",A491=""),"",IF(AND(COUNTIFS(Scoresheet!$C$2:$C$501,A491,Scoresheet!$U$2:$U$501,1,Scoresheet!$H$2:$H$501,"No")&gt;0,COUNTIFS(Scoresheet!$C$2:$C$501,A491,Scoresheet!$U$2:$U$501,1,Scoresheet!$J$2:$J$501,"No")&gt;0),"🚩 Budget  ·  🚩 No one on camera",IF(COUNTIFS(Scoresheet!$C$2:$C$501,A491,Scoresheet!$U$2:$U$501,1,Scoresheet!$H$2:$H$501,"No")&gt;0,"🚩 Budget under AED 5k",IF(COUNTIFS(Scoresheet!$C$2:$C$501,A491,Scoresheet!$U$2:$U$501,1,Scoresheet!$J$2:$J$501,"No")&gt;0,"🚩 No one on camera",""))))</f>
        <v/>
      </c>
      <c r="T491" s="17"/>
      <c r="U491" s="17"/>
      <c r="V491" s="40"/>
      <c r="W491" s="17"/>
      <c r="X491" s="45" t="str">
        <f aca="false">IF(OR(E491="",V491="",OR(U491="Contract signed + paid",U491="Closed – No response",U491="Lost"),N(W491)&gt;=Settings!$S$3),"",V491+Settings!$S$2)</f>
        <v/>
      </c>
      <c r="Y491" s="40"/>
      <c r="Z491" s="41"/>
      <c r="AA491" s="17"/>
      <c r="AB491" s="17"/>
      <c r="AC491" s="17"/>
      <c r="AD491" s="46" t="str">
        <f aca="true">IF(OR(E491="",B491=""),"",INT(TODAY()-B491))</f>
        <v/>
      </c>
      <c r="AE491" s="44" t="str">
        <f aca="true">IF(E491="","",IF(OR(COUNTIFS(Clients!$C$2:$C$501,E491,Clients!$S$2:$S$501,"Paid")&gt;0,AND(I491&lt;&gt;"",COUNTIFS(Clients!$E$2:$E$501,I491,Clients!$S$2:$S$501,"Paid")&gt;0)),"⚠ Refunded before – no free video",IF(OR(U491="Contract signed + paid",U491="Closed – No response",U491="Lost"),"",IF(U491="","Set a stage",IF(AND(U491="Proposal sent",SUMIFS(Scoresheet!$N$2:$N$501,Scoresheet!$C$2:$C$501,A491,Scoresheet!$U$2:$U$501,1)&lt;6),"Score this lead – fill the call scoresheet",IF(N(W491)&gt;=Settings!$S$3,"Close – 4 follow-ups sent",IF(X491="",IF(V491="","Make first contact",""),IF(TODAY()&gt;X491,"OVERDUE follow-up",IF(TODAY()=X491,"Follow up today","")))))))))</f>
        <v/>
      </c>
    </row>
    <row r="492" customFormat="false" ht="15" hidden="false" customHeight="false" outlineLevel="0" collapsed="false">
      <c r="A492" s="17"/>
      <c r="B492" s="40"/>
      <c r="C492" s="41"/>
      <c r="D492" s="17"/>
      <c r="E492" s="17"/>
      <c r="F492" s="17"/>
      <c r="G492" s="17"/>
      <c r="H492" s="17"/>
      <c r="I492" s="42"/>
      <c r="J492" s="17"/>
      <c r="K492" s="17"/>
      <c r="L492" s="17"/>
      <c r="M492" s="17"/>
      <c r="N492" s="40"/>
      <c r="O492" s="41"/>
      <c r="P492" s="43" t="str">
        <f aca="false">IF(OR(B492="",N492=""),"",ROUND(((N492+N(O492))-(B492+N(C492)))*24,1))</f>
        <v/>
      </c>
      <c r="Q492" s="44" t="str">
        <f aca="false">IF(OR(E492="",A492="",COUNTIFS(Scoresheet!$C$2:$C$501,A492,Scoresheet!$U$2:$U$501,1)=0),"",SUMIFS(Scoresheet!$O$2:$O$501,Scoresheet!$C$2:$C$501,A492,Scoresheet!$U$2:$U$501,1))</f>
        <v/>
      </c>
      <c r="R492" s="44" t="str">
        <f aca="false">IF(E492="","",IF(OR(A492="",COUNTIFS(Scoresheet!$C$2:$C$501,A492,Scoresheet!$U$2:$U$501,1)=0),"No scoresheet yet",IF(SUMIFS(Scoresheet!$N$2:$N$501,Scoresheet!$C$2:$C$501,A492,Scoresheet!$U$2:$U$501,1)&lt;6,"Partly scored ("&amp;SUMIFS(Scoresheet!$N$2:$N$501,Scoresheet!$C$2:$C$501,A492,Scoresheet!$U$2:$U$501,1)&amp;"/6)",IF(Q492&gt;=Settings!$S$8,"Hot",IF(Q492&gt;=Settings!$S$9,"Warm","Cold")))))</f>
        <v/>
      </c>
      <c r="S492" s="44" t="str">
        <f aca="false">IF(OR(E492="",A492=""),"",IF(AND(COUNTIFS(Scoresheet!$C$2:$C$501,A492,Scoresheet!$U$2:$U$501,1,Scoresheet!$H$2:$H$501,"No")&gt;0,COUNTIFS(Scoresheet!$C$2:$C$501,A492,Scoresheet!$U$2:$U$501,1,Scoresheet!$J$2:$J$501,"No")&gt;0),"🚩 Budget  ·  🚩 No one on camera",IF(COUNTIFS(Scoresheet!$C$2:$C$501,A492,Scoresheet!$U$2:$U$501,1,Scoresheet!$H$2:$H$501,"No")&gt;0,"🚩 Budget under AED 5k",IF(COUNTIFS(Scoresheet!$C$2:$C$501,A492,Scoresheet!$U$2:$U$501,1,Scoresheet!$J$2:$J$501,"No")&gt;0,"🚩 No one on camera",""))))</f>
        <v/>
      </c>
      <c r="T492" s="17"/>
      <c r="U492" s="17"/>
      <c r="V492" s="40"/>
      <c r="W492" s="17"/>
      <c r="X492" s="45" t="str">
        <f aca="false">IF(OR(E492="",V492="",OR(U492="Contract signed + paid",U492="Closed – No response",U492="Lost"),N(W492)&gt;=Settings!$S$3),"",V492+Settings!$S$2)</f>
        <v/>
      </c>
      <c r="Y492" s="40"/>
      <c r="Z492" s="41"/>
      <c r="AA492" s="17"/>
      <c r="AB492" s="17"/>
      <c r="AC492" s="17"/>
      <c r="AD492" s="46" t="str">
        <f aca="true">IF(OR(E492="",B492=""),"",INT(TODAY()-B492))</f>
        <v/>
      </c>
      <c r="AE492" s="44" t="str">
        <f aca="true">IF(E492="","",IF(OR(COUNTIFS(Clients!$C$2:$C$501,E492,Clients!$S$2:$S$501,"Paid")&gt;0,AND(I492&lt;&gt;"",COUNTIFS(Clients!$E$2:$E$501,I492,Clients!$S$2:$S$501,"Paid")&gt;0)),"⚠ Refunded before – no free video",IF(OR(U492="Contract signed + paid",U492="Closed – No response",U492="Lost"),"",IF(U492="","Set a stage",IF(AND(U492="Proposal sent",SUMIFS(Scoresheet!$N$2:$N$501,Scoresheet!$C$2:$C$501,A492,Scoresheet!$U$2:$U$501,1)&lt;6),"Score this lead – fill the call scoresheet",IF(N(W492)&gt;=Settings!$S$3,"Close – 4 follow-ups sent",IF(X492="",IF(V492="","Make first contact",""),IF(TODAY()&gt;X492,"OVERDUE follow-up",IF(TODAY()=X492,"Follow up today","")))))))))</f>
        <v/>
      </c>
    </row>
    <row r="493" customFormat="false" ht="15" hidden="false" customHeight="false" outlineLevel="0" collapsed="false">
      <c r="A493" s="17"/>
      <c r="B493" s="40"/>
      <c r="C493" s="41"/>
      <c r="D493" s="17"/>
      <c r="E493" s="17"/>
      <c r="F493" s="17"/>
      <c r="G493" s="17"/>
      <c r="H493" s="17"/>
      <c r="I493" s="42"/>
      <c r="J493" s="17"/>
      <c r="K493" s="17"/>
      <c r="L493" s="17"/>
      <c r="M493" s="17"/>
      <c r="N493" s="40"/>
      <c r="O493" s="41"/>
      <c r="P493" s="43" t="str">
        <f aca="false">IF(OR(B493="",N493=""),"",ROUND(((N493+N(O493))-(B493+N(C493)))*24,1))</f>
        <v/>
      </c>
      <c r="Q493" s="44" t="str">
        <f aca="false">IF(OR(E493="",A493="",COUNTIFS(Scoresheet!$C$2:$C$501,A493,Scoresheet!$U$2:$U$501,1)=0),"",SUMIFS(Scoresheet!$O$2:$O$501,Scoresheet!$C$2:$C$501,A493,Scoresheet!$U$2:$U$501,1))</f>
        <v/>
      </c>
      <c r="R493" s="44" t="str">
        <f aca="false">IF(E493="","",IF(OR(A493="",COUNTIFS(Scoresheet!$C$2:$C$501,A493,Scoresheet!$U$2:$U$501,1)=0),"No scoresheet yet",IF(SUMIFS(Scoresheet!$N$2:$N$501,Scoresheet!$C$2:$C$501,A493,Scoresheet!$U$2:$U$501,1)&lt;6,"Partly scored ("&amp;SUMIFS(Scoresheet!$N$2:$N$501,Scoresheet!$C$2:$C$501,A493,Scoresheet!$U$2:$U$501,1)&amp;"/6)",IF(Q493&gt;=Settings!$S$8,"Hot",IF(Q493&gt;=Settings!$S$9,"Warm","Cold")))))</f>
        <v/>
      </c>
      <c r="S493" s="44" t="str">
        <f aca="false">IF(OR(E493="",A493=""),"",IF(AND(COUNTIFS(Scoresheet!$C$2:$C$501,A493,Scoresheet!$U$2:$U$501,1,Scoresheet!$H$2:$H$501,"No")&gt;0,COUNTIFS(Scoresheet!$C$2:$C$501,A493,Scoresheet!$U$2:$U$501,1,Scoresheet!$J$2:$J$501,"No")&gt;0),"🚩 Budget  ·  🚩 No one on camera",IF(COUNTIFS(Scoresheet!$C$2:$C$501,A493,Scoresheet!$U$2:$U$501,1,Scoresheet!$H$2:$H$501,"No")&gt;0,"🚩 Budget under AED 5k",IF(COUNTIFS(Scoresheet!$C$2:$C$501,A493,Scoresheet!$U$2:$U$501,1,Scoresheet!$J$2:$J$501,"No")&gt;0,"🚩 No one on camera",""))))</f>
        <v/>
      </c>
      <c r="T493" s="17"/>
      <c r="U493" s="17"/>
      <c r="V493" s="40"/>
      <c r="W493" s="17"/>
      <c r="X493" s="45" t="str">
        <f aca="false">IF(OR(E493="",V493="",OR(U493="Contract signed + paid",U493="Closed – No response",U493="Lost"),N(W493)&gt;=Settings!$S$3),"",V493+Settings!$S$2)</f>
        <v/>
      </c>
      <c r="Y493" s="40"/>
      <c r="Z493" s="41"/>
      <c r="AA493" s="17"/>
      <c r="AB493" s="17"/>
      <c r="AC493" s="17"/>
      <c r="AD493" s="46" t="str">
        <f aca="true">IF(OR(E493="",B493=""),"",INT(TODAY()-B493))</f>
        <v/>
      </c>
      <c r="AE493" s="44" t="str">
        <f aca="true">IF(E493="","",IF(OR(COUNTIFS(Clients!$C$2:$C$501,E493,Clients!$S$2:$S$501,"Paid")&gt;0,AND(I493&lt;&gt;"",COUNTIFS(Clients!$E$2:$E$501,I493,Clients!$S$2:$S$501,"Paid")&gt;0)),"⚠ Refunded before – no free video",IF(OR(U493="Contract signed + paid",U493="Closed – No response",U493="Lost"),"",IF(U493="","Set a stage",IF(AND(U493="Proposal sent",SUMIFS(Scoresheet!$N$2:$N$501,Scoresheet!$C$2:$C$501,A493,Scoresheet!$U$2:$U$501,1)&lt;6),"Score this lead – fill the call scoresheet",IF(N(W493)&gt;=Settings!$S$3,"Close – 4 follow-ups sent",IF(X493="",IF(V493="","Make first contact",""),IF(TODAY()&gt;X493,"OVERDUE follow-up",IF(TODAY()=X493,"Follow up today","")))))))))</f>
        <v/>
      </c>
    </row>
    <row r="494" customFormat="false" ht="15" hidden="false" customHeight="false" outlineLevel="0" collapsed="false">
      <c r="A494" s="17"/>
      <c r="B494" s="40"/>
      <c r="C494" s="41"/>
      <c r="D494" s="17"/>
      <c r="E494" s="17"/>
      <c r="F494" s="17"/>
      <c r="G494" s="17"/>
      <c r="H494" s="17"/>
      <c r="I494" s="42"/>
      <c r="J494" s="17"/>
      <c r="K494" s="17"/>
      <c r="L494" s="17"/>
      <c r="M494" s="17"/>
      <c r="N494" s="40"/>
      <c r="O494" s="41"/>
      <c r="P494" s="43" t="str">
        <f aca="false">IF(OR(B494="",N494=""),"",ROUND(((N494+N(O494))-(B494+N(C494)))*24,1))</f>
        <v/>
      </c>
      <c r="Q494" s="44" t="str">
        <f aca="false">IF(OR(E494="",A494="",COUNTIFS(Scoresheet!$C$2:$C$501,A494,Scoresheet!$U$2:$U$501,1)=0),"",SUMIFS(Scoresheet!$O$2:$O$501,Scoresheet!$C$2:$C$501,A494,Scoresheet!$U$2:$U$501,1))</f>
        <v/>
      </c>
      <c r="R494" s="44" t="str">
        <f aca="false">IF(E494="","",IF(OR(A494="",COUNTIFS(Scoresheet!$C$2:$C$501,A494,Scoresheet!$U$2:$U$501,1)=0),"No scoresheet yet",IF(SUMIFS(Scoresheet!$N$2:$N$501,Scoresheet!$C$2:$C$501,A494,Scoresheet!$U$2:$U$501,1)&lt;6,"Partly scored ("&amp;SUMIFS(Scoresheet!$N$2:$N$501,Scoresheet!$C$2:$C$501,A494,Scoresheet!$U$2:$U$501,1)&amp;"/6)",IF(Q494&gt;=Settings!$S$8,"Hot",IF(Q494&gt;=Settings!$S$9,"Warm","Cold")))))</f>
        <v/>
      </c>
      <c r="S494" s="44" t="str">
        <f aca="false">IF(OR(E494="",A494=""),"",IF(AND(COUNTIFS(Scoresheet!$C$2:$C$501,A494,Scoresheet!$U$2:$U$501,1,Scoresheet!$H$2:$H$501,"No")&gt;0,COUNTIFS(Scoresheet!$C$2:$C$501,A494,Scoresheet!$U$2:$U$501,1,Scoresheet!$J$2:$J$501,"No")&gt;0),"🚩 Budget  ·  🚩 No one on camera",IF(COUNTIFS(Scoresheet!$C$2:$C$501,A494,Scoresheet!$U$2:$U$501,1,Scoresheet!$H$2:$H$501,"No")&gt;0,"🚩 Budget under AED 5k",IF(COUNTIFS(Scoresheet!$C$2:$C$501,A494,Scoresheet!$U$2:$U$501,1,Scoresheet!$J$2:$J$501,"No")&gt;0,"🚩 No one on camera",""))))</f>
        <v/>
      </c>
      <c r="T494" s="17"/>
      <c r="U494" s="17"/>
      <c r="V494" s="40"/>
      <c r="W494" s="17"/>
      <c r="X494" s="45" t="str">
        <f aca="false">IF(OR(E494="",V494="",OR(U494="Contract signed + paid",U494="Closed – No response",U494="Lost"),N(W494)&gt;=Settings!$S$3),"",V494+Settings!$S$2)</f>
        <v/>
      </c>
      <c r="Y494" s="40"/>
      <c r="Z494" s="41"/>
      <c r="AA494" s="17"/>
      <c r="AB494" s="17"/>
      <c r="AC494" s="17"/>
      <c r="AD494" s="46" t="str">
        <f aca="true">IF(OR(E494="",B494=""),"",INT(TODAY()-B494))</f>
        <v/>
      </c>
      <c r="AE494" s="44" t="str">
        <f aca="true">IF(E494="","",IF(OR(COUNTIFS(Clients!$C$2:$C$501,E494,Clients!$S$2:$S$501,"Paid")&gt;0,AND(I494&lt;&gt;"",COUNTIFS(Clients!$E$2:$E$501,I494,Clients!$S$2:$S$501,"Paid")&gt;0)),"⚠ Refunded before – no free video",IF(OR(U494="Contract signed + paid",U494="Closed – No response",U494="Lost"),"",IF(U494="","Set a stage",IF(AND(U494="Proposal sent",SUMIFS(Scoresheet!$N$2:$N$501,Scoresheet!$C$2:$C$501,A494,Scoresheet!$U$2:$U$501,1)&lt;6),"Score this lead – fill the call scoresheet",IF(N(W494)&gt;=Settings!$S$3,"Close – 4 follow-ups sent",IF(X494="",IF(V494="","Make first contact",""),IF(TODAY()&gt;X494,"OVERDUE follow-up",IF(TODAY()=X494,"Follow up today","")))))))))</f>
        <v/>
      </c>
    </row>
    <row r="495" customFormat="false" ht="15" hidden="false" customHeight="false" outlineLevel="0" collapsed="false">
      <c r="A495" s="17"/>
      <c r="B495" s="40"/>
      <c r="C495" s="41"/>
      <c r="D495" s="17"/>
      <c r="E495" s="17"/>
      <c r="F495" s="17"/>
      <c r="G495" s="17"/>
      <c r="H495" s="17"/>
      <c r="I495" s="42"/>
      <c r="J495" s="17"/>
      <c r="K495" s="17"/>
      <c r="L495" s="17"/>
      <c r="M495" s="17"/>
      <c r="N495" s="40"/>
      <c r="O495" s="41"/>
      <c r="P495" s="43" t="str">
        <f aca="false">IF(OR(B495="",N495=""),"",ROUND(((N495+N(O495))-(B495+N(C495)))*24,1))</f>
        <v/>
      </c>
      <c r="Q495" s="44" t="str">
        <f aca="false">IF(OR(E495="",A495="",COUNTIFS(Scoresheet!$C$2:$C$501,A495,Scoresheet!$U$2:$U$501,1)=0),"",SUMIFS(Scoresheet!$O$2:$O$501,Scoresheet!$C$2:$C$501,A495,Scoresheet!$U$2:$U$501,1))</f>
        <v/>
      </c>
      <c r="R495" s="44" t="str">
        <f aca="false">IF(E495="","",IF(OR(A495="",COUNTIFS(Scoresheet!$C$2:$C$501,A495,Scoresheet!$U$2:$U$501,1)=0),"No scoresheet yet",IF(SUMIFS(Scoresheet!$N$2:$N$501,Scoresheet!$C$2:$C$501,A495,Scoresheet!$U$2:$U$501,1)&lt;6,"Partly scored ("&amp;SUMIFS(Scoresheet!$N$2:$N$501,Scoresheet!$C$2:$C$501,A495,Scoresheet!$U$2:$U$501,1)&amp;"/6)",IF(Q495&gt;=Settings!$S$8,"Hot",IF(Q495&gt;=Settings!$S$9,"Warm","Cold")))))</f>
        <v/>
      </c>
      <c r="S495" s="44" t="str">
        <f aca="false">IF(OR(E495="",A495=""),"",IF(AND(COUNTIFS(Scoresheet!$C$2:$C$501,A495,Scoresheet!$U$2:$U$501,1,Scoresheet!$H$2:$H$501,"No")&gt;0,COUNTIFS(Scoresheet!$C$2:$C$501,A495,Scoresheet!$U$2:$U$501,1,Scoresheet!$J$2:$J$501,"No")&gt;0),"🚩 Budget  ·  🚩 No one on camera",IF(COUNTIFS(Scoresheet!$C$2:$C$501,A495,Scoresheet!$U$2:$U$501,1,Scoresheet!$H$2:$H$501,"No")&gt;0,"🚩 Budget under AED 5k",IF(COUNTIFS(Scoresheet!$C$2:$C$501,A495,Scoresheet!$U$2:$U$501,1,Scoresheet!$J$2:$J$501,"No")&gt;0,"🚩 No one on camera",""))))</f>
        <v/>
      </c>
      <c r="T495" s="17"/>
      <c r="U495" s="17"/>
      <c r="V495" s="40"/>
      <c r="W495" s="17"/>
      <c r="X495" s="45" t="str">
        <f aca="false">IF(OR(E495="",V495="",OR(U495="Contract signed + paid",U495="Closed – No response",U495="Lost"),N(W495)&gt;=Settings!$S$3),"",V495+Settings!$S$2)</f>
        <v/>
      </c>
      <c r="Y495" s="40"/>
      <c r="Z495" s="41"/>
      <c r="AA495" s="17"/>
      <c r="AB495" s="17"/>
      <c r="AC495" s="17"/>
      <c r="AD495" s="46" t="str">
        <f aca="true">IF(OR(E495="",B495=""),"",INT(TODAY()-B495))</f>
        <v/>
      </c>
      <c r="AE495" s="44" t="str">
        <f aca="true">IF(E495="","",IF(OR(COUNTIFS(Clients!$C$2:$C$501,E495,Clients!$S$2:$S$501,"Paid")&gt;0,AND(I495&lt;&gt;"",COUNTIFS(Clients!$E$2:$E$501,I495,Clients!$S$2:$S$501,"Paid")&gt;0)),"⚠ Refunded before – no free video",IF(OR(U495="Contract signed + paid",U495="Closed – No response",U495="Lost"),"",IF(U495="","Set a stage",IF(AND(U495="Proposal sent",SUMIFS(Scoresheet!$N$2:$N$501,Scoresheet!$C$2:$C$501,A495,Scoresheet!$U$2:$U$501,1)&lt;6),"Score this lead – fill the call scoresheet",IF(N(W495)&gt;=Settings!$S$3,"Close – 4 follow-ups sent",IF(X495="",IF(V495="","Make first contact",""),IF(TODAY()&gt;X495,"OVERDUE follow-up",IF(TODAY()=X495,"Follow up today","")))))))))</f>
        <v/>
      </c>
    </row>
    <row r="496" customFormat="false" ht="15" hidden="false" customHeight="false" outlineLevel="0" collapsed="false">
      <c r="A496" s="17"/>
      <c r="B496" s="40"/>
      <c r="C496" s="41"/>
      <c r="D496" s="17"/>
      <c r="E496" s="17"/>
      <c r="F496" s="17"/>
      <c r="G496" s="17"/>
      <c r="H496" s="17"/>
      <c r="I496" s="42"/>
      <c r="J496" s="17"/>
      <c r="K496" s="17"/>
      <c r="L496" s="17"/>
      <c r="M496" s="17"/>
      <c r="N496" s="40"/>
      <c r="O496" s="41"/>
      <c r="P496" s="43" t="str">
        <f aca="false">IF(OR(B496="",N496=""),"",ROUND(((N496+N(O496))-(B496+N(C496)))*24,1))</f>
        <v/>
      </c>
      <c r="Q496" s="44" t="str">
        <f aca="false">IF(OR(E496="",A496="",COUNTIFS(Scoresheet!$C$2:$C$501,A496,Scoresheet!$U$2:$U$501,1)=0),"",SUMIFS(Scoresheet!$O$2:$O$501,Scoresheet!$C$2:$C$501,A496,Scoresheet!$U$2:$U$501,1))</f>
        <v/>
      </c>
      <c r="R496" s="44" t="str">
        <f aca="false">IF(E496="","",IF(OR(A496="",COUNTIFS(Scoresheet!$C$2:$C$501,A496,Scoresheet!$U$2:$U$501,1)=0),"No scoresheet yet",IF(SUMIFS(Scoresheet!$N$2:$N$501,Scoresheet!$C$2:$C$501,A496,Scoresheet!$U$2:$U$501,1)&lt;6,"Partly scored ("&amp;SUMIFS(Scoresheet!$N$2:$N$501,Scoresheet!$C$2:$C$501,A496,Scoresheet!$U$2:$U$501,1)&amp;"/6)",IF(Q496&gt;=Settings!$S$8,"Hot",IF(Q496&gt;=Settings!$S$9,"Warm","Cold")))))</f>
        <v/>
      </c>
      <c r="S496" s="44" t="str">
        <f aca="false">IF(OR(E496="",A496=""),"",IF(AND(COUNTIFS(Scoresheet!$C$2:$C$501,A496,Scoresheet!$U$2:$U$501,1,Scoresheet!$H$2:$H$501,"No")&gt;0,COUNTIFS(Scoresheet!$C$2:$C$501,A496,Scoresheet!$U$2:$U$501,1,Scoresheet!$J$2:$J$501,"No")&gt;0),"🚩 Budget  ·  🚩 No one on camera",IF(COUNTIFS(Scoresheet!$C$2:$C$501,A496,Scoresheet!$U$2:$U$501,1,Scoresheet!$H$2:$H$501,"No")&gt;0,"🚩 Budget under AED 5k",IF(COUNTIFS(Scoresheet!$C$2:$C$501,A496,Scoresheet!$U$2:$U$501,1,Scoresheet!$J$2:$J$501,"No")&gt;0,"🚩 No one on camera",""))))</f>
        <v/>
      </c>
      <c r="T496" s="17"/>
      <c r="U496" s="17"/>
      <c r="V496" s="40"/>
      <c r="W496" s="17"/>
      <c r="X496" s="45" t="str">
        <f aca="false">IF(OR(E496="",V496="",OR(U496="Contract signed + paid",U496="Closed – No response",U496="Lost"),N(W496)&gt;=Settings!$S$3),"",V496+Settings!$S$2)</f>
        <v/>
      </c>
      <c r="Y496" s="40"/>
      <c r="Z496" s="41"/>
      <c r="AA496" s="17"/>
      <c r="AB496" s="17"/>
      <c r="AC496" s="17"/>
      <c r="AD496" s="46" t="str">
        <f aca="true">IF(OR(E496="",B496=""),"",INT(TODAY()-B496))</f>
        <v/>
      </c>
      <c r="AE496" s="44" t="str">
        <f aca="true">IF(E496="","",IF(OR(COUNTIFS(Clients!$C$2:$C$501,E496,Clients!$S$2:$S$501,"Paid")&gt;0,AND(I496&lt;&gt;"",COUNTIFS(Clients!$E$2:$E$501,I496,Clients!$S$2:$S$501,"Paid")&gt;0)),"⚠ Refunded before – no free video",IF(OR(U496="Contract signed + paid",U496="Closed – No response",U496="Lost"),"",IF(U496="","Set a stage",IF(AND(U496="Proposal sent",SUMIFS(Scoresheet!$N$2:$N$501,Scoresheet!$C$2:$C$501,A496,Scoresheet!$U$2:$U$501,1)&lt;6),"Score this lead – fill the call scoresheet",IF(N(W496)&gt;=Settings!$S$3,"Close – 4 follow-ups sent",IF(X496="",IF(V496="","Make first contact",""),IF(TODAY()&gt;X496,"OVERDUE follow-up",IF(TODAY()=X496,"Follow up today","")))))))))</f>
        <v/>
      </c>
    </row>
    <row r="497" customFormat="false" ht="15" hidden="false" customHeight="false" outlineLevel="0" collapsed="false">
      <c r="A497" s="17"/>
      <c r="B497" s="40"/>
      <c r="C497" s="41"/>
      <c r="D497" s="17"/>
      <c r="E497" s="17"/>
      <c r="F497" s="17"/>
      <c r="G497" s="17"/>
      <c r="H497" s="17"/>
      <c r="I497" s="42"/>
      <c r="J497" s="17"/>
      <c r="K497" s="17"/>
      <c r="L497" s="17"/>
      <c r="M497" s="17"/>
      <c r="N497" s="40"/>
      <c r="O497" s="41"/>
      <c r="P497" s="43" t="str">
        <f aca="false">IF(OR(B497="",N497=""),"",ROUND(((N497+N(O497))-(B497+N(C497)))*24,1))</f>
        <v/>
      </c>
      <c r="Q497" s="44" t="str">
        <f aca="false">IF(OR(E497="",A497="",COUNTIFS(Scoresheet!$C$2:$C$501,A497,Scoresheet!$U$2:$U$501,1)=0),"",SUMIFS(Scoresheet!$O$2:$O$501,Scoresheet!$C$2:$C$501,A497,Scoresheet!$U$2:$U$501,1))</f>
        <v/>
      </c>
      <c r="R497" s="44" t="str">
        <f aca="false">IF(E497="","",IF(OR(A497="",COUNTIFS(Scoresheet!$C$2:$C$501,A497,Scoresheet!$U$2:$U$501,1)=0),"No scoresheet yet",IF(SUMIFS(Scoresheet!$N$2:$N$501,Scoresheet!$C$2:$C$501,A497,Scoresheet!$U$2:$U$501,1)&lt;6,"Partly scored ("&amp;SUMIFS(Scoresheet!$N$2:$N$501,Scoresheet!$C$2:$C$501,A497,Scoresheet!$U$2:$U$501,1)&amp;"/6)",IF(Q497&gt;=Settings!$S$8,"Hot",IF(Q497&gt;=Settings!$S$9,"Warm","Cold")))))</f>
        <v/>
      </c>
      <c r="S497" s="44" t="str">
        <f aca="false">IF(OR(E497="",A497=""),"",IF(AND(COUNTIFS(Scoresheet!$C$2:$C$501,A497,Scoresheet!$U$2:$U$501,1,Scoresheet!$H$2:$H$501,"No")&gt;0,COUNTIFS(Scoresheet!$C$2:$C$501,A497,Scoresheet!$U$2:$U$501,1,Scoresheet!$J$2:$J$501,"No")&gt;0),"🚩 Budget  ·  🚩 No one on camera",IF(COUNTIFS(Scoresheet!$C$2:$C$501,A497,Scoresheet!$U$2:$U$501,1,Scoresheet!$H$2:$H$501,"No")&gt;0,"🚩 Budget under AED 5k",IF(COUNTIFS(Scoresheet!$C$2:$C$501,A497,Scoresheet!$U$2:$U$501,1,Scoresheet!$J$2:$J$501,"No")&gt;0,"🚩 No one on camera",""))))</f>
        <v/>
      </c>
      <c r="T497" s="17"/>
      <c r="U497" s="17"/>
      <c r="V497" s="40"/>
      <c r="W497" s="17"/>
      <c r="X497" s="45" t="str">
        <f aca="false">IF(OR(E497="",V497="",OR(U497="Contract signed + paid",U497="Closed – No response",U497="Lost"),N(W497)&gt;=Settings!$S$3),"",V497+Settings!$S$2)</f>
        <v/>
      </c>
      <c r="Y497" s="40"/>
      <c r="Z497" s="41"/>
      <c r="AA497" s="17"/>
      <c r="AB497" s="17"/>
      <c r="AC497" s="17"/>
      <c r="AD497" s="46" t="str">
        <f aca="true">IF(OR(E497="",B497=""),"",INT(TODAY()-B497))</f>
        <v/>
      </c>
      <c r="AE497" s="44" t="str">
        <f aca="true">IF(E497="","",IF(OR(COUNTIFS(Clients!$C$2:$C$501,E497,Clients!$S$2:$S$501,"Paid")&gt;0,AND(I497&lt;&gt;"",COUNTIFS(Clients!$E$2:$E$501,I497,Clients!$S$2:$S$501,"Paid")&gt;0)),"⚠ Refunded before – no free video",IF(OR(U497="Contract signed + paid",U497="Closed – No response",U497="Lost"),"",IF(U497="","Set a stage",IF(AND(U497="Proposal sent",SUMIFS(Scoresheet!$N$2:$N$501,Scoresheet!$C$2:$C$501,A497,Scoresheet!$U$2:$U$501,1)&lt;6),"Score this lead – fill the call scoresheet",IF(N(W497)&gt;=Settings!$S$3,"Close – 4 follow-ups sent",IF(X497="",IF(V497="","Make first contact",""),IF(TODAY()&gt;X497,"OVERDUE follow-up",IF(TODAY()=X497,"Follow up today","")))))))))</f>
        <v/>
      </c>
    </row>
    <row r="498" customFormat="false" ht="15" hidden="false" customHeight="false" outlineLevel="0" collapsed="false">
      <c r="A498" s="17"/>
      <c r="B498" s="40"/>
      <c r="C498" s="41"/>
      <c r="D498" s="17"/>
      <c r="E498" s="17"/>
      <c r="F498" s="17"/>
      <c r="G498" s="17"/>
      <c r="H498" s="17"/>
      <c r="I498" s="42"/>
      <c r="J498" s="17"/>
      <c r="K498" s="17"/>
      <c r="L498" s="17"/>
      <c r="M498" s="17"/>
      <c r="N498" s="40"/>
      <c r="O498" s="41"/>
      <c r="P498" s="43" t="str">
        <f aca="false">IF(OR(B498="",N498=""),"",ROUND(((N498+N(O498))-(B498+N(C498)))*24,1))</f>
        <v/>
      </c>
      <c r="Q498" s="44" t="str">
        <f aca="false">IF(OR(E498="",A498="",COUNTIFS(Scoresheet!$C$2:$C$501,A498,Scoresheet!$U$2:$U$501,1)=0),"",SUMIFS(Scoresheet!$O$2:$O$501,Scoresheet!$C$2:$C$501,A498,Scoresheet!$U$2:$U$501,1))</f>
        <v/>
      </c>
      <c r="R498" s="44" t="str">
        <f aca="false">IF(E498="","",IF(OR(A498="",COUNTIFS(Scoresheet!$C$2:$C$501,A498,Scoresheet!$U$2:$U$501,1)=0),"No scoresheet yet",IF(SUMIFS(Scoresheet!$N$2:$N$501,Scoresheet!$C$2:$C$501,A498,Scoresheet!$U$2:$U$501,1)&lt;6,"Partly scored ("&amp;SUMIFS(Scoresheet!$N$2:$N$501,Scoresheet!$C$2:$C$501,A498,Scoresheet!$U$2:$U$501,1)&amp;"/6)",IF(Q498&gt;=Settings!$S$8,"Hot",IF(Q498&gt;=Settings!$S$9,"Warm","Cold")))))</f>
        <v/>
      </c>
      <c r="S498" s="44" t="str">
        <f aca="false">IF(OR(E498="",A498=""),"",IF(AND(COUNTIFS(Scoresheet!$C$2:$C$501,A498,Scoresheet!$U$2:$U$501,1,Scoresheet!$H$2:$H$501,"No")&gt;0,COUNTIFS(Scoresheet!$C$2:$C$501,A498,Scoresheet!$U$2:$U$501,1,Scoresheet!$J$2:$J$501,"No")&gt;0),"🚩 Budget  ·  🚩 No one on camera",IF(COUNTIFS(Scoresheet!$C$2:$C$501,A498,Scoresheet!$U$2:$U$501,1,Scoresheet!$H$2:$H$501,"No")&gt;0,"🚩 Budget under AED 5k",IF(COUNTIFS(Scoresheet!$C$2:$C$501,A498,Scoresheet!$U$2:$U$501,1,Scoresheet!$J$2:$J$501,"No")&gt;0,"🚩 No one on camera",""))))</f>
        <v/>
      </c>
      <c r="T498" s="17"/>
      <c r="U498" s="17"/>
      <c r="V498" s="40"/>
      <c r="W498" s="17"/>
      <c r="X498" s="45" t="str">
        <f aca="false">IF(OR(E498="",V498="",OR(U498="Contract signed + paid",U498="Closed – No response",U498="Lost"),N(W498)&gt;=Settings!$S$3),"",V498+Settings!$S$2)</f>
        <v/>
      </c>
      <c r="Y498" s="40"/>
      <c r="Z498" s="41"/>
      <c r="AA498" s="17"/>
      <c r="AB498" s="17"/>
      <c r="AC498" s="17"/>
      <c r="AD498" s="46" t="str">
        <f aca="true">IF(OR(E498="",B498=""),"",INT(TODAY()-B498))</f>
        <v/>
      </c>
      <c r="AE498" s="44" t="str">
        <f aca="true">IF(E498="","",IF(OR(COUNTIFS(Clients!$C$2:$C$501,E498,Clients!$S$2:$S$501,"Paid")&gt;0,AND(I498&lt;&gt;"",COUNTIFS(Clients!$E$2:$E$501,I498,Clients!$S$2:$S$501,"Paid")&gt;0)),"⚠ Refunded before – no free video",IF(OR(U498="Contract signed + paid",U498="Closed – No response",U498="Lost"),"",IF(U498="","Set a stage",IF(AND(U498="Proposal sent",SUMIFS(Scoresheet!$N$2:$N$501,Scoresheet!$C$2:$C$501,A498,Scoresheet!$U$2:$U$501,1)&lt;6),"Score this lead – fill the call scoresheet",IF(N(W498)&gt;=Settings!$S$3,"Close – 4 follow-ups sent",IF(X498="",IF(V498="","Make first contact",""),IF(TODAY()&gt;X498,"OVERDUE follow-up",IF(TODAY()=X498,"Follow up today","")))))))))</f>
        <v/>
      </c>
    </row>
    <row r="499" customFormat="false" ht="15" hidden="false" customHeight="false" outlineLevel="0" collapsed="false">
      <c r="A499" s="17"/>
      <c r="B499" s="40"/>
      <c r="C499" s="41"/>
      <c r="D499" s="17"/>
      <c r="E499" s="17"/>
      <c r="F499" s="17"/>
      <c r="G499" s="17"/>
      <c r="H499" s="17"/>
      <c r="I499" s="42"/>
      <c r="J499" s="17"/>
      <c r="K499" s="17"/>
      <c r="L499" s="17"/>
      <c r="M499" s="17"/>
      <c r="N499" s="40"/>
      <c r="O499" s="41"/>
      <c r="P499" s="43" t="str">
        <f aca="false">IF(OR(B499="",N499=""),"",ROUND(((N499+N(O499))-(B499+N(C499)))*24,1))</f>
        <v/>
      </c>
      <c r="Q499" s="44" t="str">
        <f aca="false">IF(OR(E499="",A499="",COUNTIFS(Scoresheet!$C$2:$C$501,A499,Scoresheet!$U$2:$U$501,1)=0),"",SUMIFS(Scoresheet!$O$2:$O$501,Scoresheet!$C$2:$C$501,A499,Scoresheet!$U$2:$U$501,1))</f>
        <v/>
      </c>
      <c r="R499" s="44" t="str">
        <f aca="false">IF(E499="","",IF(OR(A499="",COUNTIFS(Scoresheet!$C$2:$C$501,A499,Scoresheet!$U$2:$U$501,1)=0),"No scoresheet yet",IF(SUMIFS(Scoresheet!$N$2:$N$501,Scoresheet!$C$2:$C$501,A499,Scoresheet!$U$2:$U$501,1)&lt;6,"Partly scored ("&amp;SUMIFS(Scoresheet!$N$2:$N$501,Scoresheet!$C$2:$C$501,A499,Scoresheet!$U$2:$U$501,1)&amp;"/6)",IF(Q499&gt;=Settings!$S$8,"Hot",IF(Q499&gt;=Settings!$S$9,"Warm","Cold")))))</f>
        <v/>
      </c>
      <c r="S499" s="44" t="str">
        <f aca="false">IF(OR(E499="",A499=""),"",IF(AND(COUNTIFS(Scoresheet!$C$2:$C$501,A499,Scoresheet!$U$2:$U$501,1,Scoresheet!$H$2:$H$501,"No")&gt;0,COUNTIFS(Scoresheet!$C$2:$C$501,A499,Scoresheet!$U$2:$U$501,1,Scoresheet!$J$2:$J$501,"No")&gt;0),"🚩 Budget  ·  🚩 No one on camera",IF(COUNTIFS(Scoresheet!$C$2:$C$501,A499,Scoresheet!$U$2:$U$501,1,Scoresheet!$H$2:$H$501,"No")&gt;0,"🚩 Budget under AED 5k",IF(COUNTIFS(Scoresheet!$C$2:$C$501,A499,Scoresheet!$U$2:$U$501,1,Scoresheet!$J$2:$J$501,"No")&gt;0,"🚩 No one on camera",""))))</f>
        <v/>
      </c>
      <c r="T499" s="17"/>
      <c r="U499" s="17"/>
      <c r="V499" s="40"/>
      <c r="W499" s="17"/>
      <c r="X499" s="45" t="str">
        <f aca="false">IF(OR(E499="",V499="",OR(U499="Contract signed + paid",U499="Closed – No response",U499="Lost"),N(W499)&gt;=Settings!$S$3),"",V499+Settings!$S$2)</f>
        <v/>
      </c>
      <c r="Y499" s="40"/>
      <c r="Z499" s="41"/>
      <c r="AA499" s="17"/>
      <c r="AB499" s="17"/>
      <c r="AC499" s="17"/>
      <c r="AD499" s="46" t="str">
        <f aca="true">IF(OR(E499="",B499=""),"",INT(TODAY()-B499))</f>
        <v/>
      </c>
      <c r="AE499" s="44" t="str">
        <f aca="true">IF(E499="","",IF(OR(COUNTIFS(Clients!$C$2:$C$501,E499,Clients!$S$2:$S$501,"Paid")&gt;0,AND(I499&lt;&gt;"",COUNTIFS(Clients!$E$2:$E$501,I499,Clients!$S$2:$S$501,"Paid")&gt;0)),"⚠ Refunded before – no free video",IF(OR(U499="Contract signed + paid",U499="Closed – No response",U499="Lost"),"",IF(U499="","Set a stage",IF(AND(U499="Proposal sent",SUMIFS(Scoresheet!$N$2:$N$501,Scoresheet!$C$2:$C$501,A499,Scoresheet!$U$2:$U$501,1)&lt;6),"Score this lead – fill the call scoresheet",IF(N(W499)&gt;=Settings!$S$3,"Close – 4 follow-ups sent",IF(X499="",IF(V499="","Make first contact",""),IF(TODAY()&gt;X499,"OVERDUE follow-up",IF(TODAY()=X499,"Follow up today","")))))))))</f>
        <v/>
      </c>
    </row>
    <row r="500" customFormat="false" ht="15" hidden="false" customHeight="false" outlineLevel="0" collapsed="false">
      <c r="A500" s="17"/>
      <c r="B500" s="40"/>
      <c r="C500" s="41"/>
      <c r="D500" s="17"/>
      <c r="E500" s="17"/>
      <c r="F500" s="17"/>
      <c r="G500" s="17"/>
      <c r="H500" s="17"/>
      <c r="I500" s="42"/>
      <c r="J500" s="17"/>
      <c r="K500" s="17"/>
      <c r="L500" s="17"/>
      <c r="M500" s="17"/>
      <c r="N500" s="40"/>
      <c r="O500" s="41"/>
      <c r="P500" s="43" t="str">
        <f aca="false">IF(OR(B500="",N500=""),"",ROUND(((N500+N(O500))-(B500+N(C500)))*24,1))</f>
        <v/>
      </c>
      <c r="Q500" s="44" t="str">
        <f aca="false">IF(OR(E500="",A500="",COUNTIFS(Scoresheet!$C$2:$C$501,A500,Scoresheet!$U$2:$U$501,1)=0),"",SUMIFS(Scoresheet!$O$2:$O$501,Scoresheet!$C$2:$C$501,A500,Scoresheet!$U$2:$U$501,1))</f>
        <v/>
      </c>
      <c r="R500" s="44" t="str">
        <f aca="false">IF(E500="","",IF(OR(A500="",COUNTIFS(Scoresheet!$C$2:$C$501,A500,Scoresheet!$U$2:$U$501,1)=0),"No scoresheet yet",IF(SUMIFS(Scoresheet!$N$2:$N$501,Scoresheet!$C$2:$C$501,A500,Scoresheet!$U$2:$U$501,1)&lt;6,"Partly scored ("&amp;SUMIFS(Scoresheet!$N$2:$N$501,Scoresheet!$C$2:$C$501,A500,Scoresheet!$U$2:$U$501,1)&amp;"/6)",IF(Q500&gt;=Settings!$S$8,"Hot",IF(Q500&gt;=Settings!$S$9,"Warm","Cold")))))</f>
        <v/>
      </c>
      <c r="S500" s="44" t="str">
        <f aca="false">IF(OR(E500="",A500=""),"",IF(AND(COUNTIFS(Scoresheet!$C$2:$C$501,A500,Scoresheet!$U$2:$U$501,1,Scoresheet!$H$2:$H$501,"No")&gt;0,COUNTIFS(Scoresheet!$C$2:$C$501,A500,Scoresheet!$U$2:$U$501,1,Scoresheet!$J$2:$J$501,"No")&gt;0),"🚩 Budget  ·  🚩 No one on camera",IF(COUNTIFS(Scoresheet!$C$2:$C$501,A500,Scoresheet!$U$2:$U$501,1,Scoresheet!$H$2:$H$501,"No")&gt;0,"🚩 Budget under AED 5k",IF(COUNTIFS(Scoresheet!$C$2:$C$501,A500,Scoresheet!$U$2:$U$501,1,Scoresheet!$J$2:$J$501,"No")&gt;0,"🚩 No one on camera",""))))</f>
        <v/>
      </c>
      <c r="T500" s="17"/>
      <c r="U500" s="17"/>
      <c r="V500" s="40"/>
      <c r="W500" s="17"/>
      <c r="X500" s="45" t="str">
        <f aca="false">IF(OR(E500="",V500="",OR(U500="Contract signed + paid",U500="Closed – No response",U500="Lost"),N(W500)&gt;=Settings!$S$3),"",V500+Settings!$S$2)</f>
        <v/>
      </c>
      <c r="Y500" s="40"/>
      <c r="Z500" s="41"/>
      <c r="AA500" s="17"/>
      <c r="AB500" s="17"/>
      <c r="AC500" s="17"/>
      <c r="AD500" s="46" t="str">
        <f aca="true">IF(OR(E500="",B500=""),"",INT(TODAY()-B500))</f>
        <v/>
      </c>
      <c r="AE500" s="44" t="str">
        <f aca="true">IF(E500="","",IF(OR(COUNTIFS(Clients!$C$2:$C$501,E500,Clients!$S$2:$S$501,"Paid")&gt;0,AND(I500&lt;&gt;"",COUNTIFS(Clients!$E$2:$E$501,I500,Clients!$S$2:$S$501,"Paid")&gt;0)),"⚠ Refunded before – no free video",IF(OR(U500="Contract signed + paid",U500="Closed – No response",U500="Lost"),"",IF(U500="","Set a stage",IF(AND(U500="Proposal sent",SUMIFS(Scoresheet!$N$2:$N$501,Scoresheet!$C$2:$C$501,A500,Scoresheet!$U$2:$U$501,1)&lt;6),"Score this lead – fill the call scoresheet",IF(N(W500)&gt;=Settings!$S$3,"Close – 4 follow-ups sent",IF(X500="",IF(V500="","Make first contact",""),IF(TODAY()&gt;X500,"OVERDUE follow-up",IF(TODAY()=X500,"Follow up today","")))))))))</f>
        <v/>
      </c>
    </row>
    <row r="501" customFormat="false" ht="15" hidden="false" customHeight="false" outlineLevel="0" collapsed="false">
      <c r="A501" s="17"/>
      <c r="B501" s="40"/>
      <c r="C501" s="41"/>
      <c r="D501" s="17"/>
      <c r="E501" s="17"/>
      <c r="F501" s="17"/>
      <c r="G501" s="17"/>
      <c r="H501" s="17"/>
      <c r="I501" s="42"/>
      <c r="J501" s="17"/>
      <c r="K501" s="17"/>
      <c r="L501" s="17"/>
      <c r="M501" s="17"/>
      <c r="N501" s="40"/>
      <c r="O501" s="41"/>
      <c r="P501" s="43" t="str">
        <f aca="false">IF(OR(B501="",N501=""),"",ROUND(((N501+N(O501))-(B501+N(C501)))*24,1))</f>
        <v/>
      </c>
      <c r="Q501" s="44" t="str">
        <f aca="false">IF(OR(E501="",A501="",COUNTIFS(Scoresheet!$C$2:$C$501,A501,Scoresheet!$U$2:$U$501,1)=0),"",SUMIFS(Scoresheet!$O$2:$O$501,Scoresheet!$C$2:$C$501,A501,Scoresheet!$U$2:$U$501,1))</f>
        <v/>
      </c>
      <c r="R501" s="44" t="str">
        <f aca="false">IF(E501="","",IF(OR(A501="",COUNTIFS(Scoresheet!$C$2:$C$501,A501,Scoresheet!$U$2:$U$501,1)=0),"No scoresheet yet",IF(SUMIFS(Scoresheet!$N$2:$N$501,Scoresheet!$C$2:$C$501,A501,Scoresheet!$U$2:$U$501,1)&lt;6,"Partly scored ("&amp;SUMIFS(Scoresheet!$N$2:$N$501,Scoresheet!$C$2:$C$501,A501,Scoresheet!$U$2:$U$501,1)&amp;"/6)",IF(Q501&gt;=Settings!$S$8,"Hot",IF(Q501&gt;=Settings!$S$9,"Warm","Cold")))))</f>
        <v/>
      </c>
      <c r="S501" s="44" t="str">
        <f aca="false">IF(OR(E501="",A501=""),"",IF(AND(COUNTIFS(Scoresheet!$C$2:$C$501,A501,Scoresheet!$U$2:$U$501,1,Scoresheet!$H$2:$H$501,"No")&gt;0,COUNTIFS(Scoresheet!$C$2:$C$501,A501,Scoresheet!$U$2:$U$501,1,Scoresheet!$J$2:$J$501,"No")&gt;0),"🚩 Budget  ·  🚩 No one on camera",IF(COUNTIFS(Scoresheet!$C$2:$C$501,A501,Scoresheet!$U$2:$U$501,1,Scoresheet!$H$2:$H$501,"No")&gt;0,"🚩 Budget under AED 5k",IF(COUNTIFS(Scoresheet!$C$2:$C$501,A501,Scoresheet!$U$2:$U$501,1,Scoresheet!$J$2:$J$501,"No")&gt;0,"🚩 No one on camera",""))))</f>
        <v/>
      </c>
      <c r="T501" s="17"/>
      <c r="U501" s="17"/>
      <c r="V501" s="40"/>
      <c r="W501" s="17"/>
      <c r="X501" s="45" t="str">
        <f aca="false">IF(OR(E501="",V501="",OR(U501="Contract signed + paid",U501="Closed – No response",U501="Lost"),N(W501)&gt;=Settings!$S$3),"",V501+Settings!$S$2)</f>
        <v/>
      </c>
      <c r="Y501" s="40"/>
      <c r="Z501" s="41"/>
      <c r="AA501" s="17"/>
      <c r="AB501" s="17"/>
      <c r="AC501" s="17"/>
      <c r="AD501" s="46" t="str">
        <f aca="true">IF(OR(E501="",B501=""),"",INT(TODAY()-B501))</f>
        <v/>
      </c>
      <c r="AE501" s="44" t="str">
        <f aca="true">IF(E501="","",IF(OR(COUNTIFS(Clients!$C$2:$C$501,E501,Clients!$S$2:$S$501,"Paid")&gt;0,AND(I501&lt;&gt;"",COUNTIFS(Clients!$E$2:$E$501,I501,Clients!$S$2:$S$501,"Paid")&gt;0)),"⚠ Refunded before – no free video",IF(OR(U501="Contract signed + paid",U501="Closed – No response",U501="Lost"),"",IF(U501="","Set a stage",IF(AND(U501="Proposal sent",SUMIFS(Scoresheet!$N$2:$N$501,Scoresheet!$C$2:$C$501,A501,Scoresheet!$U$2:$U$501,1)&lt;6),"Score this lead – fill the call scoresheet",IF(N(W501)&gt;=Settings!$S$3,"Close – 4 follow-ups sent",IF(X501="",IF(V501="","Make first contact",""),IF(TODAY()&gt;X501,"OVERDUE follow-up",IF(TODAY()=X501,"Follow up today","")))))))))</f>
        <v/>
      </c>
    </row>
  </sheetData>
  <autoFilter ref="A1:AE501"/>
  <conditionalFormatting sqref="A2:AE501">
    <cfRule type="expression" priority="2" aboveAverage="0" equalAverage="0" bottom="0" percent="0" rank="0" text="" dxfId="7">
      <formula>$U2="Contract signed + paid"</formula>
    </cfRule>
    <cfRule type="expression" priority="3" aboveAverage="0" equalAverage="0" bottom="0" percent="0" rank="0" text="" dxfId="8">
      <formula>OR($U2="Closed – No response",$U2="Lost")</formula>
    </cfRule>
  </conditionalFormatting>
  <conditionalFormatting sqref="AE2:AE501">
    <cfRule type="expression" priority="4" aboveAverage="0" equalAverage="0" bottom="0" percent="0" rank="0" text="" dxfId="9">
      <formula>LEFT(AE2,1)="⚠"</formula>
    </cfRule>
    <cfRule type="expression" priority="5" aboveAverage="0" equalAverage="0" bottom="0" percent="0" rank="0" text="" dxfId="10">
      <formula>AE2="OVERDUE follow-up"</formula>
    </cfRule>
    <cfRule type="expression" priority="6" aboveAverage="0" equalAverage="0" bottom="0" percent="0" rank="0" text="" dxfId="11">
      <formula>AE2="Follow up today"</formula>
    </cfRule>
    <cfRule type="expression" priority="7" aboveAverage="0" equalAverage="0" bottom="0" percent="0" rank="0" text="" dxfId="12">
      <formula>AE2="Close – 4 follow-ups sent"</formula>
    </cfRule>
    <cfRule type="expression" priority="8" aboveAverage="0" equalAverage="0" bottom="0" percent="0" rank="0" text="" dxfId="13">
      <formula>OR(AE2="Make first contact",AE2="Set a stage")</formula>
    </cfRule>
    <cfRule type="expression" priority="9" aboveAverage="0" equalAverage="0" bottom="0" percent="0" rank="0" text="" dxfId="14">
      <formula>LEFT(AE2,5)="Score"</formula>
    </cfRule>
  </conditionalFormatting>
  <conditionalFormatting sqref="R2:R501">
    <cfRule type="expression" priority="10" aboveAverage="0" equalAverage="0" bottom="0" percent="0" rank="0" text="" dxfId="10">
      <formula>R2="Hot"</formula>
    </cfRule>
    <cfRule type="expression" priority="11" aboveAverage="0" equalAverage="0" bottom="0" percent="0" rank="0" text="" dxfId="14">
      <formula>R2="Warm"</formula>
    </cfRule>
    <cfRule type="expression" priority="12" aboveAverage="0" equalAverage="0" bottom="0" percent="0" rank="0" text="" dxfId="15">
      <formula>R2="Cold"</formula>
    </cfRule>
    <cfRule type="expression" priority="13" aboveAverage="0" equalAverage="0" bottom="0" percent="0" rank="0" text="" dxfId="8">
      <formula>OR(R2="No scoresheet yet",LEFT(R2,6)="Partly")</formula>
    </cfRule>
  </conditionalFormatting>
  <conditionalFormatting sqref="S2:S501">
    <cfRule type="expression" priority="14" aboveAverage="0" equalAverage="0" bottom="0" percent="0" rank="0" text="" dxfId="9">
      <formula>S2&lt;&gt;""</formula>
    </cfRule>
  </conditionalFormatting>
  <dataValidations count="15">
    <dataValidation allowBlank="true" error="Enter a whole number from 0 to 4." errorStyle="stop" operator="between" showDropDown="false" showErrorMessage="false" showInputMessage="false" sqref="W2:W501" type="whole">
      <formula1>0</formula1>
      <formula2>4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D2:D501" type="list">
      <formula1>Settings!$B$2:$B$8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F2:F501" type="list">
      <formula1>Settings!$D$2:$D$11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T2:T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U2:U501" type="list">
      <formula1>Settings!$A$2:$A$10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AA2:AA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AB2:AB501" type="list">
      <formula1>Settings!$O$2:$O$8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M2:M501" type="list">
      <formula1>Settings!$P$2:$P$6</formula1>
      <formula2>0</formula2>
    </dataValidation>
    <dataValidation allowBlank="true" error="Enter a date - double-click the cell for a calendar." errorStyle="stop" errorTitle="Not a date" operator="between" showDropDown="false" showErrorMessage="false" showInputMessage="false" sqref="B2:B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V2:V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Y2:Y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N2:N501" type="date">
      <formula1>DATE(2020,1,1)</formula1>
      <formula2>DATE(2100,12,31)</formula2>
    </dataValidation>
    <dataValidation allowBlank="true" error="That time isn't in the list - keep it if it's correct." errorStyle="warning" errorTitle="Check the time" operator="between" showDropDown="false" showErrorMessage="false" showInputMessage="false" sqref="Z2:Z501" type="list">
      <formula1>Settings!$Q$2:$Q$26</formula1>
      <formula2>0</formula2>
    </dataValidation>
    <dataValidation allowBlank="true" error="That time isn't in the list - keep it if it's correct." errorStyle="warning" errorTitle="Check the time" operator="between" showDropDown="false" showErrorMessage="false" showInputMessage="false" sqref="C2:C501" type="list">
      <formula1>Settings!$W$2:$W$49</formula1>
      <formula2>0</formula2>
    </dataValidation>
    <dataValidation allowBlank="true" error="That time isn't in the list - keep it if it's correct." errorStyle="warning" errorTitle="Check the time" operator="between" showDropDown="false" showErrorMessage="false" showInputMessage="false" sqref="O2:O501" type="list">
      <formula1>Settings!$W$2:$W$49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A1:AB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8" min="6" style="0" width="16"/>
    <col collapsed="false" customWidth="true" hidden="false" outlineLevel="0" max="9" min="9" style="0" width="24"/>
    <col collapsed="false" customWidth="true" hidden="false" outlineLevel="0" max="12" min="10" style="0" width="16"/>
    <col collapsed="false" customWidth="true" hidden="false" outlineLevel="0" max="13" min="13" style="0" width="22"/>
    <col collapsed="false" customWidth="true" hidden="false" outlineLevel="0" max="14" min="14" style="0" width="9"/>
    <col collapsed="false" customWidth="true" hidden="false" outlineLevel="0" max="15" min="15" style="0" width="18"/>
    <col collapsed="false" customWidth="true" hidden="false" outlineLevel="0" max="16" min="16" style="0" width="30"/>
    <col collapsed="false" customWidth="true" hidden="false" outlineLevel="0" max="17" min="17" style="0" width="16"/>
    <col collapsed="false" customWidth="true" hidden="false" outlineLevel="0" max="18" min="18" style="0" width="22"/>
    <col collapsed="false" customWidth="true" hidden="false" outlineLevel="0" max="24" min="19" style="0" width="16"/>
    <col collapsed="false" customWidth="true" hidden="false" outlineLevel="0" max="25" min="25" style="0" width="22"/>
    <col collapsed="false" customWidth="true" hidden="false" outlineLevel="0" max="26" min="26" style="0" width="34"/>
    <col collapsed="false" customWidth="true" hidden="false" outlineLevel="0" max="27" min="27" style="0" width="16"/>
    <col collapsed="false" customWidth="true" hidden="false" outlineLevel="0" max="28" min="28" style="0" width="30"/>
  </cols>
  <sheetData>
    <row r="1" customFormat="false" ht="31.5" hidden="false" customHeight="true" outlineLevel="0" collapsed="false">
      <c r="A1" s="29" t="s">
        <v>146</v>
      </c>
      <c r="B1" s="29" t="s">
        <v>187</v>
      </c>
      <c r="C1" s="29" t="s">
        <v>149</v>
      </c>
      <c r="D1" s="29" t="s">
        <v>150</v>
      </c>
      <c r="E1" s="29" t="s">
        <v>151</v>
      </c>
      <c r="F1" s="29" t="s">
        <v>152</v>
      </c>
      <c r="G1" s="29" t="s">
        <v>153</v>
      </c>
      <c r="H1" s="29" t="s">
        <v>154</v>
      </c>
      <c r="I1" s="29" t="s">
        <v>155</v>
      </c>
      <c r="J1" s="29" t="s">
        <v>156</v>
      </c>
      <c r="K1" s="29" t="s">
        <v>188</v>
      </c>
      <c r="L1" s="29" t="s">
        <v>157</v>
      </c>
      <c r="M1" s="29" t="s">
        <v>189</v>
      </c>
      <c r="N1" s="30" t="s">
        <v>51</v>
      </c>
      <c r="O1" s="30" t="s">
        <v>162</v>
      </c>
      <c r="P1" s="30" t="s">
        <v>53</v>
      </c>
      <c r="Q1" s="29" t="s">
        <v>64</v>
      </c>
      <c r="R1" s="29" t="s">
        <v>163</v>
      </c>
      <c r="S1" s="29" t="s">
        <v>164</v>
      </c>
      <c r="T1" s="29" t="s">
        <v>165</v>
      </c>
      <c r="U1" s="30" t="s">
        <v>166</v>
      </c>
      <c r="V1" s="29" t="s">
        <v>167</v>
      </c>
      <c r="W1" s="29" t="s">
        <v>168</v>
      </c>
      <c r="X1" s="29" t="s">
        <v>169</v>
      </c>
      <c r="Y1" s="29" t="s">
        <v>170</v>
      </c>
      <c r="Z1" s="29" t="s">
        <v>171</v>
      </c>
      <c r="AA1" s="30" t="s">
        <v>172</v>
      </c>
      <c r="AB1" s="30" t="s">
        <v>173</v>
      </c>
    </row>
    <row r="2" customFormat="false" ht="15" hidden="false" customHeight="false" outlineLevel="0" collapsed="false">
      <c r="A2" s="31" t="s">
        <v>190</v>
      </c>
      <c r="B2" s="32" t="n">
        <v>46308</v>
      </c>
      <c r="C2" s="31" t="s">
        <v>191</v>
      </c>
      <c r="D2" s="31" t="s">
        <v>192</v>
      </c>
      <c r="E2" s="31" t="s">
        <v>193</v>
      </c>
      <c r="F2" s="31" t="s">
        <v>194</v>
      </c>
      <c r="G2" s="31" t="s">
        <v>195</v>
      </c>
      <c r="H2" s="34" t="s">
        <v>196</v>
      </c>
      <c r="I2" s="31" t="s">
        <v>197</v>
      </c>
      <c r="J2" s="31" t="s">
        <v>198</v>
      </c>
      <c r="K2" s="31" t="s">
        <v>199</v>
      </c>
      <c r="L2" s="31" t="s">
        <v>200</v>
      </c>
      <c r="M2" s="31" t="s">
        <v>201</v>
      </c>
      <c r="N2" s="36" t="n">
        <f aca="false">IF(OR(D2="",A2="",COUNTIFS(Scoresheet!$C$2:$C$501,A2,Scoresheet!$U$2:$U$501,1)=0),"",SUMIFS(Scoresheet!$O$2:$O$501,Scoresheet!$C$2:$C$501,A2,Scoresheet!$U$2:$U$501,1))</f>
        <v>46</v>
      </c>
      <c r="O2" s="37" t="str">
        <f aca="false">IF(D2="","",IF(OR(A2="",COUNTIFS(Scoresheet!$C$2:$C$501,A2,Scoresheet!$U$2:$U$501,1)=0),"No scoresheet yet",IF(SUMIFS(Scoresheet!$N$2:$N$501,Scoresheet!$C$2:$C$501,A2,Scoresheet!$U$2:$U$501,1)&lt;6,"Partly scored ("&amp;SUMIFS(Scoresheet!$N$2:$N$501,Scoresheet!$C$2:$C$501,A2,Scoresheet!$U$2:$U$501,1)&amp;"/6)",IF(N2&gt;=Settings!$S$8,"Hot",IF(N2&gt;=Settings!$S$9,"Warm","Cold")))))</f>
        <v>Warm</v>
      </c>
      <c r="P2" s="37" t="str">
        <f aca="false">IF(OR(D2="",A2=""),"",IF(AND(COUNTIFS(Scoresheet!$C$2:$C$501,A2,Scoresheet!$U$2:$U$501,1,Scoresheet!$H$2:$H$501,"No")&gt;0,COUNTIFS(Scoresheet!$C$2:$C$501,A2,Scoresheet!$U$2:$U$501,1,Scoresheet!$J$2:$J$501,"No")&gt;0),"🚩 Budget  ·  🚩 No one on camera",IF(COUNTIFS(Scoresheet!$C$2:$C$501,A2,Scoresheet!$U$2:$U$501,1,Scoresheet!$H$2:$H$501,"No")&gt;0,"🚩 Budget under AED 5k",IF(COUNTIFS(Scoresheet!$C$2:$C$501,A2,Scoresheet!$U$2:$U$501,1,Scoresheet!$J$2:$J$501,"No")&gt;0,"🚩 No one on camera",""))))</f>
        <v>🚩 No one on camera</v>
      </c>
      <c r="Q2" s="31" t="s">
        <v>58</v>
      </c>
      <c r="R2" s="31" t="s">
        <v>202</v>
      </c>
      <c r="S2" s="32" t="n">
        <v>46311</v>
      </c>
      <c r="T2" s="31" t="n">
        <v>0</v>
      </c>
      <c r="U2" s="38" t="n">
        <f aca="false">IF(OR(D2="",S2="",OR(R2="Contract signed + paid",R2="Closed – No response",R2="Lost"),N(T2)&gt;=Settings!$S$3),"",S2+Settings!$S$2)</f>
        <v>46314</v>
      </c>
      <c r="V2" s="32"/>
      <c r="W2" s="33"/>
      <c r="X2" s="31" t="s">
        <v>203</v>
      </c>
      <c r="Y2" s="31"/>
      <c r="Z2" s="31" t="s">
        <v>186</v>
      </c>
      <c r="AA2" s="39" t="n">
        <f aca="true">IF(OR(D2="",B2=""),"",INT(TODAY()-B2))</f>
        <v>8</v>
      </c>
      <c r="AB2" s="37" t="str">
        <f aca="true">IF(D2="","",IF(OR(COUNTIFS(Clients!$C$2:$C$501,D2,Clients!$S$2:$S$501,"Paid")&gt;0,AND(H2&lt;&gt;"",COUNTIFS(Clients!$E$2:$E$501,H2,Clients!$S$2:$S$501,"Paid")&gt;0)),"⚠ Refunded before – no free video",IF(OR(R2="Contract signed + paid",R2="Closed – No response",R2="Lost"),"",IF(R2="","Set a stage",IF(AND(R2="Proposal sent",SUMIFS(Scoresheet!$N$2:$N$501,Scoresheet!$C$2:$C$501,A2,Scoresheet!$U$2:$U$501,1)&lt;6),"Score this lead – fill the call scoresheet",IF(N(T2)&gt;=Settings!$S$3,"Close – 4 follow-ups sent",IF(U2="",IF(S2="","Make first contact",""),IF(TODAY()&gt;U2,"OVERDUE follow-up",IF(TODAY()=U2,"Follow up today","")))))))))</f>
        <v>OVERDUE follow-up</v>
      </c>
    </row>
    <row r="3" customFormat="false" ht="15" hidden="false" customHeight="false" outlineLevel="0" collapsed="false">
      <c r="A3" s="17"/>
      <c r="B3" s="40"/>
      <c r="C3" s="17"/>
      <c r="D3" s="17"/>
      <c r="E3" s="17"/>
      <c r="F3" s="17"/>
      <c r="G3" s="17"/>
      <c r="H3" s="42"/>
      <c r="I3" s="17"/>
      <c r="J3" s="17"/>
      <c r="K3" s="17"/>
      <c r="L3" s="17"/>
      <c r="M3" s="17"/>
      <c r="N3" s="44" t="str">
        <f aca="false">IF(OR(D3="",A3="",COUNTIFS(Scoresheet!$C$2:$C$501,A3,Scoresheet!$U$2:$U$501,1)=0),"",SUMIFS(Scoresheet!$O$2:$O$501,Scoresheet!$C$2:$C$501,A3,Scoresheet!$U$2:$U$501,1))</f>
        <v/>
      </c>
      <c r="O3" s="44" t="str">
        <f aca="false">IF(D3="","",IF(OR(A3="",COUNTIFS(Scoresheet!$C$2:$C$501,A3,Scoresheet!$U$2:$U$501,1)=0),"No scoresheet yet",IF(SUMIFS(Scoresheet!$N$2:$N$501,Scoresheet!$C$2:$C$501,A3,Scoresheet!$U$2:$U$501,1)&lt;6,"Partly scored ("&amp;SUMIFS(Scoresheet!$N$2:$N$501,Scoresheet!$C$2:$C$501,A3,Scoresheet!$U$2:$U$501,1)&amp;"/6)",IF(N3&gt;=Settings!$S$8,"Hot",IF(N3&gt;=Settings!$S$9,"Warm","Cold")))))</f>
        <v/>
      </c>
      <c r="P3" s="44" t="str">
        <f aca="false">IF(OR(D3="",A3=""),"",IF(AND(COUNTIFS(Scoresheet!$C$2:$C$501,A3,Scoresheet!$U$2:$U$501,1,Scoresheet!$H$2:$H$501,"No")&gt;0,COUNTIFS(Scoresheet!$C$2:$C$501,A3,Scoresheet!$U$2:$U$501,1,Scoresheet!$J$2:$J$501,"No")&gt;0),"🚩 Budget  ·  🚩 No one on camera",IF(COUNTIFS(Scoresheet!$C$2:$C$501,A3,Scoresheet!$U$2:$U$501,1,Scoresheet!$H$2:$H$501,"No")&gt;0,"🚩 Budget under AED 5k",IF(COUNTIFS(Scoresheet!$C$2:$C$501,A3,Scoresheet!$U$2:$U$501,1,Scoresheet!$J$2:$J$501,"No")&gt;0,"🚩 No one on camera",""))))</f>
        <v/>
      </c>
      <c r="Q3" s="17"/>
      <c r="R3" s="17"/>
      <c r="S3" s="40"/>
      <c r="T3" s="17"/>
      <c r="U3" s="45" t="str">
        <f aca="false">IF(OR(D3="",S3="",OR(R3="Contract signed + paid",R3="Closed – No response",R3="Lost"),N(T3)&gt;=Settings!$S$3),"",S3+Settings!$S$2)</f>
        <v/>
      </c>
      <c r="V3" s="40"/>
      <c r="W3" s="41"/>
      <c r="X3" s="17"/>
      <c r="Y3" s="17"/>
      <c r="Z3" s="17"/>
      <c r="AA3" s="46" t="str">
        <f aca="true">IF(OR(D3="",B3=""),"",INT(TODAY()-B3))</f>
        <v/>
      </c>
      <c r="AB3" s="44" t="str">
        <f aca="true">IF(D3="","",IF(OR(COUNTIFS(Clients!$C$2:$C$501,D3,Clients!$S$2:$S$501,"Paid")&gt;0,AND(H3&lt;&gt;"",COUNTIFS(Clients!$E$2:$E$501,H3,Clients!$S$2:$S$501,"Paid")&gt;0)),"⚠ Refunded before – no free video",IF(OR(R3="Contract signed + paid",R3="Closed – No response",R3="Lost"),"",IF(R3="","Set a stage",IF(AND(R3="Proposal sent",SUMIFS(Scoresheet!$N$2:$N$501,Scoresheet!$C$2:$C$501,A3,Scoresheet!$U$2:$U$501,1)&lt;6),"Score this lead – fill the call scoresheet",IF(N(T3)&gt;=Settings!$S$3,"Close – 4 follow-ups sent",IF(U3="",IF(S3="","Make first contact",""),IF(TODAY()&gt;U3,"OVERDUE follow-up",IF(TODAY()=U3,"Follow up today","")))))))))</f>
        <v/>
      </c>
    </row>
    <row r="4" customFormat="false" ht="15" hidden="false" customHeight="false" outlineLevel="0" collapsed="false">
      <c r="A4" s="17"/>
      <c r="B4" s="40"/>
      <c r="C4" s="17"/>
      <c r="D4" s="17"/>
      <c r="E4" s="17"/>
      <c r="F4" s="17"/>
      <c r="G4" s="17"/>
      <c r="H4" s="42"/>
      <c r="I4" s="17"/>
      <c r="J4" s="17"/>
      <c r="K4" s="17"/>
      <c r="L4" s="17"/>
      <c r="M4" s="17"/>
      <c r="N4" s="44" t="str">
        <f aca="false">IF(OR(D4="",A4="",COUNTIFS(Scoresheet!$C$2:$C$501,A4,Scoresheet!$U$2:$U$501,1)=0),"",SUMIFS(Scoresheet!$O$2:$O$501,Scoresheet!$C$2:$C$501,A4,Scoresheet!$U$2:$U$501,1))</f>
        <v/>
      </c>
      <c r="O4" s="44" t="str">
        <f aca="false">IF(D4="","",IF(OR(A4="",COUNTIFS(Scoresheet!$C$2:$C$501,A4,Scoresheet!$U$2:$U$501,1)=0),"No scoresheet yet",IF(SUMIFS(Scoresheet!$N$2:$N$501,Scoresheet!$C$2:$C$501,A4,Scoresheet!$U$2:$U$501,1)&lt;6,"Partly scored ("&amp;SUMIFS(Scoresheet!$N$2:$N$501,Scoresheet!$C$2:$C$501,A4,Scoresheet!$U$2:$U$501,1)&amp;"/6)",IF(N4&gt;=Settings!$S$8,"Hot",IF(N4&gt;=Settings!$S$9,"Warm","Cold")))))</f>
        <v/>
      </c>
      <c r="P4" s="44" t="str">
        <f aca="false">IF(OR(D4="",A4=""),"",IF(AND(COUNTIFS(Scoresheet!$C$2:$C$501,A4,Scoresheet!$U$2:$U$501,1,Scoresheet!$H$2:$H$501,"No")&gt;0,COUNTIFS(Scoresheet!$C$2:$C$501,A4,Scoresheet!$U$2:$U$501,1,Scoresheet!$J$2:$J$501,"No")&gt;0),"🚩 Budget  ·  🚩 No one on camera",IF(COUNTIFS(Scoresheet!$C$2:$C$501,A4,Scoresheet!$U$2:$U$501,1,Scoresheet!$H$2:$H$501,"No")&gt;0,"🚩 Budget under AED 5k",IF(COUNTIFS(Scoresheet!$C$2:$C$501,A4,Scoresheet!$U$2:$U$501,1,Scoresheet!$J$2:$J$501,"No")&gt;0,"🚩 No one on camera",""))))</f>
        <v/>
      </c>
      <c r="Q4" s="17"/>
      <c r="R4" s="17"/>
      <c r="S4" s="40"/>
      <c r="T4" s="17"/>
      <c r="U4" s="45" t="str">
        <f aca="false">IF(OR(D4="",S4="",OR(R4="Contract signed + paid",R4="Closed – No response",R4="Lost"),N(T4)&gt;=Settings!$S$3),"",S4+Settings!$S$2)</f>
        <v/>
      </c>
      <c r="V4" s="40"/>
      <c r="W4" s="41"/>
      <c r="X4" s="17"/>
      <c r="Y4" s="17"/>
      <c r="Z4" s="17"/>
      <c r="AA4" s="46" t="str">
        <f aca="true">IF(OR(D4="",B4=""),"",INT(TODAY()-B4))</f>
        <v/>
      </c>
      <c r="AB4" s="44" t="str">
        <f aca="true">IF(D4="","",IF(OR(COUNTIFS(Clients!$C$2:$C$501,D4,Clients!$S$2:$S$501,"Paid")&gt;0,AND(H4&lt;&gt;"",COUNTIFS(Clients!$E$2:$E$501,H4,Clients!$S$2:$S$501,"Paid")&gt;0)),"⚠ Refunded before – no free video",IF(OR(R4="Contract signed + paid",R4="Closed – No response",R4="Lost"),"",IF(R4="","Set a stage",IF(AND(R4="Proposal sent",SUMIFS(Scoresheet!$N$2:$N$501,Scoresheet!$C$2:$C$501,A4,Scoresheet!$U$2:$U$501,1)&lt;6),"Score this lead – fill the call scoresheet",IF(N(T4)&gt;=Settings!$S$3,"Close – 4 follow-ups sent",IF(U4="",IF(S4="","Make first contact",""),IF(TODAY()&gt;U4,"OVERDUE follow-up",IF(TODAY()=U4,"Follow up today","")))))))))</f>
        <v/>
      </c>
    </row>
    <row r="5" customFormat="false" ht="15" hidden="false" customHeight="false" outlineLevel="0" collapsed="false">
      <c r="A5" s="17"/>
      <c r="B5" s="40"/>
      <c r="C5" s="17"/>
      <c r="D5" s="17"/>
      <c r="E5" s="17"/>
      <c r="F5" s="17"/>
      <c r="G5" s="17"/>
      <c r="H5" s="42"/>
      <c r="I5" s="17"/>
      <c r="J5" s="17"/>
      <c r="K5" s="17"/>
      <c r="L5" s="17"/>
      <c r="M5" s="17"/>
      <c r="N5" s="44" t="str">
        <f aca="false">IF(OR(D5="",A5="",COUNTIFS(Scoresheet!$C$2:$C$501,A5,Scoresheet!$U$2:$U$501,1)=0),"",SUMIFS(Scoresheet!$O$2:$O$501,Scoresheet!$C$2:$C$501,A5,Scoresheet!$U$2:$U$501,1))</f>
        <v/>
      </c>
      <c r="O5" s="44" t="str">
        <f aca="false">IF(D5="","",IF(OR(A5="",COUNTIFS(Scoresheet!$C$2:$C$501,A5,Scoresheet!$U$2:$U$501,1)=0),"No scoresheet yet",IF(SUMIFS(Scoresheet!$N$2:$N$501,Scoresheet!$C$2:$C$501,A5,Scoresheet!$U$2:$U$501,1)&lt;6,"Partly scored ("&amp;SUMIFS(Scoresheet!$N$2:$N$501,Scoresheet!$C$2:$C$501,A5,Scoresheet!$U$2:$U$501,1)&amp;"/6)",IF(N5&gt;=Settings!$S$8,"Hot",IF(N5&gt;=Settings!$S$9,"Warm","Cold")))))</f>
        <v/>
      </c>
      <c r="P5" s="44" t="str">
        <f aca="false">IF(OR(D5="",A5=""),"",IF(AND(COUNTIFS(Scoresheet!$C$2:$C$501,A5,Scoresheet!$U$2:$U$501,1,Scoresheet!$H$2:$H$501,"No")&gt;0,COUNTIFS(Scoresheet!$C$2:$C$501,A5,Scoresheet!$U$2:$U$501,1,Scoresheet!$J$2:$J$501,"No")&gt;0),"🚩 Budget  ·  🚩 No one on camera",IF(COUNTIFS(Scoresheet!$C$2:$C$501,A5,Scoresheet!$U$2:$U$501,1,Scoresheet!$H$2:$H$501,"No")&gt;0,"🚩 Budget under AED 5k",IF(COUNTIFS(Scoresheet!$C$2:$C$501,A5,Scoresheet!$U$2:$U$501,1,Scoresheet!$J$2:$J$501,"No")&gt;0,"🚩 No one on camera",""))))</f>
        <v/>
      </c>
      <c r="Q5" s="17"/>
      <c r="R5" s="17"/>
      <c r="S5" s="40"/>
      <c r="T5" s="17"/>
      <c r="U5" s="45" t="str">
        <f aca="false">IF(OR(D5="",S5="",OR(R5="Contract signed + paid",R5="Closed – No response",R5="Lost"),N(T5)&gt;=Settings!$S$3),"",S5+Settings!$S$2)</f>
        <v/>
      </c>
      <c r="V5" s="40"/>
      <c r="W5" s="41"/>
      <c r="X5" s="17"/>
      <c r="Y5" s="17"/>
      <c r="Z5" s="17"/>
      <c r="AA5" s="46" t="str">
        <f aca="true">IF(OR(D5="",B5=""),"",INT(TODAY()-B5))</f>
        <v/>
      </c>
      <c r="AB5" s="44" t="str">
        <f aca="true">IF(D5="","",IF(OR(COUNTIFS(Clients!$C$2:$C$501,D5,Clients!$S$2:$S$501,"Paid")&gt;0,AND(H5&lt;&gt;"",COUNTIFS(Clients!$E$2:$E$501,H5,Clients!$S$2:$S$501,"Paid")&gt;0)),"⚠ Refunded before – no free video",IF(OR(R5="Contract signed + paid",R5="Closed – No response",R5="Lost"),"",IF(R5="","Set a stage",IF(AND(R5="Proposal sent",SUMIFS(Scoresheet!$N$2:$N$501,Scoresheet!$C$2:$C$501,A5,Scoresheet!$U$2:$U$501,1)&lt;6),"Score this lead – fill the call scoresheet",IF(N(T5)&gt;=Settings!$S$3,"Close – 4 follow-ups sent",IF(U5="",IF(S5="","Make first contact",""),IF(TODAY()&gt;U5,"OVERDUE follow-up",IF(TODAY()=U5,"Follow up today","")))))))))</f>
        <v/>
      </c>
    </row>
    <row r="6" customFormat="false" ht="15" hidden="false" customHeight="false" outlineLevel="0" collapsed="false">
      <c r="A6" s="17"/>
      <c r="B6" s="40"/>
      <c r="C6" s="17"/>
      <c r="D6" s="17"/>
      <c r="E6" s="17"/>
      <c r="F6" s="17"/>
      <c r="G6" s="17"/>
      <c r="H6" s="42"/>
      <c r="I6" s="17"/>
      <c r="J6" s="17"/>
      <c r="K6" s="17"/>
      <c r="L6" s="17"/>
      <c r="M6" s="17"/>
      <c r="N6" s="44" t="str">
        <f aca="false">IF(OR(D6="",A6="",COUNTIFS(Scoresheet!$C$2:$C$501,A6,Scoresheet!$U$2:$U$501,1)=0),"",SUMIFS(Scoresheet!$O$2:$O$501,Scoresheet!$C$2:$C$501,A6,Scoresheet!$U$2:$U$501,1))</f>
        <v/>
      </c>
      <c r="O6" s="44" t="str">
        <f aca="false">IF(D6="","",IF(OR(A6="",COUNTIFS(Scoresheet!$C$2:$C$501,A6,Scoresheet!$U$2:$U$501,1)=0),"No scoresheet yet",IF(SUMIFS(Scoresheet!$N$2:$N$501,Scoresheet!$C$2:$C$501,A6,Scoresheet!$U$2:$U$501,1)&lt;6,"Partly scored ("&amp;SUMIFS(Scoresheet!$N$2:$N$501,Scoresheet!$C$2:$C$501,A6,Scoresheet!$U$2:$U$501,1)&amp;"/6)",IF(N6&gt;=Settings!$S$8,"Hot",IF(N6&gt;=Settings!$S$9,"Warm","Cold")))))</f>
        <v/>
      </c>
      <c r="P6" s="44" t="str">
        <f aca="false">IF(OR(D6="",A6=""),"",IF(AND(COUNTIFS(Scoresheet!$C$2:$C$501,A6,Scoresheet!$U$2:$U$501,1,Scoresheet!$H$2:$H$501,"No")&gt;0,COUNTIFS(Scoresheet!$C$2:$C$501,A6,Scoresheet!$U$2:$U$501,1,Scoresheet!$J$2:$J$501,"No")&gt;0),"🚩 Budget  ·  🚩 No one on camera",IF(COUNTIFS(Scoresheet!$C$2:$C$501,A6,Scoresheet!$U$2:$U$501,1,Scoresheet!$H$2:$H$501,"No")&gt;0,"🚩 Budget under AED 5k",IF(COUNTIFS(Scoresheet!$C$2:$C$501,A6,Scoresheet!$U$2:$U$501,1,Scoresheet!$J$2:$J$501,"No")&gt;0,"🚩 No one on camera",""))))</f>
        <v/>
      </c>
      <c r="Q6" s="17"/>
      <c r="R6" s="17"/>
      <c r="S6" s="40"/>
      <c r="T6" s="17"/>
      <c r="U6" s="45" t="str">
        <f aca="false">IF(OR(D6="",S6="",OR(R6="Contract signed + paid",R6="Closed – No response",R6="Lost"),N(T6)&gt;=Settings!$S$3),"",S6+Settings!$S$2)</f>
        <v/>
      </c>
      <c r="V6" s="40"/>
      <c r="W6" s="41"/>
      <c r="X6" s="17"/>
      <c r="Y6" s="17"/>
      <c r="Z6" s="17"/>
      <c r="AA6" s="46" t="str">
        <f aca="true">IF(OR(D6="",B6=""),"",INT(TODAY()-B6))</f>
        <v/>
      </c>
      <c r="AB6" s="44" t="str">
        <f aca="true">IF(D6="","",IF(OR(COUNTIFS(Clients!$C$2:$C$501,D6,Clients!$S$2:$S$501,"Paid")&gt;0,AND(H6&lt;&gt;"",COUNTIFS(Clients!$E$2:$E$501,H6,Clients!$S$2:$S$501,"Paid")&gt;0)),"⚠ Refunded before – no free video",IF(OR(R6="Contract signed + paid",R6="Closed – No response",R6="Lost"),"",IF(R6="","Set a stage",IF(AND(R6="Proposal sent",SUMIFS(Scoresheet!$N$2:$N$501,Scoresheet!$C$2:$C$501,A6,Scoresheet!$U$2:$U$501,1)&lt;6),"Score this lead – fill the call scoresheet",IF(N(T6)&gt;=Settings!$S$3,"Close – 4 follow-ups sent",IF(U6="",IF(S6="","Make first contact",""),IF(TODAY()&gt;U6,"OVERDUE follow-up",IF(TODAY()=U6,"Follow up today","")))))))))</f>
        <v/>
      </c>
    </row>
    <row r="7" customFormat="false" ht="15" hidden="false" customHeight="false" outlineLevel="0" collapsed="false">
      <c r="A7" s="17"/>
      <c r="B7" s="40"/>
      <c r="C7" s="17"/>
      <c r="D7" s="17"/>
      <c r="E7" s="17"/>
      <c r="F7" s="17"/>
      <c r="G7" s="17"/>
      <c r="H7" s="42"/>
      <c r="I7" s="17"/>
      <c r="J7" s="17"/>
      <c r="K7" s="17"/>
      <c r="L7" s="17"/>
      <c r="M7" s="17"/>
      <c r="N7" s="44" t="str">
        <f aca="false">IF(OR(D7="",A7="",COUNTIFS(Scoresheet!$C$2:$C$501,A7,Scoresheet!$U$2:$U$501,1)=0),"",SUMIFS(Scoresheet!$O$2:$O$501,Scoresheet!$C$2:$C$501,A7,Scoresheet!$U$2:$U$501,1))</f>
        <v/>
      </c>
      <c r="O7" s="44" t="str">
        <f aca="false">IF(D7="","",IF(OR(A7="",COUNTIFS(Scoresheet!$C$2:$C$501,A7,Scoresheet!$U$2:$U$501,1)=0),"No scoresheet yet",IF(SUMIFS(Scoresheet!$N$2:$N$501,Scoresheet!$C$2:$C$501,A7,Scoresheet!$U$2:$U$501,1)&lt;6,"Partly scored ("&amp;SUMIFS(Scoresheet!$N$2:$N$501,Scoresheet!$C$2:$C$501,A7,Scoresheet!$U$2:$U$501,1)&amp;"/6)",IF(N7&gt;=Settings!$S$8,"Hot",IF(N7&gt;=Settings!$S$9,"Warm","Cold")))))</f>
        <v/>
      </c>
      <c r="P7" s="44" t="str">
        <f aca="false">IF(OR(D7="",A7=""),"",IF(AND(COUNTIFS(Scoresheet!$C$2:$C$501,A7,Scoresheet!$U$2:$U$501,1,Scoresheet!$H$2:$H$501,"No")&gt;0,COUNTIFS(Scoresheet!$C$2:$C$501,A7,Scoresheet!$U$2:$U$501,1,Scoresheet!$J$2:$J$501,"No")&gt;0),"🚩 Budget  ·  🚩 No one on camera",IF(COUNTIFS(Scoresheet!$C$2:$C$501,A7,Scoresheet!$U$2:$U$501,1,Scoresheet!$H$2:$H$501,"No")&gt;0,"🚩 Budget under AED 5k",IF(COUNTIFS(Scoresheet!$C$2:$C$501,A7,Scoresheet!$U$2:$U$501,1,Scoresheet!$J$2:$J$501,"No")&gt;0,"🚩 No one on camera",""))))</f>
        <v/>
      </c>
      <c r="Q7" s="17"/>
      <c r="R7" s="17"/>
      <c r="S7" s="40"/>
      <c r="T7" s="17"/>
      <c r="U7" s="45" t="str">
        <f aca="false">IF(OR(D7="",S7="",OR(R7="Contract signed + paid",R7="Closed – No response",R7="Lost"),N(T7)&gt;=Settings!$S$3),"",S7+Settings!$S$2)</f>
        <v/>
      </c>
      <c r="V7" s="40"/>
      <c r="W7" s="41"/>
      <c r="X7" s="17"/>
      <c r="Y7" s="17"/>
      <c r="Z7" s="17"/>
      <c r="AA7" s="46" t="str">
        <f aca="true">IF(OR(D7="",B7=""),"",INT(TODAY()-B7))</f>
        <v/>
      </c>
      <c r="AB7" s="44" t="str">
        <f aca="true">IF(D7="","",IF(OR(COUNTIFS(Clients!$C$2:$C$501,D7,Clients!$S$2:$S$501,"Paid")&gt;0,AND(H7&lt;&gt;"",COUNTIFS(Clients!$E$2:$E$501,H7,Clients!$S$2:$S$501,"Paid")&gt;0)),"⚠ Refunded before – no free video",IF(OR(R7="Contract signed + paid",R7="Closed – No response",R7="Lost"),"",IF(R7="","Set a stage",IF(AND(R7="Proposal sent",SUMIFS(Scoresheet!$N$2:$N$501,Scoresheet!$C$2:$C$501,A7,Scoresheet!$U$2:$U$501,1)&lt;6),"Score this lead – fill the call scoresheet",IF(N(T7)&gt;=Settings!$S$3,"Close – 4 follow-ups sent",IF(U7="",IF(S7="","Make first contact",""),IF(TODAY()&gt;U7,"OVERDUE follow-up",IF(TODAY()=U7,"Follow up today","")))))))))</f>
        <v/>
      </c>
    </row>
    <row r="8" customFormat="false" ht="15" hidden="false" customHeight="false" outlineLevel="0" collapsed="false">
      <c r="A8" s="17"/>
      <c r="B8" s="40"/>
      <c r="C8" s="17"/>
      <c r="D8" s="17"/>
      <c r="E8" s="17"/>
      <c r="F8" s="17"/>
      <c r="G8" s="17"/>
      <c r="H8" s="42"/>
      <c r="I8" s="17"/>
      <c r="J8" s="17"/>
      <c r="K8" s="17"/>
      <c r="L8" s="17"/>
      <c r="M8" s="17"/>
      <c r="N8" s="44" t="str">
        <f aca="false">IF(OR(D8="",A8="",COUNTIFS(Scoresheet!$C$2:$C$501,A8,Scoresheet!$U$2:$U$501,1)=0),"",SUMIFS(Scoresheet!$O$2:$O$501,Scoresheet!$C$2:$C$501,A8,Scoresheet!$U$2:$U$501,1))</f>
        <v/>
      </c>
      <c r="O8" s="44" t="str">
        <f aca="false">IF(D8="","",IF(OR(A8="",COUNTIFS(Scoresheet!$C$2:$C$501,A8,Scoresheet!$U$2:$U$501,1)=0),"No scoresheet yet",IF(SUMIFS(Scoresheet!$N$2:$N$501,Scoresheet!$C$2:$C$501,A8,Scoresheet!$U$2:$U$501,1)&lt;6,"Partly scored ("&amp;SUMIFS(Scoresheet!$N$2:$N$501,Scoresheet!$C$2:$C$501,A8,Scoresheet!$U$2:$U$501,1)&amp;"/6)",IF(N8&gt;=Settings!$S$8,"Hot",IF(N8&gt;=Settings!$S$9,"Warm","Cold")))))</f>
        <v/>
      </c>
      <c r="P8" s="44" t="str">
        <f aca="false">IF(OR(D8="",A8=""),"",IF(AND(COUNTIFS(Scoresheet!$C$2:$C$501,A8,Scoresheet!$U$2:$U$501,1,Scoresheet!$H$2:$H$501,"No")&gt;0,COUNTIFS(Scoresheet!$C$2:$C$501,A8,Scoresheet!$U$2:$U$501,1,Scoresheet!$J$2:$J$501,"No")&gt;0),"🚩 Budget  ·  🚩 No one on camera",IF(COUNTIFS(Scoresheet!$C$2:$C$501,A8,Scoresheet!$U$2:$U$501,1,Scoresheet!$H$2:$H$501,"No")&gt;0,"🚩 Budget under AED 5k",IF(COUNTIFS(Scoresheet!$C$2:$C$501,A8,Scoresheet!$U$2:$U$501,1,Scoresheet!$J$2:$J$501,"No")&gt;0,"🚩 No one on camera",""))))</f>
        <v/>
      </c>
      <c r="Q8" s="17"/>
      <c r="R8" s="17"/>
      <c r="S8" s="40"/>
      <c r="T8" s="17"/>
      <c r="U8" s="45" t="str">
        <f aca="false">IF(OR(D8="",S8="",OR(R8="Contract signed + paid",R8="Closed – No response",R8="Lost"),N(T8)&gt;=Settings!$S$3),"",S8+Settings!$S$2)</f>
        <v/>
      </c>
      <c r="V8" s="40"/>
      <c r="W8" s="41"/>
      <c r="X8" s="17"/>
      <c r="Y8" s="17"/>
      <c r="Z8" s="17"/>
      <c r="AA8" s="46" t="str">
        <f aca="true">IF(OR(D8="",B8=""),"",INT(TODAY()-B8))</f>
        <v/>
      </c>
      <c r="AB8" s="44" t="str">
        <f aca="true">IF(D8="","",IF(OR(COUNTIFS(Clients!$C$2:$C$501,D8,Clients!$S$2:$S$501,"Paid")&gt;0,AND(H8&lt;&gt;"",COUNTIFS(Clients!$E$2:$E$501,H8,Clients!$S$2:$S$501,"Paid")&gt;0)),"⚠ Refunded before – no free video",IF(OR(R8="Contract signed + paid",R8="Closed – No response",R8="Lost"),"",IF(R8="","Set a stage",IF(AND(R8="Proposal sent",SUMIFS(Scoresheet!$N$2:$N$501,Scoresheet!$C$2:$C$501,A8,Scoresheet!$U$2:$U$501,1)&lt;6),"Score this lead – fill the call scoresheet",IF(N(T8)&gt;=Settings!$S$3,"Close – 4 follow-ups sent",IF(U8="",IF(S8="","Make first contact",""),IF(TODAY()&gt;U8,"OVERDUE follow-up",IF(TODAY()=U8,"Follow up today","")))))))))</f>
        <v/>
      </c>
    </row>
    <row r="9" customFormat="false" ht="15" hidden="false" customHeight="false" outlineLevel="0" collapsed="false">
      <c r="A9" s="17"/>
      <c r="B9" s="40"/>
      <c r="C9" s="17"/>
      <c r="D9" s="17"/>
      <c r="E9" s="17"/>
      <c r="F9" s="17"/>
      <c r="G9" s="17"/>
      <c r="H9" s="42"/>
      <c r="I9" s="17"/>
      <c r="J9" s="17"/>
      <c r="K9" s="17"/>
      <c r="L9" s="17"/>
      <c r="M9" s="17"/>
      <c r="N9" s="44" t="str">
        <f aca="false">IF(OR(D9="",A9="",COUNTIFS(Scoresheet!$C$2:$C$501,A9,Scoresheet!$U$2:$U$501,1)=0),"",SUMIFS(Scoresheet!$O$2:$O$501,Scoresheet!$C$2:$C$501,A9,Scoresheet!$U$2:$U$501,1))</f>
        <v/>
      </c>
      <c r="O9" s="44" t="str">
        <f aca="false">IF(D9="","",IF(OR(A9="",COUNTIFS(Scoresheet!$C$2:$C$501,A9,Scoresheet!$U$2:$U$501,1)=0),"No scoresheet yet",IF(SUMIFS(Scoresheet!$N$2:$N$501,Scoresheet!$C$2:$C$501,A9,Scoresheet!$U$2:$U$501,1)&lt;6,"Partly scored ("&amp;SUMIFS(Scoresheet!$N$2:$N$501,Scoresheet!$C$2:$C$501,A9,Scoresheet!$U$2:$U$501,1)&amp;"/6)",IF(N9&gt;=Settings!$S$8,"Hot",IF(N9&gt;=Settings!$S$9,"Warm","Cold")))))</f>
        <v/>
      </c>
      <c r="P9" s="44" t="str">
        <f aca="false">IF(OR(D9="",A9=""),"",IF(AND(COUNTIFS(Scoresheet!$C$2:$C$501,A9,Scoresheet!$U$2:$U$501,1,Scoresheet!$H$2:$H$501,"No")&gt;0,COUNTIFS(Scoresheet!$C$2:$C$501,A9,Scoresheet!$U$2:$U$501,1,Scoresheet!$J$2:$J$501,"No")&gt;0),"🚩 Budget  ·  🚩 No one on camera",IF(COUNTIFS(Scoresheet!$C$2:$C$501,A9,Scoresheet!$U$2:$U$501,1,Scoresheet!$H$2:$H$501,"No")&gt;0,"🚩 Budget under AED 5k",IF(COUNTIFS(Scoresheet!$C$2:$C$501,A9,Scoresheet!$U$2:$U$501,1,Scoresheet!$J$2:$J$501,"No")&gt;0,"🚩 No one on camera",""))))</f>
        <v/>
      </c>
      <c r="Q9" s="17"/>
      <c r="R9" s="17"/>
      <c r="S9" s="40"/>
      <c r="T9" s="17"/>
      <c r="U9" s="45" t="str">
        <f aca="false">IF(OR(D9="",S9="",OR(R9="Contract signed + paid",R9="Closed – No response",R9="Lost"),N(T9)&gt;=Settings!$S$3),"",S9+Settings!$S$2)</f>
        <v/>
      </c>
      <c r="V9" s="40"/>
      <c r="W9" s="41"/>
      <c r="X9" s="17"/>
      <c r="Y9" s="17"/>
      <c r="Z9" s="17"/>
      <c r="AA9" s="46" t="str">
        <f aca="true">IF(OR(D9="",B9=""),"",INT(TODAY()-B9))</f>
        <v/>
      </c>
      <c r="AB9" s="44" t="str">
        <f aca="true">IF(D9="","",IF(OR(COUNTIFS(Clients!$C$2:$C$501,D9,Clients!$S$2:$S$501,"Paid")&gt;0,AND(H9&lt;&gt;"",COUNTIFS(Clients!$E$2:$E$501,H9,Clients!$S$2:$S$501,"Paid")&gt;0)),"⚠ Refunded before – no free video",IF(OR(R9="Contract signed + paid",R9="Closed – No response",R9="Lost"),"",IF(R9="","Set a stage",IF(AND(R9="Proposal sent",SUMIFS(Scoresheet!$N$2:$N$501,Scoresheet!$C$2:$C$501,A9,Scoresheet!$U$2:$U$501,1)&lt;6),"Score this lead – fill the call scoresheet",IF(N(T9)&gt;=Settings!$S$3,"Close – 4 follow-ups sent",IF(U9="",IF(S9="","Make first contact",""),IF(TODAY()&gt;U9,"OVERDUE follow-up",IF(TODAY()=U9,"Follow up today","")))))))))</f>
        <v/>
      </c>
    </row>
    <row r="10" customFormat="false" ht="15" hidden="false" customHeight="false" outlineLevel="0" collapsed="false">
      <c r="A10" s="17"/>
      <c r="B10" s="40"/>
      <c r="C10" s="17"/>
      <c r="D10" s="17"/>
      <c r="E10" s="17"/>
      <c r="F10" s="17"/>
      <c r="G10" s="17"/>
      <c r="H10" s="42"/>
      <c r="I10" s="17"/>
      <c r="J10" s="17"/>
      <c r="K10" s="17"/>
      <c r="L10" s="17"/>
      <c r="M10" s="17"/>
      <c r="N10" s="44" t="str">
        <f aca="false">IF(OR(D10="",A10="",COUNTIFS(Scoresheet!$C$2:$C$501,A10,Scoresheet!$U$2:$U$501,1)=0),"",SUMIFS(Scoresheet!$O$2:$O$501,Scoresheet!$C$2:$C$501,A10,Scoresheet!$U$2:$U$501,1))</f>
        <v/>
      </c>
      <c r="O10" s="44" t="str">
        <f aca="false">IF(D10="","",IF(OR(A10="",COUNTIFS(Scoresheet!$C$2:$C$501,A10,Scoresheet!$U$2:$U$501,1)=0),"No scoresheet yet",IF(SUMIFS(Scoresheet!$N$2:$N$501,Scoresheet!$C$2:$C$501,A10,Scoresheet!$U$2:$U$501,1)&lt;6,"Partly scored ("&amp;SUMIFS(Scoresheet!$N$2:$N$501,Scoresheet!$C$2:$C$501,A10,Scoresheet!$U$2:$U$501,1)&amp;"/6)",IF(N10&gt;=Settings!$S$8,"Hot",IF(N10&gt;=Settings!$S$9,"Warm","Cold")))))</f>
        <v/>
      </c>
      <c r="P10" s="44" t="str">
        <f aca="false">IF(OR(D10="",A10=""),"",IF(AND(COUNTIFS(Scoresheet!$C$2:$C$501,A10,Scoresheet!$U$2:$U$501,1,Scoresheet!$H$2:$H$501,"No")&gt;0,COUNTIFS(Scoresheet!$C$2:$C$501,A10,Scoresheet!$U$2:$U$501,1,Scoresheet!$J$2:$J$501,"No")&gt;0),"🚩 Budget  ·  🚩 No one on camera",IF(COUNTIFS(Scoresheet!$C$2:$C$501,A10,Scoresheet!$U$2:$U$501,1,Scoresheet!$H$2:$H$501,"No")&gt;0,"🚩 Budget under AED 5k",IF(COUNTIFS(Scoresheet!$C$2:$C$501,A10,Scoresheet!$U$2:$U$501,1,Scoresheet!$J$2:$J$501,"No")&gt;0,"🚩 No one on camera",""))))</f>
        <v/>
      </c>
      <c r="Q10" s="17"/>
      <c r="R10" s="17"/>
      <c r="S10" s="40"/>
      <c r="T10" s="17"/>
      <c r="U10" s="45" t="str">
        <f aca="false">IF(OR(D10="",S10="",OR(R10="Contract signed + paid",R10="Closed – No response",R10="Lost"),N(T10)&gt;=Settings!$S$3),"",S10+Settings!$S$2)</f>
        <v/>
      </c>
      <c r="V10" s="40"/>
      <c r="W10" s="41"/>
      <c r="X10" s="17"/>
      <c r="Y10" s="17"/>
      <c r="Z10" s="17"/>
      <c r="AA10" s="46" t="str">
        <f aca="true">IF(OR(D10="",B10=""),"",INT(TODAY()-B10))</f>
        <v/>
      </c>
      <c r="AB10" s="44" t="str">
        <f aca="true">IF(D10="","",IF(OR(COUNTIFS(Clients!$C$2:$C$501,D10,Clients!$S$2:$S$501,"Paid")&gt;0,AND(H10&lt;&gt;"",COUNTIFS(Clients!$E$2:$E$501,H10,Clients!$S$2:$S$501,"Paid")&gt;0)),"⚠ Refunded before – no free video",IF(OR(R10="Contract signed + paid",R10="Closed – No response",R10="Lost"),"",IF(R10="","Set a stage",IF(AND(R10="Proposal sent",SUMIFS(Scoresheet!$N$2:$N$501,Scoresheet!$C$2:$C$501,A10,Scoresheet!$U$2:$U$501,1)&lt;6),"Score this lead – fill the call scoresheet",IF(N(T10)&gt;=Settings!$S$3,"Close – 4 follow-ups sent",IF(U10="",IF(S10="","Make first contact",""),IF(TODAY()&gt;U10,"OVERDUE follow-up",IF(TODAY()=U10,"Follow up today","")))))))))</f>
        <v/>
      </c>
    </row>
    <row r="11" customFormat="false" ht="15" hidden="false" customHeight="false" outlineLevel="0" collapsed="false">
      <c r="A11" s="17"/>
      <c r="B11" s="40"/>
      <c r="C11" s="17"/>
      <c r="D11" s="17"/>
      <c r="E11" s="17"/>
      <c r="F11" s="17"/>
      <c r="G11" s="17"/>
      <c r="H11" s="42"/>
      <c r="I11" s="17"/>
      <c r="J11" s="17"/>
      <c r="K11" s="17"/>
      <c r="L11" s="17"/>
      <c r="M11" s="17"/>
      <c r="N11" s="44" t="str">
        <f aca="false">IF(OR(D11="",A11="",COUNTIFS(Scoresheet!$C$2:$C$501,A11,Scoresheet!$U$2:$U$501,1)=0),"",SUMIFS(Scoresheet!$O$2:$O$501,Scoresheet!$C$2:$C$501,A11,Scoresheet!$U$2:$U$501,1))</f>
        <v/>
      </c>
      <c r="O11" s="44" t="str">
        <f aca="false">IF(D11="","",IF(OR(A11="",COUNTIFS(Scoresheet!$C$2:$C$501,A11,Scoresheet!$U$2:$U$501,1)=0),"No scoresheet yet",IF(SUMIFS(Scoresheet!$N$2:$N$501,Scoresheet!$C$2:$C$501,A11,Scoresheet!$U$2:$U$501,1)&lt;6,"Partly scored ("&amp;SUMIFS(Scoresheet!$N$2:$N$501,Scoresheet!$C$2:$C$501,A11,Scoresheet!$U$2:$U$501,1)&amp;"/6)",IF(N11&gt;=Settings!$S$8,"Hot",IF(N11&gt;=Settings!$S$9,"Warm","Cold")))))</f>
        <v/>
      </c>
      <c r="P11" s="44" t="str">
        <f aca="false">IF(OR(D11="",A11=""),"",IF(AND(COUNTIFS(Scoresheet!$C$2:$C$501,A11,Scoresheet!$U$2:$U$501,1,Scoresheet!$H$2:$H$501,"No")&gt;0,COUNTIFS(Scoresheet!$C$2:$C$501,A11,Scoresheet!$U$2:$U$501,1,Scoresheet!$J$2:$J$501,"No")&gt;0),"🚩 Budget  ·  🚩 No one on camera",IF(COUNTIFS(Scoresheet!$C$2:$C$501,A11,Scoresheet!$U$2:$U$501,1,Scoresheet!$H$2:$H$501,"No")&gt;0,"🚩 Budget under AED 5k",IF(COUNTIFS(Scoresheet!$C$2:$C$501,A11,Scoresheet!$U$2:$U$501,1,Scoresheet!$J$2:$J$501,"No")&gt;0,"🚩 No one on camera",""))))</f>
        <v/>
      </c>
      <c r="Q11" s="17"/>
      <c r="R11" s="17"/>
      <c r="S11" s="40"/>
      <c r="T11" s="17"/>
      <c r="U11" s="45" t="str">
        <f aca="false">IF(OR(D11="",S11="",OR(R11="Contract signed + paid",R11="Closed – No response",R11="Lost"),N(T11)&gt;=Settings!$S$3),"",S11+Settings!$S$2)</f>
        <v/>
      </c>
      <c r="V11" s="40"/>
      <c r="W11" s="41"/>
      <c r="X11" s="17"/>
      <c r="Y11" s="17"/>
      <c r="Z11" s="17"/>
      <c r="AA11" s="46" t="str">
        <f aca="true">IF(OR(D11="",B11=""),"",INT(TODAY()-B11))</f>
        <v/>
      </c>
      <c r="AB11" s="44" t="str">
        <f aca="true">IF(D11="","",IF(OR(COUNTIFS(Clients!$C$2:$C$501,D11,Clients!$S$2:$S$501,"Paid")&gt;0,AND(H11&lt;&gt;"",COUNTIFS(Clients!$E$2:$E$501,H11,Clients!$S$2:$S$501,"Paid")&gt;0)),"⚠ Refunded before – no free video",IF(OR(R11="Contract signed + paid",R11="Closed – No response",R11="Lost"),"",IF(R11="","Set a stage",IF(AND(R11="Proposal sent",SUMIFS(Scoresheet!$N$2:$N$501,Scoresheet!$C$2:$C$501,A11,Scoresheet!$U$2:$U$501,1)&lt;6),"Score this lead – fill the call scoresheet",IF(N(T11)&gt;=Settings!$S$3,"Close – 4 follow-ups sent",IF(U11="",IF(S11="","Make first contact",""),IF(TODAY()&gt;U11,"OVERDUE follow-up",IF(TODAY()=U11,"Follow up today","")))))))))</f>
        <v/>
      </c>
    </row>
    <row r="12" customFormat="false" ht="15" hidden="false" customHeight="false" outlineLevel="0" collapsed="false">
      <c r="A12" s="17"/>
      <c r="B12" s="40"/>
      <c r="C12" s="17"/>
      <c r="D12" s="17"/>
      <c r="E12" s="17"/>
      <c r="F12" s="17"/>
      <c r="G12" s="17"/>
      <c r="H12" s="42"/>
      <c r="I12" s="17"/>
      <c r="J12" s="17"/>
      <c r="K12" s="17"/>
      <c r="L12" s="17"/>
      <c r="M12" s="17"/>
      <c r="N12" s="44" t="str">
        <f aca="false">IF(OR(D12="",A12="",COUNTIFS(Scoresheet!$C$2:$C$501,A12,Scoresheet!$U$2:$U$501,1)=0),"",SUMIFS(Scoresheet!$O$2:$O$501,Scoresheet!$C$2:$C$501,A12,Scoresheet!$U$2:$U$501,1))</f>
        <v/>
      </c>
      <c r="O12" s="44" t="str">
        <f aca="false">IF(D12="","",IF(OR(A12="",COUNTIFS(Scoresheet!$C$2:$C$501,A12,Scoresheet!$U$2:$U$501,1)=0),"No scoresheet yet",IF(SUMIFS(Scoresheet!$N$2:$N$501,Scoresheet!$C$2:$C$501,A12,Scoresheet!$U$2:$U$501,1)&lt;6,"Partly scored ("&amp;SUMIFS(Scoresheet!$N$2:$N$501,Scoresheet!$C$2:$C$501,A12,Scoresheet!$U$2:$U$501,1)&amp;"/6)",IF(N12&gt;=Settings!$S$8,"Hot",IF(N12&gt;=Settings!$S$9,"Warm","Cold")))))</f>
        <v/>
      </c>
      <c r="P12" s="44" t="str">
        <f aca="false">IF(OR(D12="",A12=""),"",IF(AND(COUNTIFS(Scoresheet!$C$2:$C$501,A12,Scoresheet!$U$2:$U$501,1,Scoresheet!$H$2:$H$501,"No")&gt;0,COUNTIFS(Scoresheet!$C$2:$C$501,A12,Scoresheet!$U$2:$U$501,1,Scoresheet!$J$2:$J$501,"No")&gt;0),"🚩 Budget  ·  🚩 No one on camera",IF(COUNTIFS(Scoresheet!$C$2:$C$501,A12,Scoresheet!$U$2:$U$501,1,Scoresheet!$H$2:$H$501,"No")&gt;0,"🚩 Budget under AED 5k",IF(COUNTIFS(Scoresheet!$C$2:$C$501,A12,Scoresheet!$U$2:$U$501,1,Scoresheet!$J$2:$J$501,"No")&gt;0,"🚩 No one on camera",""))))</f>
        <v/>
      </c>
      <c r="Q12" s="17"/>
      <c r="R12" s="17"/>
      <c r="S12" s="40"/>
      <c r="T12" s="17"/>
      <c r="U12" s="45" t="str">
        <f aca="false">IF(OR(D12="",S12="",OR(R12="Contract signed + paid",R12="Closed – No response",R12="Lost"),N(T12)&gt;=Settings!$S$3),"",S12+Settings!$S$2)</f>
        <v/>
      </c>
      <c r="V12" s="40"/>
      <c r="W12" s="41"/>
      <c r="X12" s="17"/>
      <c r="Y12" s="17"/>
      <c r="Z12" s="17"/>
      <c r="AA12" s="46" t="str">
        <f aca="true">IF(OR(D12="",B12=""),"",INT(TODAY()-B12))</f>
        <v/>
      </c>
      <c r="AB12" s="44" t="str">
        <f aca="true">IF(D12="","",IF(OR(COUNTIFS(Clients!$C$2:$C$501,D12,Clients!$S$2:$S$501,"Paid")&gt;0,AND(H12&lt;&gt;"",COUNTIFS(Clients!$E$2:$E$501,H12,Clients!$S$2:$S$501,"Paid")&gt;0)),"⚠ Refunded before – no free video",IF(OR(R12="Contract signed + paid",R12="Closed – No response",R12="Lost"),"",IF(R12="","Set a stage",IF(AND(R12="Proposal sent",SUMIFS(Scoresheet!$N$2:$N$501,Scoresheet!$C$2:$C$501,A12,Scoresheet!$U$2:$U$501,1)&lt;6),"Score this lead – fill the call scoresheet",IF(N(T12)&gt;=Settings!$S$3,"Close – 4 follow-ups sent",IF(U12="",IF(S12="","Make first contact",""),IF(TODAY()&gt;U12,"OVERDUE follow-up",IF(TODAY()=U12,"Follow up today","")))))))))</f>
        <v/>
      </c>
    </row>
    <row r="13" customFormat="false" ht="15" hidden="false" customHeight="false" outlineLevel="0" collapsed="false">
      <c r="A13" s="17"/>
      <c r="B13" s="40"/>
      <c r="C13" s="17"/>
      <c r="D13" s="17"/>
      <c r="E13" s="17"/>
      <c r="F13" s="17"/>
      <c r="G13" s="17"/>
      <c r="H13" s="42"/>
      <c r="I13" s="17"/>
      <c r="J13" s="17"/>
      <c r="K13" s="17"/>
      <c r="L13" s="17"/>
      <c r="M13" s="17"/>
      <c r="N13" s="44" t="str">
        <f aca="false">IF(OR(D13="",A13="",COUNTIFS(Scoresheet!$C$2:$C$501,A13,Scoresheet!$U$2:$U$501,1)=0),"",SUMIFS(Scoresheet!$O$2:$O$501,Scoresheet!$C$2:$C$501,A13,Scoresheet!$U$2:$U$501,1))</f>
        <v/>
      </c>
      <c r="O13" s="44" t="str">
        <f aca="false">IF(D13="","",IF(OR(A13="",COUNTIFS(Scoresheet!$C$2:$C$501,A13,Scoresheet!$U$2:$U$501,1)=0),"No scoresheet yet",IF(SUMIFS(Scoresheet!$N$2:$N$501,Scoresheet!$C$2:$C$501,A13,Scoresheet!$U$2:$U$501,1)&lt;6,"Partly scored ("&amp;SUMIFS(Scoresheet!$N$2:$N$501,Scoresheet!$C$2:$C$501,A13,Scoresheet!$U$2:$U$501,1)&amp;"/6)",IF(N13&gt;=Settings!$S$8,"Hot",IF(N13&gt;=Settings!$S$9,"Warm","Cold")))))</f>
        <v/>
      </c>
      <c r="P13" s="44" t="str">
        <f aca="false">IF(OR(D13="",A13=""),"",IF(AND(COUNTIFS(Scoresheet!$C$2:$C$501,A13,Scoresheet!$U$2:$U$501,1,Scoresheet!$H$2:$H$501,"No")&gt;0,COUNTIFS(Scoresheet!$C$2:$C$501,A13,Scoresheet!$U$2:$U$501,1,Scoresheet!$J$2:$J$501,"No")&gt;0),"🚩 Budget  ·  🚩 No one on camera",IF(COUNTIFS(Scoresheet!$C$2:$C$501,A13,Scoresheet!$U$2:$U$501,1,Scoresheet!$H$2:$H$501,"No")&gt;0,"🚩 Budget under AED 5k",IF(COUNTIFS(Scoresheet!$C$2:$C$501,A13,Scoresheet!$U$2:$U$501,1,Scoresheet!$J$2:$J$501,"No")&gt;0,"🚩 No one on camera",""))))</f>
        <v/>
      </c>
      <c r="Q13" s="17"/>
      <c r="R13" s="17"/>
      <c r="S13" s="40"/>
      <c r="T13" s="17"/>
      <c r="U13" s="45" t="str">
        <f aca="false">IF(OR(D13="",S13="",OR(R13="Contract signed + paid",R13="Closed – No response",R13="Lost"),N(T13)&gt;=Settings!$S$3),"",S13+Settings!$S$2)</f>
        <v/>
      </c>
      <c r="V13" s="40"/>
      <c r="W13" s="41"/>
      <c r="X13" s="17"/>
      <c r="Y13" s="17"/>
      <c r="Z13" s="17"/>
      <c r="AA13" s="46" t="str">
        <f aca="true">IF(OR(D13="",B13=""),"",INT(TODAY()-B13))</f>
        <v/>
      </c>
      <c r="AB13" s="44" t="str">
        <f aca="true">IF(D13="","",IF(OR(COUNTIFS(Clients!$C$2:$C$501,D13,Clients!$S$2:$S$501,"Paid")&gt;0,AND(H13&lt;&gt;"",COUNTIFS(Clients!$E$2:$E$501,H13,Clients!$S$2:$S$501,"Paid")&gt;0)),"⚠ Refunded before – no free video",IF(OR(R13="Contract signed + paid",R13="Closed – No response",R13="Lost"),"",IF(R13="","Set a stage",IF(AND(R13="Proposal sent",SUMIFS(Scoresheet!$N$2:$N$501,Scoresheet!$C$2:$C$501,A13,Scoresheet!$U$2:$U$501,1)&lt;6),"Score this lead – fill the call scoresheet",IF(N(T13)&gt;=Settings!$S$3,"Close – 4 follow-ups sent",IF(U13="",IF(S13="","Make first contact",""),IF(TODAY()&gt;U13,"OVERDUE follow-up",IF(TODAY()=U13,"Follow up today","")))))))))</f>
        <v/>
      </c>
    </row>
    <row r="14" customFormat="false" ht="15" hidden="false" customHeight="false" outlineLevel="0" collapsed="false">
      <c r="A14" s="17"/>
      <c r="B14" s="40"/>
      <c r="C14" s="17"/>
      <c r="D14" s="17"/>
      <c r="E14" s="17"/>
      <c r="F14" s="17"/>
      <c r="G14" s="17"/>
      <c r="H14" s="42"/>
      <c r="I14" s="17"/>
      <c r="J14" s="17"/>
      <c r="K14" s="17"/>
      <c r="L14" s="17"/>
      <c r="M14" s="17"/>
      <c r="N14" s="44" t="str">
        <f aca="false">IF(OR(D14="",A14="",COUNTIFS(Scoresheet!$C$2:$C$501,A14,Scoresheet!$U$2:$U$501,1)=0),"",SUMIFS(Scoresheet!$O$2:$O$501,Scoresheet!$C$2:$C$501,A14,Scoresheet!$U$2:$U$501,1))</f>
        <v/>
      </c>
      <c r="O14" s="44" t="str">
        <f aca="false">IF(D14="","",IF(OR(A14="",COUNTIFS(Scoresheet!$C$2:$C$501,A14,Scoresheet!$U$2:$U$501,1)=0),"No scoresheet yet",IF(SUMIFS(Scoresheet!$N$2:$N$501,Scoresheet!$C$2:$C$501,A14,Scoresheet!$U$2:$U$501,1)&lt;6,"Partly scored ("&amp;SUMIFS(Scoresheet!$N$2:$N$501,Scoresheet!$C$2:$C$501,A14,Scoresheet!$U$2:$U$501,1)&amp;"/6)",IF(N14&gt;=Settings!$S$8,"Hot",IF(N14&gt;=Settings!$S$9,"Warm","Cold")))))</f>
        <v/>
      </c>
      <c r="P14" s="44" t="str">
        <f aca="false">IF(OR(D14="",A14=""),"",IF(AND(COUNTIFS(Scoresheet!$C$2:$C$501,A14,Scoresheet!$U$2:$U$501,1,Scoresheet!$H$2:$H$501,"No")&gt;0,COUNTIFS(Scoresheet!$C$2:$C$501,A14,Scoresheet!$U$2:$U$501,1,Scoresheet!$J$2:$J$501,"No")&gt;0),"🚩 Budget  ·  🚩 No one on camera",IF(COUNTIFS(Scoresheet!$C$2:$C$501,A14,Scoresheet!$U$2:$U$501,1,Scoresheet!$H$2:$H$501,"No")&gt;0,"🚩 Budget under AED 5k",IF(COUNTIFS(Scoresheet!$C$2:$C$501,A14,Scoresheet!$U$2:$U$501,1,Scoresheet!$J$2:$J$501,"No")&gt;0,"🚩 No one on camera",""))))</f>
        <v/>
      </c>
      <c r="Q14" s="17"/>
      <c r="R14" s="17"/>
      <c r="S14" s="40"/>
      <c r="T14" s="17"/>
      <c r="U14" s="45" t="str">
        <f aca="false">IF(OR(D14="",S14="",OR(R14="Contract signed + paid",R14="Closed – No response",R14="Lost"),N(T14)&gt;=Settings!$S$3),"",S14+Settings!$S$2)</f>
        <v/>
      </c>
      <c r="V14" s="40"/>
      <c r="W14" s="41"/>
      <c r="X14" s="17"/>
      <c r="Y14" s="17"/>
      <c r="Z14" s="17"/>
      <c r="AA14" s="46" t="str">
        <f aca="true">IF(OR(D14="",B14=""),"",INT(TODAY()-B14))</f>
        <v/>
      </c>
      <c r="AB14" s="44" t="str">
        <f aca="true">IF(D14="","",IF(OR(COUNTIFS(Clients!$C$2:$C$501,D14,Clients!$S$2:$S$501,"Paid")&gt;0,AND(H14&lt;&gt;"",COUNTIFS(Clients!$E$2:$E$501,H14,Clients!$S$2:$S$501,"Paid")&gt;0)),"⚠ Refunded before – no free video",IF(OR(R14="Contract signed + paid",R14="Closed – No response",R14="Lost"),"",IF(R14="","Set a stage",IF(AND(R14="Proposal sent",SUMIFS(Scoresheet!$N$2:$N$501,Scoresheet!$C$2:$C$501,A14,Scoresheet!$U$2:$U$501,1)&lt;6),"Score this lead – fill the call scoresheet",IF(N(T14)&gt;=Settings!$S$3,"Close – 4 follow-ups sent",IF(U14="",IF(S14="","Make first contact",""),IF(TODAY()&gt;U14,"OVERDUE follow-up",IF(TODAY()=U14,"Follow up today","")))))))))</f>
        <v/>
      </c>
    </row>
    <row r="15" customFormat="false" ht="15" hidden="false" customHeight="false" outlineLevel="0" collapsed="false">
      <c r="A15" s="17"/>
      <c r="B15" s="40"/>
      <c r="C15" s="17"/>
      <c r="D15" s="17"/>
      <c r="E15" s="17"/>
      <c r="F15" s="17"/>
      <c r="G15" s="17"/>
      <c r="H15" s="42"/>
      <c r="I15" s="17"/>
      <c r="J15" s="17"/>
      <c r="K15" s="17"/>
      <c r="L15" s="17"/>
      <c r="M15" s="17"/>
      <c r="N15" s="44" t="str">
        <f aca="false">IF(OR(D15="",A15="",COUNTIFS(Scoresheet!$C$2:$C$501,A15,Scoresheet!$U$2:$U$501,1)=0),"",SUMIFS(Scoresheet!$O$2:$O$501,Scoresheet!$C$2:$C$501,A15,Scoresheet!$U$2:$U$501,1))</f>
        <v/>
      </c>
      <c r="O15" s="44" t="str">
        <f aca="false">IF(D15="","",IF(OR(A15="",COUNTIFS(Scoresheet!$C$2:$C$501,A15,Scoresheet!$U$2:$U$501,1)=0),"No scoresheet yet",IF(SUMIFS(Scoresheet!$N$2:$N$501,Scoresheet!$C$2:$C$501,A15,Scoresheet!$U$2:$U$501,1)&lt;6,"Partly scored ("&amp;SUMIFS(Scoresheet!$N$2:$N$501,Scoresheet!$C$2:$C$501,A15,Scoresheet!$U$2:$U$501,1)&amp;"/6)",IF(N15&gt;=Settings!$S$8,"Hot",IF(N15&gt;=Settings!$S$9,"Warm","Cold")))))</f>
        <v/>
      </c>
      <c r="P15" s="44" t="str">
        <f aca="false">IF(OR(D15="",A15=""),"",IF(AND(COUNTIFS(Scoresheet!$C$2:$C$501,A15,Scoresheet!$U$2:$U$501,1,Scoresheet!$H$2:$H$501,"No")&gt;0,COUNTIFS(Scoresheet!$C$2:$C$501,A15,Scoresheet!$U$2:$U$501,1,Scoresheet!$J$2:$J$501,"No")&gt;0),"🚩 Budget  ·  🚩 No one on camera",IF(COUNTIFS(Scoresheet!$C$2:$C$501,A15,Scoresheet!$U$2:$U$501,1,Scoresheet!$H$2:$H$501,"No")&gt;0,"🚩 Budget under AED 5k",IF(COUNTIFS(Scoresheet!$C$2:$C$501,A15,Scoresheet!$U$2:$U$501,1,Scoresheet!$J$2:$J$501,"No")&gt;0,"🚩 No one on camera",""))))</f>
        <v/>
      </c>
      <c r="Q15" s="17"/>
      <c r="R15" s="17"/>
      <c r="S15" s="40"/>
      <c r="T15" s="17"/>
      <c r="U15" s="45" t="str">
        <f aca="false">IF(OR(D15="",S15="",OR(R15="Contract signed + paid",R15="Closed – No response",R15="Lost"),N(T15)&gt;=Settings!$S$3),"",S15+Settings!$S$2)</f>
        <v/>
      </c>
      <c r="V15" s="40"/>
      <c r="W15" s="41"/>
      <c r="X15" s="17"/>
      <c r="Y15" s="17"/>
      <c r="Z15" s="17"/>
      <c r="AA15" s="46" t="str">
        <f aca="true">IF(OR(D15="",B15=""),"",INT(TODAY()-B15))</f>
        <v/>
      </c>
      <c r="AB15" s="44" t="str">
        <f aca="true">IF(D15="","",IF(OR(COUNTIFS(Clients!$C$2:$C$501,D15,Clients!$S$2:$S$501,"Paid")&gt;0,AND(H15&lt;&gt;"",COUNTIFS(Clients!$E$2:$E$501,H15,Clients!$S$2:$S$501,"Paid")&gt;0)),"⚠ Refunded before – no free video",IF(OR(R15="Contract signed + paid",R15="Closed – No response",R15="Lost"),"",IF(R15="","Set a stage",IF(AND(R15="Proposal sent",SUMIFS(Scoresheet!$N$2:$N$501,Scoresheet!$C$2:$C$501,A15,Scoresheet!$U$2:$U$501,1)&lt;6),"Score this lead – fill the call scoresheet",IF(N(T15)&gt;=Settings!$S$3,"Close – 4 follow-ups sent",IF(U15="",IF(S15="","Make first contact",""),IF(TODAY()&gt;U15,"OVERDUE follow-up",IF(TODAY()=U15,"Follow up today","")))))))))</f>
        <v/>
      </c>
    </row>
    <row r="16" customFormat="false" ht="15" hidden="false" customHeight="false" outlineLevel="0" collapsed="false">
      <c r="A16" s="17"/>
      <c r="B16" s="40"/>
      <c r="C16" s="17"/>
      <c r="D16" s="17"/>
      <c r="E16" s="17"/>
      <c r="F16" s="17"/>
      <c r="G16" s="17"/>
      <c r="H16" s="42"/>
      <c r="I16" s="17"/>
      <c r="J16" s="17"/>
      <c r="K16" s="17"/>
      <c r="L16" s="17"/>
      <c r="M16" s="17"/>
      <c r="N16" s="44" t="str">
        <f aca="false">IF(OR(D16="",A16="",COUNTIFS(Scoresheet!$C$2:$C$501,A16,Scoresheet!$U$2:$U$501,1)=0),"",SUMIFS(Scoresheet!$O$2:$O$501,Scoresheet!$C$2:$C$501,A16,Scoresheet!$U$2:$U$501,1))</f>
        <v/>
      </c>
      <c r="O16" s="44" t="str">
        <f aca="false">IF(D16="","",IF(OR(A16="",COUNTIFS(Scoresheet!$C$2:$C$501,A16,Scoresheet!$U$2:$U$501,1)=0),"No scoresheet yet",IF(SUMIFS(Scoresheet!$N$2:$N$501,Scoresheet!$C$2:$C$501,A16,Scoresheet!$U$2:$U$501,1)&lt;6,"Partly scored ("&amp;SUMIFS(Scoresheet!$N$2:$N$501,Scoresheet!$C$2:$C$501,A16,Scoresheet!$U$2:$U$501,1)&amp;"/6)",IF(N16&gt;=Settings!$S$8,"Hot",IF(N16&gt;=Settings!$S$9,"Warm","Cold")))))</f>
        <v/>
      </c>
      <c r="P16" s="44" t="str">
        <f aca="false">IF(OR(D16="",A16=""),"",IF(AND(COUNTIFS(Scoresheet!$C$2:$C$501,A16,Scoresheet!$U$2:$U$501,1,Scoresheet!$H$2:$H$501,"No")&gt;0,COUNTIFS(Scoresheet!$C$2:$C$501,A16,Scoresheet!$U$2:$U$501,1,Scoresheet!$J$2:$J$501,"No")&gt;0),"🚩 Budget  ·  🚩 No one on camera",IF(COUNTIFS(Scoresheet!$C$2:$C$501,A16,Scoresheet!$U$2:$U$501,1,Scoresheet!$H$2:$H$501,"No")&gt;0,"🚩 Budget under AED 5k",IF(COUNTIFS(Scoresheet!$C$2:$C$501,A16,Scoresheet!$U$2:$U$501,1,Scoresheet!$J$2:$J$501,"No")&gt;0,"🚩 No one on camera",""))))</f>
        <v/>
      </c>
      <c r="Q16" s="17"/>
      <c r="R16" s="17"/>
      <c r="S16" s="40"/>
      <c r="T16" s="17"/>
      <c r="U16" s="45" t="str">
        <f aca="false">IF(OR(D16="",S16="",OR(R16="Contract signed + paid",R16="Closed – No response",R16="Lost"),N(T16)&gt;=Settings!$S$3),"",S16+Settings!$S$2)</f>
        <v/>
      </c>
      <c r="V16" s="40"/>
      <c r="W16" s="41"/>
      <c r="X16" s="17"/>
      <c r="Y16" s="17"/>
      <c r="Z16" s="17"/>
      <c r="AA16" s="46" t="str">
        <f aca="true">IF(OR(D16="",B16=""),"",INT(TODAY()-B16))</f>
        <v/>
      </c>
      <c r="AB16" s="44" t="str">
        <f aca="true">IF(D16="","",IF(OR(COUNTIFS(Clients!$C$2:$C$501,D16,Clients!$S$2:$S$501,"Paid")&gt;0,AND(H16&lt;&gt;"",COUNTIFS(Clients!$E$2:$E$501,H16,Clients!$S$2:$S$501,"Paid")&gt;0)),"⚠ Refunded before – no free video",IF(OR(R16="Contract signed + paid",R16="Closed – No response",R16="Lost"),"",IF(R16="","Set a stage",IF(AND(R16="Proposal sent",SUMIFS(Scoresheet!$N$2:$N$501,Scoresheet!$C$2:$C$501,A16,Scoresheet!$U$2:$U$501,1)&lt;6),"Score this lead – fill the call scoresheet",IF(N(T16)&gt;=Settings!$S$3,"Close – 4 follow-ups sent",IF(U16="",IF(S16="","Make first contact",""),IF(TODAY()&gt;U16,"OVERDUE follow-up",IF(TODAY()=U16,"Follow up today","")))))))))</f>
        <v/>
      </c>
    </row>
    <row r="17" customFormat="false" ht="15" hidden="false" customHeight="false" outlineLevel="0" collapsed="false">
      <c r="A17" s="17"/>
      <c r="B17" s="40"/>
      <c r="C17" s="17"/>
      <c r="D17" s="17"/>
      <c r="E17" s="17"/>
      <c r="F17" s="17"/>
      <c r="G17" s="17"/>
      <c r="H17" s="42"/>
      <c r="I17" s="17"/>
      <c r="J17" s="17"/>
      <c r="K17" s="17"/>
      <c r="L17" s="17"/>
      <c r="M17" s="17"/>
      <c r="N17" s="44" t="str">
        <f aca="false">IF(OR(D17="",A17="",COUNTIFS(Scoresheet!$C$2:$C$501,A17,Scoresheet!$U$2:$U$501,1)=0),"",SUMIFS(Scoresheet!$O$2:$O$501,Scoresheet!$C$2:$C$501,A17,Scoresheet!$U$2:$U$501,1))</f>
        <v/>
      </c>
      <c r="O17" s="44" t="str">
        <f aca="false">IF(D17="","",IF(OR(A17="",COUNTIFS(Scoresheet!$C$2:$C$501,A17,Scoresheet!$U$2:$U$501,1)=0),"No scoresheet yet",IF(SUMIFS(Scoresheet!$N$2:$N$501,Scoresheet!$C$2:$C$501,A17,Scoresheet!$U$2:$U$501,1)&lt;6,"Partly scored ("&amp;SUMIFS(Scoresheet!$N$2:$N$501,Scoresheet!$C$2:$C$501,A17,Scoresheet!$U$2:$U$501,1)&amp;"/6)",IF(N17&gt;=Settings!$S$8,"Hot",IF(N17&gt;=Settings!$S$9,"Warm","Cold")))))</f>
        <v/>
      </c>
      <c r="P17" s="44" t="str">
        <f aca="false">IF(OR(D17="",A17=""),"",IF(AND(COUNTIFS(Scoresheet!$C$2:$C$501,A17,Scoresheet!$U$2:$U$501,1,Scoresheet!$H$2:$H$501,"No")&gt;0,COUNTIFS(Scoresheet!$C$2:$C$501,A17,Scoresheet!$U$2:$U$501,1,Scoresheet!$J$2:$J$501,"No")&gt;0),"🚩 Budget  ·  🚩 No one on camera",IF(COUNTIFS(Scoresheet!$C$2:$C$501,A17,Scoresheet!$U$2:$U$501,1,Scoresheet!$H$2:$H$501,"No")&gt;0,"🚩 Budget under AED 5k",IF(COUNTIFS(Scoresheet!$C$2:$C$501,A17,Scoresheet!$U$2:$U$501,1,Scoresheet!$J$2:$J$501,"No")&gt;0,"🚩 No one on camera",""))))</f>
        <v/>
      </c>
      <c r="Q17" s="17"/>
      <c r="R17" s="17"/>
      <c r="S17" s="40"/>
      <c r="T17" s="17"/>
      <c r="U17" s="45" t="str">
        <f aca="false">IF(OR(D17="",S17="",OR(R17="Contract signed + paid",R17="Closed – No response",R17="Lost"),N(T17)&gt;=Settings!$S$3),"",S17+Settings!$S$2)</f>
        <v/>
      </c>
      <c r="V17" s="40"/>
      <c r="W17" s="41"/>
      <c r="X17" s="17"/>
      <c r="Y17" s="17"/>
      <c r="Z17" s="17"/>
      <c r="AA17" s="46" t="str">
        <f aca="true">IF(OR(D17="",B17=""),"",INT(TODAY()-B17))</f>
        <v/>
      </c>
      <c r="AB17" s="44" t="str">
        <f aca="true">IF(D17="","",IF(OR(COUNTIFS(Clients!$C$2:$C$501,D17,Clients!$S$2:$S$501,"Paid")&gt;0,AND(H17&lt;&gt;"",COUNTIFS(Clients!$E$2:$E$501,H17,Clients!$S$2:$S$501,"Paid")&gt;0)),"⚠ Refunded before – no free video",IF(OR(R17="Contract signed + paid",R17="Closed – No response",R17="Lost"),"",IF(R17="","Set a stage",IF(AND(R17="Proposal sent",SUMIFS(Scoresheet!$N$2:$N$501,Scoresheet!$C$2:$C$501,A17,Scoresheet!$U$2:$U$501,1)&lt;6),"Score this lead – fill the call scoresheet",IF(N(T17)&gt;=Settings!$S$3,"Close – 4 follow-ups sent",IF(U17="",IF(S17="","Make first contact",""),IF(TODAY()&gt;U17,"OVERDUE follow-up",IF(TODAY()=U17,"Follow up today","")))))))))</f>
        <v/>
      </c>
    </row>
    <row r="18" customFormat="false" ht="15" hidden="false" customHeight="false" outlineLevel="0" collapsed="false">
      <c r="A18" s="17"/>
      <c r="B18" s="40"/>
      <c r="C18" s="17"/>
      <c r="D18" s="17"/>
      <c r="E18" s="17"/>
      <c r="F18" s="17"/>
      <c r="G18" s="17"/>
      <c r="H18" s="42"/>
      <c r="I18" s="17"/>
      <c r="J18" s="17"/>
      <c r="K18" s="17"/>
      <c r="L18" s="17"/>
      <c r="M18" s="17"/>
      <c r="N18" s="44" t="str">
        <f aca="false">IF(OR(D18="",A18="",COUNTIFS(Scoresheet!$C$2:$C$501,A18,Scoresheet!$U$2:$U$501,1)=0),"",SUMIFS(Scoresheet!$O$2:$O$501,Scoresheet!$C$2:$C$501,A18,Scoresheet!$U$2:$U$501,1))</f>
        <v/>
      </c>
      <c r="O18" s="44" t="str">
        <f aca="false">IF(D18="","",IF(OR(A18="",COUNTIFS(Scoresheet!$C$2:$C$501,A18,Scoresheet!$U$2:$U$501,1)=0),"No scoresheet yet",IF(SUMIFS(Scoresheet!$N$2:$N$501,Scoresheet!$C$2:$C$501,A18,Scoresheet!$U$2:$U$501,1)&lt;6,"Partly scored ("&amp;SUMIFS(Scoresheet!$N$2:$N$501,Scoresheet!$C$2:$C$501,A18,Scoresheet!$U$2:$U$501,1)&amp;"/6)",IF(N18&gt;=Settings!$S$8,"Hot",IF(N18&gt;=Settings!$S$9,"Warm","Cold")))))</f>
        <v/>
      </c>
      <c r="P18" s="44" t="str">
        <f aca="false">IF(OR(D18="",A18=""),"",IF(AND(COUNTIFS(Scoresheet!$C$2:$C$501,A18,Scoresheet!$U$2:$U$501,1,Scoresheet!$H$2:$H$501,"No")&gt;0,COUNTIFS(Scoresheet!$C$2:$C$501,A18,Scoresheet!$U$2:$U$501,1,Scoresheet!$J$2:$J$501,"No")&gt;0),"🚩 Budget  ·  🚩 No one on camera",IF(COUNTIFS(Scoresheet!$C$2:$C$501,A18,Scoresheet!$U$2:$U$501,1,Scoresheet!$H$2:$H$501,"No")&gt;0,"🚩 Budget under AED 5k",IF(COUNTIFS(Scoresheet!$C$2:$C$501,A18,Scoresheet!$U$2:$U$501,1,Scoresheet!$J$2:$J$501,"No")&gt;0,"🚩 No one on camera",""))))</f>
        <v/>
      </c>
      <c r="Q18" s="17"/>
      <c r="R18" s="17"/>
      <c r="S18" s="40"/>
      <c r="T18" s="17"/>
      <c r="U18" s="45" t="str">
        <f aca="false">IF(OR(D18="",S18="",OR(R18="Contract signed + paid",R18="Closed – No response",R18="Lost"),N(T18)&gt;=Settings!$S$3),"",S18+Settings!$S$2)</f>
        <v/>
      </c>
      <c r="V18" s="40"/>
      <c r="W18" s="41"/>
      <c r="X18" s="17"/>
      <c r="Y18" s="17"/>
      <c r="Z18" s="17"/>
      <c r="AA18" s="46" t="str">
        <f aca="true">IF(OR(D18="",B18=""),"",INT(TODAY()-B18))</f>
        <v/>
      </c>
      <c r="AB18" s="44" t="str">
        <f aca="true">IF(D18="","",IF(OR(COUNTIFS(Clients!$C$2:$C$501,D18,Clients!$S$2:$S$501,"Paid")&gt;0,AND(H18&lt;&gt;"",COUNTIFS(Clients!$E$2:$E$501,H18,Clients!$S$2:$S$501,"Paid")&gt;0)),"⚠ Refunded before – no free video",IF(OR(R18="Contract signed + paid",R18="Closed – No response",R18="Lost"),"",IF(R18="","Set a stage",IF(AND(R18="Proposal sent",SUMIFS(Scoresheet!$N$2:$N$501,Scoresheet!$C$2:$C$501,A18,Scoresheet!$U$2:$U$501,1)&lt;6),"Score this lead – fill the call scoresheet",IF(N(T18)&gt;=Settings!$S$3,"Close – 4 follow-ups sent",IF(U18="",IF(S18="","Make first contact",""),IF(TODAY()&gt;U18,"OVERDUE follow-up",IF(TODAY()=U18,"Follow up today","")))))))))</f>
        <v/>
      </c>
    </row>
    <row r="19" customFormat="false" ht="15" hidden="false" customHeight="false" outlineLevel="0" collapsed="false">
      <c r="A19" s="17"/>
      <c r="B19" s="40"/>
      <c r="C19" s="17"/>
      <c r="D19" s="17"/>
      <c r="E19" s="17"/>
      <c r="F19" s="17"/>
      <c r="G19" s="17"/>
      <c r="H19" s="42"/>
      <c r="I19" s="17"/>
      <c r="J19" s="17"/>
      <c r="K19" s="17"/>
      <c r="L19" s="17"/>
      <c r="M19" s="17"/>
      <c r="N19" s="44" t="str">
        <f aca="false">IF(OR(D19="",A19="",COUNTIFS(Scoresheet!$C$2:$C$501,A19,Scoresheet!$U$2:$U$501,1)=0),"",SUMIFS(Scoresheet!$O$2:$O$501,Scoresheet!$C$2:$C$501,A19,Scoresheet!$U$2:$U$501,1))</f>
        <v/>
      </c>
      <c r="O19" s="44" t="str">
        <f aca="false">IF(D19="","",IF(OR(A19="",COUNTIFS(Scoresheet!$C$2:$C$501,A19,Scoresheet!$U$2:$U$501,1)=0),"No scoresheet yet",IF(SUMIFS(Scoresheet!$N$2:$N$501,Scoresheet!$C$2:$C$501,A19,Scoresheet!$U$2:$U$501,1)&lt;6,"Partly scored ("&amp;SUMIFS(Scoresheet!$N$2:$N$501,Scoresheet!$C$2:$C$501,A19,Scoresheet!$U$2:$U$501,1)&amp;"/6)",IF(N19&gt;=Settings!$S$8,"Hot",IF(N19&gt;=Settings!$S$9,"Warm","Cold")))))</f>
        <v/>
      </c>
      <c r="P19" s="44" t="str">
        <f aca="false">IF(OR(D19="",A19=""),"",IF(AND(COUNTIFS(Scoresheet!$C$2:$C$501,A19,Scoresheet!$U$2:$U$501,1,Scoresheet!$H$2:$H$501,"No")&gt;0,COUNTIFS(Scoresheet!$C$2:$C$501,A19,Scoresheet!$U$2:$U$501,1,Scoresheet!$J$2:$J$501,"No")&gt;0),"🚩 Budget  ·  🚩 No one on camera",IF(COUNTIFS(Scoresheet!$C$2:$C$501,A19,Scoresheet!$U$2:$U$501,1,Scoresheet!$H$2:$H$501,"No")&gt;0,"🚩 Budget under AED 5k",IF(COUNTIFS(Scoresheet!$C$2:$C$501,A19,Scoresheet!$U$2:$U$501,1,Scoresheet!$J$2:$J$501,"No")&gt;0,"🚩 No one on camera",""))))</f>
        <v/>
      </c>
      <c r="Q19" s="17"/>
      <c r="R19" s="17"/>
      <c r="S19" s="40"/>
      <c r="T19" s="17"/>
      <c r="U19" s="45" t="str">
        <f aca="false">IF(OR(D19="",S19="",OR(R19="Contract signed + paid",R19="Closed – No response",R19="Lost"),N(T19)&gt;=Settings!$S$3),"",S19+Settings!$S$2)</f>
        <v/>
      </c>
      <c r="V19" s="40"/>
      <c r="W19" s="41"/>
      <c r="X19" s="17"/>
      <c r="Y19" s="17"/>
      <c r="Z19" s="17"/>
      <c r="AA19" s="46" t="str">
        <f aca="true">IF(OR(D19="",B19=""),"",INT(TODAY()-B19))</f>
        <v/>
      </c>
      <c r="AB19" s="44" t="str">
        <f aca="true">IF(D19="","",IF(OR(COUNTIFS(Clients!$C$2:$C$501,D19,Clients!$S$2:$S$501,"Paid")&gt;0,AND(H19&lt;&gt;"",COUNTIFS(Clients!$E$2:$E$501,H19,Clients!$S$2:$S$501,"Paid")&gt;0)),"⚠ Refunded before – no free video",IF(OR(R19="Contract signed + paid",R19="Closed – No response",R19="Lost"),"",IF(R19="","Set a stage",IF(AND(R19="Proposal sent",SUMIFS(Scoresheet!$N$2:$N$501,Scoresheet!$C$2:$C$501,A19,Scoresheet!$U$2:$U$501,1)&lt;6),"Score this lead – fill the call scoresheet",IF(N(T19)&gt;=Settings!$S$3,"Close – 4 follow-ups sent",IF(U19="",IF(S19="","Make first contact",""),IF(TODAY()&gt;U19,"OVERDUE follow-up",IF(TODAY()=U19,"Follow up today","")))))))))</f>
        <v/>
      </c>
    </row>
    <row r="20" customFormat="false" ht="15" hidden="false" customHeight="false" outlineLevel="0" collapsed="false">
      <c r="A20" s="17"/>
      <c r="B20" s="40"/>
      <c r="C20" s="17"/>
      <c r="D20" s="17"/>
      <c r="E20" s="17"/>
      <c r="F20" s="17"/>
      <c r="G20" s="17"/>
      <c r="H20" s="42"/>
      <c r="I20" s="17"/>
      <c r="J20" s="17"/>
      <c r="K20" s="17"/>
      <c r="L20" s="17"/>
      <c r="M20" s="17"/>
      <c r="N20" s="44" t="str">
        <f aca="false">IF(OR(D20="",A20="",COUNTIFS(Scoresheet!$C$2:$C$501,A20,Scoresheet!$U$2:$U$501,1)=0),"",SUMIFS(Scoresheet!$O$2:$O$501,Scoresheet!$C$2:$C$501,A20,Scoresheet!$U$2:$U$501,1))</f>
        <v/>
      </c>
      <c r="O20" s="44" t="str">
        <f aca="false">IF(D20="","",IF(OR(A20="",COUNTIFS(Scoresheet!$C$2:$C$501,A20,Scoresheet!$U$2:$U$501,1)=0),"No scoresheet yet",IF(SUMIFS(Scoresheet!$N$2:$N$501,Scoresheet!$C$2:$C$501,A20,Scoresheet!$U$2:$U$501,1)&lt;6,"Partly scored ("&amp;SUMIFS(Scoresheet!$N$2:$N$501,Scoresheet!$C$2:$C$501,A20,Scoresheet!$U$2:$U$501,1)&amp;"/6)",IF(N20&gt;=Settings!$S$8,"Hot",IF(N20&gt;=Settings!$S$9,"Warm","Cold")))))</f>
        <v/>
      </c>
      <c r="P20" s="44" t="str">
        <f aca="false">IF(OR(D20="",A20=""),"",IF(AND(COUNTIFS(Scoresheet!$C$2:$C$501,A20,Scoresheet!$U$2:$U$501,1,Scoresheet!$H$2:$H$501,"No")&gt;0,COUNTIFS(Scoresheet!$C$2:$C$501,A20,Scoresheet!$U$2:$U$501,1,Scoresheet!$J$2:$J$501,"No")&gt;0),"🚩 Budget  ·  🚩 No one on camera",IF(COUNTIFS(Scoresheet!$C$2:$C$501,A20,Scoresheet!$U$2:$U$501,1,Scoresheet!$H$2:$H$501,"No")&gt;0,"🚩 Budget under AED 5k",IF(COUNTIFS(Scoresheet!$C$2:$C$501,A20,Scoresheet!$U$2:$U$501,1,Scoresheet!$J$2:$J$501,"No")&gt;0,"🚩 No one on camera",""))))</f>
        <v/>
      </c>
      <c r="Q20" s="17"/>
      <c r="R20" s="17"/>
      <c r="S20" s="40"/>
      <c r="T20" s="17"/>
      <c r="U20" s="45" t="str">
        <f aca="false">IF(OR(D20="",S20="",OR(R20="Contract signed + paid",R20="Closed – No response",R20="Lost"),N(T20)&gt;=Settings!$S$3),"",S20+Settings!$S$2)</f>
        <v/>
      </c>
      <c r="V20" s="40"/>
      <c r="W20" s="41"/>
      <c r="X20" s="17"/>
      <c r="Y20" s="17"/>
      <c r="Z20" s="17"/>
      <c r="AA20" s="46" t="str">
        <f aca="true">IF(OR(D20="",B20=""),"",INT(TODAY()-B20))</f>
        <v/>
      </c>
      <c r="AB20" s="44" t="str">
        <f aca="true">IF(D20="","",IF(OR(COUNTIFS(Clients!$C$2:$C$501,D20,Clients!$S$2:$S$501,"Paid")&gt;0,AND(H20&lt;&gt;"",COUNTIFS(Clients!$E$2:$E$501,H20,Clients!$S$2:$S$501,"Paid")&gt;0)),"⚠ Refunded before – no free video",IF(OR(R20="Contract signed + paid",R20="Closed – No response",R20="Lost"),"",IF(R20="","Set a stage",IF(AND(R20="Proposal sent",SUMIFS(Scoresheet!$N$2:$N$501,Scoresheet!$C$2:$C$501,A20,Scoresheet!$U$2:$U$501,1)&lt;6),"Score this lead – fill the call scoresheet",IF(N(T20)&gt;=Settings!$S$3,"Close – 4 follow-ups sent",IF(U20="",IF(S20="","Make first contact",""),IF(TODAY()&gt;U20,"OVERDUE follow-up",IF(TODAY()=U20,"Follow up today","")))))))))</f>
        <v/>
      </c>
    </row>
    <row r="21" customFormat="false" ht="15" hidden="false" customHeight="false" outlineLevel="0" collapsed="false">
      <c r="A21" s="17"/>
      <c r="B21" s="40"/>
      <c r="C21" s="17"/>
      <c r="D21" s="17"/>
      <c r="E21" s="17"/>
      <c r="F21" s="17"/>
      <c r="G21" s="17"/>
      <c r="H21" s="42"/>
      <c r="I21" s="17"/>
      <c r="J21" s="17"/>
      <c r="K21" s="17"/>
      <c r="L21" s="17"/>
      <c r="M21" s="17"/>
      <c r="N21" s="44" t="str">
        <f aca="false">IF(OR(D21="",A21="",COUNTIFS(Scoresheet!$C$2:$C$501,A21,Scoresheet!$U$2:$U$501,1)=0),"",SUMIFS(Scoresheet!$O$2:$O$501,Scoresheet!$C$2:$C$501,A21,Scoresheet!$U$2:$U$501,1))</f>
        <v/>
      </c>
      <c r="O21" s="44" t="str">
        <f aca="false">IF(D21="","",IF(OR(A21="",COUNTIFS(Scoresheet!$C$2:$C$501,A21,Scoresheet!$U$2:$U$501,1)=0),"No scoresheet yet",IF(SUMIFS(Scoresheet!$N$2:$N$501,Scoresheet!$C$2:$C$501,A21,Scoresheet!$U$2:$U$501,1)&lt;6,"Partly scored ("&amp;SUMIFS(Scoresheet!$N$2:$N$501,Scoresheet!$C$2:$C$501,A21,Scoresheet!$U$2:$U$501,1)&amp;"/6)",IF(N21&gt;=Settings!$S$8,"Hot",IF(N21&gt;=Settings!$S$9,"Warm","Cold")))))</f>
        <v/>
      </c>
      <c r="P21" s="44" t="str">
        <f aca="false">IF(OR(D21="",A21=""),"",IF(AND(COUNTIFS(Scoresheet!$C$2:$C$501,A21,Scoresheet!$U$2:$U$501,1,Scoresheet!$H$2:$H$501,"No")&gt;0,COUNTIFS(Scoresheet!$C$2:$C$501,A21,Scoresheet!$U$2:$U$501,1,Scoresheet!$J$2:$J$501,"No")&gt;0),"🚩 Budget  ·  🚩 No one on camera",IF(COUNTIFS(Scoresheet!$C$2:$C$501,A21,Scoresheet!$U$2:$U$501,1,Scoresheet!$H$2:$H$501,"No")&gt;0,"🚩 Budget under AED 5k",IF(COUNTIFS(Scoresheet!$C$2:$C$501,A21,Scoresheet!$U$2:$U$501,1,Scoresheet!$J$2:$J$501,"No")&gt;0,"🚩 No one on camera",""))))</f>
        <v/>
      </c>
      <c r="Q21" s="17"/>
      <c r="R21" s="17"/>
      <c r="S21" s="40"/>
      <c r="T21" s="17"/>
      <c r="U21" s="45" t="str">
        <f aca="false">IF(OR(D21="",S21="",OR(R21="Contract signed + paid",R21="Closed – No response",R21="Lost"),N(T21)&gt;=Settings!$S$3),"",S21+Settings!$S$2)</f>
        <v/>
      </c>
      <c r="V21" s="40"/>
      <c r="W21" s="41"/>
      <c r="X21" s="17"/>
      <c r="Y21" s="17"/>
      <c r="Z21" s="17"/>
      <c r="AA21" s="46" t="str">
        <f aca="true">IF(OR(D21="",B21=""),"",INT(TODAY()-B21))</f>
        <v/>
      </c>
      <c r="AB21" s="44" t="str">
        <f aca="true">IF(D21="","",IF(OR(COUNTIFS(Clients!$C$2:$C$501,D21,Clients!$S$2:$S$501,"Paid")&gt;0,AND(H21&lt;&gt;"",COUNTIFS(Clients!$E$2:$E$501,H21,Clients!$S$2:$S$501,"Paid")&gt;0)),"⚠ Refunded before – no free video",IF(OR(R21="Contract signed + paid",R21="Closed – No response",R21="Lost"),"",IF(R21="","Set a stage",IF(AND(R21="Proposal sent",SUMIFS(Scoresheet!$N$2:$N$501,Scoresheet!$C$2:$C$501,A21,Scoresheet!$U$2:$U$501,1)&lt;6),"Score this lead – fill the call scoresheet",IF(N(T21)&gt;=Settings!$S$3,"Close – 4 follow-ups sent",IF(U21="",IF(S21="","Make first contact",""),IF(TODAY()&gt;U21,"OVERDUE follow-up",IF(TODAY()=U21,"Follow up today","")))))))))</f>
        <v/>
      </c>
    </row>
    <row r="22" customFormat="false" ht="15" hidden="false" customHeight="false" outlineLevel="0" collapsed="false">
      <c r="A22" s="17"/>
      <c r="B22" s="40"/>
      <c r="C22" s="17"/>
      <c r="D22" s="17"/>
      <c r="E22" s="17"/>
      <c r="F22" s="17"/>
      <c r="G22" s="17"/>
      <c r="H22" s="42"/>
      <c r="I22" s="17"/>
      <c r="J22" s="17"/>
      <c r="K22" s="17"/>
      <c r="L22" s="17"/>
      <c r="M22" s="17"/>
      <c r="N22" s="44" t="str">
        <f aca="false">IF(OR(D22="",A22="",COUNTIFS(Scoresheet!$C$2:$C$501,A22,Scoresheet!$U$2:$U$501,1)=0),"",SUMIFS(Scoresheet!$O$2:$O$501,Scoresheet!$C$2:$C$501,A22,Scoresheet!$U$2:$U$501,1))</f>
        <v/>
      </c>
      <c r="O22" s="44" t="str">
        <f aca="false">IF(D22="","",IF(OR(A22="",COUNTIFS(Scoresheet!$C$2:$C$501,A22,Scoresheet!$U$2:$U$501,1)=0),"No scoresheet yet",IF(SUMIFS(Scoresheet!$N$2:$N$501,Scoresheet!$C$2:$C$501,A22,Scoresheet!$U$2:$U$501,1)&lt;6,"Partly scored ("&amp;SUMIFS(Scoresheet!$N$2:$N$501,Scoresheet!$C$2:$C$501,A22,Scoresheet!$U$2:$U$501,1)&amp;"/6)",IF(N22&gt;=Settings!$S$8,"Hot",IF(N22&gt;=Settings!$S$9,"Warm","Cold")))))</f>
        <v/>
      </c>
      <c r="P22" s="44" t="str">
        <f aca="false">IF(OR(D22="",A22=""),"",IF(AND(COUNTIFS(Scoresheet!$C$2:$C$501,A22,Scoresheet!$U$2:$U$501,1,Scoresheet!$H$2:$H$501,"No")&gt;0,COUNTIFS(Scoresheet!$C$2:$C$501,A22,Scoresheet!$U$2:$U$501,1,Scoresheet!$J$2:$J$501,"No")&gt;0),"🚩 Budget  ·  🚩 No one on camera",IF(COUNTIFS(Scoresheet!$C$2:$C$501,A22,Scoresheet!$U$2:$U$501,1,Scoresheet!$H$2:$H$501,"No")&gt;0,"🚩 Budget under AED 5k",IF(COUNTIFS(Scoresheet!$C$2:$C$501,A22,Scoresheet!$U$2:$U$501,1,Scoresheet!$J$2:$J$501,"No")&gt;0,"🚩 No one on camera",""))))</f>
        <v/>
      </c>
      <c r="Q22" s="17"/>
      <c r="R22" s="17"/>
      <c r="S22" s="40"/>
      <c r="T22" s="17"/>
      <c r="U22" s="45" t="str">
        <f aca="false">IF(OR(D22="",S22="",OR(R22="Contract signed + paid",R22="Closed – No response",R22="Lost"),N(T22)&gt;=Settings!$S$3),"",S22+Settings!$S$2)</f>
        <v/>
      </c>
      <c r="V22" s="40"/>
      <c r="W22" s="41"/>
      <c r="X22" s="17"/>
      <c r="Y22" s="17"/>
      <c r="Z22" s="17"/>
      <c r="AA22" s="46" t="str">
        <f aca="true">IF(OR(D22="",B22=""),"",INT(TODAY()-B22))</f>
        <v/>
      </c>
      <c r="AB22" s="44" t="str">
        <f aca="true">IF(D22="","",IF(OR(COUNTIFS(Clients!$C$2:$C$501,D22,Clients!$S$2:$S$501,"Paid")&gt;0,AND(H22&lt;&gt;"",COUNTIFS(Clients!$E$2:$E$501,H22,Clients!$S$2:$S$501,"Paid")&gt;0)),"⚠ Refunded before – no free video",IF(OR(R22="Contract signed + paid",R22="Closed – No response",R22="Lost"),"",IF(R22="","Set a stage",IF(AND(R22="Proposal sent",SUMIFS(Scoresheet!$N$2:$N$501,Scoresheet!$C$2:$C$501,A22,Scoresheet!$U$2:$U$501,1)&lt;6),"Score this lead – fill the call scoresheet",IF(N(T22)&gt;=Settings!$S$3,"Close – 4 follow-ups sent",IF(U22="",IF(S22="","Make first contact",""),IF(TODAY()&gt;U22,"OVERDUE follow-up",IF(TODAY()=U22,"Follow up today","")))))))))</f>
        <v/>
      </c>
    </row>
    <row r="23" customFormat="false" ht="15" hidden="false" customHeight="false" outlineLevel="0" collapsed="false">
      <c r="A23" s="17"/>
      <c r="B23" s="40"/>
      <c r="C23" s="17"/>
      <c r="D23" s="17"/>
      <c r="E23" s="17"/>
      <c r="F23" s="17"/>
      <c r="G23" s="17"/>
      <c r="H23" s="42"/>
      <c r="I23" s="17"/>
      <c r="J23" s="17"/>
      <c r="K23" s="17"/>
      <c r="L23" s="17"/>
      <c r="M23" s="17"/>
      <c r="N23" s="44" t="str">
        <f aca="false">IF(OR(D23="",A23="",COUNTIFS(Scoresheet!$C$2:$C$501,A23,Scoresheet!$U$2:$U$501,1)=0),"",SUMIFS(Scoresheet!$O$2:$O$501,Scoresheet!$C$2:$C$501,A23,Scoresheet!$U$2:$U$501,1))</f>
        <v/>
      </c>
      <c r="O23" s="44" t="str">
        <f aca="false">IF(D23="","",IF(OR(A23="",COUNTIFS(Scoresheet!$C$2:$C$501,A23,Scoresheet!$U$2:$U$501,1)=0),"No scoresheet yet",IF(SUMIFS(Scoresheet!$N$2:$N$501,Scoresheet!$C$2:$C$501,A23,Scoresheet!$U$2:$U$501,1)&lt;6,"Partly scored ("&amp;SUMIFS(Scoresheet!$N$2:$N$501,Scoresheet!$C$2:$C$501,A23,Scoresheet!$U$2:$U$501,1)&amp;"/6)",IF(N23&gt;=Settings!$S$8,"Hot",IF(N23&gt;=Settings!$S$9,"Warm","Cold")))))</f>
        <v/>
      </c>
      <c r="P23" s="44" t="str">
        <f aca="false">IF(OR(D23="",A23=""),"",IF(AND(COUNTIFS(Scoresheet!$C$2:$C$501,A23,Scoresheet!$U$2:$U$501,1,Scoresheet!$H$2:$H$501,"No")&gt;0,COUNTIFS(Scoresheet!$C$2:$C$501,A23,Scoresheet!$U$2:$U$501,1,Scoresheet!$J$2:$J$501,"No")&gt;0),"🚩 Budget  ·  🚩 No one on camera",IF(COUNTIFS(Scoresheet!$C$2:$C$501,A23,Scoresheet!$U$2:$U$501,1,Scoresheet!$H$2:$H$501,"No")&gt;0,"🚩 Budget under AED 5k",IF(COUNTIFS(Scoresheet!$C$2:$C$501,A23,Scoresheet!$U$2:$U$501,1,Scoresheet!$J$2:$J$501,"No")&gt;0,"🚩 No one on camera",""))))</f>
        <v/>
      </c>
      <c r="Q23" s="17"/>
      <c r="R23" s="17"/>
      <c r="S23" s="40"/>
      <c r="T23" s="17"/>
      <c r="U23" s="45" t="str">
        <f aca="false">IF(OR(D23="",S23="",OR(R23="Contract signed + paid",R23="Closed – No response",R23="Lost"),N(T23)&gt;=Settings!$S$3),"",S23+Settings!$S$2)</f>
        <v/>
      </c>
      <c r="V23" s="40"/>
      <c r="W23" s="41"/>
      <c r="X23" s="17"/>
      <c r="Y23" s="17"/>
      <c r="Z23" s="17"/>
      <c r="AA23" s="46" t="str">
        <f aca="true">IF(OR(D23="",B23=""),"",INT(TODAY()-B23))</f>
        <v/>
      </c>
      <c r="AB23" s="44" t="str">
        <f aca="true">IF(D23="","",IF(OR(COUNTIFS(Clients!$C$2:$C$501,D23,Clients!$S$2:$S$501,"Paid")&gt;0,AND(H23&lt;&gt;"",COUNTIFS(Clients!$E$2:$E$501,H23,Clients!$S$2:$S$501,"Paid")&gt;0)),"⚠ Refunded before – no free video",IF(OR(R23="Contract signed + paid",R23="Closed – No response",R23="Lost"),"",IF(R23="","Set a stage",IF(AND(R23="Proposal sent",SUMIFS(Scoresheet!$N$2:$N$501,Scoresheet!$C$2:$C$501,A23,Scoresheet!$U$2:$U$501,1)&lt;6),"Score this lead – fill the call scoresheet",IF(N(T23)&gt;=Settings!$S$3,"Close – 4 follow-ups sent",IF(U23="",IF(S23="","Make first contact",""),IF(TODAY()&gt;U23,"OVERDUE follow-up",IF(TODAY()=U23,"Follow up today","")))))))))</f>
        <v/>
      </c>
    </row>
    <row r="24" customFormat="false" ht="15" hidden="false" customHeight="false" outlineLevel="0" collapsed="false">
      <c r="A24" s="17"/>
      <c r="B24" s="40"/>
      <c r="C24" s="17"/>
      <c r="D24" s="17"/>
      <c r="E24" s="17"/>
      <c r="F24" s="17"/>
      <c r="G24" s="17"/>
      <c r="H24" s="42"/>
      <c r="I24" s="17"/>
      <c r="J24" s="17"/>
      <c r="K24" s="17"/>
      <c r="L24" s="17"/>
      <c r="M24" s="17"/>
      <c r="N24" s="44" t="str">
        <f aca="false">IF(OR(D24="",A24="",COUNTIFS(Scoresheet!$C$2:$C$501,A24,Scoresheet!$U$2:$U$501,1)=0),"",SUMIFS(Scoresheet!$O$2:$O$501,Scoresheet!$C$2:$C$501,A24,Scoresheet!$U$2:$U$501,1))</f>
        <v/>
      </c>
      <c r="O24" s="44" t="str">
        <f aca="false">IF(D24="","",IF(OR(A24="",COUNTIFS(Scoresheet!$C$2:$C$501,A24,Scoresheet!$U$2:$U$501,1)=0),"No scoresheet yet",IF(SUMIFS(Scoresheet!$N$2:$N$501,Scoresheet!$C$2:$C$501,A24,Scoresheet!$U$2:$U$501,1)&lt;6,"Partly scored ("&amp;SUMIFS(Scoresheet!$N$2:$N$501,Scoresheet!$C$2:$C$501,A24,Scoresheet!$U$2:$U$501,1)&amp;"/6)",IF(N24&gt;=Settings!$S$8,"Hot",IF(N24&gt;=Settings!$S$9,"Warm","Cold")))))</f>
        <v/>
      </c>
      <c r="P24" s="44" t="str">
        <f aca="false">IF(OR(D24="",A24=""),"",IF(AND(COUNTIFS(Scoresheet!$C$2:$C$501,A24,Scoresheet!$U$2:$U$501,1,Scoresheet!$H$2:$H$501,"No")&gt;0,COUNTIFS(Scoresheet!$C$2:$C$501,A24,Scoresheet!$U$2:$U$501,1,Scoresheet!$J$2:$J$501,"No")&gt;0),"🚩 Budget  ·  🚩 No one on camera",IF(COUNTIFS(Scoresheet!$C$2:$C$501,A24,Scoresheet!$U$2:$U$501,1,Scoresheet!$H$2:$H$501,"No")&gt;0,"🚩 Budget under AED 5k",IF(COUNTIFS(Scoresheet!$C$2:$C$501,A24,Scoresheet!$U$2:$U$501,1,Scoresheet!$J$2:$J$501,"No")&gt;0,"🚩 No one on camera",""))))</f>
        <v/>
      </c>
      <c r="Q24" s="17"/>
      <c r="R24" s="17"/>
      <c r="S24" s="40"/>
      <c r="T24" s="17"/>
      <c r="U24" s="45" t="str">
        <f aca="false">IF(OR(D24="",S24="",OR(R24="Contract signed + paid",R24="Closed – No response",R24="Lost"),N(T24)&gt;=Settings!$S$3),"",S24+Settings!$S$2)</f>
        <v/>
      </c>
      <c r="V24" s="40"/>
      <c r="W24" s="41"/>
      <c r="X24" s="17"/>
      <c r="Y24" s="17"/>
      <c r="Z24" s="17"/>
      <c r="AA24" s="46" t="str">
        <f aca="true">IF(OR(D24="",B24=""),"",INT(TODAY()-B24))</f>
        <v/>
      </c>
      <c r="AB24" s="44" t="str">
        <f aca="true">IF(D24="","",IF(OR(COUNTIFS(Clients!$C$2:$C$501,D24,Clients!$S$2:$S$501,"Paid")&gt;0,AND(H24&lt;&gt;"",COUNTIFS(Clients!$E$2:$E$501,H24,Clients!$S$2:$S$501,"Paid")&gt;0)),"⚠ Refunded before – no free video",IF(OR(R24="Contract signed + paid",R24="Closed – No response",R24="Lost"),"",IF(R24="","Set a stage",IF(AND(R24="Proposal sent",SUMIFS(Scoresheet!$N$2:$N$501,Scoresheet!$C$2:$C$501,A24,Scoresheet!$U$2:$U$501,1)&lt;6),"Score this lead – fill the call scoresheet",IF(N(T24)&gt;=Settings!$S$3,"Close – 4 follow-ups sent",IF(U24="",IF(S24="","Make first contact",""),IF(TODAY()&gt;U24,"OVERDUE follow-up",IF(TODAY()=U24,"Follow up today","")))))))))</f>
        <v/>
      </c>
    </row>
    <row r="25" customFormat="false" ht="15" hidden="false" customHeight="false" outlineLevel="0" collapsed="false">
      <c r="A25" s="17"/>
      <c r="B25" s="40"/>
      <c r="C25" s="17"/>
      <c r="D25" s="17"/>
      <c r="E25" s="17"/>
      <c r="F25" s="17"/>
      <c r="G25" s="17"/>
      <c r="H25" s="42"/>
      <c r="I25" s="17"/>
      <c r="J25" s="17"/>
      <c r="K25" s="17"/>
      <c r="L25" s="17"/>
      <c r="M25" s="17"/>
      <c r="N25" s="44" t="str">
        <f aca="false">IF(OR(D25="",A25="",COUNTIFS(Scoresheet!$C$2:$C$501,A25,Scoresheet!$U$2:$U$501,1)=0),"",SUMIFS(Scoresheet!$O$2:$O$501,Scoresheet!$C$2:$C$501,A25,Scoresheet!$U$2:$U$501,1))</f>
        <v/>
      </c>
      <c r="O25" s="44" t="str">
        <f aca="false">IF(D25="","",IF(OR(A25="",COUNTIFS(Scoresheet!$C$2:$C$501,A25,Scoresheet!$U$2:$U$501,1)=0),"No scoresheet yet",IF(SUMIFS(Scoresheet!$N$2:$N$501,Scoresheet!$C$2:$C$501,A25,Scoresheet!$U$2:$U$501,1)&lt;6,"Partly scored ("&amp;SUMIFS(Scoresheet!$N$2:$N$501,Scoresheet!$C$2:$C$501,A25,Scoresheet!$U$2:$U$501,1)&amp;"/6)",IF(N25&gt;=Settings!$S$8,"Hot",IF(N25&gt;=Settings!$S$9,"Warm","Cold")))))</f>
        <v/>
      </c>
      <c r="P25" s="44" t="str">
        <f aca="false">IF(OR(D25="",A25=""),"",IF(AND(COUNTIFS(Scoresheet!$C$2:$C$501,A25,Scoresheet!$U$2:$U$501,1,Scoresheet!$H$2:$H$501,"No")&gt;0,COUNTIFS(Scoresheet!$C$2:$C$501,A25,Scoresheet!$U$2:$U$501,1,Scoresheet!$J$2:$J$501,"No")&gt;0),"🚩 Budget  ·  🚩 No one on camera",IF(COUNTIFS(Scoresheet!$C$2:$C$501,A25,Scoresheet!$U$2:$U$501,1,Scoresheet!$H$2:$H$501,"No")&gt;0,"🚩 Budget under AED 5k",IF(COUNTIFS(Scoresheet!$C$2:$C$501,A25,Scoresheet!$U$2:$U$501,1,Scoresheet!$J$2:$J$501,"No")&gt;0,"🚩 No one on camera",""))))</f>
        <v/>
      </c>
      <c r="Q25" s="17"/>
      <c r="R25" s="17"/>
      <c r="S25" s="40"/>
      <c r="T25" s="17"/>
      <c r="U25" s="45" t="str">
        <f aca="false">IF(OR(D25="",S25="",OR(R25="Contract signed + paid",R25="Closed – No response",R25="Lost"),N(T25)&gt;=Settings!$S$3),"",S25+Settings!$S$2)</f>
        <v/>
      </c>
      <c r="V25" s="40"/>
      <c r="W25" s="41"/>
      <c r="X25" s="17"/>
      <c r="Y25" s="17"/>
      <c r="Z25" s="17"/>
      <c r="AA25" s="46" t="str">
        <f aca="true">IF(OR(D25="",B25=""),"",INT(TODAY()-B25))</f>
        <v/>
      </c>
      <c r="AB25" s="44" t="str">
        <f aca="true">IF(D25="","",IF(OR(COUNTIFS(Clients!$C$2:$C$501,D25,Clients!$S$2:$S$501,"Paid")&gt;0,AND(H25&lt;&gt;"",COUNTIFS(Clients!$E$2:$E$501,H25,Clients!$S$2:$S$501,"Paid")&gt;0)),"⚠ Refunded before – no free video",IF(OR(R25="Contract signed + paid",R25="Closed – No response",R25="Lost"),"",IF(R25="","Set a stage",IF(AND(R25="Proposal sent",SUMIFS(Scoresheet!$N$2:$N$501,Scoresheet!$C$2:$C$501,A25,Scoresheet!$U$2:$U$501,1)&lt;6),"Score this lead – fill the call scoresheet",IF(N(T25)&gt;=Settings!$S$3,"Close – 4 follow-ups sent",IF(U25="",IF(S25="","Make first contact",""),IF(TODAY()&gt;U25,"OVERDUE follow-up",IF(TODAY()=U25,"Follow up today","")))))))))</f>
        <v/>
      </c>
    </row>
    <row r="26" customFormat="false" ht="15" hidden="false" customHeight="false" outlineLevel="0" collapsed="false">
      <c r="A26" s="17"/>
      <c r="B26" s="40"/>
      <c r="C26" s="17"/>
      <c r="D26" s="17"/>
      <c r="E26" s="17"/>
      <c r="F26" s="17"/>
      <c r="G26" s="17"/>
      <c r="H26" s="42"/>
      <c r="I26" s="17"/>
      <c r="J26" s="17"/>
      <c r="K26" s="17"/>
      <c r="L26" s="17"/>
      <c r="M26" s="17"/>
      <c r="N26" s="44" t="str">
        <f aca="false">IF(OR(D26="",A26="",COUNTIFS(Scoresheet!$C$2:$C$501,A26,Scoresheet!$U$2:$U$501,1)=0),"",SUMIFS(Scoresheet!$O$2:$O$501,Scoresheet!$C$2:$C$501,A26,Scoresheet!$U$2:$U$501,1))</f>
        <v/>
      </c>
      <c r="O26" s="44" t="str">
        <f aca="false">IF(D26="","",IF(OR(A26="",COUNTIFS(Scoresheet!$C$2:$C$501,A26,Scoresheet!$U$2:$U$501,1)=0),"No scoresheet yet",IF(SUMIFS(Scoresheet!$N$2:$N$501,Scoresheet!$C$2:$C$501,A26,Scoresheet!$U$2:$U$501,1)&lt;6,"Partly scored ("&amp;SUMIFS(Scoresheet!$N$2:$N$501,Scoresheet!$C$2:$C$501,A26,Scoresheet!$U$2:$U$501,1)&amp;"/6)",IF(N26&gt;=Settings!$S$8,"Hot",IF(N26&gt;=Settings!$S$9,"Warm","Cold")))))</f>
        <v/>
      </c>
      <c r="P26" s="44" t="str">
        <f aca="false">IF(OR(D26="",A26=""),"",IF(AND(COUNTIFS(Scoresheet!$C$2:$C$501,A26,Scoresheet!$U$2:$U$501,1,Scoresheet!$H$2:$H$501,"No")&gt;0,COUNTIFS(Scoresheet!$C$2:$C$501,A26,Scoresheet!$U$2:$U$501,1,Scoresheet!$J$2:$J$501,"No")&gt;0),"🚩 Budget  ·  🚩 No one on camera",IF(COUNTIFS(Scoresheet!$C$2:$C$501,A26,Scoresheet!$U$2:$U$501,1,Scoresheet!$H$2:$H$501,"No")&gt;0,"🚩 Budget under AED 5k",IF(COUNTIFS(Scoresheet!$C$2:$C$501,A26,Scoresheet!$U$2:$U$501,1,Scoresheet!$J$2:$J$501,"No")&gt;0,"🚩 No one on camera",""))))</f>
        <v/>
      </c>
      <c r="Q26" s="17"/>
      <c r="R26" s="17"/>
      <c r="S26" s="40"/>
      <c r="T26" s="17"/>
      <c r="U26" s="45" t="str">
        <f aca="false">IF(OR(D26="",S26="",OR(R26="Contract signed + paid",R26="Closed – No response",R26="Lost"),N(T26)&gt;=Settings!$S$3),"",S26+Settings!$S$2)</f>
        <v/>
      </c>
      <c r="V26" s="40"/>
      <c r="W26" s="41"/>
      <c r="X26" s="17"/>
      <c r="Y26" s="17"/>
      <c r="Z26" s="17"/>
      <c r="AA26" s="46" t="str">
        <f aca="true">IF(OR(D26="",B26=""),"",INT(TODAY()-B26))</f>
        <v/>
      </c>
      <c r="AB26" s="44" t="str">
        <f aca="true">IF(D26="","",IF(OR(COUNTIFS(Clients!$C$2:$C$501,D26,Clients!$S$2:$S$501,"Paid")&gt;0,AND(H26&lt;&gt;"",COUNTIFS(Clients!$E$2:$E$501,H26,Clients!$S$2:$S$501,"Paid")&gt;0)),"⚠ Refunded before – no free video",IF(OR(R26="Contract signed + paid",R26="Closed – No response",R26="Lost"),"",IF(R26="","Set a stage",IF(AND(R26="Proposal sent",SUMIFS(Scoresheet!$N$2:$N$501,Scoresheet!$C$2:$C$501,A26,Scoresheet!$U$2:$U$501,1)&lt;6),"Score this lead – fill the call scoresheet",IF(N(T26)&gt;=Settings!$S$3,"Close – 4 follow-ups sent",IF(U26="",IF(S26="","Make first contact",""),IF(TODAY()&gt;U26,"OVERDUE follow-up",IF(TODAY()=U26,"Follow up today","")))))))))</f>
        <v/>
      </c>
    </row>
    <row r="27" customFormat="false" ht="15" hidden="false" customHeight="false" outlineLevel="0" collapsed="false">
      <c r="A27" s="17"/>
      <c r="B27" s="40"/>
      <c r="C27" s="17"/>
      <c r="D27" s="17"/>
      <c r="E27" s="17"/>
      <c r="F27" s="17"/>
      <c r="G27" s="17"/>
      <c r="H27" s="42"/>
      <c r="I27" s="17"/>
      <c r="J27" s="17"/>
      <c r="K27" s="17"/>
      <c r="L27" s="17"/>
      <c r="M27" s="17"/>
      <c r="N27" s="44" t="str">
        <f aca="false">IF(OR(D27="",A27="",COUNTIFS(Scoresheet!$C$2:$C$501,A27,Scoresheet!$U$2:$U$501,1)=0),"",SUMIFS(Scoresheet!$O$2:$O$501,Scoresheet!$C$2:$C$501,A27,Scoresheet!$U$2:$U$501,1))</f>
        <v/>
      </c>
      <c r="O27" s="44" t="str">
        <f aca="false">IF(D27="","",IF(OR(A27="",COUNTIFS(Scoresheet!$C$2:$C$501,A27,Scoresheet!$U$2:$U$501,1)=0),"No scoresheet yet",IF(SUMIFS(Scoresheet!$N$2:$N$501,Scoresheet!$C$2:$C$501,A27,Scoresheet!$U$2:$U$501,1)&lt;6,"Partly scored ("&amp;SUMIFS(Scoresheet!$N$2:$N$501,Scoresheet!$C$2:$C$501,A27,Scoresheet!$U$2:$U$501,1)&amp;"/6)",IF(N27&gt;=Settings!$S$8,"Hot",IF(N27&gt;=Settings!$S$9,"Warm","Cold")))))</f>
        <v/>
      </c>
      <c r="P27" s="44" t="str">
        <f aca="false">IF(OR(D27="",A27=""),"",IF(AND(COUNTIFS(Scoresheet!$C$2:$C$501,A27,Scoresheet!$U$2:$U$501,1,Scoresheet!$H$2:$H$501,"No")&gt;0,COUNTIFS(Scoresheet!$C$2:$C$501,A27,Scoresheet!$U$2:$U$501,1,Scoresheet!$J$2:$J$501,"No")&gt;0),"🚩 Budget  ·  🚩 No one on camera",IF(COUNTIFS(Scoresheet!$C$2:$C$501,A27,Scoresheet!$U$2:$U$501,1,Scoresheet!$H$2:$H$501,"No")&gt;0,"🚩 Budget under AED 5k",IF(COUNTIFS(Scoresheet!$C$2:$C$501,A27,Scoresheet!$U$2:$U$501,1,Scoresheet!$J$2:$J$501,"No")&gt;0,"🚩 No one on camera",""))))</f>
        <v/>
      </c>
      <c r="Q27" s="17"/>
      <c r="R27" s="17"/>
      <c r="S27" s="40"/>
      <c r="T27" s="17"/>
      <c r="U27" s="45" t="str">
        <f aca="false">IF(OR(D27="",S27="",OR(R27="Contract signed + paid",R27="Closed – No response",R27="Lost"),N(T27)&gt;=Settings!$S$3),"",S27+Settings!$S$2)</f>
        <v/>
      </c>
      <c r="V27" s="40"/>
      <c r="W27" s="41"/>
      <c r="X27" s="17"/>
      <c r="Y27" s="17"/>
      <c r="Z27" s="17"/>
      <c r="AA27" s="46" t="str">
        <f aca="true">IF(OR(D27="",B27=""),"",INT(TODAY()-B27))</f>
        <v/>
      </c>
      <c r="AB27" s="44" t="str">
        <f aca="true">IF(D27="","",IF(OR(COUNTIFS(Clients!$C$2:$C$501,D27,Clients!$S$2:$S$501,"Paid")&gt;0,AND(H27&lt;&gt;"",COUNTIFS(Clients!$E$2:$E$501,H27,Clients!$S$2:$S$501,"Paid")&gt;0)),"⚠ Refunded before – no free video",IF(OR(R27="Contract signed + paid",R27="Closed – No response",R27="Lost"),"",IF(R27="","Set a stage",IF(AND(R27="Proposal sent",SUMIFS(Scoresheet!$N$2:$N$501,Scoresheet!$C$2:$C$501,A27,Scoresheet!$U$2:$U$501,1)&lt;6),"Score this lead – fill the call scoresheet",IF(N(T27)&gt;=Settings!$S$3,"Close – 4 follow-ups sent",IF(U27="",IF(S27="","Make first contact",""),IF(TODAY()&gt;U27,"OVERDUE follow-up",IF(TODAY()=U27,"Follow up today","")))))))))</f>
        <v/>
      </c>
    </row>
    <row r="28" customFormat="false" ht="15" hidden="false" customHeight="false" outlineLevel="0" collapsed="false">
      <c r="A28" s="17"/>
      <c r="B28" s="40"/>
      <c r="C28" s="17"/>
      <c r="D28" s="17"/>
      <c r="E28" s="17"/>
      <c r="F28" s="17"/>
      <c r="G28" s="17"/>
      <c r="H28" s="42"/>
      <c r="I28" s="17"/>
      <c r="J28" s="17"/>
      <c r="K28" s="17"/>
      <c r="L28" s="17"/>
      <c r="M28" s="17"/>
      <c r="N28" s="44" t="str">
        <f aca="false">IF(OR(D28="",A28="",COUNTIFS(Scoresheet!$C$2:$C$501,A28,Scoresheet!$U$2:$U$501,1)=0),"",SUMIFS(Scoresheet!$O$2:$O$501,Scoresheet!$C$2:$C$501,A28,Scoresheet!$U$2:$U$501,1))</f>
        <v/>
      </c>
      <c r="O28" s="44" t="str">
        <f aca="false">IF(D28="","",IF(OR(A28="",COUNTIFS(Scoresheet!$C$2:$C$501,A28,Scoresheet!$U$2:$U$501,1)=0),"No scoresheet yet",IF(SUMIFS(Scoresheet!$N$2:$N$501,Scoresheet!$C$2:$C$501,A28,Scoresheet!$U$2:$U$501,1)&lt;6,"Partly scored ("&amp;SUMIFS(Scoresheet!$N$2:$N$501,Scoresheet!$C$2:$C$501,A28,Scoresheet!$U$2:$U$501,1)&amp;"/6)",IF(N28&gt;=Settings!$S$8,"Hot",IF(N28&gt;=Settings!$S$9,"Warm","Cold")))))</f>
        <v/>
      </c>
      <c r="P28" s="44" t="str">
        <f aca="false">IF(OR(D28="",A28=""),"",IF(AND(COUNTIFS(Scoresheet!$C$2:$C$501,A28,Scoresheet!$U$2:$U$501,1,Scoresheet!$H$2:$H$501,"No")&gt;0,COUNTIFS(Scoresheet!$C$2:$C$501,A28,Scoresheet!$U$2:$U$501,1,Scoresheet!$J$2:$J$501,"No")&gt;0),"🚩 Budget  ·  🚩 No one on camera",IF(COUNTIFS(Scoresheet!$C$2:$C$501,A28,Scoresheet!$U$2:$U$501,1,Scoresheet!$H$2:$H$501,"No")&gt;0,"🚩 Budget under AED 5k",IF(COUNTIFS(Scoresheet!$C$2:$C$501,A28,Scoresheet!$U$2:$U$501,1,Scoresheet!$J$2:$J$501,"No")&gt;0,"🚩 No one on camera",""))))</f>
        <v/>
      </c>
      <c r="Q28" s="17"/>
      <c r="R28" s="17"/>
      <c r="S28" s="40"/>
      <c r="T28" s="17"/>
      <c r="U28" s="45" t="str">
        <f aca="false">IF(OR(D28="",S28="",OR(R28="Contract signed + paid",R28="Closed – No response",R28="Lost"),N(T28)&gt;=Settings!$S$3),"",S28+Settings!$S$2)</f>
        <v/>
      </c>
      <c r="V28" s="40"/>
      <c r="W28" s="41"/>
      <c r="X28" s="17"/>
      <c r="Y28" s="17"/>
      <c r="Z28" s="17"/>
      <c r="AA28" s="46" t="str">
        <f aca="true">IF(OR(D28="",B28=""),"",INT(TODAY()-B28))</f>
        <v/>
      </c>
      <c r="AB28" s="44" t="str">
        <f aca="true">IF(D28="","",IF(OR(COUNTIFS(Clients!$C$2:$C$501,D28,Clients!$S$2:$S$501,"Paid")&gt;0,AND(H28&lt;&gt;"",COUNTIFS(Clients!$E$2:$E$501,H28,Clients!$S$2:$S$501,"Paid")&gt;0)),"⚠ Refunded before – no free video",IF(OR(R28="Contract signed + paid",R28="Closed – No response",R28="Lost"),"",IF(R28="","Set a stage",IF(AND(R28="Proposal sent",SUMIFS(Scoresheet!$N$2:$N$501,Scoresheet!$C$2:$C$501,A28,Scoresheet!$U$2:$U$501,1)&lt;6),"Score this lead – fill the call scoresheet",IF(N(T28)&gt;=Settings!$S$3,"Close – 4 follow-ups sent",IF(U28="",IF(S28="","Make first contact",""),IF(TODAY()&gt;U28,"OVERDUE follow-up",IF(TODAY()=U28,"Follow up today","")))))))))</f>
        <v/>
      </c>
    </row>
    <row r="29" customFormat="false" ht="15" hidden="false" customHeight="false" outlineLevel="0" collapsed="false">
      <c r="A29" s="17"/>
      <c r="B29" s="40"/>
      <c r="C29" s="17"/>
      <c r="D29" s="17"/>
      <c r="E29" s="17"/>
      <c r="F29" s="17"/>
      <c r="G29" s="17"/>
      <c r="H29" s="42"/>
      <c r="I29" s="17"/>
      <c r="J29" s="17"/>
      <c r="K29" s="17"/>
      <c r="L29" s="17"/>
      <c r="M29" s="17"/>
      <c r="N29" s="44" t="str">
        <f aca="false">IF(OR(D29="",A29="",COUNTIFS(Scoresheet!$C$2:$C$501,A29,Scoresheet!$U$2:$U$501,1)=0),"",SUMIFS(Scoresheet!$O$2:$O$501,Scoresheet!$C$2:$C$501,A29,Scoresheet!$U$2:$U$501,1))</f>
        <v/>
      </c>
      <c r="O29" s="44" t="str">
        <f aca="false">IF(D29="","",IF(OR(A29="",COUNTIFS(Scoresheet!$C$2:$C$501,A29,Scoresheet!$U$2:$U$501,1)=0),"No scoresheet yet",IF(SUMIFS(Scoresheet!$N$2:$N$501,Scoresheet!$C$2:$C$501,A29,Scoresheet!$U$2:$U$501,1)&lt;6,"Partly scored ("&amp;SUMIFS(Scoresheet!$N$2:$N$501,Scoresheet!$C$2:$C$501,A29,Scoresheet!$U$2:$U$501,1)&amp;"/6)",IF(N29&gt;=Settings!$S$8,"Hot",IF(N29&gt;=Settings!$S$9,"Warm","Cold")))))</f>
        <v/>
      </c>
      <c r="P29" s="44" t="str">
        <f aca="false">IF(OR(D29="",A29=""),"",IF(AND(COUNTIFS(Scoresheet!$C$2:$C$501,A29,Scoresheet!$U$2:$U$501,1,Scoresheet!$H$2:$H$501,"No")&gt;0,COUNTIFS(Scoresheet!$C$2:$C$501,A29,Scoresheet!$U$2:$U$501,1,Scoresheet!$J$2:$J$501,"No")&gt;0),"🚩 Budget  ·  🚩 No one on camera",IF(COUNTIFS(Scoresheet!$C$2:$C$501,A29,Scoresheet!$U$2:$U$501,1,Scoresheet!$H$2:$H$501,"No")&gt;0,"🚩 Budget under AED 5k",IF(COUNTIFS(Scoresheet!$C$2:$C$501,A29,Scoresheet!$U$2:$U$501,1,Scoresheet!$J$2:$J$501,"No")&gt;0,"🚩 No one on camera",""))))</f>
        <v/>
      </c>
      <c r="Q29" s="17"/>
      <c r="R29" s="17"/>
      <c r="S29" s="40"/>
      <c r="T29" s="17"/>
      <c r="U29" s="45" t="str">
        <f aca="false">IF(OR(D29="",S29="",OR(R29="Contract signed + paid",R29="Closed – No response",R29="Lost"),N(T29)&gt;=Settings!$S$3),"",S29+Settings!$S$2)</f>
        <v/>
      </c>
      <c r="V29" s="40"/>
      <c r="W29" s="41"/>
      <c r="X29" s="17"/>
      <c r="Y29" s="17"/>
      <c r="Z29" s="17"/>
      <c r="AA29" s="46" t="str">
        <f aca="true">IF(OR(D29="",B29=""),"",INT(TODAY()-B29))</f>
        <v/>
      </c>
      <c r="AB29" s="44" t="str">
        <f aca="true">IF(D29="","",IF(OR(COUNTIFS(Clients!$C$2:$C$501,D29,Clients!$S$2:$S$501,"Paid")&gt;0,AND(H29&lt;&gt;"",COUNTIFS(Clients!$E$2:$E$501,H29,Clients!$S$2:$S$501,"Paid")&gt;0)),"⚠ Refunded before – no free video",IF(OR(R29="Contract signed + paid",R29="Closed – No response",R29="Lost"),"",IF(R29="","Set a stage",IF(AND(R29="Proposal sent",SUMIFS(Scoresheet!$N$2:$N$501,Scoresheet!$C$2:$C$501,A29,Scoresheet!$U$2:$U$501,1)&lt;6),"Score this lead – fill the call scoresheet",IF(N(T29)&gt;=Settings!$S$3,"Close – 4 follow-ups sent",IF(U29="",IF(S29="","Make first contact",""),IF(TODAY()&gt;U29,"OVERDUE follow-up",IF(TODAY()=U29,"Follow up today","")))))))))</f>
        <v/>
      </c>
    </row>
    <row r="30" customFormat="false" ht="15" hidden="false" customHeight="false" outlineLevel="0" collapsed="false">
      <c r="A30" s="17"/>
      <c r="B30" s="40"/>
      <c r="C30" s="17"/>
      <c r="D30" s="17"/>
      <c r="E30" s="17"/>
      <c r="F30" s="17"/>
      <c r="G30" s="17"/>
      <c r="H30" s="42"/>
      <c r="I30" s="17"/>
      <c r="J30" s="17"/>
      <c r="K30" s="17"/>
      <c r="L30" s="17"/>
      <c r="M30" s="17"/>
      <c r="N30" s="44" t="str">
        <f aca="false">IF(OR(D30="",A30="",COUNTIFS(Scoresheet!$C$2:$C$501,A30,Scoresheet!$U$2:$U$501,1)=0),"",SUMIFS(Scoresheet!$O$2:$O$501,Scoresheet!$C$2:$C$501,A30,Scoresheet!$U$2:$U$501,1))</f>
        <v/>
      </c>
      <c r="O30" s="44" t="str">
        <f aca="false">IF(D30="","",IF(OR(A30="",COUNTIFS(Scoresheet!$C$2:$C$501,A30,Scoresheet!$U$2:$U$501,1)=0),"No scoresheet yet",IF(SUMIFS(Scoresheet!$N$2:$N$501,Scoresheet!$C$2:$C$501,A30,Scoresheet!$U$2:$U$501,1)&lt;6,"Partly scored ("&amp;SUMIFS(Scoresheet!$N$2:$N$501,Scoresheet!$C$2:$C$501,A30,Scoresheet!$U$2:$U$501,1)&amp;"/6)",IF(N30&gt;=Settings!$S$8,"Hot",IF(N30&gt;=Settings!$S$9,"Warm","Cold")))))</f>
        <v/>
      </c>
      <c r="P30" s="44" t="str">
        <f aca="false">IF(OR(D30="",A30=""),"",IF(AND(COUNTIFS(Scoresheet!$C$2:$C$501,A30,Scoresheet!$U$2:$U$501,1,Scoresheet!$H$2:$H$501,"No")&gt;0,COUNTIFS(Scoresheet!$C$2:$C$501,A30,Scoresheet!$U$2:$U$501,1,Scoresheet!$J$2:$J$501,"No")&gt;0),"🚩 Budget  ·  🚩 No one on camera",IF(COUNTIFS(Scoresheet!$C$2:$C$501,A30,Scoresheet!$U$2:$U$501,1,Scoresheet!$H$2:$H$501,"No")&gt;0,"🚩 Budget under AED 5k",IF(COUNTIFS(Scoresheet!$C$2:$C$501,A30,Scoresheet!$U$2:$U$501,1,Scoresheet!$J$2:$J$501,"No")&gt;0,"🚩 No one on camera",""))))</f>
        <v/>
      </c>
      <c r="Q30" s="17"/>
      <c r="R30" s="17"/>
      <c r="S30" s="40"/>
      <c r="T30" s="17"/>
      <c r="U30" s="45" t="str">
        <f aca="false">IF(OR(D30="",S30="",OR(R30="Contract signed + paid",R30="Closed – No response",R30="Lost"),N(T30)&gt;=Settings!$S$3),"",S30+Settings!$S$2)</f>
        <v/>
      </c>
      <c r="V30" s="40"/>
      <c r="W30" s="41"/>
      <c r="X30" s="17"/>
      <c r="Y30" s="17"/>
      <c r="Z30" s="17"/>
      <c r="AA30" s="46" t="str">
        <f aca="true">IF(OR(D30="",B30=""),"",INT(TODAY()-B30))</f>
        <v/>
      </c>
      <c r="AB30" s="44" t="str">
        <f aca="true">IF(D30="","",IF(OR(COUNTIFS(Clients!$C$2:$C$501,D30,Clients!$S$2:$S$501,"Paid")&gt;0,AND(H30&lt;&gt;"",COUNTIFS(Clients!$E$2:$E$501,H30,Clients!$S$2:$S$501,"Paid")&gt;0)),"⚠ Refunded before – no free video",IF(OR(R30="Contract signed + paid",R30="Closed – No response",R30="Lost"),"",IF(R30="","Set a stage",IF(AND(R30="Proposal sent",SUMIFS(Scoresheet!$N$2:$N$501,Scoresheet!$C$2:$C$501,A30,Scoresheet!$U$2:$U$501,1)&lt;6),"Score this lead – fill the call scoresheet",IF(N(T30)&gt;=Settings!$S$3,"Close – 4 follow-ups sent",IF(U30="",IF(S30="","Make first contact",""),IF(TODAY()&gt;U30,"OVERDUE follow-up",IF(TODAY()=U30,"Follow up today","")))))))))</f>
        <v/>
      </c>
    </row>
    <row r="31" customFormat="false" ht="15" hidden="false" customHeight="false" outlineLevel="0" collapsed="false">
      <c r="A31" s="17"/>
      <c r="B31" s="40"/>
      <c r="C31" s="17"/>
      <c r="D31" s="17"/>
      <c r="E31" s="17"/>
      <c r="F31" s="17"/>
      <c r="G31" s="17"/>
      <c r="H31" s="42"/>
      <c r="I31" s="17"/>
      <c r="J31" s="17"/>
      <c r="K31" s="17"/>
      <c r="L31" s="17"/>
      <c r="M31" s="17"/>
      <c r="N31" s="44" t="str">
        <f aca="false">IF(OR(D31="",A31="",COUNTIFS(Scoresheet!$C$2:$C$501,A31,Scoresheet!$U$2:$U$501,1)=0),"",SUMIFS(Scoresheet!$O$2:$O$501,Scoresheet!$C$2:$C$501,A31,Scoresheet!$U$2:$U$501,1))</f>
        <v/>
      </c>
      <c r="O31" s="44" t="str">
        <f aca="false">IF(D31="","",IF(OR(A31="",COUNTIFS(Scoresheet!$C$2:$C$501,A31,Scoresheet!$U$2:$U$501,1)=0),"No scoresheet yet",IF(SUMIFS(Scoresheet!$N$2:$N$501,Scoresheet!$C$2:$C$501,A31,Scoresheet!$U$2:$U$501,1)&lt;6,"Partly scored ("&amp;SUMIFS(Scoresheet!$N$2:$N$501,Scoresheet!$C$2:$C$501,A31,Scoresheet!$U$2:$U$501,1)&amp;"/6)",IF(N31&gt;=Settings!$S$8,"Hot",IF(N31&gt;=Settings!$S$9,"Warm","Cold")))))</f>
        <v/>
      </c>
      <c r="P31" s="44" t="str">
        <f aca="false">IF(OR(D31="",A31=""),"",IF(AND(COUNTIFS(Scoresheet!$C$2:$C$501,A31,Scoresheet!$U$2:$U$501,1,Scoresheet!$H$2:$H$501,"No")&gt;0,COUNTIFS(Scoresheet!$C$2:$C$501,A31,Scoresheet!$U$2:$U$501,1,Scoresheet!$J$2:$J$501,"No")&gt;0),"🚩 Budget  ·  🚩 No one on camera",IF(COUNTIFS(Scoresheet!$C$2:$C$501,A31,Scoresheet!$U$2:$U$501,1,Scoresheet!$H$2:$H$501,"No")&gt;0,"🚩 Budget under AED 5k",IF(COUNTIFS(Scoresheet!$C$2:$C$501,A31,Scoresheet!$U$2:$U$501,1,Scoresheet!$J$2:$J$501,"No")&gt;0,"🚩 No one on camera",""))))</f>
        <v/>
      </c>
      <c r="Q31" s="17"/>
      <c r="R31" s="17"/>
      <c r="S31" s="40"/>
      <c r="T31" s="17"/>
      <c r="U31" s="45" t="str">
        <f aca="false">IF(OR(D31="",S31="",OR(R31="Contract signed + paid",R31="Closed – No response",R31="Lost"),N(T31)&gt;=Settings!$S$3),"",S31+Settings!$S$2)</f>
        <v/>
      </c>
      <c r="V31" s="40"/>
      <c r="W31" s="41"/>
      <c r="X31" s="17"/>
      <c r="Y31" s="17"/>
      <c r="Z31" s="17"/>
      <c r="AA31" s="46" t="str">
        <f aca="true">IF(OR(D31="",B31=""),"",INT(TODAY()-B31))</f>
        <v/>
      </c>
      <c r="AB31" s="44" t="str">
        <f aca="true">IF(D31="","",IF(OR(COUNTIFS(Clients!$C$2:$C$501,D31,Clients!$S$2:$S$501,"Paid")&gt;0,AND(H31&lt;&gt;"",COUNTIFS(Clients!$E$2:$E$501,H31,Clients!$S$2:$S$501,"Paid")&gt;0)),"⚠ Refunded before – no free video",IF(OR(R31="Contract signed + paid",R31="Closed – No response",R31="Lost"),"",IF(R31="","Set a stage",IF(AND(R31="Proposal sent",SUMIFS(Scoresheet!$N$2:$N$501,Scoresheet!$C$2:$C$501,A31,Scoresheet!$U$2:$U$501,1)&lt;6),"Score this lead – fill the call scoresheet",IF(N(T31)&gt;=Settings!$S$3,"Close – 4 follow-ups sent",IF(U31="",IF(S31="","Make first contact",""),IF(TODAY()&gt;U31,"OVERDUE follow-up",IF(TODAY()=U31,"Follow up today","")))))))))</f>
        <v/>
      </c>
    </row>
    <row r="32" customFormat="false" ht="15" hidden="false" customHeight="false" outlineLevel="0" collapsed="false">
      <c r="A32" s="17"/>
      <c r="B32" s="40"/>
      <c r="C32" s="17"/>
      <c r="D32" s="17"/>
      <c r="E32" s="17"/>
      <c r="F32" s="17"/>
      <c r="G32" s="17"/>
      <c r="H32" s="42"/>
      <c r="I32" s="17"/>
      <c r="J32" s="17"/>
      <c r="K32" s="17"/>
      <c r="L32" s="17"/>
      <c r="M32" s="17"/>
      <c r="N32" s="44" t="str">
        <f aca="false">IF(OR(D32="",A32="",COUNTIFS(Scoresheet!$C$2:$C$501,A32,Scoresheet!$U$2:$U$501,1)=0),"",SUMIFS(Scoresheet!$O$2:$O$501,Scoresheet!$C$2:$C$501,A32,Scoresheet!$U$2:$U$501,1))</f>
        <v/>
      </c>
      <c r="O32" s="44" t="str">
        <f aca="false">IF(D32="","",IF(OR(A32="",COUNTIFS(Scoresheet!$C$2:$C$501,A32,Scoresheet!$U$2:$U$501,1)=0),"No scoresheet yet",IF(SUMIFS(Scoresheet!$N$2:$N$501,Scoresheet!$C$2:$C$501,A32,Scoresheet!$U$2:$U$501,1)&lt;6,"Partly scored ("&amp;SUMIFS(Scoresheet!$N$2:$N$501,Scoresheet!$C$2:$C$501,A32,Scoresheet!$U$2:$U$501,1)&amp;"/6)",IF(N32&gt;=Settings!$S$8,"Hot",IF(N32&gt;=Settings!$S$9,"Warm","Cold")))))</f>
        <v/>
      </c>
      <c r="P32" s="44" t="str">
        <f aca="false">IF(OR(D32="",A32=""),"",IF(AND(COUNTIFS(Scoresheet!$C$2:$C$501,A32,Scoresheet!$U$2:$U$501,1,Scoresheet!$H$2:$H$501,"No")&gt;0,COUNTIFS(Scoresheet!$C$2:$C$501,A32,Scoresheet!$U$2:$U$501,1,Scoresheet!$J$2:$J$501,"No")&gt;0),"🚩 Budget  ·  🚩 No one on camera",IF(COUNTIFS(Scoresheet!$C$2:$C$501,A32,Scoresheet!$U$2:$U$501,1,Scoresheet!$H$2:$H$501,"No")&gt;0,"🚩 Budget under AED 5k",IF(COUNTIFS(Scoresheet!$C$2:$C$501,A32,Scoresheet!$U$2:$U$501,1,Scoresheet!$J$2:$J$501,"No")&gt;0,"🚩 No one on camera",""))))</f>
        <v/>
      </c>
      <c r="Q32" s="17"/>
      <c r="R32" s="17"/>
      <c r="S32" s="40"/>
      <c r="T32" s="17"/>
      <c r="U32" s="45" t="str">
        <f aca="false">IF(OR(D32="",S32="",OR(R32="Contract signed + paid",R32="Closed – No response",R32="Lost"),N(T32)&gt;=Settings!$S$3),"",S32+Settings!$S$2)</f>
        <v/>
      </c>
      <c r="V32" s="40"/>
      <c r="W32" s="41"/>
      <c r="X32" s="17"/>
      <c r="Y32" s="17"/>
      <c r="Z32" s="17"/>
      <c r="AA32" s="46" t="str">
        <f aca="true">IF(OR(D32="",B32=""),"",INT(TODAY()-B32))</f>
        <v/>
      </c>
      <c r="AB32" s="44" t="str">
        <f aca="true">IF(D32="","",IF(OR(COUNTIFS(Clients!$C$2:$C$501,D32,Clients!$S$2:$S$501,"Paid")&gt;0,AND(H32&lt;&gt;"",COUNTIFS(Clients!$E$2:$E$501,H32,Clients!$S$2:$S$501,"Paid")&gt;0)),"⚠ Refunded before – no free video",IF(OR(R32="Contract signed + paid",R32="Closed – No response",R32="Lost"),"",IF(R32="","Set a stage",IF(AND(R32="Proposal sent",SUMIFS(Scoresheet!$N$2:$N$501,Scoresheet!$C$2:$C$501,A32,Scoresheet!$U$2:$U$501,1)&lt;6),"Score this lead – fill the call scoresheet",IF(N(T32)&gt;=Settings!$S$3,"Close – 4 follow-ups sent",IF(U32="",IF(S32="","Make first contact",""),IF(TODAY()&gt;U32,"OVERDUE follow-up",IF(TODAY()=U32,"Follow up today","")))))))))</f>
        <v/>
      </c>
    </row>
    <row r="33" customFormat="false" ht="15" hidden="false" customHeight="false" outlineLevel="0" collapsed="false">
      <c r="A33" s="17"/>
      <c r="B33" s="40"/>
      <c r="C33" s="17"/>
      <c r="D33" s="17"/>
      <c r="E33" s="17"/>
      <c r="F33" s="17"/>
      <c r="G33" s="17"/>
      <c r="H33" s="42"/>
      <c r="I33" s="17"/>
      <c r="J33" s="17"/>
      <c r="K33" s="17"/>
      <c r="L33" s="17"/>
      <c r="M33" s="17"/>
      <c r="N33" s="44" t="str">
        <f aca="false">IF(OR(D33="",A33="",COUNTIFS(Scoresheet!$C$2:$C$501,A33,Scoresheet!$U$2:$U$501,1)=0),"",SUMIFS(Scoresheet!$O$2:$O$501,Scoresheet!$C$2:$C$501,A33,Scoresheet!$U$2:$U$501,1))</f>
        <v/>
      </c>
      <c r="O33" s="44" t="str">
        <f aca="false">IF(D33="","",IF(OR(A33="",COUNTIFS(Scoresheet!$C$2:$C$501,A33,Scoresheet!$U$2:$U$501,1)=0),"No scoresheet yet",IF(SUMIFS(Scoresheet!$N$2:$N$501,Scoresheet!$C$2:$C$501,A33,Scoresheet!$U$2:$U$501,1)&lt;6,"Partly scored ("&amp;SUMIFS(Scoresheet!$N$2:$N$501,Scoresheet!$C$2:$C$501,A33,Scoresheet!$U$2:$U$501,1)&amp;"/6)",IF(N33&gt;=Settings!$S$8,"Hot",IF(N33&gt;=Settings!$S$9,"Warm","Cold")))))</f>
        <v/>
      </c>
      <c r="P33" s="44" t="str">
        <f aca="false">IF(OR(D33="",A33=""),"",IF(AND(COUNTIFS(Scoresheet!$C$2:$C$501,A33,Scoresheet!$U$2:$U$501,1,Scoresheet!$H$2:$H$501,"No")&gt;0,COUNTIFS(Scoresheet!$C$2:$C$501,A33,Scoresheet!$U$2:$U$501,1,Scoresheet!$J$2:$J$501,"No")&gt;0),"🚩 Budget  ·  🚩 No one on camera",IF(COUNTIFS(Scoresheet!$C$2:$C$501,A33,Scoresheet!$U$2:$U$501,1,Scoresheet!$H$2:$H$501,"No")&gt;0,"🚩 Budget under AED 5k",IF(COUNTIFS(Scoresheet!$C$2:$C$501,A33,Scoresheet!$U$2:$U$501,1,Scoresheet!$J$2:$J$501,"No")&gt;0,"🚩 No one on camera",""))))</f>
        <v/>
      </c>
      <c r="Q33" s="17"/>
      <c r="R33" s="17"/>
      <c r="S33" s="40"/>
      <c r="T33" s="17"/>
      <c r="U33" s="45" t="str">
        <f aca="false">IF(OR(D33="",S33="",OR(R33="Contract signed + paid",R33="Closed – No response",R33="Lost"),N(T33)&gt;=Settings!$S$3),"",S33+Settings!$S$2)</f>
        <v/>
      </c>
      <c r="V33" s="40"/>
      <c r="W33" s="41"/>
      <c r="X33" s="17"/>
      <c r="Y33" s="17"/>
      <c r="Z33" s="17"/>
      <c r="AA33" s="46" t="str">
        <f aca="true">IF(OR(D33="",B33=""),"",INT(TODAY()-B33))</f>
        <v/>
      </c>
      <c r="AB33" s="44" t="str">
        <f aca="true">IF(D33="","",IF(OR(COUNTIFS(Clients!$C$2:$C$501,D33,Clients!$S$2:$S$501,"Paid")&gt;0,AND(H33&lt;&gt;"",COUNTIFS(Clients!$E$2:$E$501,H33,Clients!$S$2:$S$501,"Paid")&gt;0)),"⚠ Refunded before – no free video",IF(OR(R33="Contract signed + paid",R33="Closed – No response",R33="Lost"),"",IF(R33="","Set a stage",IF(AND(R33="Proposal sent",SUMIFS(Scoresheet!$N$2:$N$501,Scoresheet!$C$2:$C$501,A33,Scoresheet!$U$2:$U$501,1)&lt;6),"Score this lead – fill the call scoresheet",IF(N(T33)&gt;=Settings!$S$3,"Close – 4 follow-ups sent",IF(U33="",IF(S33="","Make first contact",""),IF(TODAY()&gt;U33,"OVERDUE follow-up",IF(TODAY()=U33,"Follow up today","")))))))))</f>
        <v/>
      </c>
    </row>
    <row r="34" customFormat="false" ht="15" hidden="false" customHeight="false" outlineLevel="0" collapsed="false">
      <c r="A34" s="17"/>
      <c r="B34" s="40"/>
      <c r="C34" s="17"/>
      <c r="D34" s="17"/>
      <c r="E34" s="17"/>
      <c r="F34" s="17"/>
      <c r="G34" s="17"/>
      <c r="H34" s="42"/>
      <c r="I34" s="17"/>
      <c r="J34" s="17"/>
      <c r="K34" s="17"/>
      <c r="L34" s="17"/>
      <c r="M34" s="17"/>
      <c r="N34" s="44" t="str">
        <f aca="false">IF(OR(D34="",A34="",COUNTIFS(Scoresheet!$C$2:$C$501,A34,Scoresheet!$U$2:$U$501,1)=0),"",SUMIFS(Scoresheet!$O$2:$O$501,Scoresheet!$C$2:$C$501,A34,Scoresheet!$U$2:$U$501,1))</f>
        <v/>
      </c>
      <c r="O34" s="44" t="str">
        <f aca="false">IF(D34="","",IF(OR(A34="",COUNTIFS(Scoresheet!$C$2:$C$501,A34,Scoresheet!$U$2:$U$501,1)=0),"No scoresheet yet",IF(SUMIFS(Scoresheet!$N$2:$N$501,Scoresheet!$C$2:$C$501,A34,Scoresheet!$U$2:$U$501,1)&lt;6,"Partly scored ("&amp;SUMIFS(Scoresheet!$N$2:$N$501,Scoresheet!$C$2:$C$501,A34,Scoresheet!$U$2:$U$501,1)&amp;"/6)",IF(N34&gt;=Settings!$S$8,"Hot",IF(N34&gt;=Settings!$S$9,"Warm","Cold")))))</f>
        <v/>
      </c>
      <c r="P34" s="44" t="str">
        <f aca="false">IF(OR(D34="",A34=""),"",IF(AND(COUNTIFS(Scoresheet!$C$2:$C$501,A34,Scoresheet!$U$2:$U$501,1,Scoresheet!$H$2:$H$501,"No")&gt;0,COUNTIFS(Scoresheet!$C$2:$C$501,A34,Scoresheet!$U$2:$U$501,1,Scoresheet!$J$2:$J$501,"No")&gt;0),"🚩 Budget  ·  🚩 No one on camera",IF(COUNTIFS(Scoresheet!$C$2:$C$501,A34,Scoresheet!$U$2:$U$501,1,Scoresheet!$H$2:$H$501,"No")&gt;0,"🚩 Budget under AED 5k",IF(COUNTIFS(Scoresheet!$C$2:$C$501,A34,Scoresheet!$U$2:$U$501,1,Scoresheet!$J$2:$J$501,"No")&gt;0,"🚩 No one on camera",""))))</f>
        <v/>
      </c>
      <c r="Q34" s="17"/>
      <c r="R34" s="17"/>
      <c r="S34" s="40"/>
      <c r="T34" s="17"/>
      <c r="U34" s="45" t="str">
        <f aca="false">IF(OR(D34="",S34="",OR(R34="Contract signed + paid",R34="Closed – No response",R34="Lost"),N(T34)&gt;=Settings!$S$3),"",S34+Settings!$S$2)</f>
        <v/>
      </c>
      <c r="V34" s="40"/>
      <c r="W34" s="41"/>
      <c r="X34" s="17"/>
      <c r="Y34" s="17"/>
      <c r="Z34" s="17"/>
      <c r="AA34" s="46" t="str">
        <f aca="true">IF(OR(D34="",B34=""),"",INT(TODAY()-B34))</f>
        <v/>
      </c>
      <c r="AB34" s="44" t="str">
        <f aca="true">IF(D34="","",IF(OR(COUNTIFS(Clients!$C$2:$C$501,D34,Clients!$S$2:$S$501,"Paid")&gt;0,AND(H34&lt;&gt;"",COUNTIFS(Clients!$E$2:$E$501,H34,Clients!$S$2:$S$501,"Paid")&gt;0)),"⚠ Refunded before – no free video",IF(OR(R34="Contract signed + paid",R34="Closed – No response",R34="Lost"),"",IF(R34="","Set a stage",IF(AND(R34="Proposal sent",SUMIFS(Scoresheet!$N$2:$N$501,Scoresheet!$C$2:$C$501,A34,Scoresheet!$U$2:$U$501,1)&lt;6),"Score this lead – fill the call scoresheet",IF(N(T34)&gt;=Settings!$S$3,"Close – 4 follow-ups sent",IF(U34="",IF(S34="","Make first contact",""),IF(TODAY()&gt;U34,"OVERDUE follow-up",IF(TODAY()=U34,"Follow up today","")))))))))</f>
        <v/>
      </c>
    </row>
    <row r="35" customFormat="false" ht="15" hidden="false" customHeight="false" outlineLevel="0" collapsed="false">
      <c r="A35" s="17"/>
      <c r="B35" s="40"/>
      <c r="C35" s="17"/>
      <c r="D35" s="17"/>
      <c r="E35" s="17"/>
      <c r="F35" s="17"/>
      <c r="G35" s="17"/>
      <c r="H35" s="42"/>
      <c r="I35" s="17"/>
      <c r="J35" s="17"/>
      <c r="K35" s="17"/>
      <c r="L35" s="17"/>
      <c r="M35" s="17"/>
      <c r="N35" s="44" t="str">
        <f aca="false">IF(OR(D35="",A35="",COUNTIFS(Scoresheet!$C$2:$C$501,A35,Scoresheet!$U$2:$U$501,1)=0),"",SUMIFS(Scoresheet!$O$2:$O$501,Scoresheet!$C$2:$C$501,A35,Scoresheet!$U$2:$U$501,1))</f>
        <v/>
      </c>
      <c r="O35" s="44" t="str">
        <f aca="false">IF(D35="","",IF(OR(A35="",COUNTIFS(Scoresheet!$C$2:$C$501,A35,Scoresheet!$U$2:$U$501,1)=0),"No scoresheet yet",IF(SUMIFS(Scoresheet!$N$2:$N$501,Scoresheet!$C$2:$C$501,A35,Scoresheet!$U$2:$U$501,1)&lt;6,"Partly scored ("&amp;SUMIFS(Scoresheet!$N$2:$N$501,Scoresheet!$C$2:$C$501,A35,Scoresheet!$U$2:$U$501,1)&amp;"/6)",IF(N35&gt;=Settings!$S$8,"Hot",IF(N35&gt;=Settings!$S$9,"Warm","Cold")))))</f>
        <v/>
      </c>
      <c r="P35" s="44" t="str">
        <f aca="false">IF(OR(D35="",A35=""),"",IF(AND(COUNTIFS(Scoresheet!$C$2:$C$501,A35,Scoresheet!$U$2:$U$501,1,Scoresheet!$H$2:$H$501,"No")&gt;0,COUNTIFS(Scoresheet!$C$2:$C$501,A35,Scoresheet!$U$2:$U$501,1,Scoresheet!$J$2:$J$501,"No")&gt;0),"🚩 Budget  ·  🚩 No one on camera",IF(COUNTIFS(Scoresheet!$C$2:$C$501,A35,Scoresheet!$U$2:$U$501,1,Scoresheet!$H$2:$H$501,"No")&gt;0,"🚩 Budget under AED 5k",IF(COUNTIFS(Scoresheet!$C$2:$C$501,A35,Scoresheet!$U$2:$U$501,1,Scoresheet!$J$2:$J$501,"No")&gt;0,"🚩 No one on camera",""))))</f>
        <v/>
      </c>
      <c r="Q35" s="17"/>
      <c r="R35" s="17"/>
      <c r="S35" s="40"/>
      <c r="T35" s="17"/>
      <c r="U35" s="45" t="str">
        <f aca="false">IF(OR(D35="",S35="",OR(R35="Contract signed + paid",R35="Closed – No response",R35="Lost"),N(T35)&gt;=Settings!$S$3),"",S35+Settings!$S$2)</f>
        <v/>
      </c>
      <c r="V35" s="40"/>
      <c r="W35" s="41"/>
      <c r="X35" s="17"/>
      <c r="Y35" s="17"/>
      <c r="Z35" s="17"/>
      <c r="AA35" s="46" t="str">
        <f aca="true">IF(OR(D35="",B35=""),"",INT(TODAY()-B35))</f>
        <v/>
      </c>
      <c r="AB35" s="44" t="str">
        <f aca="true">IF(D35="","",IF(OR(COUNTIFS(Clients!$C$2:$C$501,D35,Clients!$S$2:$S$501,"Paid")&gt;0,AND(H35&lt;&gt;"",COUNTIFS(Clients!$E$2:$E$501,H35,Clients!$S$2:$S$501,"Paid")&gt;0)),"⚠ Refunded before – no free video",IF(OR(R35="Contract signed + paid",R35="Closed – No response",R35="Lost"),"",IF(R35="","Set a stage",IF(AND(R35="Proposal sent",SUMIFS(Scoresheet!$N$2:$N$501,Scoresheet!$C$2:$C$501,A35,Scoresheet!$U$2:$U$501,1)&lt;6),"Score this lead – fill the call scoresheet",IF(N(T35)&gt;=Settings!$S$3,"Close – 4 follow-ups sent",IF(U35="",IF(S35="","Make first contact",""),IF(TODAY()&gt;U35,"OVERDUE follow-up",IF(TODAY()=U35,"Follow up today","")))))))))</f>
        <v/>
      </c>
    </row>
    <row r="36" customFormat="false" ht="15" hidden="false" customHeight="false" outlineLevel="0" collapsed="false">
      <c r="A36" s="17"/>
      <c r="B36" s="40"/>
      <c r="C36" s="17"/>
      <c r="D36" s="17"/>
      <c r="E36" s="17"/>
      <c r="F36" s="17"/>
      <c r="G36" s="17"/>
      <c r="H36" s="42"/>
      <c r="I36" s="17"/>
      <c r="J36" s="17"/>
      <c r="K36" s="17"/>
      <c r="L36" s="17"/>
      <c r="M36" s="17"/>
      <c r="N36" s="44" t="str">
        <f aca="false">IF(OR(D36="",A36="",COUNTIFS(Scoresheet!$C$2:$C$501,A36,Scoresheet!$U$2:$U$501,1)=0),"",SUMIFS(Scoresheet!$O$2:$O$501,Scoresheet!$C$2:$C$501,A36,Scoresheet!$U$2:$U$501,1))</f>
        <v/>
      </c>
      <c r="O36" s="44" t="str">
        <f aca="false">IF(D36="","",IF(OR(A36="",COUNTIFS(Scoresheet!$C$2:$C$501,A36,Scoresheet!$U$2:$U$501,1)=0),"No scoresheet yet",IF(SUMIFS(Scoresheet!$N$2:$N$501,Scoresheet!$C$2:$C$501,A36,Scoresheet!$U$2:$U$501,1)&lt;6,"Partly scored ("&amp;SUMIFS(Scoresheet!$N$2:$N$501,Scoresheet!$C$2:$C$501,A36,Scoresheet!$U$2:$U$501,1)&amp;"/6)",IF(N36&gt;=Settings!$S$8,"Hot",IF(N36&gt;=Settings!$S$9,"Warm","Cold")))))</f>
        <v/>
      </c>
      <c r="P36" s="44" t="str">
        <f aca="false">IF(OR(D36="",A36=""),"",IF(AND(COUNTIFS(Scoresheet!$C$2:$C$501,A36,Scoresheet!$U$2:$U$501,1,Scoresheet!$H$2:$H$501,"No")&gt;0,COUNTIFS(Scoresheet!$C$2:$C$501,A36,Scoresheet!$U$2:$U$501,1,Scoresheet!$J$2:$J$501,"No")&gt;0),"🚩 Budget  ·  🚩 No one on camera",IF(COUNTIFS(Scoresheet!$C$2:$C$501,A36,Scoresheet!$U$2:$U$501,1,Scoresheet!$H$2:$H$501,"No")&gt;0,"🚩 Budget under AED 5k",IF(COUNTIFS(Scoresheet!$C$2:$C$501,A36,Scoresheet!$U$2:$U$501,1,Scoresheet!$J$2:$J$501,"No")&gt;0,"🚩 No one on camera",""))))</f>
        <v/>
      </c>
      <c r="Q36" s="17"/>
      <c r="R36" s="17"/>
      <c r="S36" s="40"/>
      <c r="T36" s="17"/>
      <c r="U36" s="45" t="str">
        <f aca="false">IF(OR(D36="",S36="",OR(R36="Contract signed + paid",R36="Closed – No response",R36="Lost"),N(T36)&gt;=Settings!$S$3),"",S36+Settings!$S$2)</f>
        <v/>
      </c>
      <c r="V36" s="40"/>
      <c r="W36" s="41"/>
      <c r="X36" s="17"/>
      <c r="Y36" s="17"/>
      <c r="Z36" s="17"/>
      <c r="AA36" s="46" t="str">
        <f aca="true">IF(OR(D36="",B36=""),"",INT(TODAY()-B36))</f>
        <v/>
      </c>
      <c r="AB36" s="44" t="str">
        <f aca="true">IF(D36="","",IF(OR(COUNTIFS(Clients!$C$2:$C$501,D36,Clients!$S$2:$S$501,"Paid")&gt;0,AND(H36&lt;&gt;"",COUNTIFS(Clients!$E$2:$E$501,H36,Clients!$S$2:$S$501,"Paid")&gt;0)),"⚠ Refunded before – no free video",IF(OR(R36="Contract signed + paid",R36="Closed – No response",R36="Lost"),"",IF(R36="","Set a stage",IF(AND(R36="Proposal sent",SUMIFS(Scoresheet!$N$2:$N$501,Scoresheet!$C$2:$C$501,A36,Scoresheet!$U$2:$U$501,1)&lt;6),"Score this lead – fill the call scoresheet",IF(N(T36)&gt;=Settings!$S$3,"Close – 4 follow-ups sent",IF(U36="",IF(S36="","Make first contact",""),IF(TODAY()&gt;U36,"OVERDUE follow-up",IF(TODAY()=U36,"Follow up today","")))))))))</f>
        <v/>
      </c>
    </row>
    <row r="37" customFormat="false" ht="15" hidden="false" customHeight="false" outlineLevel="0" collapsed="false">
      <c r="A37" s="17"/>
      <c r="B37" s="40"/>
      <c r="C37" s="17"/>
      <c r="D37" s="17"/>
      <c r="E37" s="17"/>
      <c r="F37" s="17"/>
      <c r="G37" s="17"/>
      <c r="H37" s="42"/>
      <c r="I37" s="17"/>
      <c r="J37" s="17"/>
      <c r="K37" s="17"/>
      <c r="L37" s="17"/>
      <c r="M37" s="17"/>
      <c r="N37" s="44" t="str">
        <f aca="false">IF(OR(D37="",A37="",COUNTIFS(Scoresheet!$C$2:$C$501,A37,Scoresheet!$U$2:$U$501,1)=0),"",SUMIFS(Scoresheet!$O$2:$O$501,Scoresheet!$C$2:$C$501,A37,Scoresheet!$U$2:$U$501,1))</f>
        <v/>
      </c>
      <c r="O37" s="44" t="str">
        <f aca="false">IF(D37="","",IF(OR(A37="",COUNTIFS(Scoresheet!$C$2:$C$501,A37,Scoresheet!$U$2:$U$501,1)=0),"No scoresheet yet",IF(SUMIFS(Scoresheet!$N$2:$N$501,Scoresheet!$C$2:$C$501,A37,Scoresheet!$U$2:$U$501,1)&lt;6,"Partly scored ("&amp;SUMIFS(Scoresheet!$N$2:$N$501,Scoresheet!$C$2:$C$501,A37,Scoresheet!$U$2:$U$501,1)&amp;"/6)",IF(N37&gt;=Settings!$S$8,"Hot",IF(N37&gt;=Settings!$S$9,"Warm","Cold")))))</f>
        <v/>
      </c>
      <c r="P37" s="44" t="str">
        <f aca="false">IF(OR(D37="",A37=""),"",IF(AND(COUNTIFS(Scoresheet!$C$2:$C$501,A37,Scoresheet!$U$2:$U$501,1,Scoresheet!$H$2:$H$501,"No")&gt;0,COUNTIFS(Scoresheet!$C$2:$C$501,A37,Scoresheet!$U$2:$U$501,1,Scoresheet!$J$2:$J$501,"No")&gt;0),"🚩 Budget  ·  🚩 No one on camera",IF(COUNTIFS(Scoresheet!$C$2:$C$501,A37,Scoresheet!$U$2:$U$501,1,Scoresheet!$H$2:$H$501,"No")&gt;0,"🚩 Budget under AED 5k",IF(COUNTIFS(Scoresheet!$C$2:$C$501,A37,Scoresheet!$U$2:$U$501,1,Scoresheet!$J$2:$J$501,"No")&gt;0,"🚩 No one on camera",""))))</f>
        <v/>
      </c>
      <c r="Q37" s="17"/>
      <c r="R37" s="17"/>
      <c r="S37" s="40"/>
      <c r="T37" s="17"/>
      <c r="U37" s="45" t="str">
        <f aca="false">IF(OR(D37="",S37="",OR(R37="Contract signed + paid",R37="Closed – No response",R37="Lost"),N(T37)&gt;=Settings!$S$3),"",S37+Settings!$S$2)</f>
        <v/>
      </c>
      <c r="V37" s="40"/>
      <c r="W37" s="41"/>
      <c r="X37" s="17"/>
      <c r="Y37" s="17"/>
      <c r="Z37" s="17"/>
      <c r="AA37" s="46" t="str">
        <f aca="true">IF(OR(D37="",B37=""),"",INT(TODAY()-B37))</f>
        <v/>
      </c>
      <c r="AB37" s="44" t="str">
        <f aca="true">IF(D37="","",IF(OR(COUNTIFS(Clients!$C$2:$C$501,D37,Clients!$S$2:$S$501,"Paid")&gt;0,AND(H37&lt;&gt;"",COUNTIFS(Clients!$E$2:$E$501,H37,Clients!$S$2:$S$501,"Paid")&gt;0)),"⚠ Refunded before – no free video",IF(OR(R37="Contract signed + paid",R37="Closed – No response",R37="Lost"),"",IF(R37="","Set a stage",IF(AND(R37="Proposal sent",SUMIFS(Scoresheet!$N$2:$N$501,Scoresheet!$C$2:$C$501,A37,Scoresheet!$U$2:$U$501,1)&lt;6),"Score this lead – fill the call scoresheet",IF(N(T37)&gt;=Settings!$S$3,"Close – 4 follow-ups sent",IF(U37="",IF(S37="","Make first contact",""),IF(TODAY()&gt;U37,"OVERDUE follow-up",IF(TODAY()=U37,"Follow up today","")))))))))</f>
        <v/>
      </c>
    </row>
    <row r="38" customFormat="false" ht="15" hidden="false" customHeight="false" outlineLevel="0" collapsed="false">
      <c r="A38" s="17"/>
      <c r="B38" s="40"/>
      <c r="C38" s="17"/>
      <c r="D38" s="17"/>
      <c r="E38" s="17"/>
      <c r="F38" s="17"/>
      <c r="G38" s="17"/>
      <c r="H38" s="42"/>
      <c r="I38" s="17"/>
      <c r="J38" s="17"/>
      <c r="K38" s="17"/>
      <c r="L38" s="17"/>
      <c r="M38" s="17"/>
      <c r="N38" s="44" t="str">
        <f aca="false">IF(OR(D38="",A38="",COUNTIFS(Scoresheet!$C$2:$C$501,A38,Scoresheet!$U$2:$U$501,1)=0),"",SUMIFS(Scoresheet!$O$2:$O$501,Scoresheet!$C$2:$C$501,A38,Scoresheet!$U$2:$U$501,1))</f>
        <v/>
      </c>
      <c r="O38" s="44" t="str">
        <f aca="false">IF(D38="","",IF(OR(A38="",COUNTIFS(Scoresheet!$C$2:$C$501,A38,Scoresheet!$U$2:$U$501,1)=0),"No scoresheet yet",IF(SUMIFS(Scoresheet!$N$2:$N$501,Scoresheet!$C$2:$C$501,A38,Scoresheet!$U$2:$U$501,1)&lt;6,"Partly scored ("&amp;SUMIFS(Scoresheet!$N$2:$N$501,Scoresheet!$C$2:$C$501,A38,Scoresheet!$U$2:$U$501,1)&amp;"/6)",IF(N38&gt;=Settings!$S$8,"Hot",IF(N38&gt;=Settings!$S$9,"Warm","Cold")))))</f>
        <v/>
      </c>
      <c r="P38" s="44" t="str">
        <f aca="false">IF(OR(D38="",A38=""),"",IF(AND(COUNTIFS(Scoresheet!$C$2:$C$501,A38,Scoresheet!$U$2:$U$501,1,Scoresheet!$H$2:$H$501,"No")&gt;0,COUNTIFS(Scoresheet!$C$2:$C$501,A38,Scoresheet!$U$2:$U$501,1,Scoresheet!$J$2:$J$501,"No")&gt;0),"🚩 Budget  ·  🚩 No one on camera",IF(COUNTIFS(Scoresheet!$C$2:$C$501,A38,Scoresheet!$U$2:$U$501,1,Scoresheet!$H$2:$H$501,"No")&gt;0,"🚩 Budget under AED 5k",IF(COUNTIFS(Scoresheet!$C$2:$C$501,A38,Scoresheet!$U$2:$U$501,1,Scoresheet!$J$2:$J$501,"No")&gt;0,"🚩 No one on camera",""))))</f>
        <v/>
      </c>
      <c r="Q38" s="17"/>
      <c r="R38" s="17"/>
      <c r="S38" s="40"/>
      <c r="T38" s="17"/>
      <c r="U38" s="45" t="str">
        <f aca="false">IF(OR(D38="",S38="",OR(R38="Contract signed + paid",R38="Closed – No response",R38="Lost"),N(T38)&gt;=Settings!$S$3),"",S38+Settings!$S$2)</f>
        <v/>
      </c>
      <c r="V38" s="40"/>
      <c r="W38" s="41"/>
      <c r="X38" s="17"/>
      <c r="Y38" s="17"/>
      <c r="Z38" s="17"/>
      <c r="AA38" s="46" t="str">
        <f aca="true">IF(OR(D38="",B38=""),"",INT(TODAY()-B38))</f>
        <v/>
      </c>
      <c r="AB38" s="44" t="str">
        <f aca="true">IF(D38="","",IF(OR(COUNTIFS(Clients!$C$2:$C$501,D38,Clients!$S$2:$S$501,"Paid")&gt;0,AND(H38&lt;&gt;"",COUNTIFS(Clients!$E$2:$E$501,H38,Clients!$S$2:$S$501,"Paid")&gt;0)),"⚠ Refunded before – no free video",IF(OR(R38="Contract signed + paid",R38="Closed – No response",R38="Lost"),"",IF(R38="","Set a stage",IF(AND(R38="Proposal sent",SUMIFS(Scoresheet!$N$2:$N$501,Scoresheet!$C$2:$C$501,A38,Scoresheet!$U$2:$U$501,1)&lt;6),"Score this lead – fill the call scoresheet",IF(N(T38)&gt;=Settings!$S$3,"Close – 4 follow-ups sent",IF(U38="",IF(S38="","Make first contact",""),IF(TODAY()&gt;U38,"OVERDUE follow-up",IF(TODAY()=U38,"Follow up today","")))))))))</f>
        <v/>
      </c>
    </row>
    <row r="39" customFormat="false" ht="15" hidden="false" customHeight="false" outlineLevel="0" collapsed="false">
      <c r="A39" s="17"/>
      <c r="B39" s="40"/>
      <c r="C39" s="17"/>
      <c r="D39" s="17"/>
      <c r="E39" s="17"/>
      <c r="F39" s="17"/>
      <c r="G39" s="17"/>
      <c r="H39" s="42"/>
      <c r="I39" s="17"/>
      <c r="J39" s="17"/>
      <c r="K39" s="17"/>
      <c r="L39" s="17"/>
      <c r="M39" s="17"/>
      <c r="N39" s="44" t="str">
        <f aca="false">IF(OR(D39="",A39="",COUNTIFS(Scoresheet!$C$2:$C$501,A39,Scoresheet!$U$2:$U$501,1)=0),"",SUMIFS(Scoresheet!$O$2:$O$501,Scoresheet!$C$2:$C$501,A39,Scoresheet!$U$2:$U$501,1))</f>
        <v/>
      </c>
      <c r="O39" s="44" t="str">
        <f aca="false">IF(D39="","",IF(OR(A39="",COUNTIFS(Scoresheet!$C$2:$C$501,A39,Scoresheet!$U$2:$U$501,1)=0),"No scoresheet yet",IF(SUMIFS(Scoresheet!$N$2:$N$501,Scoresheet!$C$2:$C$501,A39,Scoresheet!$U$2:$U$501,1)&lt;6,"Partly scored ("&amp;SUMIFS(Scoresheet!$N$2:$N$501,Scoresheet!$C$2:$C$501,A39,Scoresheet!$U$2:$U$501,1)&amp;"/6)",IF(N39&gt;=Settings!$S$8,"Hot",IF(N39&gt;=Settings!$S$9,"Warm","Cold")))))</f>
        <v/>
      </c>
      <c r="P39" s="44" t="str">
        <f aca="false">IF(OR(D39="",A39=""),"",IF(AND(COUNTIFS(Scoresheet!$C$2:$C$501,A39,Scoresheet!$U$2:$U$501,1,Scoresheet!$H$2:$H$501,"No")&gt;0,COUNTIFS(Scoresheet!$C$2:$C$501,A39,Scoresheet!$U$2:$U$501,1,Scoresheet!$J$2:$J$501,"No")&gt;0),"🚩 Budget  ·  🚩 No one on camera",IF(COUNTIFS(Scoresheet!$C$2:$C$501,A39,Scoresheet!$U$2:$U$501,1,Scoresheet!$H$2:$H$501,"No")&gt;0,"🚩 Budget under AED 5k",IF(COUNTIFS(Scoresheet!$C$2:$C$501,A39,Scoresheet!$U$2:$U$501,1,Scoresheet!$J$2:$J$501,"No")&gt;0,"🚩 No one on camera",""))))</f>
        <v/>
      </c>
      <c r="Q39" s="17"/>
      <c r="R39" s="17"/>
      <c r="S39" s="40"/>
      <c r="T39" s="17"/>
      <c r="U39" s="45" t="str">
        <f aca="false">IF(OR(D39="",S39="",OR(R39="Contract signed + paid",R39="Closed – No response",R39="Lost"),N(T39)&gt;=Settings!$S$3),"",S39+Settings!$S$2)</f>
        <v/>
      </c>
      <c r="V39" s="40"/>
      <c r="W39" s="41"/>
      <c r="X39" s="17"/>
      <c r="Y39" s="17"/>
      <c r="Z39" s="17"/>
      <c r="AA39" s="46" t="str">
        <f aca="true">IF(OR(D39="",B39=""),"",INT(TODAY()-B39))</f>
        <v/>
      </c>
      <c r="AB39" s="44" t="str">
        <f aca="true">IF(D39="","",IF(OR(COUNTIFS(Clients!$C$2:$C$501,D39,Clients!$S$2:$S$501,"Paid")&gt;0,AND(H39&lt;&gt;"",COUNTIFS(Clients!$E$2:$E$501,H39,Clients!$S$2:$S$501,"Paid")&gt;0)),"⚠ Refunded before – no free video",IF(OR(R39="Contract signed + paid",R39="Closed – No response",R39="Lost"),"",IF(R39="","Set a stage",IF(AND(R39="Proposal sent",SUMIFS(Scoresheet!$N$2:$N$501,Scoresheet!$C$2:$C$501,A39,Scoresheet!$U$2:$U$501,1)&lt;6),"Score this lead – fill the call scoresheet",IF(N(T39)&gt;=Settings!$S$3,"Close – 4 follow-ups sent",IF(U39="",IF(S39="","Make first contact",""),IF(TODAY()&gt;U39,"OVERDUE follow-up",IF(TODAY()=U39,"Follow up today","")))))))))</f>
        <v/>
      </c>
    </row>
    <row r="40" customFormat="false" ht="15" hidden="false" customHeight="false" outlineLevel="0" collapsed="false">
      <c r="A40" s="17"/>
      <c r="B40" s="40"/>
      <c r="C40" s="17"/>
      <c r="D40" s="17"/>
      <c r="E40" s="17"/>
      <c r="F40" s="17"/>
      <c r="G40" s="17"/>
      <c r="H40" s="42"/>
      <c r="I40" s="17"/>
      <c r="J40" s="17"/>
      <c r="K40" s="17"/>
      <c r="L40" s="17"/>
      <c r="M40" s="17"/>
      <c r="N40" s="44" t="str">
        <f aca="false">IF(OR(D40="",A40="",COUNTIFS(Scoresheet!$C$2:$C$501,A40,Scoresheet!$U$2:$U$501,1)=0),"",SUMIFS(Scoresheet!$O$2:$O$501,Scoresheet!$C$2:$C$501,A40,Scoresheet!$U$2:$U$501,1))</f>
        <v/>
      </c>
      <c r="O40" s="44" t="str">
        <f aca="false">IF(D40="","",IF(OR(A40="",COUNTIFS(Scoresheet!$C$2:$C$501,A40,Scoresheet!$U$2:$U$501,1)=0),"No scoresheet yet",IF(SUMIFS(Scoresheet!$N$2:$N$501,Scoresheet!$C$2:$C$501,A40,Scoresheet!$U$2:$U$501,1)&lt;6,"Partly scored ("&amp;SUMIFS(Scoresheet!$N$2:$N$501,Scoresheet!$C$2:$C$501,A40,Scoresheet!$U$2:$U$501,1)&amp;"/6)",IF(N40&gt;=Settings!$S$8,"Hot",IF(N40&gt;=Settings!$S$9,"Warm","Cold")))))</f>
        <v/>
      </c>
      <c r="P40" s="44" t="str">
        <f aca="false">IF(OR(D40="",A40=""),"",IF(AND(COUNTIFS(Scoresheet!$C$2:$C$501,A40,Scoresheet!$U$2:$U$501,1,Scoresheet!$H$2:$H$501,"No")&gt;0,COUNTIFS(Scoresheet!$C$2:$C$501,A40,Scoresheet!$U$2:$U$501,1,Scoresheet!$J$2:$J$501,"No")&gt;0),"🚩 Budget  ·  🚩 No one on camera",IF(COUNTIFS(Scoresheet!$C$2:$C$501,A40,Scoresheet!$U$2:$U$501,1,Scoresheet!$H$2:$H$501,"No")&gt;0,"🚩 Budget under AED 5k",IF(COUNTIFS(Scoresheet!$C$2:$C$501,A40,Scoresheet!$U$2:$U$501,1,Scoresheet!$J$2:$J$501,"No")&gt;0,"🚩 No one on camera",""))))</f>
        <v/>
      </c>
      <c r="Q40" s="17"/>
      <c r="R40" s="17"/>
      <c r="S40" s="40"/>
      <c r="T40" s="17"/>
      <c r="U40" s="45" t="str">
        <f aca="false">IF(OR(D40="",S40="",OR(R40="Contract signed + paid",R40="Closed – No response",R40="Lost"),N(T40)&gt;=Settings!$S$3),"",S40+Settings!$S$2)</f>
        <v/>
      </c>
      <c r="V40" s="40"/>
      <c r="W40" s="41"/>
      <c r="X40" s="17"/>
      <c r="Y40" s="17"/>
      <c r="Z40" s="17"/>
      <c r="AA40" s="46" t="str">
        <f aca="true">IF(OR(D40="",B40=""),"",INT(TODAY()-B40))</f>
        <v/>
      </c>
      <c r="AB40" s="44" t="str">
        <f aca="true">IF(D40="","",IF(OR(COUNTIFS(Clients!$C$2:$C$501,D40,Clients!$S$2:$S$501,"Paid")&gt;0,AND(H40&lt;&gt;"",COUNTIFS(Clients!$E$2:$E$501,H40,Clients!$S$2:$S$501,"Paid")&gt;0)),"⚠ Refunded before – no free video",IF(OR(R40="Contract signed + paid",R40="Closed – No response",R40="Lost"),"",IF(R40="","Set a stage",IF(AND(R40="Proposal sent",SUMIFS(Scoresheet!$N$2:$N$501,Scoresheet!$C$2:$C$501,A40,Scoresheet!$U$2:$U$501,1)&lt;6),"Score this lead – fill the call scoresheet",IF(N(T40)&gt;=Settings!$S$3,"Close – 4 follow-ups sent",IF(U40="",IF(S40="","Make first contact",""),IF(TODAY()&gt;U40,"OVERDUE follow-up",IF(TODAY()=U40,"Follow up today","")))))))))</f>
        <v/>
      </c>
    </row>
    <row r="41" customFormat="false" ht="15" hidden="false" customHeight="false" outlineLevel="0" collapsed="false">
      <c r="A41" s="17"/>
      <c r="B41" s="40"/>
      <c r="C41" s="17"/>
      <c r="D41" s="17"/>
      <c r="E41" s="17"/>
      <c r="F41" s="17"/>
      <c r="G41" s="17"/>
      <c r="H41" s="42"/>
      <c r="I41" s="17"/>
      <c r="J41" s="17"/>
      <c r="K41" s="17"/>
      <c r="L41" s="17"/>
      <c r="M41" s="17"/>
      <c r="N41" s="44" t="str">
        <f aca="false">IF(OR(D41="",A41="",COUNTIFS(Scoresheet!$C$2:$C$501,A41,Scoresheet!$U$2:$U$501,1)=0),"",SUMIFS(Scoresheet!$O$2:$O$501,Scoresheet!$C$2:$C$501,A41,Scoresheet!$U$2:$U$501,1))</f>
        <v/>
      </c>
      <c r="O41" s="44" t="str">
        <f aca="false">IF(D41="","",IF(OR(A41="",COUNTIFS(Scoresheet!$C$2:$C$501,A41,Scoresheet!$U$2:$U$501,1)=0),"No scoresheet yet",IF(SUMIFS(Scoresheet!$N$2:$N$501,Scoresheet!$C$2:$C$501,A41,Scoresheet!$U$2:$U$501,1)&lt;6,"Partly scored ("&amp;SUMIFS(Scoresheet!$N$2:$N$501,Scoresheet!$C$2:$C$501,A41,Scoresheet!$U$2:$U$501,1)&amp;"/6)",IF(N41&gt;=Settings!$S$8,"Hot",IF(N41&gt;=Settings!$S$9,"Warm","Cold")))))</f>
        <v/>
      </c>
      <c r="P41" s="44" t="str">
        <f aca="false">IF(OR(D41="",A41=""),"",IF(AND(COUNTIFS(Scoresheet!$C$2:$C$501,A41,Scoresheet!$U$2:$U$501,1,Scoresheet!$H$2:$H$501,"No")&gt;0,COUNTIFS(Scoresheet!$C$2:$C$501,A41,Scoresheet!$U$2:$U$501,1,Scoresheet!$J$2:$J$501,"No")&gt;0),"🚩 Budget  ·  🚩 No one on camera",IF(COUNTIFS(Scoresheet!$C$2:$C$501,A41,Scoresheet!$U$2:$U$501,1,Scoresheet!$H$2:$H$501,"No")&gt;0,"🚩 Budget under AED 5k",IF(COUNTIFS(Scoresheet!$C$2:$C$501,A41,Scoresheet!$U$2:$U$501,1,Scoresheet!$J$2:$J$501,"No")&gt;0,"🚩 No one on camera",""))))</f>
        <v/>
      </c>
      <c r="Q41" s="17"/>
      <c r="R41" s="17"/>
      <c r="S41" s="40"/>
      <c r="T41" s="17"/>
      <c r="U41" s="45" t="str">
        <f aca="false">IF(OR(D41="",S41="",OR(R41="Contract signed + paid",R41="Closed – No response",R41="Lost"),N(T41)&gt;=Settings!$S$3),"",S41+Settings!$S$2)</f>
        <v/>
      </c>
      <c r="V41" s="40"/>
      <c r="W41" s="41"/>
      <c r="X41" s="17"/>
      <c r="Y41" s="17"/>
      <c r="Z41" s="17"/>
      <c r="AA41" s="46" t="str">
        <f aca="true">IF(OR(D41="",B41=""),"",INT(TODAY()-B41))</f>
        <v/>
      </c>
      <c r="AB41" s="44" t="str">
        <f aca="true">IF(D41="","",IF(OR(COUNTIFS(Clients!$C$2:$C$501,D41,Clients!$S$2:$S$501,"Paid")&gt;0,AND(H41&lt;&gt;"",COUNTIFS(Clients!$E$2:$E$501,H41,Clients!$S$2:$S$501,"Paid")&gt;0)),"⚠ Refunded before – no free video",IF(OR(R41="Contract signed + paid",R41="Closed – No response",R41="Lost"),"",IF(R41="","Set a stage",IF(AND(R41="Proposal sent",SUMIFS(Scoresheet!$N$2:$N$501,Scoresheet!$C$2:$C$501,A41,Scoresheet!$U$2:$U$501,1)&lt;6),"Score this lead – fill the call scoresheet",IF(N(T41)&gt;=Settings!$S$3,"Close – 4 follow-ups sent",IF(U41="",IF(S41="","Make first contact",""),IF(TODAY()&gt;U41,"OVERDUE follow-up",IF(TODAY()=U41,"Follow up today","")))))))))</f>
        <v/>
      </c>
    </row>
    <row r="42" customFormat="false" ht="15" hidden="false" customHeight="false" outlineLevel="0" collapsed="false">
      <c r="A42" s="17"/>
      <c r="B42" s="40"/>
      <c r="C42" s="17"/>
      <c r="D42" s="17"/>
      <c r="E42" s="17"/>
      <c r="F42" s="17"/>
      <c r="G42" s="17"/>
      <c r="H42" s="42"/>
      <c r="I42" s="17"/>
      <c r="J42" s="17"/>
      <c r="K42" s="17"/>
      <c r="L42" s="17"/>
      <c r="M42" s="17"/>
      <c r="N42" s="44" t="str">
        <f aca="false">IF(OR(D42="",A42="",COUNTIFS(Scoresheet!$C$2:$C$501,A42,Scoresheet!$U$2:$U$501,1)=0),"",SUMIFS(Scoresheet!$O$2:$O$501,Scoresheet!$C$2:$C$501,A42,Scoresheet!$U$2:$U$501,1))</f>
        <v/>
      </c>
      <c r="O42" s="44" t="str">
        <f aca="false">IF(D42="","",IF(OR(A42="",COUNTIFS(Scoresheet!$C$2:$C$501,A42,Scoresheet!$U$2:$U$501,1)=0),"No scoresheet yet",IF(SUMIFS(Scoresheet!$N$2:$N$501,Scoresheet!$C$2:$C$501,A42,Scoresheet!$U$2:$U$501,1)&lt;6,"Partly scored ("&amp;SUMIFS(Scoresheet!$N$2:$N$501,Scoresheet!$C$2:$C$501,A42,Scoresheet!$U$2:$U$501,1)&amp;"/6)",IF(N42&gt;=Settings!$S$8,"Hot",IF(N42&gt;=Settings!$S$9,"Warm","Cold")))))</f>
        <v/>
      </c>
      <c r="P42" s="44" t="str">
        <f aca="false">IF(OR(D42="",A42=""),"",IF(AND(COUNTIFS(Scoresheet!$C$2:$C$501,A42,Scoresheet!$U$2:$U$501,1,Scoresheet!$H$2:$H$501,"No")&gt;0,COUNTIFS(Scoresheet!$C$2:$C$501,A42,Scoresheet!$U$2:$U$501,1,Scoresheet!$J$2:$J$501,"No")&gt;0),"🚩 Budget  ·  🚩 No one on camera",IF(COUNTIFS(Scoresheet!$C$2:$C$501,A42,Scoresheet!$U$2:$U$501,1,Scoresheet!$H$2:$H$501,"No")&gt;0,"🚩 Budget under AED 5k",IF(COUNTIFS(Scoresheet!$C$2:$C$501,A42,Scoresheet!$U$2:$U$501,1,Scoresheet!$J$2:$J$501,"No")&gt;0,"🚩 No one on camera",""))))</f>
        <v/>
      </c>
      <c r="Q42" s="17"/>
      <c r="R42" s="17"/>
      <c r="S42" s="40"/>
      <c r="T42" s="17"/>
      <c r="U42" s="45" t="str">
        <f aca="false">IF(OR(D42="",S42="",OR(R42="Contract signed + paid",R42="Closed – No response",R42="Lost"),N(T42)&gt;=Settings!$S$3),"",S42+Settings!$S$2)</f>
        <v/>
      </c>
      <c r="V42" s="40"/>
      <c r="W42" s="41"/>
      <c r="X42" s="17"/>
      <c r="Y42" s="17"/>
      <c r="Z42" s="17"/>
      <c r="AA42" s="46" t="str">
        <f aca="true">IF(OR(D42="",B42=""),"",INT(TODAY()-B42))</f>
        <v/>
      </c>
      <c r="AB42" s="44" t="str">
        <f aca="true">IF(D42="","",IF(OR(COUNTIFS(Clients!$C$2:$C$501,D42,Clients!$S$2:$S$501,"Paid")&gt;0,AND(H42&lt;&gt;"",COUNTIFS(Clients!$E$2:$E$501,H42,Clients!$S$2:$S$501,"Paid")&gt;0)),"⚠ Refunded before – no free video",IF(OR(R42="Contract signed + paid",R42="Closed – No response",R42="Lost"),"",IF(R42="","Set a stage",IF(AND(R42="Proposal sent",SUMIFS(Scoresheet!$N$2:$N$501,Scoresheet!$C$2:$C$501,A42,Scoresheet!$U$2:$U$501,1)&lt;6),"Score this lead – fill the call scoresheet",IF(N(T42)&gt;=Settings!$S$3,"Close – 4 follow-ups sent",IF(U42="",IF(S42="","Make first contact",""),IF(TODAY()&gt;U42,"OVERDUE follow-up",IF(TODAY()=U42,"Follow up today","")))))))))</f>
        <v/>
      </c>
    </row>
    <row r="43" customFormat="false" ht="15" hidden="false" customHeight="false" outlineLevel="0" collapsed="false">
      <c r="A43" s="17"/>
      <c r="B43" s="40"/>
      <c r="C43" s="17"/>
      <c r="D43" s="17"/>
      <c r="E43" s="17"/>
      <c r="F43" s="17"/>
      <c r="G43" s="17"/>
      <c r="H43" s="42"/>
      <c r="I43" s="17"/>
      <c r="J43" s="17"/>
      <c r="K43" s="17"/>
      <c r="L43" s="17"/>
      <c r="M43" s="17"/>
      <c r="N43" s="44" t="str">
        <f aca="false">IF(OR(D43="",A43="",COUNTIFS(Scoresheet!$C$2:$C$501,A43,Scoresheet!$U$2:$U$501,1)=0),"",SUMIFS(Scoresheet!$O$2:$O$501,Scoresheet!$C$2:$C$501,A43,Scoresheet!$U$2:$U$501,1))</f>
        <v/>
      </c>
      <c r="O43" s="44" t="str">
        <f aca="false">IF(D43="","",IF(OR(A43="",COUNTIFS(Scoresheet!$C$2:$C$501,A43,Scoresheet!$U$2:$U$501,1)=0),"No scoresheet yet",IF(SUMIFS(Scoresheet!$N$2:$N$501,Scoresheet!$C$2:$C$501,A43,Scoresheet!$U$2:$U$501,1)&lt;6,"Partly scored ("&amp;SUMIFS(Scoresheet!$N$2:$N$501,Scoresheet!$C$2:$C$501,A43,Scoresheet!$U$2:$U$501,1)&amp;"/6)",IF(N43&gt;=Settings!$S$8,"Hot",IF(N43&gt;=Settings!$S$9,"Warm","Cold")))))</f>
        <v/>
      </c>
      <c r="P43" s="44" t="str">
        <f aca="false">IF(OR(D43="",A43=""),"",IF(AND(COUNTIFS(Scoresheet!$C$2:$C$501,A43,Scoresheet!$U$2:$U$501,1,Scoresheet!$H$2:$H$501,"No")&gt;0,COUNTIFS(Scoresheet!$C$2:$C$501,A43,Scoresheet!$U$2:$U$501,1,Scoresheet!$J$2:$J$501,"No")&gt;0),"🚩 Budget  ·  🚩 No one on camera",IF(COUNTIFS(Scoresheet!$C$2:$C$501,A43,Scoresheet!$U$2:$U$501,1,Scoresheet!$H$2:$H$501,"No")&gt;0,"🚩 Budget under AED 5k",IF(COUNTIFS(Scoresheet!$C$2:$C$501,A43,Scoresheet!$U$2:$U$501,1,Scoresheet!$J$2:$J$501,"No")&gt;0,"🚩 No one on camera",""))))</f>
        <v/>
      </c>
      <c r="Q43" s="17"/>
      <c r="R43" s="17"/>
      <c r="S43" s="40"/>
      <c r="T43" s="17"/>
      <c r="U43" s="45" t="str">
        <f aca="false">IF(OR(D43="",S43="",OR(R43="Contract signed + paid",R43="Closed – No response",R43="Lost"),N(T43)&gt;=Settings!$S$3),"",S43+Settings!$S$2)</f>
        <v/>
      </c>
      <c r="V43" s="40"/>
      <c r="W43" s="41"/>
      <c r="X43" s="17"/>
      <c r="Y43" s="17"/>
      <c r="Z43" s="17"/>
      <c r="AA43" s="46" t="str">
        <f aca="true">IF(OR(D43="",B43=""),"",INT(TODAY()-B43))</f>
        <v/>
      </c>
      <c r="AB43" s="44" t="str">
        <f aca="true">IF(D43="","",IF(OR(COUNTIFS(Clients!$C$2:$C$501,D43,Clients!$S$2:$S$501,"Paid")&gt;0,AND(H43&lt;&gt;"",COUNTIFS(Clients!$E$2:$E$501,H43,Clients!$S$2:$S$501,"Paid")&gt;0)),"⚠ Refunded before – no free video",IF(OR(R43="Contract signed + paid",R43="Closed – No response",R43="Lost"),"",IF(R43="","Set a stage",IF(AND(R43="Proposal sent",SUMIFS(Scoresheet!$N$2:$N$501,Scoresheet!$C$2:$C$501,A43,Scoresheet!$U$2:$U$501,1)&lt;6),"Score this lead – fill the call scoresheet",IF(N(T43)&gt;=Settings!$S$3,"Close – 4 follow-ups sent",IF(U43="",IF(S43="","Make first contact",""),IF(TODAY()&gt;U43,"OVERDUE follow-up",IF(TODAY()=U43,"Follow up today","")))))))))</f>
        <v/>
      </c>
    </row>
    <row r="44" customFormat="false" ht="15" hidden="false" customHeight="false" outlineLevel="0" collapsed="false">
      <c r="A44" s="17"/>
      <c r="B44" s="40"/>
      <c r="C44" s="17"/>
      <c r="D44" s="17"/>
      <c r="E44" s="17"/>
      <c r="F44" s="17"/>
      <c r="G44" s="17"/>
      <c r="H44" s="42"/>
      <c r="I44" s="17"/>
      <c r="J44" s="17"/>
      <c r="K44" s="17"/>
      <c r="L44" s="17"/>
      <c r="M44" s="17"/>
      <c r="N44" s="44" t="str">
        <f aca="false">IF(OR(D44="",A44="",COUNTIFS(Scoresheet!$C$2:$C$501,A44,Scoresheet!$U$2:$U$501,1)=0),"",SUMIFS(Scoresheet!$O$2:$O$501,Scoresheet!$C$2:$C$501,A44,Scoresheet!$U$2:$U$501,1))</f>
        <v/>
      </c>
      <c r="O44" s="44" t="str">
        <f aca="false">IF(D44="","",IF(OR(A44="",COUNTIFS(Scoresheet!$C$2:$C$501,A44,Scoresheet!$U$2:$U$501,1)=0),"No scoresheet yet",IF(SUMIFS(Scoresheet!$N$2:$N$501,Scoresheet!$C$2:$C$501,A44,Scoresheet!$U$2:$U$501,1)&lt;6,"Partly scored ("&amp;SUMIFS(Scoresheet!$N$2:$N$501,Scoresheet!$C$2:$C$501,A44,Scoresheet!$U$2:$U$501,1)&amp;"/6)",IF(N44&gt;=Settings!$S$8,"Hot",IF(N44&gt;=Settings!$S$9,"Warm","Cold")))))</f>
        <v/>
      </c>
      <c r="P44" s="44" t="str">
        <f aca="false">IF(OR(D44="",A44=""),"",IF(AND(COUNTIFS(Scoresheet!$C$2:$C$501,A44,Scoresheet!$U$2:$U$501,1,Scoresheet!$H$2:$H$501,"No")&gt;0,COUNTIFS(Scoresheet!$C$2:$C$501,A44,Scoresheet!$U$2:$U$501,1,Scoresheet!$J$2:$J$501,"No")&gt;0),"🚩 Budget  ·  🚩 No one on camera",IF(COUNTIFS(Scoresheet!$C$2:$C$501,A44,Scoresheet!$U$2:$U$501,1,Scoresheet!$H$2:$H$501,"No")&gt;0,"🚩 Budget under AED 5k",IF(COUNTIFS(Scoresheet!$C$2:$C$501,A44,Scoresheet!$U$2:$U$501,1,Scoresheet!$J$2:$J$501,"No")&gt;0,"🚩 No one on camera",""))))</f>
        <v/>
      </c>
      <c r="Q44" s="17"/>
      <c r="R44" s="17"/>
      <c r="S44" s="40"/>
      <c r="T44" s="17"/>
      <c r="U44" s="45" t="str">
        <f aca="false">IF(OR(D44="",S44="",OR(R44="Contract signed + paid",R44="Closed – No response",R44="Lost"),N(T44)&gt;=Settings!$S$3),"",S44+Settings!$S$2)</f>
        <v/>
      </c>
      <c r="V44" s="40"/>
      <c r="W44" s="41"/>
      <c r="X44" s="17"/>
      <c r="Y44" s="17"/>
      <c r="Z44" s="17"/>
      <c r="AA44" s="46" t="str">
        <f aca="true">IF(OR(D44="",B44=""),"",INT(TODAY()-B44))</f>
        <v/>
      </c>
      <c r="AB44" s="44" t="str">
        <f aca="true">IF(D44="","",IF(OR(COUNTIFS(Clients!$C$2:$C$501,D44,Clients!$S$2:$S$501,"Paid")&gt;0,AND(H44&lt;&gt;"",COUNTIFS(Clients!$E$2:$E$501,H44,Clients!$S$2:$S$501,"Paid")&gt;0)),"⚠ Refunded before – no free video",IF(OR(R44="Contract signed + paid",R44="Closed – No response",R44="Lost"),"",IF(R44="","Set a stage",IF(AND(R44="Proposal sent",SUMIFS(Scoresheet!$N$2:$N$501,Scoresheet!$C$2:$C$501,A44,Scoresheet!$U$2:$U$501,1)&lt;6),"Score this lead – fill the call scoresheet",IF(N(T44)&gt;=Settings!$S$3,"Close – 4 follow-ups sent",IF(U44="",IF(S44="","Make first contact",""),IF(TODAY()&gt;U44,"OVERDUE follow-up",IF(TODAY()=U44,"Follow up today","")))))))))</f>
        <v/>
      </c>
    </row>
    <row r="45" customFormat="false" ht="15" hidden="false" customHeight="false" outlineLevel="0" collapsed="false">
      <c r="A45" s="17"/>
      <c r="B45" s="40"/>
      <c r="C45" s="17"/>
      <c r="D45" s="17"/>
      <c r="E45" s="17"/>
      <c r="F45" s="17"/>
      <c r="G45" s="17"/>
      <c r="H45" s="42"/>
      <c r="I45" s="17"/>
      <c r="J45" s="17"/>
      <c r="K45" s="17"/>
      <c r="L45" s="17"/>
      <c r="M45" s="17"/>
      <c r="N45" s="44" t="str">
        <f aca="false">IF(OR(D45="",A45="",COUNTIFS(Scoresheet!$C$2:$C$501,A45,Scoresheet!$U$2:$U$501,1)=0),"",SUMIFS(Scoresheet!$O$2:$O$501,Scoresheet!$C$2:$C$501,A45,Scoresheet!$U$2:$U$501,1))</f>
        <v/>
      </c>
      <c r="O45" s="44" t="str">
        <f aca="false">IF(D45="","",IF(OR(A45="",COUNTIFS(Scoresheet!$C$2:$C$501,A45,Scoresheet!$U$2:$U$501,1)=0),"No scoresheet yet",IF(SUMIFS(Scoresheet!$N$2:$N$501,Scoresheet!$C$2:$C$501,A45,Scoresheet!$U$2:$U$501,1)&lt;6,"Partly scored ("&amp;SUMIFS(Scoresheet!$N$2:$N$501,Scoresheet!$C$2:$C$501,A45,Scoresheet!$U$2:$U$501,1)&amp;"/6)",IF(N45&gt;=Settings!$S$8,"Hot",IF(N45&gt;=Settings!$S$9,"Warm","Cold")))))</f>
        <v/>
      </c>
      <c r="P45" s="44" t="str">
        <f aca="false">IF(OR(D45="",A45=""),"",IF(AND(COUNTIFS(Scoresheet!$C$2:$C$501,A45,Scoresheet!$U$2:$U$501,1,Scoresheet!$H$2:$H$501,"No")&gt;0,COUNTIFS(Scoresheet!$C$2:$C$501,A45,Scoresheet!$U$2:$U$501,1,Scoresheet!$J$2:$J$501,"No")&gt;0),"🚩 Budget  ·  🚩 No one on camera",IF(COUNTIFS(Scoresheet!$C$2:$C$501,A45,Scoresheet!$U$2:$U$501,1,Scoresheet!$H$2:$H$501,"No")&gt;0,"🚩 Budget under AED 5k",IF(COUNTIFS(Scoresheet!$C$2:$C$501,A45,Scoresheet!$U$2:$U$501,1,Scoresheet!$J$2:$J$501,"No")&gt;0,"🚩 No one on camera",""))))</f>
        <v/>
      </c>
      <c r="Q45" s="17"/>
      <c r="R45" s="17"/>
      <c r="S45" s="40"/>
      <c r="T45" s="17"/>
      <c r="U45" s="45" t="str">
        <f aca="false">IF(OR(D45="",S45="",OR(R45="Contract signed + paid",R45="Closed – No response",R45="Lost"),N(T45)&gt;=Settings!$S$3),"",S45+Settings!$S$2)</f>
        <v/>
      </c>
      <c r="V45" s="40"/>
      <c r="W45" s="41"/>
      <c r="X45" s="17"/>
      <c r="Y45" s="17"/>
      <c r="Z45" s="17"/>
      <c r="AA45" s="46" t="str">
        <f aca="true">IF(OR(D45="",B45=""),"",INT(TODAY()-B45))</f>
        <v/>
      </c>
      <c r="AB45" s="44" t="str">
        <f aca="true">IF(D45="","",IF(OR(COUNTIFS(Clients!$C$2:$C$501,D45,Clients!$S$2:$S$501,"Paid")&gt;0,AND(H45&lt;&gt;"",COUNTIFS(Clients!$E$2:$E$501,H45,Clients!$S$2:$S$501,"Paid")&gt;0)),"⚠ Refunded before – no free video",IF(OR(R45="Contract signed + paid",R45="Closed – No response",R45="Lost"),"",IF(R45="","Set a stage",IF(AND(R45="Proposal sent",SUMIFS(Scoresheet!$N$2:$N$501,Scoresheet!$C$2:$C$501,A45,Scoresheet!$U$2:$U$501,1)&lt;6),"Score this lead – fill the call scoresheet",IF(N(T45)&gt;=Settings!$S$3,"Close – 4 follow-ups sent",IF(U45="",IF(S45="","Make first contact",""),IF(TODAY()&gt;U45,"OVERDUE follow-up",IF(TODAY()=U45,"Follow up today","")))))))))</f>
        <v/>
      </c>
    </row>
    <row r="46" customFormat="false" ht="15" hidden="false" customHeight="false" outlineLevel="0" collapsed="false">
      <c r="A46" s="17"/>
      <c r="B46" s="40"/>
      <c r="C46" s="17"/>
      <c r="D46" s="17"/>
      <c r="E46" s="17"/>
      <c r="F46" s="17"/>
      <c r="G46" s="17"/>
      <c r="H46" s="42"/>
      <c r="I46" s="17"/>
      <c r="J46" s="17"/>
      <c r="K46" s="17"/>
      <c r="L46" s="17"/>
      <c r="M46" s="17"/>
      <c r="N46" s="44" t="str">
        <f aca="false">IF(OR(D46="",A46="",COUNTIFS(Scoresheet!$C$2:$C$501,A46,Scoresheet!$U$2:$U$501,1)=0),"",SUMIFS(Scoresheet!$O$2:$O$501,Scoresheet!$C$2:$C$501,A46,Scoresheet!$U$2:$U$501,1))</f>
        <v/>
      </c>
      <c r="O46" s="44" t="str">
        <f aca="false">IF(D46="","",IF(OR(A46="",COUNTIFS(Scoresheet!$C$2:$C$501,A46,Scoresheet!$U$2:$U$501,1)=0),"No scoresheet yet",IF(SUMIFS(Scoresheet!$N$2:$N$501,Scoresheet!$C$2:$C$501,A46,Scoresheet!$U$2:$U$501,1)&lt;6,"Partly scored ("&amp;SUMIFS(Scoresheet!$N$2:$N$501,Scoresheet!$C$2:$C$501,A46,Scoresheet!$U$2:$U$501,1)&amp;"/6)",IF(N46&gt;=Settings!$S$8,"Hot",IF(N46&gt;=Settings!$S$9,"Warm","Cold")))))</f>
        <v/>
      </c>
      <c r="P46" s="44" t="str">
        <f aca="false">IF(OR(D46="",A46=""),"",IF(AND(COUNTIFS(Scoresheet!$C$2:$C$501,A46,Scoresheet!$U$2:$U$501,1,Scoresheet!$H$2:$H$501,"No")&gt;0,COUNTIFS(Scoresheet!$C$2:$C$501,A46,Scoresheet!$U$2:$U$501,1,Scoresheet!$J$2:$J$501,"No")&gt;0),"🚩 Budget  ·  🚩 No one on camera",IF(COUNTIFS(Scoresheet!$C$2:$C$501,A46,Scoresheet!$U$2:$U$501,1,Scoresheet!$H$2:$H$501,"No")&gt;0,"🚩 Budget under AED 5k",IF(COUNTIFS(Scoresheet!$C$2:$C$501,A46,Scoresheet!$U$2:$U$501,1,Scoresheet!$J$2:$J$501,"No")&gt;0,"🚩 No one on camera",""))))</f>
        <v/>
      </c>
      <c r="Q46" s="17"/>
      <c r="R46" s="17"/>
      <c r="S46" s="40"/>
      <c r="T46" s="17"/>
      <c r="U46" s="45" t="str">
        <f aca="false">IF(OR(D46="",S46="",OR(R46="Contract signed + paid",R46="Closed – No response",R46="Lost"),N(T46)&gt;=Settings!$S$3),"",S46+Settings!$S$2)</f>
        <v/>
      </c>
      <c r="V46" s="40"/>
      <c r="W46" s="41"/>
      <c r="X46" s="17"/>
      <c r="Y46" s="17"/>
      <c r="Z46" s="17"/>
      <c r="AA46" s="46" t="str">
        <f aca="true">IF(OR(D46="",B46=""),"",INT(TODAY()-B46))</f>
        <v/>
      </c>
      <c r="AB46" s="44" t="str">
        <f aca="true">IF(D46="","",IF(OR(COUNTIFS(Clients!$C$2:$C$501,D46,Clients!$S$2:$S$501,"Paid")&gt;0,AND(H46&lt;&gt;"",COUNTIFS(Clients!$E$2:$E$501,H46,Clients!$S$2:$S$501,"Paid")&gt;0)),"⚠ Refunded before – no free video",IF(OR(R46="Contract signed + paid",R46="Closed – No response",R46="Lost"),"",IF(R46="","Set a stage",IF(AND(R46="Proposal sent",SUMIFS(Scoresheet!$N$2:$N$501,Scoresheet!$C$2:$C$501,A46,Scoresheet!$U$2:$U$501,1)&lt;6),"Score this lead – fill the call scoresheet",IF(N(T46)&gt;=Settings!$S$3,"Close – 4 follow-ups sent",IF(U46="",IF(S46="","Make first contact",""),IF(TODAY()&gt;U46,"OVERDUE follow-up",IF(TODAY()=U46,"Follow up today","")))))))))</f>
        <v/>
      </c>
    </row>
    <row r="47" customFormat="false" ht="15" hidden="false" customHeight="false" outlineLevel="0" collapsed="false">
      <c r="A47" s="17"/>
      <c r="B47" s="40"/>
      <c r="C47" s="17"/>
      <c r="D47" s="17"/>
      <c r="E47" s="17"/>
      <c r="F47" s="17"/>
      <c r="G47" s="17"/>
      <c r="H47" s="42"/>
      <c r="I47" s="17"/>
      <c r="J47" s="17"/>
      <c r="K47" s="17"/>
      <c r="L47" s="17"/>
      <c r="M47" s="17"/>
      <c r="N47" s="44" t="str">
        <f aca="false">IF(OR(D47="",A47="",COUNTIFS(Scoresheet!$C$2:$C$501,A47,Scoresheet!$U$2:$U$501,1)=0),"",SUMIFS(Scoresheet!$O$2:$O$501,Scoresheet!$C$2:$C$501,A47,Scoresheet!$U$2:$U$501,1))</f>
        <v/>
      </c>
      <c r="O47" s="44" t="str">
        <f aca="false">IF(D47="","",IF(OR(A47="",COUNTIFS(Scoresheet!$C$2:$C$501,A47,Scoresheet!$U$2:$U$501,1)=0),"No scoresheet yet",IF(SUMIFS(Scoresheet!$N$2:$N$501,Scoresheet!$C$2:$C$501,A47,Scoresheet!$U$2:$U$501,1)&lt;6,"Partly scored ("&amp;SUMIFS(Scoresheet!$N$2:$N$501,Scoresheet!$C$2:$C$501,A47,Scoresheet!$U$2:$U$501,1)&amp;"/6)",IF(N47&gt;=Settings!$S$8,"Hot",IF(N47&gt;=Settings!$S$9,"Warm","Cold")))))</f>
        <v/>
      </c>
      <c r="P47" s="44" t="str">
        <f aca="false">IF(OR(D47="",A47=""),"",IF(AND(COUNTIFS(Scoresheet!$C$2:$C$501,A47,Scoresheet!$U$2:$U$501,1,Scoresheet!$H$2:$H$501,"No")&gt;0,COUNTIFS(Scoresheet!$C$2:$C$501,A47,Scoresheet!$U$2:$U$501,1,Scoresheet!$J$2:$J$501,"No")&gt;0),"🚩 Budget  ·  🚩 No one on camera",IF(COUNTIFS(Scoresheet!$C$2:$C$501,A47,Scoresheet!$U$2:$U$501,1,Scoresheet!$H$2:$H$501,"No")&gt;0,"🚩 Budget under AED 5k",IF(COUNTIFS(Scoresheet!$C$2:$C$501,A47,Scoresheet!$U$2:$U$501,1,Scoresheet!$J$2:$J$501,"No")&gt;0,"🚩 No one on camera",""))))</f>
        <v/>
      </c>
      <c r="Q47" s="17"/>
      <c r="R47" s="17"/>
      <c r="S47" s="40"/>
      <c r="T47" s="17"/>
      <c r="U47" s="45" t="str">
        <f aca="false">IF(OR(D47="",S47="",OR(R47="Contract signed + paid",R47="Closed – No response",R47="Lost"),N(T47)&gt;=Settings!$S$3),"",S47+Settings!$S$2)</f>
        <v/>
      </c>
      <c r="V47" s="40"/>
      <c r="W47" s="41"/>
      <c r="X47" s="17"/>
      <c r="Y47" s="17"/>
      <c r="Z47" s="17"/>
      <c r="AA47" s="46" t="str">
        <f aca="true">IF(OR(D47="",B47=""),"",INT(TODAY()-B47))</f>
        <v/>
      </c>
      <c r="AB47" s="44" t="str">
        <f aca="true">IF(D47="","",IF(OR(COUNTIFS(Clients!$C$2:$C$501,D47,Clients!$S$2:$S$501,"Paid")&gt;0,AND(H47&lt;&gt;"",COUNTIFS(Clients!$E$2:$E$501,H47,Clients!$S$2:$S$501,"Paid")&gt;0)),"⚠ Refunded before – no free video",IF(OR(R47="Contract signed + paid",R47="Closed – No response",R47="Lost"),"",IF(R47="","Set a stage",IF(AND(R47="Proposal sent",SUMIFS(Scoresheet!$N$2:$N$501,Scoresheet!$C$2:$C$501,A47,Scoresheet!$U$2:$U$501,1)&lt;6),"Score this lead – fill the call scoresheet",IF(N(T47)&gt;=Settings!$S$3,"Close – 4 follow-ups sent",IF(U47="",IF(S47="","Make first contact",""),IF(TODAY()&gt;U47,"OVERDUE follow-up",IF(TODAY()=U47,"Follow up today","")))))))))</f>
        <v/>
      </c>
    </row>
    <row r="48" customFormat="false" ht="15" hidden="false" customHeight="false" outlineLevel="0" collapsed="false">
      <c r="A48" s="17"/>
      <c r="B48" s="40"/>
      <c r="C48" s="17"/>
      <c r="D48" s="17"/>
      <c r="E48" s="17"/>
      <c r="F48" s="17"/>
      <c r="G48" s="17"/>
      <c r="H48" s="42"/>
      <c r="I48" s="17"/>
      <c r="J48" s="17"/>
      <c r="K48" s="17"/>
      <c r="L48" s="17"/>
      <c r="M48" s="17"/>
      <c r="N48" s="44" t="str">
        <f aca="false">IF(OR(D48="",A48="",COUNTIFS(Scoresheet!$C$2:$C$501,A48,Scoresheet!$U$2:$U$501,1)=0),"",SUMIFS(Scoresheet!$O$2:$O$501,Scoresheet!$C$2:$C$501,A48,Scoresheet!$U$2:$U$501,1))</f>
        <v/>
      </c>
      <c r="O48" s="44" t="str">
        <f aca="false">IF(D48="","",IF(OR(A48="",COUNTIFS(Scoresheet!$C$2:$C$501,A48,Scoresheet!$U$2:$U$501,1)=0),"No scoresheet yet",IF(SUMIFS(Scoresheet!$N$2:$N$501,Scoresheet!$C$2:$C$501,A48,Scoresheet!$U$2:$U$501,1)&lt;6,"Partly scored ("&amp;SUMIFS(Scoresheet!$N$2:$N$501,Scoresheet!$C$2:$C$501,A48,Scoresheet!$U$2:$U$501,1)&amp;"/6)",IF(N48&gt;=Settings!$S$8,"Hot",IF(N48&gt;=Settings!$S$9,"Warm","Cold")))))</f>
        <v/>
      </c>
      <c r="P48" s="44" t="str">
        <f aca="false">IF(OR(D48="",A48=""),"",IF(AND(COUNTIFS(Scoresheet!$C$2:$C$501,A48,Scoresheet!$U$2:$U$501,1,Scoresheet!$H$2:$H$501,"No")&gt;0,COUNTIFS(Scoresheet!$C$2:$C$501,A48,Scoresheet!$U$2:$U$501,1,Scoresheet!$J$2:$J$501,"No")&gt;0),"🚩 Budget  ·  🚩 No one on camera",IF(COUNTIFS(Scoresheet!$C$2:$C$501,A48,Scoresheet!$U$2:$U$501,1,Scoresheet!$H$2:$H$501,"No")&gt;0,"🚩 Budget under AED 5k",IF(COUNTIFS(Scoresheet!$C$2:$C$501,A48,Scoresheet!$U$2:$U$501,1,Scoresheet!$J$2:$J$501,"No")&gt;0,"🚩 No one on camera",""))))</f>
        <v/>
      </c>
      <c r="Q48" s="17"/>
      <c r="R48" s="17"/>
      <c r="S48" s="40"/>
      <c r="T48" s="17"/>
      <c r="U48" s="45" t="str">
        <f aca="false">IF(OR(D48="",S48="",OR(R48="Contract signed + paid",R48="Closed – No response",R48="Lost"),N(T48)&gt;=Settings!$S$3),"",S48+Settings!$S$2)</f>
        <v/>
      </c>
      <c r="V48" s="40"/>
      <c r="W48" s="41"/>
      <c r="X48" s="17"/>
      <c r="Y48" s="17"/>
      <c r="Z48" s="17"/>
      <c r="AA48" s="46" t="str">
        <f aca="true">IF(OR(D48="",B48=""),"",INT(TODAY()-B48))</f>
        <v/>
      </c>
      <c r="AB48" s="44" t="str">
        <f aca="true">IF(D48="","",IF(OR(COUNTIFS(Clients!$C$2:$C$501,D48,Clients!$S$2:$S$501,"Paid")&gt;0,AND(H48&lt;&gt;"",COUNTIFS(Clients!$E$2:$E$501,H48,Clients!$S$2:$S$501,"Paid")&gt;0)),"⚠ Refunded before – no free video",IF(OR(R48="Contract signed + paid",R48="Closed – No response",R48="Lost"),"",IF(R48="","Set a stage",IF(AND(R48="Proposal sent",SUMIFS(Scoresheet!$N$2:$N$501,Scoresheet!$C$2:$C$501,A48,Scoresheet!$U$2:$U$501,1)&lt;6),"Score this lead – fill the call scoresheet",IF(N(T48)&gt;=Settings!$S$3,"Close – 4 follow-ups sent",IF(U48="",IF(S48="","Make first contact",""),IF(TODAY()&gt;U48,"OVERDUE follow-up",IF(TODAY()=U48,"Follow up today","")))))))))</f>
        <v/>
      </c>
    </row>
    <row r="49" customFormat="false" ht="15" hidden="false" customHeight="false" outlineLevel="0" collapsed="false">
      <c r="A49" s="17"/>
      <c r="B49" s="40"/>
      <c r="C49" s="17"/>
      <c r="D49" s="17"/>
      <c r="E49" s="17"/>
      <c r="F49" s="17"/>
      <c r="G49" s="17"/>
      <c r="H49" s="42"/>
      <c r="I49" s="17"/>
      <c r="J49" s="17"/>
      <c r="K49" s="17"/>
      <c r="L49" s="17"/>
      <c r="M49" s="17"/>
      <c r="N49" s="44" t="str">
        <f aca="false">IF(OR(D49="",A49="",COUNTIFS(Scoresheet!$C$2:$C$501,A49,Scoresheet!$U$2:$U$501,1)=0),"",SUMIFS(Scoresheet!$O$2:$O$501,Scoresheet!$C$2:$C$501,A49,Scoresheet!$U$2:$U$501,1))</f>
        <v/>
      </c>
      <c r="O49" s="44" t="str">
        <f aca="false">IF(D49="","",IF(OR(A49="",COUNTIFS(Scoresheet!$C$2:$C$501,A49,Scoresheet!$U$2:$U$501,1)=0),"No scoresheet yet",IF(SUMIFS(Scoresheet!$N$2:$N$501,Scoresheet!$C$2:$C$501,A49,Scoresheet!$U$2:$U$501,1)&lt;6,"Partly scored ("&amp;SUMIFS(Scoresheet!$N$2:$N$501,Scoresheet!$C$2:$C$501,A49,Scoresheet!$U$2:$U$501,1)&amp;"/6)",IF(N49&gt;=Settings!$S$8,"Hot",IF(N49&gt;=Settings!$S$9,"Warm","Cold")))))</f>
        <v/>
      </c>
      <c r="P49" s="44" t="str">
        <f aca="false">IF(OR(D49="",A49=""),"",IF(AND(COUNTIFS(Scoresheet!$C$2:$C$501,A49,Scoresheet!$U$2:$U$501,1,Scoresheet!$H$2:$H$501,"No")&gt;0,COUNTIFS(Scoresheet!$C$2:$C$501,A49,Scoresheet!$U$2:$U$501,1,Scoresheet!$J$2:$J$501,"No")&gt;0),"🚩 Budget  ·  🚩 No one on camera",IF(COUNTIFS(Scoresheet!$C$2:$C$501,A49,Scoresheet!$U$2:$U$501,1,Scoresheet!$H$2:$H$501,"No")&gt;0,"🚩 Budget under AED 5k",IF(COUNTIFS(Scoresheet!$C$2:$C$501,A49,Scoresheet!$U$2:$U$501,1,Scoresheet!$J$2:$J$501,"No")&gt;0,"🚩 No one on camera",""))))</f>
        <v/>
      </c>
      <c r="Q49" s="17"/>
      <c r="R49" s="17"/>
      <c r="S49" s="40"/>
      <c r="T49" s="17"/>
      <c r="U49" s="45" t="str">
        <f aca="false">IF(OR(D49="",S49="",OR(R49="Contract signed + paid",R49="Closed – No response",R49="Lost"),N(T49)&gt;=Settings!$S$3),"",S49+Settings!$S$2)</f>
        <v/>
      </c>
      <c r="V49" s="40"/>
      <c r="W49" s="41"/>
      <c r="X49" s="17"/>
      <c r="Y49" s="17"/>
      <c r="Z49" s="17"/>
      <c r="AA49" s="46" t="str">
        <f aca="true">IF(OR(D49="",B49=""),"",INT(TODAY()-B49))</f>
        <v/>
      </c>
      <c r="AB49" s="44" t="str">
        <f aca="true">IF(D49="","",IF(OR(COUNTIFS(Clients!$C$2:$C$501,D49,Clients!$S$2:$S$501,"Paid")&gt;0,AND(H49&lt;&gt;"",COUNTIFS(Clients!$E$2:$E$501,H49,Clients!$S$2:$S$501,"Paid")&gt;0)),"⚠ Refunded before – no free video",IF(OR(R49="Contract signed + paid",R49="Closed – No response",R49="Lost"),"",IF(R49="","Set a stage",IF(AND(R49="Proposal sent",SUMIFS(Scoresheet!$N$2:$N$501,Scoresheet!$C$2:$C$501,A49,Scoresheet!$U$2:$U$501,1)&lt;6),"Score this lead – fill the call scoresheet",IF(N(T49)&gt;=Settings!$S$3,"Close – 4 follow-ups sent",IF(U49="",IF(S49="","Make first contact",""),IF(TODAY()&gt;U49,"OVERDUE follow-up",IF(TODAY()=U49,"Follow up today","")))))))))</f>
        <v/>
      </c>
    </row>
    <row r="50" customFormat="false" ht="15" hidden="false" customHeight="false" outlineLevel="0" collapsed="false">
      <c r="A50" s="17"/>
      <c r="B50" s="40"/>
      <c r="C50" s="17"/>
      <c r="D50" s="17"/>
      <c r="E50" s="17"/>
      <c r="F50" s="17"/>
      <c r="G50" s="17"/>
      <c r="H50" s="42"/>
      <c r="I50" s="17"/>
      <c r="J50" s="17"/>
      <c r="K50" s="17"/>
      <c r="L50" s="17"/>
      <c r="M50" s="17"/>
      <c r="N50" s="44" t="str">
        <f aca="false">IF(OR(D50="",A50="",COUNTIFS(Scoresheet!$C$2:$C$501,A50,Scoresheet!$U$2:$U$501,1)=0),"",SUMIFS(Scoresheet!$O$2:$O$501,Scoresheet!$C$2:$C$501,A50,Scoresheet!$U$2:$U$501,1))</f>
        <v/>
      </c>
      <c r="O50" s="44" t="str">
        <f aca="false">IF(D50="","",IF(OR(A50="",COUNTIFS(Scoresheet!$C$2:$C$501,A50,Scoresheet!$U$2:$U$501,1)=0),"No scoresheet yet",IF(SUMIFS(Scoresheet!$N$2:$N$501,Scoresheet!$C$2:$C$501,A50,Scoresheet!$U$2:$U$501,1)&lt;6,"Partly scored ("&amp;SUMIFS(Scoresheet!$N$2:$N$501,Scoresheet!$C$2:$C$501,A50,Scoresheet!$U$2:$U$501,1)&amp;"/6)",IF(N50&gt;=Settings!$S$8,"Hot",IF(N50&gt;=Settings!$S$9,"Warm","Cold")))))</f>
        <v/>
      </c>
      <c r="P50" s="44" t="str">
        <f aca="false">IF(OR(D50="",A50=""),"",IF(AND(COUNTIFS(Scoresheet!$C$2:$C$501,A50,Scoresheet!$U$2:$U$501,1,Scoresheet!$H$2:$H$501,"No")&gt;0,COUNTIFS(Scoresheet!$C$2:$C$501,A50,Scoresheet!$U$2:$U$501,1,Scoresheet!$J$2:$J$501,"No")&gt;0),"🚩 Budget  ·  🚩 No one on camera",IF(COUNTIFS(Scoresheet!$C$2:$C$501,A50,Scoresheet!$U$2:$U$501,1,Scoresheet!$H$2:$H$501,"No")&gt;0,"🚩 Budget under AED 5k",IF(COUNTIFS(Scoresheet!$C$2:$C$501,A50,Scoresheet!$U$2:$U$501,1,Scoresheet!$J$2:$J$501,"No")&gt;0,"🚩 No one on camera",""))))</f>
        <v/>
      </c>
      <c r="Q50" s="17"/>
      <c r="R50" s="17"/>
      <c r="S50" s="40"/>
      <c r="T50" s="17"/>
      <c r="U50" s="45" t="str">
        <f aca="false">IF(OR(D50="",S50="",OR(R50="Contract signed + paid",R50="Closed – No response",R50="Lost"),N(T50)&gt;=Settings!$S$3),"",S50+Settings!$S$2)</f>
        <v/>
      </c>
      <c r="V50" s="40"/>
      <c r="W50" s="41"/>
      <c r="X50" s="17"/>
      <c r="Y50" s="17"/>
      <c r="Z50" s="17"/>
      <c r="AA50" s="46" t="str">
        <f aca="true">IF(OR(D50="",B50=""),"",INT(TODAY()-B50))</f>
        <v/>
      </c>
      <c r="AB50" s="44" t="str">
        <f aca="true">IF(D50="","",IF(OR(COUNTIFS(Clients!$C$2:$C$501,D50,Clients!$S$2:$S$501,"Paid")&gt;0,AND(H50&lt;&gt;"",COUNTIFS(Clients!$E$2:$E$501,H50,Clients!$S$2:$S$501,"Paid")&gt;0)),"⚠ Refunded before – no free video",IF(OR(R50="Contract signed + paid",R50="Closed – No response",R50="Lost"),"",IF(R50="","Set a stage",IF(AND(R50="Proposal sent",SUMIFS(Scoresheet!$N$2:$N$501,Scoresheet!$C$2:$C$501,A50,Scoresheet!$U$2:$U$501,1)&lt;6),"Score this lead – fill the call scoresheet",IF(N(T50)&gt;=Settings!$S$3,"Close – 4 follow-ups sent",IF(U50="",IF(S50="","Make first contact",""),IF(TODAY()&gt;U50,"OVERDUE follow-up",IF(TODAY()=U50,"Follow up today","")))))))))</f>
        <v/>
      </c>
    </row>
    <row r="51" customFormat="false" ht="15" hidden="false" customHeight="false" outlineLevel="0" collapsed="false">
      <c r="A51" s="17"/>
      <c r="B51" s="40"/>
      <c r="C51" s="17"/>
      <c r="D51" s="17"/>
      <c r="E51" s="17"/>
      <c r="F51" s="17"/>
      <c r="G51" s="17"/>
      <c r="H51" s="42"/>
      <c r="I51" s="17"/>
      <c r="J51" s="17"/>
      <c r="K51" s="17"/>
      <c r="L51" s="17"/>
      <c r="M51" s="17"/>
      <c r="N51" s="44" t="str">
        <f aca="false">IF(OR(D51="",A51="",COUNTIFS(Scoresheet!$C$2:$C$501,A51,Scoresheet!$U$2:$U$501,1)=0),"",SUMIFS(Scoresheet!$O$2:$O$501,Scoresheet!$C$2:$C$501,A51,Scoresheet!$U$2:$U$501,1))</f>
        <v/>
      </c>
      <c r="O51" s="44" t="str">
        <f aca="false">IF(D51="","",IF(OR(A51="",COUNTIFS(Scoresheet!$C$2:$C$501,A51,Scoresheet!$U$2:$U$501,1)=0),"No scoresheet yet",IF(SUMIFS(Scoresheet!$N$2:$N$501,Scoresheet!$C$2:$C$501,A51,Scoresheet!$U$2:$U$501,1)&lt;6,"Partly scored ("&amp;SUMIFS(Scoresheet!$N$2:$N$501,Scoresheet!$C$2:$C$501,A51,Scoresheet!$U$2:$U$501,1)&amp;"/6)",IF(N51&gt;=Settings!$S$8,"Hot",IF(N51&gt;=Settings!$S$9,"Warm","Cold")))))</f>
        <v/>
      </c>
      <c r="P51" s="44" t="str">
        <f aca="false">IF(OR(D51="",A51=""),"",IF(AND(COUNTIFS(Scoresheet!$C$2:$C$501,A51,Scoresheet!$U$2:$U$501,1,Scoresheet!$H$2:$H$501,"No")&gt;0,COUNTIFS(Scoresheet!$C$2:$C$501,A51,Scoresheet!$U$2:$U$501,1,Scoresheet!$J$2:$J$501,"No")&gt;0),"🚩 Budget  ·  🚩 No one on camera",IF(COUNTIFS(Scoresheet!$C$2:$C$501,A51,Scoresheet!$U$2:$U$501,1,Scoresheet!$H$2:$H$501,"No")&gt;0,"🚩 Budget under AED 5k",IF(COUNTIFS(Scoresheet!$C$2:$C$501,A51,Scoresheet!$U$2:$U$501,1,Scoresheet!$J$2:$J$501,"No")&gt;0,"🚩 No one on camera",""))))</f>
        <v/>
      </c>
      <c r="Q51" s="17"/>
      <c r="R51" s="17"/>
      <c r="S51" s="40"/>
      <c r="T51" s="17"/>
      <c r="U51" s="45" t="str">
        <f aca="false">IF(OR(D51="",S51="",OR(R51="Contract signed + paid",R51="Closed – No response",R51="Lost"),N(T51)&gt;=Settings!$S$3),"",S51+Settings!$S$2)</f>
        <v/>
      </c>
      <c r="V51" s="40"/>
      <c r="W51" s="41"/>
      <c r="X51" s="17"/>
      <c r="Y51" s="17"/>
      <c r="Z51" s="17"/>
      <c r="AA51" s="46" t="str">
        <f aca="true">IF(OR(D51="",B51=""),"",INT(TODAY()-B51))</f>
        <v/>
      </c>
      <c r="AB51" s="44" t="str">
        <f aca="true">IF(D51="","",IF(OR(COUNTIFS(Clients!$C$2:$C$501,D51,Clients!$S$2:$S$501,"Paid")&gt;0,AND(H51&lt;&gt;"",COUNTIFS(Clients!$E$2:$E$501,H51,Clients!$S$2:$S$501,"Paid")&gt;0)),"⚠ Refunded before – no free video",IF(OR(R51="Contract signed + paid",R51="Closed – No response",R51="Lost"),"",IF(R51="","Set a stage",IF(AND(R51="Proposal sent",SUMIFS(Scoresheet!$N$2:$N$501,Scoresheet!$C$2:$C$501,A51,Scoresheet!$U$2:$U$501,1)&lt;6),"Score this lead – fill the call scoresheet",IF(N(T51)&gt;=Settings!$S$3,"Close – 4 follow-ups sent",IF(U51="",IF(S51="","Make first contact",""),IF(TODAY()&gt;U51,"OVERDUE follow-up",IF(TODAY()=U51,"Follow up today","")))))))))</f>
        <v/>
      </c>
    </row>
    <row r="52" customFormat="false" ht="15" hidden="false" customHeight="false" outlineLevel="0" collapsed="false">
      <c r="A52" s="17"/>
      <c r="B52" s="40"/>
      <c r="C52" s="17"/>
      <c r="D52" s="17"/>
      <c r="E52" s="17"/>
      <c r="F52" s="17"/>
      <c r="G52" s="17"/>
      <c r="H52" s="42"/>
      <c r="I52" s="17"/>
      <c r="J52" s="17"/>
      <c r="K52" s="17"/>
      <c r="L52" s="17"/>
      <c r="M52" s="17"/>
      <c r="N52" s="44" t="str">
        <f aca="false">IF(OR(D52="",A52="",COUNTIFS(Scoresheet!$C$2:$C$501,A52,Scoresheet!$U$2:$U$501,1)=0),"",SUMIFS(Scoresheet!$O$2:$O$501,Scoresheet!$C$2:$C$501,A52,Scoresheet!$U$2:$U$501,1))</f>
        <v/>
      </c>
      <c r="O52" s="44" t="str">
        <f aca="false">IF(D52="","",IF(OR(A52="",COUNTIFS(Scoresheet!$C$2:$C$501,A52,Scoresheet!$U$2:$U$501,1)=0),"No scoresheet yet",IF(SUMIFS(Scoresheet!$N$2:$N$501,Scoresheet!$C$2:$C$501,A52,Scoresheet!$U$2:$U$501,1)&lt;6,"Partly scored ("&amp;SUMIFS(Scoresheet!$N$2:$N$501,Scoresheet!$C$2:$C$501,A52,Scoresheet!$U$2:$U$501,1)&amp;"/6)",IF(N52&gt;=Settings!$S$8,"Hot",IF(N52&gt;=Settings!$S$9,"Warm","Cold")))))</f>
        <v/>
      </c>
      <c r="P52" s="44" t="str">
        <f aca="false">IF(OR(D52="",A52=""),"",IF(AND(COUNTIFS(Scoresheet!$C$2:$C$501,A52,Scoresheet!$U$2:$U$501,1,Scoresheet!$H$2:$H$501,"No")&gt;0,COUNTIFS(Scoresheet!$C$2:$C$501,A52,Scoresheet!$U$2:$U$501,1,Scoresheet!$J$2:$J$501,"No")&gt;0),"🚩 Budget  ·  🚩 No one on camera",IF(COUNTIFS(Scoresheet!$C$2:$C$501,A52,Scoresheet!$U$2:$U$501,1,Scoresheet!$H$2:$H$501,"No")&gt;0,"🚩 Budget under AED 5k",IF(COUNTIFS(Scoresheet!$C$2:$C$501,A52,Scoresheet!$U$2:$U$501,1,Scoresheet!$J$2:$J$501,"No")&gt;0,"🚩 No one on camera",""))))</f>
        <v/>
      </c>
      <c r="Q52" s="17"/>
      <c r="R52" s="17"/>
      <c r="S52" s="40"/>
      <c r="T52" s="17"/>
      <c r="U52" s="45" t="str">
        <f aca="false">IF(OR(D52="",S52="",OR(R52="Contract signed + paid",R52="Closed – No response",R52="Lost"),N(T52)&gt;=Settings!$S$3),"",S52+Settings!$S$2)</f>
        <v/>
      </c>
      <c r="V52" s="40"/>
      <c r="W52" s="41"/>
      <c r="X52" s="17"/>
      <c r="Y52" s="17"/>
      <c r="Z52" s="17"/>
      <c r="AA52" s="46" t="str">
        <f aca="true">IF(OR(D52="",B52=""),"",INT(TODAY()-B52))</f>
        <v/>
      </c>
      <c r="AB52" s="44" t="str">
        <f aca="true">IF(D52="","",IF(OR(COUNTIFS(Clients!$C$2:$C$501,D52,Clients!$S$2:$S$501,"Paid")&gt;0,AND(H52&lt;&gt;"",COUNTIFS(Clients!$E$2:$E$501,H52,Clients!$S$2:$S$501,"Paid")&gt;0)),"⚠ Refunded before – no free video",IF(OR(R52="Contract signed + paid",R52="Closed – No response",R52="Lost"),"",IF(R52="","Set a stage",IF(AND(R52="Proposal sent",SUMIFS(Scoresheet!$N$2:$N$501,Scoresheet!$C$2:$C$501,A52,Scoresheet!$U$2:$U$501,1)&lt;6),"Score this lead – fill the call scoresheet",IF(N(T52)&gt;=Settings!$S$3,"Close – 4 follow-ups sent",IF(U52="",IF(S52="","Make first contact",""),IF(TODAY()&gt;U52,"OVERDUE follow-up",IF(TODAY()=U52,"Follow up today","")))))))))</f>
        <v/>
      </c>
    </row>
    <row r="53" customFormat="false" ht="15" hidden="false" customHeight="false" outlineLevel="0" collapsed="false">
      <c r="A53" s="17"/>
      <c r="B53" s="40"/>
      <c r="C53" s="17"/>
      <c r="D53" s="17"/>
      <c r="E53" s="17"/>
      <c r="F53" s="17"/>
      <c r="G53" s="17"/>
      <c r="H53" s="42"/>
      <c r="I53" s="17"/>
      <c r="J53" s="17"/>
      <c r="K53" s="17"/>
      <c r="L53" s="17"/>
      <c r="M53" s="17"/>
      <c r="N53" s="44" t="str">
        <f aca="false">IF(OR(D53="",A53="",COUNTIFS(Scoresheet!$C$2:$C$501,A53,Scoresheet!$U$2:$U$501,1)=0),"",SUMIFS(Scoresheet!$O$2:$O$501,Scoresheet!$C$2:$C$501,A53,Scoresheet!$U$2:$U$501,1))</f>
        <v/>
      </c>
      <c r="O53" s="44" t="str">
        <f aca="false">IF(D53="","",IF(OR(A53="",COUNTIFS(Scoresheet!$C$2:$C$501,A53,Scoresheet!$U$2:$U$501,1)=0),"No scoresheet yet",IF(SUMIFS(Scoresheet!$N$2:$N$501,Scoresheet!$C$2:$C$501,A53,Scoresheet!$U$2:$U$501,1)&lt;6,"Partly scored ("&amp;SUMIFS(Scoresheet!$N$2:$N$501,Scoresheet!$C$2:$C$501,A53,Scoresheet!$U$2:$U$501,1)&amp;"/6)",IF(N53&gt;=Settings!$S$8,"Hot",IF(N53&gt;=Settings!$S$9,"Warm","Cold")))))</f>
        <v/>
      </c>
      <c r="P53" s="44" t="str">
        <f aca="false">IF(OR(D53="",A53=""),"",IF(AND(COUNTIFS(Scoresheet!$C$2:$C$501,A53,Scoresheet!$U$2:$U$501,1,Scoresheet!$H$2:$H$501,"No")&gt;0,COUNTIFS(Scoresheet!$C$2:$C$501,A53,Scoresheet!$U$2:$U$501,1,Scoresheet!$J$2:$J$501,"No")&gt;0),"🚩 Budget  ·  🚩 No one on camera",IF(COUNTIFS(Scoresheet!$C$2:$C$501,A53,Scoresheet!$U$2:$U$501,1,Scoresheet!$H$2:$H$501,"No")&gt;0,"🚩 Budget under AED 5k",IF(COUNTIFS(Scoresheet!$C$2:$C$501,A53,Scoresheet!$U$2:$U$501,1,Scoresheet!$J$2:$J$501,"No")&gt;0,"🚩 No one on camera",""))))</f>
        <v/>
      </c>
      <c r="Q53" s="17"/>
      <c r="R53" s="17"/>
      <c r="S53" s="40"/>
      <c r="T53" s="17"/>
      <c r="U53" s="45" t="str">
        <f aca="false">IF(OR(D53="",S53="",OR(R53="Contract signed + paid",R53="Closed – No response",R53="Lost"),N(T53)&gt;=Settings!$S$3),"",S53+Settings!$S$2)</f>
        <v/>
      </c>
      <c r="V53" s="40"/>
      <c r="W53" s="41"/>
      <c r="X53" s="17"/>
      <c r="Y53" s="17"/>
      <c r="Z53" s="17"/>
      <c r="AA53" s="46" t="str">
        <f aca="true">IF(OR(D53="",B53=""),"",INT(TODAY()-B53))</f>
        <v/>
      </c>
      <c r="AB53" s="44" t="str">
        <f aca="true">IF(D53="","",IF(OR(COUNTIFS(Clients!$C$2:$C$501,D53,Clients!$S$2:$S$501,"Paid")&gt;0,AND(H53&lt;&gt;"",COUNTIFS(Clients!$E$2:$E$501,H53,Clients!$S$2:$S$501,"Paid")&gt;0)),"⚠ Refunded before – no free video",IF(OR(R53="Contract signed + paid",R53="Closed – No response",R53="Lost"),"",IF(R53="","Set a stage",IF(AND(R53="Proposal sent",SUMIFS(Scoresheet!$N$2:$N$501,Scoresheet!$C$2:$C$501,A53,Scoresheet!$U$2:$U$501,1)&lt;6),"Score this lead – fill the call scoresheet",IF(N(T53)&gt;=Settings!$S$3,"Close – 4 follow-ups sent",IF(U53="",IF(S53="","Make first contact",""),IF(TODAY()&gt;U53,"OVERDUE follow-up",IF(TODAY()=U53,"Follow up today","")))))))))</f>
        <v/>
      </c>
    </row>
    <row r="54" customFormat="false" ht="15" hidden="false" customHeight="false" outlineLevel="0" collapsed="false">
      <c r="A54" s="17"/>
      <c r="B54" s="40"/>
      <c r="C54" s="17"/>
      <c r="D54" s="17"/>
      <c r="E54" s="17"/>
      <c r="F54" s="17"/>
      <c r="G54" s="17"/>
      <c r="H54" s="42"/>
      <c r="I54" s="17"/>
      <c r="J54" s="17"/>
      <c r="K54" s="17"/>
      <c r="L54" s="17"/>
      <c r="M54" s="17"/>
      <c r="N54" s="44" t="str">
        <f aca="false">IF(OR(D54="",A54="",COUNTIFS(Scoresheet!$C$2:$C$501,A54,Scoresheet!$U$2:$U$501,1)=0),"",SUMIFS(Scoresheet!$O$2:$O$501,Scoresheet!$C$2:$C$501,A54,Scoresheet!$U$2:$U$501,1))</f>
        <v/>
      </c>
      <c r="O54" s="44" t="str">
        <f aca="false">IF(D54="","",IF(OR(A54="",COUNTIFS(Scoresheet!$C$2:$C$501,A54,Scoresheet!$U$2:$U$501,1)=0),"No scoresheet yet",IF(SUMIFS(Scoresheet!$N$2:$N$501,Scoresheet!$C$2:$C$501,A54,Scoresheet!$U$2:$U$501,1)&lt;6,"Partly scored ("&amp;SUMIFS(Scoresheet!$N$2:$N$501,Scoresheet!$C$2:$C$501,A54,Scoresheet!$U$2:$U$501,1)&amp;"/6)",IF(N54&gt;=Settings!$S$8,"Hot",IF(N54&gt;=Settings!$S$9,"Warm","Cold")))))</f>
        <v/>
      </c>
      <c r="P54" s="44" t="str">
        <f aca="false">IF(OR(D54="",A54=""),"",IF(AND(COUNTIFS(Scoresheet!$C$2:$C$501,A54,Scoresheet!$U$2:$U$501,1,Scoresheet!$H$2:$H$501,"No")&gt;0,COUNTIFS(Scoresheet!$C$2:$C$501,A54,Scoresheet!$U$2:$U$501,1,Scoresheet!$J$2:$J$501,"No")&gt;0),"🚩 Budget  ·  🚩 No one on camera",IF(COUNTIFS(Scoresheet!$C$2:$C$501,A54,Scoresheet!$U$2:$U$501,1,Scoresheet!$H$2:$H$501,"No")&gt;0,"🚩 Budget under AED 5k",IF(COUNTIFS(Scoresheet!$C$2:$C$501,A54,Scoresheet!$U$2:$U$501,1,Scoresheet!$J$2:$J$501,"No")&gt;0,"🚩 No one on camera",""))))</f>
        <v/>
      </c>
      <c r="Q54" s="17"/>
      <c r="R54" s="17"/>
      <c r="S54" s="40"/>
      <c r="T54" s="17"/>
      <c r="U54" s="45" t="str">
        <f aca="false">IF(OR(D54="",S54="",OR(R54="Contract signed + paid",R54="Closed – No response",R54="Lost"),N(T54)&gt;=Settings!$S$3),"",S54+Settings!$S$2)</f>
        <v/>
      </c>
      <c r="V54" s="40"/>
      <c r="W54" s="41"/>
      <c r="X54" s="17"/>
      <c r="Y54" s="17"/>
      <c r="Z54" s="17"/>
      <c r="AA54" s="46" t="str">
        <f aca="true">IF(OR(D54="",B54=""),"",INT(TODAY()-B54))</f>
        <v/>
      </c>
      <c r="AB54" s="44" t="str">
        <f aca="true">IF(D54="","",IF(OR(COUNTIFS(Clients!$C$2:$C$501,D54,Clients!$S$2:$S$501,"Paid")&gt;0,AND(H54&lt;&gt;"",COUNTIFS(Clients!$E$2:$E$501,H54,Clients!$S$2:$S$501,"Paid")&gt;0)),"⚠ Refunded before – no free video",IF(OR(R54="Contract signed + paid",R54="Closed – No response",R54="Lost"),"",IF(R54="","Set a stage",IF(AND(R54="Proposal sent",SUMIFS(Scoresheet!$N$2:$N$501,Scoresheet!$C$2:$C$501,A54,Scoresheet!$U$2:$U$501,1)&lt;6),"Score this lead – fill the call scoresheet",IF(N(T54)&gt;=Settings!$S$3,"Close – 4 follow-ups sent",IF(U54="",IF(S54="","Make first contact",""),IF(TODAY()&gt;U54,"OVERDUE follow-up",IF(TODAY()=U54,"Follow up today","")))))))))</f>
        <v/>
      </c>
    </row>
    <row r="55" customFormat="false" ht="15" hidden="false" customHeight="false" outlineLevel="0" collapsed="false">
      <c r="A55" s="17"/>
      <c r="B55" s="40"/>
      <c r="C55" s="17"/>
      <c r="D55" s="17"/>
      <c r="E55" s="17"/>
      <c r="F55" s="17"/>
      <c r="G55" s="17"/>
      <c r="H55" s="42"/>
      <c r="I55" s="17"/>
      <c r="J55" s="17"/>
      <c r="K55" s="17"/>
      <c r="L55" s="17"/>
      <c r="M55" s="17"/>
      <c r="N55" s="44" t="str">
        <f aca="false">IF(OR(D55="",A55="",COUNTIFS(Scoresheet!$C$2:$C$501,A55,Scoresheet!$U$2:$U$501,1)=0),"",SUMIFS(Scoresheet!$O$2:$O$501,Scoresheet!$C$2:$C$501,A55,Scoresheet!$U$2:$U$501,1))</f>
        <v/>
      </c>
      <c r="O55" s="44" t="str">
        <f aca="false">IF(D55="","",IF(OR(A55="",COUNTIFS(Scoresheet!$C$2:$C$501,A55,Scoresheet!$U$2:$U$501,1)=0),"No scoresheet yet",IF(SUMIFS(Scoresheet!$N$2:$N$501,Scoresheet!$C$2:$C$501,A55,Scoresheet!$U$2:$U$501,1)&lt;6,"Partly scored ("&amp;SUMIFS(Scoresheet!$N$2:$N$501,Scoresheet!$C$2:$C$501,A55,Scoresheet!$U$2:$U$501,1)&amp;"/6)",IF(N55&gt;=Settings!$S$8,"Hot",IF(N55&gt;=Settings!$S$9,"Warm","Cold")))))</f>
        <v/>
      </c>
      <c r="P55" s="44" t="str">
        <f aca="false">IF(OR(D55="",A55=""),"",IF(AND(COUNTIFS(Scoresheet!$C$2:$C$501,A55,Scoresheet!$U$2:$U$501,1,Scoresheet!$H$2:$H$501,"No")&gt;0,COUNTIFS(Scoresheet!$C$2:$C$501,A55,Scoresheet!$U$2:$U$501,1,Scoresheet!$J$2:$J$501,"No")&gt;0),"🚩 Budget  ·  🚩 No one on camera",IF(COUNTIFS(Scoresheet!$C$2:$C$501,A55,Scoresheet!$U$2:$U$501,1,Scoresheet!$H$2:$H$501,"No")&gt;0,"🚩 Budget under AED 5k",IF(COUNTIFS(Scoresheet!$C$2:$C$501,A55,Scoresheet!$U$2:$U$501,1,Scoresheet!$J$2:$J$501,"No")&gt;0,"🚩 No one on camera",""))))</f>
        <v/>
      </c>
      <c r="Q55" s="17"/>
      <c r="R55" s="17"/>
      <c r="S55" s="40"/>
      <c r="T55" s="17"/>
      <c r="U55" s="45" t="str">
        <f aca="false">IF(OR(D55="",S55="",OR(R55="Contract signed + paid",R55="Closed – No response",R55="Lost"),N(T55)&gt;=Settings!$S$3),"",S55+Settings!$S$2)</f>
        <v/>
      </c>
      <c r="V55" s="40"/>
      <c r="W55" s="41"/>
      <c r="X55" s="17"/>
      <c r="Y55" s="17"/>
      <c r="Z55" s="17"/>
      <c r="AA55" s="46" t="str">
        <f aca="true">IF(OR(D55="",B55=""),"",INT(TODAY()-B55))</f>
        <v/>
      </c>
      <c r="AB55" s="44" t="str">
        <f aca="true">IF(D55="","",IF(OR(COUNTIFS(Clients!$C$2:$C$501,D55,Clients!$S$2:$S$501,"Paid")&gt;0,AND(H55&lt;&gt;"",COUNTIFS(Clients!$E$2:$E$501,H55,Clients!$S$2:$S$501,"Paid")&gt;0)),"⚠ Refunded before – no free video",IF(OR(R55="Contract signed + paid",R55="Closed – No response",R55="Lost"),"",IF(R55="","Set a stage",IF(AND(R55="Proposal sent",SUMIFS(Scoresheet!$N$2:$N$501,Scoresheet!$C$2:$C$501,A55,Scoresheet!$U$2:$U$501,1)&lt;6),"Score this lead – fill the call scoresheet",IF(N(T55)&gt;=Settings!$S$3,"Close – 4 follow-ups sent",IF(U55="",IF(S55="","Make first contact",""),IF(TODAY()&gt;U55,"OVERDUE follow-up",IF(TODAY()=U55,"Follow up today","")))))))))</f>
        <v/>
      </c>
    </row>
    <row r="56" customFormat="false" ht="15" hidden="false" customHeight="false" outlineLevel="0" collapsed="false">
      <c r="A56" s="17"/>
      <c r="B56" s="40"/>
      <c r="C56" s="17"/>
      <c r="D56" s="17"/>
      <c r="E56" s="17"/>
      <c r="F56" s="17"/>
      <c r="G56" s="17"/>
      <c r="H56" s="42"/>
      <c r="I56" s="17"/>
      <c r="J56" s="17"/>
      <c r="K56" s="17"/>
      <c r="L56" s="17"/>
      <c r="M56" s="17"/>
      <c r="N56" s="44" t="str">
        <f aca="false">IF(OR(D56="",A56="",COUNTIFS(Scoresheet!$C$2:$C$501,A56,Scoresheet!$U$2:$U$501,1)=0),"",SUMIFS(Scoresheet!$O$2:$O$501,Scoresheet!$C$2:$C$501,A56,Scoresheet!$U$2:$U$501,1))</f>
        <v/>
      </c>
      <c r="O56" s="44" t="str">
        <f aca="false">IF(D56="","",IF(OR(A56="",COUNTIFS(Scoresheet!$C$2:$C$501,A56,Scoresheet!$U$2:$U$501,1)=0),"No scoresheet yet",IF(SUMIFS(Scoresheet!$N$2:$N$501,Scoresheet!$C$2:$C$501,A56,Scoresheet!$U$2:$U$501,1)&lt;6,"Partly scored ("&amp;SUMIFS(Scoresheet!$N$2:$N$501,Scoresheet!$C$2:$C$501,A56,Scoresheet!$U$2:$U$501,1)&amp;"/6)",IF(N56&gt;=Settings!$S$8,"Hot",IF(N56&gt;=Settings!$S$9,"Warm","Cold")))))</f>
        <v/>
      </c>
      <c r="P56" s="44" t="str">
        <f aca="false">IF(OR(D56="",A56=""),"",IF(AND(COUNTIFS(Scoresheet!$C$2:$C$501,A56,Scoresheet!$U$2:$U$501,1,Scoresheet!$H$2:$H$501,"No")&gt;0,COUNTIFS(Scoresheet!$C$2:$C$501,A56,Scoresheet!$U$2:$U$501,1,Scoresheet!$J$2:$J$501,"No")&gt;0),"🚩 Budget  ·  🚩 No one on camera",IF(COUNTIFS(Scoresheet!$C$2:$C$501,A56,Scoresheet!$U$2:$U$501,1,Scoresheet!$H$2:$H$501,"No")&gt;0,"🚩 Budget under AED 5k",IF(COUNTIFS(Scoresheet!$C$2:$C$501,A56,Scoresheet!$U$2:$U$501,1,Scoresheet!$J$2:$J$501,"No")&gt;0,"🚩 No one on camera",""))))</f>
        <v/>
      </c>
      <c r="Q56" s="17"/>
      <c r="R56" s="17"/>
      <c r="S56" s="40"/>
      <c r="T56" s="17"/>
      <c r="U56" s="45" t="str">
        <f aca="false">IF(OR(D56="",S56="",OR(R56="Contract signed + paid",R56="Closed – No response",R56="Lost"),N(T56)&gt;=Settings!$S$3),"",S56+Settings!$S$2)</f>
        <v/>
      </c>
      <c r="V56" s="40"/>
      <c r="W56" s="41"/>
      <c r="X56" s="17"/>
      <c r="Y56" s="17"/>
      <c r="Z56" s="17"/>
      <c r="AA56" s="46" t="str">
        <f aca="true">IF(OR(D56="",B56=""),"",INT(TODAY()-B56))</f>
        <v/>
      </c>
      <c r="AB56" s="44" t="str">
        <f aca="true">IF(D56="","",IF(OR(COUNTIFS(Clients!$C$2:$C$501,D56,Clients!$S$2:$S$501,"Paid")&gt;0,AND(H56&lt;&gt;"",COUNTIFS(Clients!$E$2:$E$501,H56,Clients!$S$2:$S$501,"Paid")&gt;0)),"⚠ Refunded before – no free video",IF(OR(R56="Contract signed + paid",R56="Closed – No response",R56="Lost"),"",IF(R56="","Set a stage",IF(AND(R56="Proposal sent",SUMIFS(Scoresheet!$N$2:$N$501,Scoresheet!$C$2:$C$501,A56,Scoresheet!$U$2:$U$501,1)&lt;6),"Score this lead – fill the call scoresheet",IF(N(T56)&gt;=Settings!$S$3,"Close – 4 follow-ups sent",IF(U56="",IF(S56="","Make first contact",""),IF(TODAY()&gt;U56,"OVERDUE follow-up",IF(TODAY()=U56,"Follow up today","")))))))))</f>
        <v/>
      </c>
    </row>
    <row r="57" customFormat="false" ht="15" hidden="false" customHeight="false" outlineLevel="0" collapsed="false">
      <c r="A57" s="17"/>
      <c r="B57" s="40"/>
      <c r="C57" s="17"/>
      <c r="D57" s="17"/>
      <c r="E57" s="17"/>
      <c r="F57" s="17"/>
      <c r="G57" s="17"/>
      <c r="H57" s="42"/>
      <c r="I57" s="17"/>
      <c r="J57" s="17"/>
      <c r="K57" s="17"/>
      <c r="L57" s="17"/>
      <c r="M57" s="17"/>
      <c r="N57" s="44" t="str">
        <f aca="false">IF(OR(D57="",A57="",COUNTIFS(Scoresheet!$C$2:$C$501,A57,Scoresheet!$U$2:$U$501,1)=0),"",SUMIFS(Scoresheet!$O$2:$O$501,Scoresheet!$C$2:$C$501,A57,Scoresheet!$U$2:$U$501,1))</f>
        <v/>
      </c>
      <c r="O57" s="44" t="str">
        <f aca="false">IF(D57="","",IF(OR(A57="",COUNTIFS(Scoresheet!$C$2:$C$501,A57,Scoresheet!$U$2:$U$501,1)=0),"No scoresheet yet",IF(SUMIFS(Scoresheet!$N$2:$N$501,Scoresheet!$C$2:$C$501,A57,Scoresheet!$U$2:$U$501,1)&lt;6,"Partly scored ("&amp;SUMIFS(Scoresheet!$N$2:$N$501,Scoresheet!$C$2:$C$501,A57,Scoresheet!$U$2:$U$501,1)&amp;"/6)",IF(N57&gt;=Settings!$S$8,"Hot",IF(N57&gt;=Settings!$S$9,"Warm","Cold")))))</f>
        <v/>
      </c>
      <c r="P57" s="44" t="str">
        <f aca="false">IF(OR(D57="",A57=""),"",IF(AND(COUNTIFS(Scoresheet!$C$2:$C$501,A57,Scoresheet!$U$2:$U$501,1,Scoresheet!$H$2:$H$501,"No")&gt;0,COUNTIFS(Scoresheet!$C$2:$C$501,A57,Scoresheet!$U$2:$U$501,1,Scoresheet!$J$2:$J$501,"No")&gt;0),"🚩 Budget  ·  🚩 No one on camera",IF(COUNTIFS(Scoresheet!$C$2:$C$501,A57,Scoresheet!$U$2:$U$501,1,Scoresheet!$H$2:$H$501,"No")&gt;0,"🚩 Budget under AED 5k",IF(COUNTIFS(Scoresheet!$C$2:$C$501,A57,Scoresheet!$U$2:$U$501,1,Scoresheet!$J$2:$J$501,"No")&gt;0,"🚩 No one on camera",""))))</f>
        <v/>
      </c>
      <c r="Q57" s="17"/>
      <c r="R57" s="17"/>
      <c r="S57" s="40"/>
      <c r="T57" s="17"/>
      <c r="U57" s="45" t="str">
        <f aca="false">IF(OR(D57="",S57="",OR(R57="Contract signed + paid",R57="Closed – No response",R57="Lost"),N(T57)&gt;=Settings!$S$3),"",S57+Settings!$S$2)</f>
        <v/>
      </c>
      <c r="V57" s="40"/>
      <c r="W57" s="41"/>
      <c r="X57" s="17"/>
      <c r="Y57" s="17"/>
      <c r="Z57" s="17"/>
      <c r="AA57" s="46" t="str">
        <f aca="true">IF(OR(D57="",B57=""),"",INT(TODAY()-B57))</f>
        <v/>
      </c>
      <c r="AB57" s="44" t="str">
        <f aca="true">IF(D57="","",IF(OR(COUNTIFS(Clients!$C$2:$C$501,D57,Clients!$S$2:$S$501,"Paid")&gt;0,AND(H57&lt;&gt;"",COUNTIFS(Clients!$E$2:$E$501,H57,Clients!$S$2:$S$501,"Paid")&gt;0)),"⚠ Refunded before – no free video",IF(OR(R57="Contract signed + paid",R57="Closed – No response",R57="Lost"),"",IF(R57="","Set a stage",IF(AND(R57="Proposal sent",SUMIFS(Scoresheet!$N$2:$N$501,Scoresheet!$C$2:$C$501,A57,Scoresheet!$U$2:$U$501,1)&lt;6),"Score this lead – fill the call scoresheet",IF(N(T57)&gt;=Settings!$S$3,"Close – 4 follow-ups sent",IF(U57="",IF(S57="","Make first contact",""),IF(TODAY()&gt;U57,"OVERDUE follow-up",IF(TODAY()=U57,"Follow up today","")))))))))</f>
        <v/>
      </c>
    </row>
    <row r="58" customFormat="false" ht="15" hidden="false" customHeight="false" outlineLevel="0" collapsed="false">
      <c r="A58" s="17"/>
      <c r="B58" s="40"/>
      <c r="C58" s="17"/>
      <c r="D58" s="17"/>
      <c r="E58" s="17"/>
      <c r="F58" s="17"/>
      <c r="G58" s="17"/>
      <c r="H58" s="42"/>
      <c r="I58" s="17"/>
      <c r="J58" s="17"/>
      <c r="K58" s="17"/>
      <c r="L58" s="17"/>
      <c r="M58" s="17"/>
      <c r="N58" s="44" t="str">
        <f aca="false">IF(OR(D58="",A58="",COUNTIFS(Scoresheet!$C$2:$C$501,A58,Scoresheet!$U$2:$U$501,1)=0),"",SUMIFS(Scoresheet!$O$2:$O$501,Scoresheet!$C$2:$C$501,A58,Scoresheet!$U$2:$U$501,1))</f>
        <v/>
      </c>
      <c r="O58" s="44" t="str">
        <f aca="false">IF(D58="","",IF(OR(A58="",COUNTIFS(Scoresheet!$C$2:$C$501,A58,Scoresheet!$U$2:$U$501,1)=0),"No scoresheet yet",IF(SUMIFS(Scoresheet!$N$2:$N$501,Scoresheet!$C$2:$C$501,A58,Scoresheet!$U$2:$U$501,1)&lt;6,"Partly scored ("&amp;SUMIFS(Scoresheet!$N$2:$N$501,Scoresheet!$C$2:$C$501,A58,Scoresheet!$U$2:$U$501,1)&amp;"/6)",IF(N58&gt;=Settings!$S$8,"Hot",IF(N58&gt;=Settings!$S$9,"Warm","Cold")))))</f>
        <v/>
      </c>
      <c r="P58" s="44" t="str">
        <f aca="false">IF(OR(D58="",A58=""),"",IF(AND(COUNTIFS(Scoresheet!$C$2:$C$501,A58,Scoresheet!$U$2:$U$501,1,Scoresheet!$H$2:$H$501,"No")&gt;0,COUNTIFS(Scoresheet!$C$2:$C$501,A58,Scoresheet!$U$2:$U$501,1,Scoresheet!$J$2:$J$501,"No")&gt;0),"🚩 Budget  ·  🚩 No one on camera",IF(COUNTIFS(Scoresheet!$C$2:$C$501,A58,Scoresheet!$U$2:$U$501,1,Scoresheet!$H$2:$H$501,"No")&gt;0,"🚩 Budget under AED 5k",IF(COUNTIFS(Scoresheet!$C$2:$C$501,A58,Scoresheet!$U$2:$U$501,1,Scoresheet!$J$2:$J$501,"No")&gt;0,"🚩 No one on camera",""))))</f>
        <v/>
      </c>
      <c r="Q58" s="17"/>
      <c r="R58" s="17"/>
      <c r="S58" s="40"/>
      <c r="T58" s="17"/>
      <c r="U58" s="45" t="str">
        <f aca="false">IF(OR(D58="",S58="",OR(R58="Contract signed + paid",R58="Closed – No response",R58="Lost"),N(T58)&gt;=Settings!$S$3),"",S58+Settings!$S$2)</f>
        <v/>
      </c>
      <c r="V58" s="40"/>
      <c r="W58" s="41"/>
      <c r="X58" s="17"/>
      <c r="Y58" s="17"/>
      <c r="Z58" s="17"/>
      <c r="AA58" s="46" t="str">
        <f aca="true">IF(OR(D58="",B58=""),"",INT(TODAY()-B58))</f>
        <v/>
      </c>
      <c r="AB58" s="44" t="str">
        <f aca="true">IF(D58="","",IF(OR(COUNTIFS(Clients!$C$2:$C$501,D58,Clients!$S$2:$S$501,"Paid")&gt;0,AND(H58&lt;&gt;"",COUNTIFS(Clients!$E$2:$E$501,H58,Clients!$S$2:$S$501,"Paid")&gt;0)),"⚠ Refunded before – no free video",IF(OR(R58="Contract signed + paid",R58="Closed – No response",R58="Lost"),"",IF(R58="","Set a stage",IF(AND(R58="Proposal sent",SUMIFS(Scoresheet!$N$2:$N$501,Scoresheet!$C$2:$C$501,A58,Scoresheet!$U$2:$U$501,1)&lt;6),"Score this lead – fill the call scoresheet",IF(N(T58)&gt;=Settings!$S$3,"Close – 4 follow-ups sent",IF(U58="",IF(S58="","Make first contact",""),IF(TODAY()&gt;U58,"OVERDUE follow-up",IF(TODAY()=U58,"Follow up today","")))))))))</f>
        <v/>
      </c>
    </row>
    <row r="59" customFormat="false" ht="15" hidden="false" customHeight="false" outlineLevel="0" collapsed="false">
      <c r="A59" s="17"/>
      <c r="B59" s="40"/>
      <c r="C59" s="17"/>
      <c r="D59" s="17"/>
      <c r="E59" s="17"/>
      <c r="F59" s="17"/>
      <c r="G59" s="17"/>
      <c r="H59" s="42"/>
      <c r="I59" s="17"/>
      <c r="J59" s="17"/>
      <c r="K59" s="17"/>
      <c r="L59" s="17"/>
      <c r="M59" s="17"/>
      <c r="N59" s="44" t="str">
        <f aca="false">IF(OR(D59="",A59="",COUNTIFS(Scoresheet!$C$2:$C$501,A59,Scoresheet!$U$2:$U$501,1)=0),"",SUMIFS(Scoresheet!$O$2:$O$501,Scoresheet!$C$2:$C$501,A59,Scoresheet!$U$2:$U$501,1))</f>
        <v/>
      </c>
      <c r="O59" s="44" t="str">
        <f aca="false">IF(D59="","",IF(OR(A59="",COUNTIFS(Scoresheet!$C$2:$C$501,A59,Scoresheet!$U$2:$U$501,1)=0),"No scoresheet yet",IF(SUMIFS(Scoresheet!$N$2:$N$501,Scoresheet!$C$2:$C$501,A59,Scoresheet!$U$2:$U$501,1)&lt;6,"Partly scored ("&amp;SUMIFS(Scoresheet!$N$2:$N$501,Scoresheet!$C$2:$C$501,A59,Scoresheet!$U$2:$U$501,1)&amp;"/6)",IF(N59&gt;=Settings!$S$8,"Hot",IF(N59&gt;=Settings!$S$9,"Warm","Cold")))))</f>
        <v/>
      </c>
      <c r="P59" s="44" t="str">
        <f aca="false">IF(OR(D59="",A59=""),"",IF(AND(COUNTIFS(Scoresheet!$C$2:$C$501,A59,Scoresheet!$U$2:$U$501,1,Scoresheet!$H$2:$H$501,"No")&gt;0,COUNTIFS(Scoresheet!$C$2:$C$501,A59,Scoresheet!$U$2:$U$501,1,Scoresheet!$J$2:$J$501,"No")&gt;0),"🚩 Budget  ·  🚩 No one on camera",IF(COUNTIFS(Scoresheet!$C$2:$C$501,A59,Scoresheet!$U$2:$U$501,1,Scoresheet!$H$2:$H$501,"No")&gt;0,"🚩 Budget under AED 5k",IF(COUNTIFS(Scoresheet!$C$2:$C$501,A59,Scoresheet!$U$2:$U$501,1,Scoresheet!$J$2:$J$501,"No")&gt;0,"🚩 No one on camera",""))))</f>
        <v/>
      </c>
      <c r="Q59" s="17"/>
      <c r="R59" s="17"/>
      <c r="S59" s="40"/>
      <c r="T59" s="17"/>
      <c r="U59" s="45" t="str">
        <f aca="false">IF(OR(D59="",S59="",OR(R59="Contract signed + paid",R59="Closed – No response",R59="Lost"),N(T59)&gt;=Settings!$S$3),"",S59+Settings!$S$2)</f>
        <v/>
      </c>
      <c r="V59" s="40"/>
      <c r="W59" s="41"/>
      <c r="X59" s="17"/>
      <c r="Y59" s="17"/>
      <c r="Z59" s="17"/>
      <c r="AA59" s="46" t="str">
        <f aca="true">IF(OR(D59="",B59=""),"",INT(TODAY()-B59))</f>
        <v/>
      </c>
      <c r="AB59" s="44" t="str">
        <f aca="true">IF(D59="","",IF(OR(COUNTIFS(Clients!$C$2:$C$501,D59,Clients!$S$2:$S$501,"Paid")&gt;0,AND(H59&lt;&gt;"",COUNTIFS(Clients!$E$2:$E$501,H59,Clients!$S$2:$S$501,"Paid")&gt;0)),"⚠ Refunded before – no free video",IF(OR(R59="Contract signed + paid",R59="Closed – No response",R59="Lost"),"",IF(R59="","Set a stage",IF(AND(R59="Proposal sent",SUMIFS(Scoresheet!$N$2:$N$501,Scoresheet!$C$2:$C$501,A59,Scoresheet!$U$2:$U$501,1)&lt;6),"Score this lead – fill the call scoresheet",IF(N(T59)&gt;=Settings!$S$3,"Close – 4 follow-ups sent",IF(U59="",IF(S59="","Make first contact",""),IF(TODAY()&gt;U59,"OVERDUE follow-up",IF(TODAY()=U59,"Follow up today","")))))))))</f>
        <v/>
      </c>
    </row>
    <row r="60" customFormat="false" ht="15" hidden="false" customHeight="false" outlineLevel="0" collapsed="false">
      <c r="A60" s="17"/>
      <c r="B60" s="40"/>
      <c r="C60" s="17"/>
      <c r="D60" s="17"/>
      <c r="E60" s="17"/>
      <c r="F60" s="17"/>
      <c r="G60" s="17"/>
      <c r="H60" s="42"/>
      <c r="I60" s="17"/>
      <c r="J60" s="17"/>
      <c r="K60" s="17"/>
      <c r="L60" s="17"/>
      <c r="M60" s="17"/>
      <c r="N60" s="44" t="str">
        <f aca="false">IF(OR(D60="",A60="",COUNTIFS(Scoresheet!$C$2:$C$501,A60,Scoresheet!$U$2:$U$501,1)=0),"",SUMIFS(Scoresheet!$O$2:$O$501,Scoresheet!$C$2:$C$501,A60,Scoresheet!$U$2:$U$501,1))</f>
        <v/>
      </c>
      <c r="O60" s="44" t="str">
        <f aca="false">IF(D60="","",IF(OR(A60="",COUNTIFS(Scoresheet!$C$2:$C$501,A60,Scoresheet!$U$2:$U$501,1)=0),"No scoresheet yet",IF(SUMIFS(Scoresheet!$N$2:$N$501,Scoresheet!$C$2:$C$501,A60,Scoresheet!$U$2:$U$501,1)&lt;6,"Partly scored ("&amp;SUMIFS(Scoresheet!$N$2:$N$501,Scoresheet!$C$2:$C$501,A60,Scoresheet!$U$2:$U$501,1)&amp;"/6)",IF(N60&gt;=Settings!$S$8,"Hot",IF(N60&gt;=Settings!$S$9,"Warm","Cold")))))</f>
        <v/>
      </c>
      <c r="P60" s="44" t="str">
        <f aca="false">IF(OR(D60="",A60=""),"",IF(AND(COUNTIFS(Scoresheet!$C$2:$C$501,A60,Scoresheet!$U$2:$U$501,1,Scoresheet!$H$2:$H$501,"No")&gt;0,COUNTIFS(Scoresheet!$C$2:$C$501,A60,Scoresheet!$U$2:$U$501,1,Scoresheet!$J$2:$J$501,"No")&gt;0),"🚩 Budget  ·  🚩 No one on camera",IF(COUNTIFS(Scoresheet!$C$2:$C$501,A60,Scoresheet!$U$2:$U$501,1,Scoresheet!$H$2:$H$501,"No")&gt;0,"🚩 Budget under AED 5k",IF(COUNTIFS(Scoresheet!$C$2:$C$501,A60,Scoresheet!$U$2:$U$501,1,Scoresheet!$J$2:$J$501,"No")&gt;0,"🚩 No one on camera",""))))</f>
        <v/>
      </c>
      <c r="Q60" s="17"/>
      <c r="R60" s="17"/>
      <c r="S60" s="40"/>
      <c r="T60" s="17"/>
      <c r="U60" s="45" t="str">
        <f aca="false">IF(OR(D60="",S60="",OR(R60="Contract signed + paid",R60="Closed – No response",R60="Lost"),N(T60)&gt;=Settings!$S$3),"",S60+Settings!$S$2)</f>
        <v/>
      </c>
      <c r="V60" s="40"/>
      <c r="W60" s="41"/>
      <c r="X60" s="17"/>
      <c r="Y60" s="17"/>
      <c r="Z60" s="17"/>
      <c r="AA60" s="46" t="str">
        <f aca="true">IF(OR(D60="",B60=""),"",INT(TODAY()-B60))</f>
        <v/>
      </c>
      <c r="AB60" s="44" t="str">
        <f aca="true">IF(D60="","",IF(OR(COUNTIFS(Clients!$C$2:$C$501,D60,Clients!$S$2:$S$501,"Paid")&gt;0,AND(H60&lt;&gt;"",COUNTIFS(Clients!$E$2:$E$501,H60,Clients!$S$2:$S$501,"Paid")&gt;0)),"⚠ Refunded before – no free video",IF(OR(R60="Contract signed + paid",R60="Closed – No response",R60="Lost"),"",IF(R60="","Set a stage",IF(AND(R60="Proposal sent",SUMIFS(Scoresheet!$N$2:$N$501,Scoresheet!$C$2:$C$501,A60,Scoresheet!$U$2:$U$501,1)&lt;6),"Score this lead – fill the call scoresheet",IF(N(T60)&gt;=Settings!$S$3,"Close – 4 follow-ups sent",IF(U60="",IF(S60="","Make first contact",""),IF(TODAY()&gt;U60,"OVERDUE follow-up",IF(TODAY()=U60,"Follow up today","")))))))))</f>
        <v/>
      </c>
    </row>
    <row r="61" customFormat="false" ht="15" hidden="false" customHeight="false" outlineLevel="0" collapsed="false">
      <c r="A61" s="17"/>
      <c r="B61" s="40"/>
      <c r="C61" s="17"/>
      <c r="D61" s="17"/>
      <c r="E61" s="17"/>
      <c r="F61" s="17"/>
      <c r="G61" s="17"/>
      <c r="H61" s="42"/>
      <c r="I61" s="17"/>
      <c r="J61" s="17"/>
      <c r="K61" s="17"/>
      <c r="L61" s="17"/>
      <c r="M61" s="17"/>
      <c r="N61" s="44" t="str">
        <f aca="false">IF(OR(D61="",A61="",COUNTIFS(Scoresheet!$C$2:$C$501,A61,Scoresheet!$U$2:$U$501,1)=0),"",SUMIFS(Scoresheet!$O$2:$O$501,Scoresheet!$C$2:$C$501,A61,Scoresheet!$U$2:$U$501,1))</f>
        <v/>
      </c>
      <c r="O61" s="44" t="str">
        <f aca="false">IF(D61="","",IF(OR(A61="",COUNTIFS(Scoresheet!$C$2:$C$501,A61,Scoresheet!$U$2:$U$501,1)=0),"No scoresheet yet",IF(SUMIFS(Scoresheet!$N$2:$N$501,Scoresheet!$C$2:$C$501,A61,Scoresheet!$U$2:$U$501,1)&lt;6,"Partly scored ("&amp;SUMIFS(Scoresheet!$N$2:$N$501,Scoresheet!$C$2:$C$501,A61,Scoresheet!$U$2:$U$501,1)&amp;"/6)",IF(N61&gt;=Settings!$S$8,"Hot",IF(N61&gt;=Settings!$S$9,"Warm","Cold")))))</f>
        <v/>
      </c>
      <c r="P61" s="44" t="str">
        <f aca="false">IF(OR(D61="",A61=""),"",IF(AND(COUNTIFS(Scoresheet!$C$2:$C$501,A61,Scoresheet!$U$2:$U$501,1,Scoresheet!$H$2:$H$501,"No")&gt;0,COUNTIFS(Scoresheet!$C$2:$C$501,A61,Scoresheet!$U$2:$U$501,1,Scoresheet!$J$2:$J$501,"No")&gt;0),"🚩 Budget  ·  🚩 No one on camera",IF(COUNTIFS(Scoresheet!$C$2:$C$501,A61,Scoresheet!$U$2:$U$501,1,Scoresheet!$H$2:$H$501,"No")&gt;0,"🚩 Budget under AED 5k",IF(COUNTIFS(Scoresheet!$C$2:$C$501,A61,Scoresheet!$U$2:$U$501,1,Scoresheet!$J$2:$J$501,"No")&gt;0,"🚩 No one on camera",""))))</f>
        <v/>
      </c>
      <c r="Q61" s="17"/>
      <c r="R61" s="17"/>
      <c r="S61" s="40"/>
      <c r="T61" s="17"/>
      <c r="U61" s="45" t="str">
        <f aca="false">IF(OR(D61="",S61="",OR(R61="Contract signed + paid",R61="Closed – No response",R61="Lost"),N(T61)&gt;=Settings!$S$3),"",S61+Settings!$S$2)</f>
        <v/>
      </c>
      <c r="V61" s="40"/>
      <c r="W61" s="41"/>
      <c r="X61" s="17"/>
      <c r="Y61" s="17"/>
      <c r="Z61" s="17"/>
      <c r="AA61" s="46" t="str">
        <f aca="true">IF(OR(D61="",B61=""),"",INT(TODAY()-B61))</f>
        <v/>
      </c>
      <c r="AB61" s="44" t="str">
        <f aca="true">IF(D61="","",IF(OR(COUNTIFS(Clients!$C$2:$C$501,D61,Clients!$S$2:$S$501,"Paid")&gt;0,AND(H61&lt;&gt;"",COUNTIFS(Clients!$E$2:$E$501,H61,Clients!$S$2:$S$501,"Paid")&gt;0)),"⚠ Refunded before – no free video",IF(OR(R61="Contract signed + paid",R61="Closed – No response",R61="Lost"),"",IF(R61="","Set a stage",IF(AND(R61="Proposal sent",SUMIFS(Scoresheet!$N$2:$N$501,Scoresheet!$C$2:$C$501,A61,Scoresheet!$U$2:$U$501,1)&lt;6),"Score this lead – fill the call scoresheet",IF(N(T61)&gt;=Settings!$S$3,"Close – 4 follow-ups sent",IF(U61="",IF(S61="","Make first contact",""),IF(TODAY()&gt;U61,"OVERDUE follow-up",IF(TODAY()=U61,"Follow up today","")))))))))</f>
        <v/>
      </c>
    </row>
    <row r="62" customFormat="false" ht="15" hidden="false" customHeight="false" outlineLevel="0" collapsed="false">
      <c r="A62" s="17"/>
      <c r="B62" s="40"/>
      <c r="C62" s="17"/>
      <c r="D62" s="17"/>
      <c r="E62" s="17"/>
      <c r="F62" s="17"/>
      <c r="G62" s="17"/>
      <c r="H62" s="42"/>
      <c r="I62" s="17"/>
      <c r="J62" s="17"/>
      <c r="K62" s="17"/>
      <c r="L62" s="17"/>
      <c r="M62" s="17"/>
      <c r="N62" s="44" t="str">
        <f aca="false">IF(OR(D62="",A62="",COUNTIFS(Scoresheet!$C$2:$C$501,A62,Scoresheet!$U$2:$U$501,1)=0),"",SUMIFS(Scoresheet!$O$2:$O$501,Scoresheet!$C$2:$C$501,A62,Scoresheet!$U$2:$U$501,1))</f>
        <v/>
      </c>
      <c r="O62" s="44" t="str">
        <f aca="false">IF(D62="","",IF(OR(A62="",COUNTIFS(Scoresheet!$C$2:$C$501,A62,Scoresheet!$U$2:$U$501,1)=0),"No scoresheet yet",IF(SUMIFS(Scoresheet!$N$2:$N$501,Scoresheet!$C$2:$C$501,A62,Scoresheet!$U$2:$U$501,1)&lt;6,"Partly scored ("&amp;SUMIFS(Scoresheet!$N$2:$N$501,Scoresheet!$C$2:$C$501,A62,Scoresheet!$U$2:$U$501,1)&amp;"/6)",IF(N62&gt;=Settings!$S$8,"Hot",IF(N62&gt;=Settings!$S$9,"Warm","Cold")))))</f>
        <v/>
      </c>
      <c r="P62" s="44" t="str">
        <f aca="false">IF(OR(D62="",A62=""),"",IF(AND(COUNTIFS(Scoresheet!$C$2:$C$501,A62,Scoresheet!$U$2:$U$501,1,Scoresheet!$H$2:$H$501,"No")&gt;0,COUNTIFS(Scoresheet!$C$2:$C$501,A62,Scoresheet!$U$2:$U$501,1,Scoresheet!$J$2:$J$501,"No")&gt;0),"🚩 Budget  ·  🚩 No one on camera",IF(COUNTIFS(Scoresheet!$C$2:$C$501,A62,Scoresheet!$U$2:$U$501,1,Scoresheet!$H$2:$H$501,"No")&gt;0,"🚩 Budget under AED 5k",IF(COUNTIFS(Scoresheet!$C$2:$C$501,A62,Scoresheet!$U$2:$U$501,1,Scoresheet!$J$2:$J$501,"No")&gt;0,"🚩 No one on camera",""))))</f>
        <v/>
      </c>
      <c r="Q62" s="17"/>
      <c r="R62" s="17"/>
      <c r="S62" s="40"/>
      <c r="T62" s="17"/>
      <c r="U62" s="45" t="str">
        <f aca="false">IF(OR(D62="",S62="",OR(R62="Contract signed + paid",R62="Closed – No response",R62="Lost"),N(T62)&gt;=Settings!$S$3),"",S62+Settings!$S$2)</f>
        <v/>
      </c>
      <c r="V62" s="40"/>
      <c r="W62" s="41"/>
      <c r="X62" s="17"/>
      <c r="Y62" s="17"/>
      <c r="Z62" s="17"/>
      <c r="AA62" s="46" t="str">
        <f aca="true">IF(OR(D62="",B62=""),"",INT(TODAY()-B62))</f>
        <v/>
      </c>
      <c r="AB62" s="44" t="str">
        <f aca="true">IF(D62="","",IF(OR(COUNTIFS(Clients!$C$2:$C$501,D62,Clients!$S$2:$S$501,"Paid")&gt;0,AND(H62&lt;&gt;"",COUNTIFS(Clients!$E$2:$E$501,H62,Clients!$S$2:$S$501,"Paid")&gt;0)),"⚠ Refunded before – no free video",IF(OR(R62="Contract signed + paid",R62="Closed – No response",R62="Lost"),"",IF(R62="","Set a stage",IF(AND(R62="Proposal sent",SUMIFS(Scoresheet!$N$2:$N$501,Scoresheet!$C$2:$C$501,A62,Scoresheet!$U$2:$U$501,1)&lt;6),"Score this lead – fill the call scoresheet",IF(N(T62)&gt;=Settings!$S$3,"Close – 4 follow-ups sent",IF(U62="",IF(S62="","Make first contact",""),IF(TODAY()&gt;U62,"OVERDUE follow-up",IF(TODAY()=U62,"Follow up today","")))))))))</f>
        <v/>
      </c>
    </row>
    <row r="63" customFormat="false" ht="15" hidden="false" customHeight="false" outlineLevel="0" collapsed="false">
      <c r="A63" s="17"/>
      <c r="B63" s="40"/>
      <c r="C63" s="17"/>
      <c r="D63" s="17"/>
      <c r="E63" s="17"/>
      <c r="F63" s="17"/>
      <c r="G63" s="17"/>
      <c r="H63" s="42"/>
      <c r="I63" s="17"/>
      <c r="J63" s="17"/>
      <c r="K63" s="17"/>
      <c r="L63" s="17"/>
      <c r="M63" s="17"/>
      <c r="N63" s="44" t="str">
        <f aca="false">IF(OR(D63="",A63="",COUNTIFS(Scoresheet!$C$2:$C$501,A63,Scoresheet!$U$2:$U$501,1)=0),"",SUMIFS(Scoresheet!$O$2:$O$501,Scoresheet!$C$2:$C$501,A63,Scoresheet!$U$2:$U$501,1))</f>
        <v/>
      </c>
      <c r="O63" s="44" t="str">
        <f aca="false">IF(D63="","",IF(OR(A63="",COUNTIFS(Scoresheet!$C$2:$C$501,A63,Scoresheet!$U$2:$U$501,1)=0),"No scoresheet yet",IF(SUMIFS(Scoresheet!$N$2:$N$501,Scoresheet!$C$2:$C$501,A63,Scoresheet!$U$2:$U$501,1)&lt;6,"Partly scored ("&amp;SUMIFS(Scoresheet!$N$2:$N$501,Scoresheet!$C$2:$C$501,A63,Scoresheet!$U$2:$U$501,1)&amp;"/6)",IF(N63&gt;=Settings!$S$8,"Hot",IF(N63&gt;=Settings!$S$9,"Warm","Cold")))))</f>
        <v/>
      </c>
      <c r="P63" s="44" t="str">
        <f aca="false">IF(OR(D63="",A63=""),"",IF(AND(COUNTIFS(Scoresheet!$C$2:$C$501,A63,Scoresheet!$U$2:$U$501,1,Scoresheet!$H$2:$H$501,"No")&gt;0,COUNTIFS(Scoresheet!$C$2:$C$501,A63,Scoresheet!$U$2:$U$501,1,Scoresheet!$J$2:$J$501,"No")&gt;0),"🚩 Budget  ·  🚩 No one on camera",IF(COUNTIFS(Scoresheet!$C$2:$C$501,A63,Scoresheet!$U$2:$U$501,1,Scoresheet!$H$2:$H$501,"No")&gt;0,"🚩 Budget under AED 5k",IF(COUNTIFS(Scoresheet!$C$2:$C$501,A63,Scoresheet!$U$2:$U$501,1,Scoresheet!$J$2:$J$501,"No")&gt;0,"🚩 No one on camera",""))))</f>
        <v/>
      </c>
      <c r="Q63" s="17"/>
      <c r="R63" s="17"/>
      <c r="S63" s="40"/>
      <c r="T63" s="17"/>
      <c r="U63" s="45" t="str">
        <f aca="false">IF(OR(D63="",S63="",OR(R63="Contract signed + paid",R63="Closed – No response",R63="Lost"),N(T63)&gt;=Settings!$S$3),"",S63+Settings!$S$2)</f>
        <v/>
      </c>
      <c r="V63" s="40"/>
      <c r="W63" s="41"/>
      <c r="X63" s="17"/>
      <c r="Y63" s="17"/>
      <c r="Z63" s="17"/>
      <c r="AA63" s="46" t="str">
        <f aca="true">IF(OR(D63="",B63=""),"",INT(TODAY()-B63))</f>
        <v/>
      </c>
      <c r="AB63" s="44" t="str">
        <f aca="true">IF(D63="","",IF(OR(COUNTIFS(Clients!$C$2:$C$501,D63,Clients!$S$2:$S$501,"Paid")&gt;0,AND(H63&lt;&gt;"",COUNTIFS(Clients!$E$2:$E$501,H63,Clients!$S$2:$S$501,"Paid")&gt;0)),"⚠ Refunded before – no free video",IF(OR(R63="Contract signed + paid",R63="Closed – No response",R63="Lost"),"",IF(R63="","Set a stage",IF(AND(R63="Proposal sent",SUMIFS(Scoresheet!$N$2:$N$501,Scoresheet!$C$2:$C$501,A63,Scoresheet!$U$2:$U$501,1)&lt;6),"Score this lead – fill the call scoresheet",IF(N(T63)&gt;=Settings!$S$3,"Close – 4 follow-ups sent",IF(U63="",IF(S63="","Make first contact",""),IF(TODAY()&gt;U63,"OVERDUE follow-up",IF(TODAY()=U63,"Follow up today","")))))))))</f>
        <v/>
      </c>
    </row>
    <row r="64" customFormat="false" ht="15" hidden="false" customHeight="false" outlineLevel="0" collapsed="false">
      <c r="A64" s="17"/>
      <c r="B64" s="40"/>
      <c r="C64" s="17"/>
      <c r="D64" s="17"/>
      <c r="E64" s="17"/>
      <c r="F64" s="17"/>
      <c r="G64" s="17"/>
      <c r="H64" s="42"/>
      <c r="I64" s="17"/>
      <c r="J64" s="17"/>
      <c r="K64" s="17"/>
      <c r="L64" s="17"/>
      <c r="M64" s="17"/>
      <c r="N64" s="44" t="str">
        <f aca="false">IF(OR(D64="",A64="",COUNTIFS(Scoresheet!$C$2:$C$501,A64,Scoresheet!$U$2:$U$501,1)=0),"",SUMIFS(Scoresheet!$O$2:$O$501,Scoresheet!$C$2:$C$501,A64,Scoresheet!$U$2:$U$501,1))</f>
        <v/>
      </c>
      <c r="O64" s="44" t="str">
        <f aca="false">IF(D64="","",IF(OR(A64="",COUNTIFS(Scoresheet!$C$2:$C$501,A64,Scoresheet!$U$2:$U$501,1)=0),"No scoresheet yet",IF(SUMIFS(Scoresheet!$N$2:$N$501,Scoresheet!$C$2:$C$501,A64,Scoresheet!$U$2:$U$501,1)&lt;6,"Partly scored ("&amp;SUMIFS(Scoresheet!$N$2:$N$501,Scoresheet!$C$2:$C$501,A64,Scoresheet!$U$2:$U$501,1)&amp;"/6)",IF(N64&gt;=Settings!$S$8,"Hot",IF(N64&gt;=Settings!$S$9,"Warm","Cold")))))</f>
        <v/>
      </c>
      <c r="P64" s="44" t="str">
        <f aca="false">IF(OR(D64="",A64=""),"",IF(AND(COUNTIFS(Scoresheet!$C$2:$C$501,A64,Scoresheet!$U$2:$U$501,1,Scoresheet!$H$2:$H$501,"No")&gt;0,COUNTIFS(Scoresheet!$C$2:$C$501,A64,Scoresheet!$U$2:$U$501,1,Scoresheet!$J$2:$J$501,"No")&gt;0),"🚩 Budget  ·  🚩 No one on camera",IF(COUNTIFS(Scoresheet!$C$2:$C$501,A64,Scoresheet!$U$2:$U$501,1,Scoresheet!$H$2:$H$501,"No")&gt;0,"🚩 Budget under AED 5k",IF(COUNTIFS(Scoresheet!$C$2:$C$501,A64,Scoresheet!$U$2:$U$501,1,Scoresheet!$J$2:$J$501,"No")&gt;0,"🚩 No one on camera",""))))</f>
        <v/>
      </c>
      <c r="Q64" s="17"/>
      <c r="R64" s="17"/>
      <c r="S64" s="40"/>
      <c r="T64" s="17"/>
      <c r="U64" s="45" t="str">
        <f aca="false">IF(OR(D64="",S64="",OR(R64="Contract signed + paid",R64="Closed – No response",R64="Lost"),N(T64)&gt;=Settings!$S$3),"",S64+Settings!$S$2)</f>
        <v/>
      </c>
      <c r="V64" s="40"/>
      <c r="W64" s="41"/>
      <c r="X64" s="17"/>
      <c r="Y64" s="17"/>
      <c r="Z64" s="17"/>
      <c r="AA64" s="46" t="str">
        <f aca="true">IF(OR(D64="",B64=""),"",INT(TODAY()-B64))</f>
        <v/>
      </c>
      <c r="AB64" s="44" t="str">
        <f aca="true">IF(D64="","",IF(OR(COUNTIFS(Clients!$C$2:$C$501,D64,Clients!$S$2:$S$501,"Paid")&gt;0,AND(H64&lt;&gt;"",COUNTIFS(Clients!$E$2:$E$501,H64,Clients!$S$2:$S$501,"Paid")&gt;0)),"⚠ Refunded before – no free video",IF(OR(R64="Contract signed + paid",R64="Closed – No response",R64="Lost"),"",IF(R64="","Set a stage",IF(AND(R64="Proposal sent",SUMIFS(Scoresheet!$N$2:$N$501,Scoresheet!$C$2:$C$501,A64,Scoresheet!$U$2:$U$501,1)&lt;6),"Score this lead – fill the call scoresheet",IF(N(T64)&gt;=Settings!$S$3,"Close – 4 follow-ups sent",IF(U64="",IF(S64="","Make first contact",""),IF(TODAY()&gt;U64,"OVERDUE follow-up",IF(TODAY()=U64,"Follow up today","")))))))))</f>
        <v/>
      </c>
    </row>
    <row r="65" customFormat="false" ht="15" hidden="false" customHeight="false" outlineLevel="0" collapsed="false">
      <c r="A65" s="17"/>
      <c r="B65" s="40"/>
      <c r="C65" s="17"/>
      <c r="D65" s="17"/>
      <c r="E65" s="17"/>
      <c r="F65" s="17"/>
      <c r="G65" s="17"/>
      <c r="H65" s="42"/>
      <c r="I65" s="17"/>
      <c r="J65" s="17"/>
      <c r="K65" s="17"/>
      <c r="L65" s="17"/>
      <c r="M65" s="17"/>
      <c r="N65" s="44" t="str">
        <f aca="false">IF(OR(D65="",A65="",COUNTIFS(Scoresheet!$C$2:$C$501,A65,Scoresheet!$U$2:$U$501,1)=0),"",SUMIFS(Scoresheet!$O$2:$O$501,Scoresheet!$C$2:$C$501,A65,Scoresheet!$U$2:$U$501,1))</f>
        <v/>
      </c>
      <c r="O65" s="44" t="str">
        <f aca="false">IF(D65="","",IF(OR(A65="",COUNTIFS(Scoresheet!$C$2:$C$501,A65,Scoresheet!$U$2:$U$501,1)=0),"No scoresheet yet",IF(SUMIFS(Scoresheet!$N$2:$N$501,Scoresheet!$C$2:$C$501,A65,Scoresheet!$U$2:$U$501,1)&lt;6,"Partly scored ("&amp;SUMIFS(Scoresheet!$N$2:$N$501,Scoresheet!$C$2:$C$501,A65,Scoresheet!$U$2:$U$501,1)&amp;"/6)",IF(N65&gt;=Settings!$S$8,"Hot",IF(N65&gt;=Settings!$S$9,"Warm","Cold")))))</f>
        <v/>
      </c>
      <c r="P65" s="44" t="str">
        <f aca="false">IF(OR(D65="",A65=""),"",IF(AND(COUNTIFS(Scoresheet!$C$2:$C$501,A65,Scoresheet!$U$2:$U$501,1,Scoresheet!$H$2:$H$501,"No")&gt;0,COUNTIFS(Scoresheet!$C$2:$C$501,A65,Scoresheet!$U$2:$U$501,1,Scoresheet!$J$2:$J$501,"No")&gt;0),"🚩 Budget  ·  🚩 No one on camera",IF(COUNTIFS(Scoresheet!$C$2:$C$501,A65,Scoresheet!$U$2:$U$501,1,Scoresheet!$H$2:$H$501,"No")&gt;0,"🚩 Budget under AED 5k",IF(COUNTIFS(Scoresheet!$C$2:$C$501,A65,Scoresheet!$U$2:$U$501,1,Scoresheet!$J$2:$J$501,"No")&gt;0,"🚩 No one on camera",""))))</f>
        <v/>
      </c>
      <c r="Q65" s="17"/>
      <c r="R65" s="17"/>
      <c r="S65" s="40"/>
      <c r="T65" s="17"/>
      <c r="U65" s="45" t="str">
        <f aca="false">IF(OR(D65="",S65="",OR(R65="Contract signed + paid",R65="Closed – No response",R65="Lost"),N(T65)&gt;=Settings!$S$3),"",S65+Settings!$S$2)</f>
        <v/>
      </c>
      <c r="V65" s="40"/>
      <c r="W65" s="41"/>
      <c r="X65" s="17"/>
      <c r="Y65" s="17"/>
      <c r="Z65" s="17"/>
      <c r="AA65" s="46" t="str">
        <f aca="true">IF(OR(D65="",B65=""),"",INT(TODAY()-B65))</f>
        <v/>
      </c>
      <c r="AB65" s="44" t="str">
        <f aca="true">IF(D65="","",IF(OR(COUNTIFS(Clients!$C$2:$C$501,D65,Clients!$S$2:$S$501,"Paid")&gt;0,AND(H65&lt;&gt;"",COUNTIFS(Clients!$E$2:$E$501,H65,Clients!$S$2:$S$501,"Paid")&gt;0)),"⚠ Refunded before – no free video",IF(OR(R65="Contract signed + paid",R65="Closed – No response",R65="Lost"),"",IF(R65="","Set a stage",IF(AND(R65="Proposal sent",SUMIFS(Scoresheet!$N$2:$N$501,Scoresheet!$C$2:$C$501,A65,Scoresheet!$U$2:$U$501,1)&lt;6),"Score this lead – fill the call scoresheet",IF(N(T65)&gt;=Settings!$S$3,"Close – 4 follow-ups sent",IF(U65="",IF(S65="","Make first contact",""),IF(TODAY()&gt;U65,"OVERDUE follow-up",IF(TODAY()=U65,"Follow up today","")))))))))</f>
        <v/>
      </c>
    </row>
    <row r="66" customFormat="false" ht="15" hidden="false" customHeight="false" outlineLevel="0" collapsed="false">
      <c r="A66" s="17"/>
      <c r="B66" s="40"/>
      <c r="C66" s="17"/>
      <c r="D66" s="17"/>
      <c r="E66" s="17"/>
      <c r="F66" s="17"/>
      <c r="G66" s="17"/>
      <c r="H66" s="42"/>
      <c r="I66" s="17"/>
      <c r="J66" s="17"/>
      <c r="K66" s="17"/>
      <c r="L66" s="17"/>
      <c r="M66" s="17"/>
      <c r="N66" s="44" t="str">
        <f aca="false">IF(OR(D66="",A66="",COUNTIFS(Scoresheet!$C$2:$C$501,A66,Scoresheet!$U$2:$U$501,1)=0),"",SUMIFS(Scoresheet!$O$2:$O$501,Scoresheet!$C$2:$C$501,A66,Scoresheet!$U$2:$U$501,1))</f>
        <v/>
      </c>
      <c r="O66" s="44" t="str">
        <f aca="false">IF(D66="","",IF(OR(A66="",COUNTIFS(Scoresheet!$C$2:$C$501,A66,Scoresheet!$U$2:$U$501,1)=0),"No scoresheet yet",IF(SUMIFS(Scoresheet!$N$2:$N$501,Scoresheet!$C$2:$C$501,A66,Scoresheet!$U$2:$U$501,1)&lt;6,"Partly scored ("&amp;SUMIFS(Scoresheet!$N$2:$N$501,Scoresheet!$C$2:$C$501,A66,Scoresheet!$U$2:$U$501,1)&amp;"/6)",IF(N66&gt;=Settings!$S$8,"Hot",IF(N66&gt;=Settings!$S$9,"Warm","Cold")))))</f>
        <v/>
      </c>
      <c r="P66" s="44" t="str">
        <f aca="false">IF(OR(D66="",A66=""),"",IF(AND(COUNTIFS(Scoresheet!$C$2:$C$501,A66,Scoresheet!$U$2:$U$501,1,Scoresheet!$H$2:$H$501,"No")&gt;0,COUNTIFS(Scoresheet!$C$2:$C$501,A66,Scoresheet!$U$2:$U$501,1,Scoresheet!$J$2:$J$501,"No")&gt;0),"🚩 Budget  ·  🚩 No one on camera",IF(COUNTIFS(Scoresheet!$C$2:$C$501,A66,Scoresheet!$U$2:$U$501,1,Scoresheet!$H$2:$H$501,"No")&gt;0,"🚩 Budget under AED 5k",IF(COUNTIFS(Scoresheet!$C$2:$C$501,A66,Scoresheet!$U$2:$U$501,1,Scoresheet!$J$2:$J$501,"No")&gt;0,"🚩 No one on camera",""))))</f>
        <v/>
      </c>
      <c r="Q66" s="17"/>
      <c r="R66" s="17"/>
      <c r="S66" s="40"/>
      <c r="T66" s="17"/>
      <c r="U66" s="45" t="str">
        <f aca="false">IF(OR(D66="",S66="",OR(R66="Contract signed + paid",R66="Closed – No response",R66="Lost"),N(T66)&gt;=Settings!$S$3),"",S66+Settings!$S$2)</f>
        <v/>
      </c>
      <c r="V66" s="40"/>
      <c r="W66" s="41"/>
      <c r="X66" s="17"/>
      <c r="Y66" s="17"/>
      <c r="Z66" s="17"/>
      <c r="AA66" s="46" t="str">
        <f aca="true">IF(OR(D66="",B66=""),"",INT(TODAY()-B66))</f>
        <v/>
      </c>
      <c r="AB66" s="44" t="str">
        <f aca="true">IF(D66="","",IF(OR(COUNTIFS(Clients!$C$2:$C$501,D66,Clients!$S$2:$S$501,"Paid")&gt;0,AND(H66&lt;&gt;"",COUNTIFS(Clients!$E$2:$E$501,H66,Clients!$S$2:$S$501,"Paid")&gt;0)),"⚠ Refunded before – no free video",IF(OR(R66="Contract signed + paid",R66="Closed – No response",R66="Lost"),"",IF(R66="","Set a stage",IF(AND(R66="Proposal sent",SUMIFS(Scoresheet!$N$2:$N$501,Scoresheet!$C$2:$C$501,A66,Scoresheet!$U$2:$U$501,1)&lt;6),"Score this lead – fill the call scoresheet",IF(N(T66)&gt;=Settings!$S$3,"Close – 4 follow-ups sent",IF(U66="",IF(S66="","Make first contact",""),IF(TODAY()&gt;U66,"OVERDUE follow-up",IF(TODAY()=U66,"Follow up today","")))))))))</f>
        <v/>
      </c>
    </row>
    <row r="67" customFormat="false" ht="15" hidden="false" customHeight="false" outlineLevel="0" collapsed="false">
      <c r="A67" s="17"/>
      <c r="B67" s="40"/>
      <c r="C67" s="17"/>
      <c r="D67" s="17"/>
      <c r="E67" s="17"/>
      <c r="F67" s="17"/>
      <c r="G67" s="17"/>
      <c r="H67" s="42"/>
      <c r="I67" s="17"/>
      <c r="J67" s="17"/>
      <c r="K67" s="17"/>
      <c r="L67" s="17"/>
      <c r="M67" s="17"/>
      <c r="N67" s="44" t="str">
        <f aca="false">IF(OR(D67="",A67="",COUNTIFS(Scoresheet!$C$2:$C$501,A67,Scoresheet!$U$2:$U$501,1)=0),"",SUMIFS(Scoresheet!$O$2:$O$501,Scoresheet!$C$2:$C$501,A67,Scoresheet!$U$2:$U$501,1))</f>
        <v/>
      </c>
      <c r="O67" s="44" t="str">
        <f aca="false">IF(D67="","",IF(OR(A67="",COUNTIFS(Scoresheet!$C$2:$C$501,A67,Scoresheet!$U$2:$U$501,1)=0),"No scoresheet yet",IF(SUMIFS(Scoresheet!$N$2:$N$501,Scoresheet!$C$2:$C$501,A67,Scoresheet!$U$2:$U$501,1)&lt;6,"Partly scored ("&amp;SUMIFS(Scoresheet!$N$2:$N$501,Scoresheet!$C$2:$C$501,A67,Scoresheet!$U$2:$U$501,1)&amp;"/6)",IF(N67&gt;=Settings!$S$8,"Hot",IF(N67&gt;=Settings!$S$9,"Warm","Cold")))))</f>
        <v/>
      </c>
      <c r="P67" s="44" t="str">
        <f aca="false">IF(OR(D67="",A67=""),"",IF(AND(COUNTIFS(Scoresheet!$C$2:$C$501,A67,Scoresheet!$U$2:$U$501,1,Scoresheet!$H$2:$H$501,"No")&gt;0,COUNTIFS(Scoresheet!$C$2:$C$501,A67,Scoresheet!$U$2:$U$501,1,Scoresheet!$J$2:$J$501,"No")&gt;0),"🚩 Budget  ·  🚩 No one on camera",IF(COUNTIFS(Scoresheet!$C$2:$C$501,A67,Scoresheet!$U$2:$U$501,1,Scoresheet!$H$2:$H$501,"No")&gt;0,"🚩 Budget under AED 5k",IF(COUNTIFS(Scoresheet!$C$2:$C$501,A67,Scoresheet!$U$2:$U$501,1,Scoresheet!$J$2:$J$501,"No")&gt;0,"🚩 No one on camera",""))))</f>
        <v/>
      </c>
      <c r="Q67" s="17"/>
      <c r="R67" s="17"/>
      <c r="S67" s="40"/>
      <c r="T67" s="17"/>
      <c r="U67" s="45" t="str">
        <f aca="false">IF(OR(D67="",S67="",OR(R67="Contract signed + paid",R67="Closed – No response",R67="Lost"),N(T67)&gt;=Settings!$S$3),"",S67+Settings!$S$2)</f>
        <v/>
      </c>
      <c r="V67" s="40"/>
      <c r="W67" s="41"/>
      <c r="X67" s="17"/>
      <c r="Y67" s="17"/>
      <c r="Z67" s="17"/>
      <c r="AA67" s="46" t="str">
        <f aca="true">IF(OR(D67="",B67=""),"",INT(TODAY()-B67))</f>
        <v/>
      </c>
      <c r="AB67" s="44" t="str">
        <f aca="true">IF(D67="","",IF(OR(COUNTIFS(Clients!$C$2:$C$501,D67,Clients!$S$2:$S$501,"Paid")&gt;0,AND(H67&lt;&gt;"",COUNTIFS(Clients!$E$2:$E$501,H67,Clients!$S$2:$S$501,"Paid")&gt;0)),"⚠ Refunded before – no free video",IF(OR(R67="Contract signed + paid",R67="Closed – No response",R67="Lost"),"",IF(R67="","Set a stage",IF(AND(R67="Proposal sent",SUMIFS(Scoresheet!$N$2:$N$501,Scoresheet!$C$2:$C$501,A67,Scoresheet!$U$2:$U$501,1)&lt;6),"Score this lead – fill the call scoresheet",IF(N(T67)&gt;=Settings!$S$3,"Close – 4 follow-ups sent",IF(U67="",IF(S67="","Make first contact",""),IF(TODAY()&gt;U67,"OVERDUE follow-up",IF(TODAY()=U67,"Follow up today","")))))))))</f>
        <v/>
      </c>
    </row>
    <row r="68" customFormat="false" ht="15" hidden="false" customHeight="false" outlineLevel="0" collapsed="false">
      <c r="A68" s="17"/>
      <c r="B68" s="40"/>
      <c r="C68" s="17"/>
      <c r="D68" s="17"/>
      <c r="E68" s="17"/>
      <c r="F68" s="17"/>
      <c r="G68" s="17"/>
      <c r="H68" s="42"/>
      <c r="I68" s="17"/>
      <c r="J68" s="17"/>
      <c r="K68" s="17"/>
      <c r="L68" s="17"/>
      <c r="M68" s="17"/>
      <c r="N68" s="44" t="str">
        <f aca="false">IF(OR(D68="",A68="",COUNTIFS(Scoresheet!$C$2:$C$501,A68,Scoresheet!$U$2:$U$501,1)=0),"",SUMIFS(Scoresheet!$O$2:$O$501,Scoresheet!$C$2:$C$501,A68,Scoresheet!$U$2:$U$501,1))</f>
        <v/>
      </c>
      <c r="O68" s="44" t="str">
        <f aca="false">IF(D68="","",IF(OR(A68="",COUNTIFS(Scoresheet!$C$2:$C$501,A68,Scoresheet!$U$2:$U$501,1)=0),"No scoresheet yet",IF(SUMIFS(Scoresheet!$N$2:$N$501,Scoresheet!$C$2:$C$501,A68,Scoresheet!$U$2:$U$501,1)&lt;6,"Partly scored ("&amp;SUMIFS(Scoresheet!$N$2:$N$501,Scoresheet!$C$2:$C$501,A68,Scoresheet!$U$2:$U$501,1)&amp;"/6)",IF(N68&gt;=Settings!$S$8,"Hot",IF(N68&gt;=Settings!$S$9,"Warm","Cold")))))</f>
        <v/>
      </c>
      <c r="P68" s="44" t="str">
        <f aca="false">IF(OR(D68="",A68=""),"",IF(AND(COUNTIFS(Scoresheet!$C$2:$C$501,A68,Scoresheet!$U$2:$U$501,1,Scoresheet!$H$2:$H$501,"No")&gt;0,COUNTIFS(Scoresheet!$C$2:$C$501,A68,Scoresheet!$U$2:$U$501,1,Scoresheet!$J$2:$J$501,"No")&gt;0),"🚩 Budget  ·  🚩 No one on camera",IF(COUNTIFS(Scoresheet!$C$2:$C$501,A68,Scoresheet!$U$2:$U$501,1,Scoresheet!$H$2:$H$501,"No")&gt;0,"🚩 Budget under AED 5k",IF(COUNTIFS(Scoresheet!$C$2:$C$501,A68,Scoresheet!$U$2:$U$501,1,Scoresheet!$J$2:$J$501,"No")&gt;0,"🚩 No one on camera",""))))</f>
        <v/>
      </c>
      <c r="Q68" s="17"/>
      <c r="R68" s="17"/>
      <c r="S68" s="40"/>
      <c r="T68" s="17"/>
      <c r="U68" s="45" t="str">
        <f aca="false">IF(OR(D68="",S68="",OR(R68="Contract signed + paid",R68="Closed – No response",R68="Lost"),N(T68)&gt;=Settings!$S$3),"",S68+Settings!$S$2)</f>
        <v/>
      </c>
      <c r="V68" s="40"/>
      <c r="W68" s="41"/>
      <c r="X68" s="17"/>
      <c r="Y68" s="17"/>
      <c r="Z68" s="17"/>
      <c r="AA68" s="46" t="str">
        <f aca="true">IF(OR(D68="",B68=""),"",INT(TODAY()-B68))</f>
        <v/>
      </c>
      <c r="AB68" s="44" t="str">
        <f aca="true">IF(D68="","",IF(OR(COUNTIFS(Clients!$C$2:$C$501,D68,Clients!$S$2:$S$501,"Paid")&gt;0,AND(H68&lt;&gt;"",COUNTIFS(Clients!$E$2:$E$501,H68,Clients!$S$2:$S$501,"Paid")&gt;0)),"⚠ Refunded before – no free video",IF(OR(R68="Contract signed + paid",R68="Closed – No response",R68="Lost"),"",IF(R68="","Set a stage",IF(AND(R68="Proposal sent",SUMIFS(Scoresheet!$N$2:$N$501,Scoresheet!$C$2:$C$501,A68,Scoresheet!$U$2:$U$501,1)&lt;6),"Score this lead – fill the call scoresheet",IF(N(T68)&gt;=Settings!$S$3,"Close – 4 follow-ups sent",IF(U68="",IF(S68="","Make first contact",""),IF(TODAY()&gt;U68,"OVERDUE follow-up",IF(TODAY()=U68,"Follow up today","")))))))))</f>
        <v/>
      </c>
    </row>
    <row r="69" customFormat="false" ht="15" hidden="false" customHeight="false" outlineLevel="0" collapsed="false">
      <c r="A69" s="17"/>
      <c r="B69" s="40"/>
      <c r="C69" s="17"/>
      <c r="D69" s="17"/>
      <c r="E69" s="17"/>
      <c r="F69" s="17"/>
      <c r="G69" s="17"/>
      <c r="H69" s="42"/>
      <c r="I69" s="17"/>
      <c r="J69" s="17"/>
      <c r="K69" s="17"/>
      <c r="L69" s="17"/>
      <c r="M69" s="17"/>
      <c r="N69" s="44" t="str">
        <f aca="false">IF(OR(D69="",A69="",COUNTIFS(Scoresheet!$C$2:$C$501,A69,Scoresheet!$U$2:$U$501,1)=0),"",SUMIFS(Scoresheet!$O$2:$O$501,Scoresheet!$C$2:$C$501,A69,Scoresheet!$U$2:$U$501,1))</f>
        <v/>
      </c>
      <c r="O69" s="44" t="str">
        <f aca="false">IF(D69="","",IF(OR(A69="",COUNTIFS(Scoresheet!$C$2:$C$501,A69,Scoresheet!$U$2:$U$501,1)=0),"No scoresheet yet",IF(SUMIFS(Scoresheet!$N$2:$N$501,Scoresheet!$C$2:$C$501,A69,Scoresheet!$U$2:$U$501,1)&lt;6,"Partly scored ("&amp;SUMIFS(Scoresheet!$N$2:$N$501,Scoresheet!$C$2:$C$501,A69,Scoresheet!$U$2:$U$501,1)&amp;"/6)",IF(N69&gt;=Settings!$S$8,"Hot",IF(N69&gt;=Settings!$S$9,"Warm","Cold")))))</f>
        <v/>
      </c>
      <c r="P69" s="44" t="str">
        <f aca="false">IF(OR(D69="",A69=""),"",IF(AND(COUNTIFS(Scoresheet!$C$2:$C$501,A69,Scoresheet!$U$2:$U$501,1,Scoresheet!$H$2:$H$501,"No")&gt;0,COUNTIFS(Scoresheet!$C$2:$C$501,A69,Scoresheet!$U$2:$U$501,1,Scoresheet!$J$2:$J$501,"No")&gt;0),"🚩 Budget  ·  🚩 No one on camera",IF(COUNTIFS(Scoresheet!$C$2:$C$501,A69,Scoresheet!$U$2:$U$501,1,Scoresheet!$H$2:$H$501,"No")&gt;0,"🚩 Budget under AED 5k",IF(COUNTIFS(Scoresheet!$C$2:$C$501,A69,Scoresheet!$U$2:$U$501,1,Scoresheet!$J$2:$J$501,"No")&gt;0,"🚩 No one on camera",""))))</f>
        <v/>
      </c>
      <c r="Q69" s="17"/>
      <c r="R69" s="17"/>
      <c r="S69" s="40"/>
      <c r="T69" s="17"/>
      <c r="U69" s="45" t="str">
        <f aca="false">IF(OR(D69="",S69="",OR(R69="Contract signed + paid",R69="Closed – No response",R69="Lost"),N(T69)&gt;=Settings!$S$3),"",S69+Settings!$S$2)</f>
        <v/>
      </c>
      <c r="V69" s="40"/>
      <c r="W69" s="41"/>
      <c r="X69" s="17"/>
      <c r="Y69" s="17"/>
      <c r="Z69" s="17"/>
      <c r="AA69" s="46" t="str">
        <f aca="true">IF(OR(D69="",B69=""),"",INT(TODAY()-B69))</f>
        <v/>
      </c>
      <c r="AB69" s="44" t="str">
        <f aca="true">IF(D69="","",IF(OR(COUNTIFS(Clients!$C$2:$C$501,D69,Clients!$S$2:$S$501,"Paid")&gt;0,AND(H69&lt;&gt;"",COUNTIFS(Clients!$E$2:$E$501,H69,Clients!$S$2:$S$501,"Paid")&gt;0)),"⚠ Refunded before – no free video",IF(OR(R69="Contract signed + paid",R69="Closed – No response",R69="Lost"),"",IF(R69="","Set a stage",IF(AND(R69="Proposal sent",SUMIFS(Scoresheet!$N$2:$N$501,Scoresheet!$C$2:$C$501,A69,Scoresheet!$U$2:$U$501,1)&lt;6),"Score this lead – fill the call scoresheet",IF(N(T69)&gt;=Settings!$S$3,"Close – 4 follow-ups sent",IF(U69="",IF(S69="","Make first contact",""),IF(TODAY()&gt;U69,"OVERDUE follow-up",IF(TODAY()=U69,"Follow up today","")))))))))</f>
        <v/>
      </c>
    </row>
    <row r="70" customFormat="false" ht="15" hidden="false" customHeight="false" outlineLevel="0" collapsed="false">
      <c r="A70" s="17"/>
      <c r="B70" s="40"/>
      <c r="C70" s="17"/>
      <c r="D70" s="17"/>
      <c r="E70" s="17"/>
      <c r="F70" s="17"/>
      <c r="G70" s="17"/>
      <c r="H70" s="42"/>
      <c r="I70" s="17"/>
      <c r="J70" s="17"/>
      <c r="K70" s="17"/>
      <c r="L70" s="17"/>
      <c r="M70" s="17"/>
      <c r="N70" s="44" t="str">
        <f aca="false">IF(OR(D70="",A70="",COUNTIFS(Scoresheet!$C$2:$C$501,A70,Scoresheet!$U$2:$U$501,1)=0),"",SUMIFS(Scoresheet!$O$2:$O$501,Scoresheet!$C$2:$C$501,A70,Scoresheet!$U$2:$U$501,1))</f>
        <v/>
      </c>
      <c r="O70" s="44" t="str">
        <f aca="false">IF(D70="","",IF(OR(A70="",COUNTIFS(Scoresheet!$C$2:$C$501,A70,Scoresheet!$U$2:$U$501,1)=0),"No scoresheet yet",IF(SUMIFS(Scoresheet!$N$2:$N$501,Scoresheet!$C$2:$C$501,A70,Scoresheet!$U$2:$U$501,1)&lt;6,"Partly scored ("&amp;SUMIFS(Scoresheet!$N$2:$N$501,Scoresheet!$C$2:$C$501,A70,Scoresheet!$U$2:$U$501,1)&amp;"/6)",IF(N70&gt;=Settings!$S$8,"Hot",IF(N70&gt;=Settings!$S$9,"Warm","Cold")))))</f>
        <v/>
      </c>
      <c r="P70" s="44" t="str">
        <f aca="false">IF(OR(D70="",A70=""),"",IF(AND(COUNTIFS(Scoresheet!$C$2:$C$501,A70,Scoresheet!$U$2:$U$501,1,Scoresheet!$H$2:$H$501,"No")&gt;0,COUNTIFS(Scoresheet!$C$2:$C$501,A70,Scoresheet!$U$2:$U$501,1,Scoresheet!$J$2:$J$501,"No")&gt;0),"🚩 Budget  ·  🚩 No one on camera",IF(COUNTIFS(Scoresheet!$C$2:$C$501,A70,Scoresheet!$U$2:$U$501,1,Scoresheet!$H$2:$H$501,"No")&gt;0,"🚩 Budget under AED 5k",IF(COUNTIFS(Scoresheet!$C$2:$C$501,A70,Scoresheet!$U$2:$U$501,1,Scoresheet!$J$2:$J$501,"No")&gt;0,"🚩 No one on camera",""))))</f>
        <v/>
      </c>
      <c r="Q70" s="17"/>
      <c r="R70" s="17"/>
      <c r="S70" s="40"/>
      <c r="T70" s="17"/>
      <c r="U70" s="45" t="str">
        <f aca="false">IF(OR(D70="",S70="",OR(R70="Contract signed + paid",R70="Closed – No response",R70="Lost"),N(T70)&gt;=Settings!$S$3),"",S70+Settings!$S$2)</f>
        <v/>
      </c>
      <c r="V70" s="40"/>
      <c r="W70" s="41"/>
      <c r="X70" s="17"/>
      <c r="Y70" s="17"/>
      <c r="Z70" s="17"/>
      <c r="AA70" s="46" t="str">
        <f aca="true">IF(OR(D70="",B70=""),"",INT(TODAY()-B70))</f>
        <v/>
      </c>
      <c r="AB70" s="44" t="str">
        <f aca="true">IF(D70="","",IF(OR(COUNTIFS(Clients!$C$2:$C$501,D70,Clients!$S$2:$S$501,"Paid")&gt;0,AND(H70&lt;&gt;"",COUNTIFS(Clients!$E$2:$E$501,H70,Clients!$S$2:$S$501,"Paid")&gt;0)),"⚠ Refunded before – no free video",IF(OR(R70="Contract signed + paid",R70="Closed – No response",R70="Lost"),"",IF(R70="","Set a stage",IF(AND(R70="Proposal sent",SUMIFS(Scoresheet!$N$2:$N$501,Scoresheet!$C$2:$C$501,A70,Scoresheet!$U$2:$U$501,1)&lt;6),"Score this lead – fill the call scoresheet",IF(N(T70)&gt;=Settings!$S$3,"Close – 4 follow-ups sent",IF(U70="",IF(S70="","Make first contact",""),IF(TODAY()&gt;U70,"OVERDUE follow-up",IF(TODAY()=U70,"Follow up today","")))))))))</f>
        <v/>
      </c>
    </row>
    <row r="71" customFormat="false" ht="15" hidden="false" customHeight="false" outlineLevel="0" collapsed="false">
      <c r="A71" s="17"/>
      <c r="B71" s="40"/>
      <c r="C71" s="17"/>
      <c r="D71" s="17"/>
      <c r="E71" s="17"/>
      <c r="F71" s="17"/>
      <c r="G71" s="17"/>
      <c r="H71" s="42"/>
      <c r="I71" s="17"/>
      <c r="J71" s="17"/>
      <c r="K71" s="17"/>
      <c r="L71" s="17"/>
      <c r="M71" s="17"/>
      <c r="N71" s="44" t="str">
        <f aca="false">IF(OR(D71="",A71="",COUNTIFS(Scoresheet!$C$2:$C$501,A71,Scoresheet!$U$2:$U$501,1)=0),"",SUMIFS(Scoresheet!$O$2:$O$501,Scoresheet!$C$2:$C$501,A71,Scoresheet!$U$2:$U$501,1))</f>
        <v/>
      </c>
      <c r="O71" s="44" t="str">
        <f aca="false">IF(D71="","",IF(OR(A71="",COUNTIFS(Scoresheet!$C$2:$C$501,A71,Scoresheet!$U$2:$U$501,1)=0),"No scoresheet yet",IF(SUMIFS(Scoresheet!$N$2:$N$501,Scoresheet!$C$2:$C$501,A71,Scoresheet!$U$2:$U$501,1)&lt;6,"Partly scored ("&amp;SUMIFS(Scoresheet!$N$2:$N$501,Scoresheet!$C$2:$C$501,A71,Scoresheet!$U$2:$U$501,1)&amp;"/6)",IF(N71&gt;=Settings!$S$8,"Hot",IF(N71&gt;=Settings!$S$9,"Warm","Cold")))))</f>
        <v/>
      </c>
      <c r="P71" s="44" t="str">
        <f aca="false">IF(OR(D71="",A71=""),"",IF(AND(COUNTIFS(Scoresheet!$C$2:$C$501,A71,Scoresheet!$U$2:$U$501,1,Scoresheet!$H$2:$H$501,"No")&gt;0,COUNTIFS(Scoresheet!$C$2:$C$501,A71,Scoresheet!$U$2:$U$501,1,Scoresheet!$J$2:$J$501,"No")&gt;0),"🚩 Budget  ·  🚩 No one on camera",IF(COUNTIFS(Scoresheet!$C$2:$C$501,A71,Scoresheet!$U$2:$U$501,1,Scoresheet!$H$2:$H$501,"No")&gt;0,"🚩 Budget under AED 5k",IF(COUNTIFS(Scoresheet!$C$2:$C$501,A71,Scoresheet!$U$2:$U$501,1,Scoresheet!$J$2:$J$501,"No")&gt;0,"🚩 No one on camera",""))))</f>
        <v/>
      </c>
      <c r="Q71" s="17"/>
      <c r="R71" s="17"/>
      <c r="S71" s="40"/>
      <c r="T71" s="17"/>
      <c r="U71" s="45" t="str">
        <f aca="false">IF(OR(D71="",S71="",OR(R71="Contract signed + paid",R71="Closed – No response",R71="Lost"),N(T71)&gt;=Settings!$S$3),"",S71+Settings!$S$2)</f>
        <v/>
      </c>
      <c r="V71" s="40"/>
      <c r="W71" s="41"/>
      <c r="X71" s="17"/>
      <c r="Y71" s="17"/>
      <c r="Z71" s="17"/>
      <c r="AA71" s="46" t="str">
        <f aca="true">IF(OR(D71="",B71=""),"",INT(TODAY()-B71))</f>
        <v/>
      </c>
      <c r="AB71" s="44" t="str">
        <f aca="true">IF(D71="","",IF(OR(COUNTIFS(Clients!$C$2:$C$501,D71,Clients!$S$2:$S$501,"Paid")&gt;0,AND(H71&lt;&gt;"",COUNTIFS(Clients!$E$2:$E$501,H71,Clients!$S$2:$S$501,"Paid")&gt;0)),"⚠ Refunded before – no free video",IF(OR(R71="Contract signed + paid",R71="Closed – No response",R71="Lost"),"",IF(R71="","Set a stage",IF(AND(R71="Proposal sent",SUMIFS(Scoresheet!$N$2:$N$501,Scoresheet!$C$2:$C$501,A71,Scoresheet!$U$2:$U$501,1)&lt;6),"Score this lead – fill the call scoresheet",IF(N(T71)&gt;=Settings!$S$3,"Close – 4 follow-ups sent",IF(U71="",IF(S71="","Make first contact",""),IF(TODAY()&gt;U71,"OVERDUE follow-up",IF(TODAY()=U71,"Follow up today","")))))))))</f>
        <v/>
      </c>
    </row>
    <row r="72" customFormat="false" ht="15" hidden="false" customHeight="false" outlineLevel="0" collapsed="false">
      <c r="A72" s="17"/>
      <c r="B72" s="40"/>
      <c r="C72" s="17"/>
      <c r="D72" s="17"/>
      <c r="E72" s="17"/>
      <c r="F72" s="17"/>
      <c r="G72" s="17"/>
      <c r="H72" s="42"/>
      <c r="I72" s="17"/>
      <c r="J72" s="17"/>
      <c r="K72" s="17"/>
      <c r="L72" s="17"/>
      <c r="M72" s="17"/>
      <c r="N72" s="44" t="str">
        <f aca="false">IF(OR(D72="",A72="",COUNTIFS(Scoresheet!$C$2:$C$501,A72,Scoresheet!$U$2:$U$501,1)=0),"",SUMIFS(Scoresheet!$O$2:$O$501,Scoresheet!$C$2:$C$501,A72,Scoresheet!$U$2:$U$501,1))</f>
        <v/>
      </c>
      <c r="O72" s="44" t="str">
        <f aca="false">IF(D72="","",IF(OR(A72="",COUNTIFS(Scoresheet!$C$2:$C$501,A72,Scoresheet!$U$2:$U$501,1)=0),"No scoresheet yet",IF(SUMIFS(Scoresheet!$N$2:$N$501,Scoresheet!$C$2:$C$501,A72,Scoresheet!$U$2:$U$501,1)&lt;6,"Partly scored ("&amp;SUMIFS(Scoresheet!$N$2:$N$501,Scoresheet!$C$2:$C$501,A72,Scoresheet!$U$2:$U$501,1)&amp;"/6)",IF(N72&gt;=Settings!$S$8,"Hot",IF(N72&gt;=Settings!$S$9,"Warm","Cold")))))</f>
        <v/>
      </c>
      <c r="P72" s="44" t="str">
        <f aca="false">IF(OR(D72="",A72=""),"",IF(AND(COUNTIFS(Scoresheet!$C$2:$C$501,A72,Scoresheet!$U$2:$U$501,1,Scoresheet!$H$2:$H$501,"No")&gt;0,COUNTIFS(Scoresheet!$C$2:$C$501,A72,Scoresheet!$U$2:$U$501,1,Scoresheet!$J$2:$J$501,"No")&gt;0),"🚩 Budget  ·  🚩 No one on camera",IF(COUNTIFS(Scoresheet!$C$2:$C$501,A72,Scoresheet!$U$2:$U$501,1,Scoresheet!$H$2:$H$501,"No")&gt;0,"🚩 Budget under AED 5k",IF(COUNTIFS(Scoresheet!$C$2:$C$501,A72,Scoresheet!$U$2:$U$501,1,Scoresheet!$J$2:$J$501,"No")&gt;0,"🚩 No one on camera",""))))</f>
        <v/>
      </c>
      <c r="Q72" s="17"/>
      <c r="R72" s="17"/>
      <c r="S72" s="40"/>
      <c r="T72" s="17"/>
      <c r="U72" s="45" t="str">
        <f aca="false">IF(OR(D72="",S72="",OR(R72="Contract signed + paid",R72="Closed – No response",R72="Lost"),N(T72)&gt;=Settings!$S$3),"",S72+Settings!$S$2)</f>
        <v/>
      </c>
      <c r="V72" s="40"/>
      <c r="W72" s="41"/>
      <c r="X72" s="17"/>
      <c r="Y72" s="17"/>
      <c r="Z72" s="17"/>
      <c r="AA72" s="46" t="str">
        <f aca="true">IF(OR(D72="",B72=""),"",INT(TODAY()-B72))</f>
        <v/>
      </c>
      <c r="AB72" s="44" t="str">
        <f aca="true">IF(D72="","",IF(OR(COUNTIFS(Clients!$C$2:$C$501,D72,Clients!$S$2:$S$501,"Paid")&gt;0,AND(H72&lt;&gt;"",COUNTIFS(Clients!$E$2:$E$501,H72,Clients!$S$2:$S$501,"Paid")&gt;0)),"⚠ Refunded before – no free video",IF(OR(R72="Contract signed + paid",R72="Closed – No response",R72="Lost"),"",IF(R72="","Set a stage",IF(AND(R72="Proposal sent",SUMIFS(Scoresheet!$N$2:$N$501,Scoresheet!$C$2:$C$501,A72,Scoresheet!$U$2:$U$501,1)&lt;6),"Score this lead – fill the call scoresheet",IF(N(T72)&gt;=Settings!$S$3,"Close – 4 follow-ups sent",IF(U72="",IF(S72="","Make first contact",""),IF(TODAY()&gt;U72,"OVERDUE follow-up",IF(TODAY()=U72,"Follow up today","")))))))))</f>
        <v/>
      </c>
    </row>
    <row r="73" customFormat="false" ht="15" hidden="false" customHeight="false" outlineLevel="0" collapsed="false">
      <c r="A73" s="17"/>
      <c r="B73" s="40"/>
      <c r="C73" s="17"/>
      <c r="D73" s="17"/>
      <c r="E73" s="17"/>
      <c r="F73" s="17"/>
      <c r="G73" s="17"/>
      <c r="H73" s="42"/>
      <c r="I73" s="17"/>
      <c r="J73" s="17"/>
      <c r="K73" s="17"/>
      <c r="L73" s="17"/>
      <c r="M73" s="17"/>
      <c r="N73" s="44" t="str">
        <f aca="false">IF(OR(D73="",A73="",COUNTIFS(Scoresheet!$C$2:$C$501,A73,Scoresheet!$U$2:$U$501,1)=0),"",SUMIFS(Scoresheet!$O$2:$O$501,Scoresheet!$C$2:$C$501,A73,Scoresheet!$U$2:$U$501,1))</f>
        <v/>
      </c>
      <c r="O73" s="44" t="str">
        <f aca="false">IF(D73="","",IF(OR(A73="",COUNTIFS(Scoresheet!$C$2:$C$501,A73,Scoresheet!$U$2:$U$501,1)=0),"No scoresheet yet",IF(SUMIFS(Scoresheet!$N$2:$N$501,Scoresheet!$C$2:$C$501,A73,Scoresheet!$U$2:$U$501,1)&lt;6,"Partly scored ("&amp;SUMIFS(Scoresheet!$N$2:$N$501,Scoresheet!$C$2:$C$501,A73,Scoresheet!$U$2:$U$501,1)&amp;"/6)",IF(N73&gt;=Settings!$S$8,"Hot",IF(N73&gt;=Settings!$S$9,"Warm","Cold")))))</f>
        <v/>
      </c>
      <c r="P73" s="44" t="str">
        <f aca="false">IF(OR(D73="",A73=""),"",IF(AND(COUNTIFS(Scoresheet!$C$2:$C$501,A73,Scoresheet!$U$2:$U$501,1,Scoresheet!$H$2:$H$501,"No")&gt;0,COUNTIFS(Scoresheet!$C$2:$C$501,A73,Scoresheet!$U$2:$U$501,1,Scoresheet!$J$2:$J$501,"No")&gt;0),"🚩 Budget  ·  🚩 No one on camera",IF(COUNTIFS(Scoresheet!$C$2:$C$501,A73,Scoresheet!$U$2:$U$501,1,Scoresheet!$H$2:$H$501,"No")&gt;0,"🚩 Budget under AED 5k",IF(COUNTIFS(Scoresheet!$C$2:$C$501,A73,Scoresheet!$U$2:$U$501,1,Scoresheet!$J$2:$J$501,"No")&gt;0,"🚩 No one on camera",""))))</f>
        <v/>
      </c>
      <c r="Q73" s="17"/>
      <c r="R73" s="17"/>
      <c r="S73" s="40"/>
      <c r="T73" s="17"/>
      <c r="U73" s="45" t="str">
        <f aca="false">IF(OR(D73="",S73="",OR(R73="Contract signed + paid",R73="Closed – No response",R73="Lost"),N(T73)&gt;=Settings!$S$3),"",S73+Settings!$S$2)</f>
        <v/>
      </c>
      <c r="V73" s="40"/>
      <c r="W73" s="41"/>
      <c r="X73" s="17"/>
      <c r="Y73" s="17"/>
      <c r="Z73" s="17"/>
      <c r="AA73" s="46" t="str">
        <f aca="true">IF(OR(D73="",B73=""),"",INT(TODAY()-B73))</f>
        <v/>
      </c>
      <c r="AB73" s="44" t="str">
        <f aca="true">IF(D73="","",IF(OR(COUNTIFS(Clients!$C$2:$C$501,D73,Clients!$S$2:$S$501,"Paid")&gt;0,AND(H73&lt;&gt;"",COUNTIFS(Clients!$E$2:$E$501,H73,Clients!$S$2:$S$501,"Paid")&gt;0)),"⚠ Refunded before – no free video",IF(OR(R73="Contract signed + paid",R73="Closed – No response",R73="Lost"),"",IF(R73="","Set a stage",IF(AND(R73="Proposal sent",SUMIFS(Scoresheet!$N$2:$N$501,Scoresheet!$C$2:$C$501,A73,Scoresheet!$U$2:$U$501,1)&lt;6),"Score this lead – fill the call scoresheet",IF(N(T73)&gt;=Settings!$S$3,"Close – 4 follow-ups sent",IF(U73="",IF(S73="","Make first contact",""),IF(TODAY()&gt;U73,"OVERDUE follow-up",IF(TODAY()=U73,"Follow up today","")))))))))</f>
        <v/>
      </c>
    </row>
    <row r="74" customFormat="false" ht="15" hidden="false" customHeight="false" outlineLevel="0" collapsed="false">
      <c r="A74" s="17"/>
      <c r="B74" s="40"/>
      <c r="C74" s="17"/>
      <c r="D74" s="17"/>
      <c r="E74" s="17"/>
      <c r="F74" s="17"/>
      <c r="G74" s="17"/>
      <c r="H74" s="42"/>
      <c r="I74" s="17"/>
      <c r="J74" s="17"/>
      <c r="K74" s="17"/>
      <c r="L74" s="17"/>
      <c r="M74" s="17"/>
      <c r="N74" s="44" t="str">
        <f aca="false">IF(OR(D74="",A74="",COUNTIFS(Scoresheet!$C$2:$C$501,A74,Scoresheet!$U$2:$U$501,1)=0),"",SUMIFS(Scoresheet!$O$2:$O$501,Scoresheet!$C$2:$C$501,A74,Scoresheet!$U$2:$U$501,1))</f>
        <v/>
      </c>
      <c r="O74" s="44" t="str">
        <f aca="false">IF(D74="","",IF(OR(A74="",COUNTIFS(Scoresheet!$C$2:$C$501,A74,Scoresheet!$U$2:$U$501,1)=0),"No scoresheet yet",IF(SUMIFS(Scoresheet!$N$2:$N$501,Scoresheet!$C$2:$C$501,A74,Scoresheet!$U$2:$U$501,1)&lt;6,"Partly scored ("&amp;SUMIFS(Scoresheet!$N$2:$N$501,Scoresheet!$C$2:$C$501,A74,Scoresheet!$U$2:$U$501,1)&amp;"/6)",IF(N74&gt;=Settings!$S$8,"Hot",IF(N74&gt;=Settings!$S$9,"Warm","Cold")))))</f>
        <v/>
      </c>
      <c r="P74" s="44" t="str">
        <f aca="false">IF(OR(D74="",A74=""),"",IF(AND(COUNTIFS(Scoresheet!$C$2:$C$501,A74,Scoresheet!$U$2:$U$501,1,Scoresheet!$H$2:$H$501,"No")&gt;0,COUNTIFS(Scoresheet!$C$2:$C$501,A74,Scoresheet!$U$2:$U$501,1,Scoresheet!$J$2:$J$501,"No")&gt;0),"🚩 Budget  ·  🚩 No one on camera",IF(COUNTIFS(Scoresheet!$C$2:$C$501,A74,Scoresheet!$U$2:$U$501,1,Scoresheet!$H$2:$H$501,"No")&gt;0,"🚩 Budget under AED 5k",IF(COUNTIFS(Scoresheet!$C$2:$C$501,A74,Scoresheet!$U$2:$U$501,1,Scoresheet!$J$2:$J$501,"No")&gt;0,"🚩 No one on camera",""))))</f>
        <v/>
      </c>
      <c r="Q74" s="17"/>
      <c r="R74" s="17"/>
      <c r="S74" s="40"/>
      <c r="T74" s="17"/>
      <c r="U74" s="45" t="str">
        <f aca="false">IF(OR(D74="",S74="",OR(R74="Contract signed + paid",R74="Closed – No response",R74="Lost"),N(T74)&gt;=Settings!$S$3),"",S74+Settings!$S$2)</f>
        <v/>
      </c>
      <c r="V74" s="40"/>
      <c r="W74" s="41"/>
      <c r="X74" s="17"/>
      <c r="Y74" s="17"/>
      <c r="Z74" s="17"/>
      <c r="AA74" s="46" t="str">
        <f aca="true">IF(OR(D74="",B74=""),"",INT(TODAY()-B74))</f>
        <v/>
      </c>
      <c r="AB74" s="44" t="str">
        <f aca="true">IF(D74="","",IF(OR(COUNTIFS(Clients!$C$2:$C$501,D74,Clients!$S$2:$S$501,"Paid")&gt;0,AND(H74&lt;&gt;"",COUNTIFS(Clients!$E$2:$E$501,H74,Clients!$S$2:$S$501,"Paid")&gt;0)),"⚠ Refunded before – no free video",IF(OR(R74="Contract signed + paid",R74="Closed – No response",R74="Lost"),"",IF(R74="","Set a stage",IF(AND(R74="Proposal sent",SUMIFS(Scoresheet!$N$2:$N$501,Scoresheet!$C$2:$C$501,A74,Scoresheet!$U$2:$U$501,1)&lt;6),"Score this lead – fill the call scoresheet",IF(N(T74)&gt;=Settings!$S$3,"Close – 4 follow-ups sent",IF(U74="",IF(S74="","Make first contact",""),IF(TODAY()&gt;U74,"OVERDUE follow-up",IF(TODAY()=U74,"Follow up today","")))))))))</f>
        <v/>
      </c>
    </row>
    <row r="75" customFormat="false" ht="15" hidden="false" customHeight="false" outlineLevel="0" collapsed="false">
      <c r="A75" s="17"/>
      <c r="B75" s="40"/>
      <c r="C75" s="17"/>
      <c r="D75" s="17"/>
      <c r="E75" s="17"/>
      <c r="F75" s="17"/>
      <c r="G75" s="17"/>
      <c r="H75" s="42"/>
      <c r="I75" s="17"/>
      <c r="J75" s="17"/>
      <c r="K75" s="17"/>
      <c r="L75" s="17"/>
      <c r="M75" s="17"/>
      <c r="N75" s="44" t="str">
        <f aca="false">IF(OR(D75="",A75="",COUNTIFS(Scoresheet!$C$2:$C$501,A75,Scoresheet!$U$2:$U$501,1)=0),"",SUMIFS(Scoresheet!$O$2:$O$501,Scoresheet!$C$2:$C$501,A75,Scoresheet!$U$2:$U$501,1))</f>
        <v/>
      </c>
      <c r="O75" s="44" t="str">
        <f aca="false">IF(D75="","",IF(OR(A75="",COUNTIFS(Scoresheet!$C$2:$C$501,A75,Scoresheet!$U$2:$U$501,1)=0),"No scoresheet yet",IF(SUMIFS(Scoresheet!$N$2:$N$501,Scoresheet!$C$2:$C$501,A75,Scoresheet!$U$2:$U$501,1)&lt;6,"Partly scored ("&amp;SUMIFS(Scoresheet!$N$2:$N$501,Scoresheet!$C$2:$C$501,A75,Scoresheet!$U$2:$U$501,1)&amp;"/6)",IF(N75&gt;=Settings!$S$8,"Hot",IF(N75&gt;=Settings!$S$9,"Warm","Cold")))))</f>
        <v/>
      </c>
      <c r="P75" s="44" t="str">
        <f aca="false">IF(OR(D75="",A75=""),"",IF(AND(COUNTIFS(Scoresheet!$C$2:$C$501,A75,Scoresheet!$U$2:$U$501,1,Scoresheet!$H$2:$H$501,"No")&gt;0,COUNTIFS(Scoresheet!$C$2:$C$501,A75,Scoresheet!$U$2:$U$501,1,Scoresheet!$J$2:$J$501,"No")&gt;0),"🚩 Budget  ·  🚩 No one on camera",IF(COUNTIFS(Scoresheet!$C$2:$C$501,A75,Scoresheet!$U$2:$U$501,1,Scoresheet!$H$2:$H$501,"No")&gt;0,"🚩 Budget under AED 5k",IF(COUNTIFS(Scoresheet!$C$2:$C$501,A75,Scoresheet!$U$2:$U$501,1,Scoresheet!$J$2:$J$501,"No")&gt;0,"🚩 No one on camera",""))))</f>
        <v/>
      </c>
      <c r="Q75" s="17"/>
      <c r="R75" s="17"/>
      <c r="S75" s="40"/>
      <c r="T75" s="17"/>
      <c r="U75" s="45" t="str">
        <f aca="false">IF(OR(D75="",S75="",OR(R75="Contract signed + paid",R75="Closed – No response",R75="Lost"),N(T75)&gt;=Settings!$S$3),"",S75+Settings!$S$2)</f>
        <v/>
      </c>
      <c r="V75" s="40"/>
      <c r="W75" s="41"/>
      <c r="X75" s="17"/>
      <c r="Y75" s="17"/>
      <c r="Z75" s="17"/>
      <c r="AA75" s="46" t="str">
        <f aca="true">IF(OR(D75="",B75=""),"",INT(TODAY()-B75))</f>
        <v/>
      </c>
      <c r="AB75" s="44" t="str">
        <f aca="true">IF(D75="","",IF(OR(COUNTIFS(Clients!$C$2:$C$501,D75,Clients!$S$2:$S$501,"Paid")&gt;0,AND(H75&lt;&gt;"",COUNTIFS(Clients!$E$2:$E$501,H75,Clients!$S$2:$S$501,"Paid")&gt;0)),"⚠ Refunded before – no free video",IF(OR(R75="Contract signed + paid",R75="Closed – No response",R75="Lost"),"",IF(R75="","Set a stage",IF(AND(R75="Proposal sent",SUMIFS(Scoresheet!$N$2:$N$501,Scoresheet!$C$2:$C$501,A75,Scoresheet!$U$2:$U$501,1)&lt;6),"Score this lead – fill the call scoresheet",IF(N(T75)&gt;=Settings!$S$3,"Close – 4 follow-ups sent",IF(U75="",IF(S75="","Make first contact",""),IF(TODAY()&gt;U75,"OVERDUE follow-up",IF(TODAY()=U75,"Follow up today","")))))))))</f>
        <v/>
      </c>
    </row>
    <row r="76" customFormat="false" ht="15" hidden="false" customHeight="false" outlineLevel="0" collapsed="false">
      <c r="A76" s="17"/>
      <c r="B76" s="40"/>
      <c r="C76" s="17"/>
      <c r="D76" s="17"/>
      <c r="E76" s="17"/>
      <c r="F76" s="17"/>
      <c r="G76" s="17"/>
      <c r="H76" s="42"/>
      <c r="I76" s="17"/>
      <c r="J76" s="17"/>
      <c r="K76" s="17"/>
      <c r="L76" s="17"/>
      <c r="M76" s="17"/>
      <c r="N76" s="44" t="str">
        <f aca="false">IF(OR(D76="",A76="",COUNTIFS(Scoresheet!$C$2:$C$501,A76,Scoresheet!$U$2:$U$501,1)=0),"",SUMIFS(Scoresheet!$O$2:$O$501,Scoresheet!$C$2:$C$501,A76,Scoresheet!$U$2:$U$501,1))</f>
        <v/>
      </c>
      <c r="O76" s="44" t="str">
        <f aca="false">IF(D76="","",IF(OR(A76="",COUNTIFS(Scoresheet!$C$2:$C$501,A76,Scoresheet!$U$2:$U$501,1)=0),"No scoresheet yet",IF(SUMIFS(Scoresheet!$N$2:$N$501,Scoresheet!$C$2:$C$501,A76,Scoresheet!$U$2:$U$501,1)&lt;6,"Partly scored ("&amp;SUMIFS(Scoresheet!$N$2:$N$501,Scoresheet!$C$2:$C$501,A76,Scoresheet!$U$2:$U$501,1)&amp;"/6)",IF(N76&gt;=Settings!$S$8,"Hot",IF(N76&gt;=Settings!$S$9,"Warm","Cold")))))</f>
        <v/>
      </c>
      <c r="P76" s="44" t="str">
        <f aca="false">IF(OR(D76="",A76=""),"",IF(AND(COUNTIFS(Scoresheet!$C$2:$C$501,A76,Scoresheet!$U$2:$U$501,1,Scoresheet!$H$2:$H$501,"No")&gt;0,COUNTIFS(Scoresheet!$C$2:$C$501,A76,Scoresheet!$U$2:$U$501,1,Scoresheet!$J$2:$J$501,"No")&gt;0),"🚩 Budget  ·  🚩 No one on camera",IF(COUNTIFS(Scoresheet!$C$2:$C$501,A76,Scoresheet!$U$2:$U$501,1,Scoresheet!$H$2:$H$501,"No")&gt;0,"🚩 Budget under AED 5k",IF(COUNTIFS(Scoresheet!$C$2:$C$501,A76,Scoresheet!$U$2:$U$501,1,Scoresheet!$J$2:$J$501,"No")&gt;0,"🚩 No one on camera",""))))</f>
        <v/>
      </c>
      <c r="Q76" s="17"/>
      <c r="R76" s="17"/>
      <c r="S76" s="40"/>
      <c r="T76" s="17"/>
      <c r="U76" s="45" t="str">
        <f aca="false">IF(OR(D76="",S76="",OR(R76="Contract signed + paid",R76="Closed – No response",R76="Lost"),N(T76)&gt;=Settings!$S$3),"",S76+Settings!$S$2)</f>
        <v/>
      </c>
      <c r="V76" s="40"/>
      <c r="W76" s="41"/>
      <c r="X76" s="17"/>
      <c r="Y76" s="17"/>
      <c r="Z76" s="17"/>
      <c r="AA76" s="46" t="str">
        <f aca="true">IF(OR(D76="",B76=""),"",INT(TODAY()-B76))</f>
        <v/>
      </c>
      <c r="AB76" s="44" t="str">
        <f aca="true">IF(D76="","",IF(OR(COUNTIFS(Clients!$C$2:$C$501,D76,Clients!$S$2:$S$501,"Paid")&gt;0,AND(H76&lt;&gt;"",COUNTIFS(Clients!$E$2:$E$501,H76,Clients!$S$2:$S$501,"Paid")&gt;0)),"⚠ Refunded before – no free video",IF(OR(R76="Contract signed + paid",R76="Closed – No response",R76="Lost"),"",IF(R76="","Set a stage",IF(AND(R76="Proposal sent",SUMIFS(Scoresheet!$N$2:$N$501,Scoresheet!$C$2:$C$501,A76,Scoresheet!$U$2:$U$501,1)&lt;6),"Score this lead – fill the call scoresheet",IF(N(T76)&gt;=Settings!$S$3,"Close – 4 follow-ups sent",IF(U76="",IF(S76="","Make first contact",""),IF(TODAY()&gt;U76,"OVERDUE follow-up",IF(TODAY()=U76,"Follow up today","")))))))))</f>
        <v/>
      </c>
    </row>
    <row r="77" customFormat="false" ht="15" hidden="false" customHeight="false" outlineLevel="0" collapsed="false">
      <c r="A77" s="17"/>
      <c r="B77" s="40"/>
      <c r="C77" s="17"/>
      <c r="D77" s="17"/>
      <c r="E77" s="17"/>
      <c r="F77" s="17"/>
      <c r="G77" s="17"/>
      <c r="H77" s="42"/>
      <c r="I77" s="17"/>
      <c r="J77" s="17"/>
      <c r="K77" s="17"/>
      <c r="L77" s="17"/>
      <c r="M77" s="17"/>
      <c r="N77" s="44" t="str">
        <f aca="false">IF(OR(D77="",A77="",COUNTIFS(Scoresheet!$C$2:$C$501,A77,Scoresheet!$U$2:$U$501,1)=0),"",SUMIFS(Scoresheet!$O$2:$O$501,Scoresheet!$C$2:$C$501,A77,Scoresheet!$U$2:$U$501,1))</f>
        <v/>
      </c>
      <c r="O77" s="44" t="str">
        <f aca="false">IF(D77="","",IF(OR(A77="",COUNTIFS(Scoresheet!$C$2:$C$501,A77,Scoresheet!$U$2:$U$501,1)=0),"No scoresheet yet",IF(SUMIFS(Scoresheet!$N$2:$N$501,Scoresheet!$C$2:$C$501,A77,Scoresheet!$U$2:$U$501,1)&lt;6,"Partly scored ("&amp;SUMIFS(Scoresheet!$N$2:$N$501,Scoresheet!$C$2:$C$501,A77,Scoresheet!$U$2:$U$501,1)&amp;"/6)",IF(N77&gt;=Settings!$S$8,"Hot",IF(N77&gt;=Settings!$S$9,"Warm","Cold")))))</f>
        <v/>
      </c>
      <c r="P77" s="44" t="str">
        <f aca="false">IF(OR(D77="",A77=""),"",IF(AND(COUNTIFS(Scoresheet!$C$2:$C$501,A77,Scoresheet!$U$2:$U$501,1,Scoresheet!$H$2:$H$501,"No")&gt;0,COUNTIFS(Scoresheet!$C$2:$C$501,A77,Scoresheet!$U$2:$U$501,1,Scoresheet!$J$2:$J$501,"No")&gt;0),"🚩 Budget  ·  🚩 No one on camera",IF(COUNTIFS(Scoresheet!$C$2:$C$501,A77,Scoresheet!$U$2:$U$501,1,Scoresheet!$H$2:$H$501,"No")&gt;0,"🚩 Budget under AED 5k",IF(COUNTIFS(Scoresheet!$C$2:$C$501,A77,Scoresheet!$U$2:$U$501,1,Scoresheet!$J$2:$J$501,"No")&gt;0,"🚩 No one on camera",""))))</f>
        <v/>
      </c>
      <c r="Q77" s="17"/>
      <c r="R77" s="17"/>
      <c r="S77" s="40"/>
      <c r="T77" s="17"/>
      <c r="U77" s="45" t="str">
        <f aca="false">IF(OR(D77="",S77="",OR(R77="Contract signed + paid",R77="Closed – No response",R77="Lost"),N(T77)&gt;=Settings!$S$3),"",S77+Settings!$S$2)</f>
        <v/>
      </c>
      <c r="V77" s="40"/>
      <c r="W77" s="41"/>
      <c r="X77" s="17"/>
      <c r="Y77" s="17"/>
      <c r="Z77" s="17"/>
      <c r="AA77" s="46" t="str">
        <f aca="true">IF(OR(D77="",B77=""),"",INT(TODAY()-B77))</f>
        <v/>
      </c>
      <c r="AB77" s="44" t="str">
        <f aca="true">IF(D77="","",IF(OR(COUNTIFS(Clients!$C$2:$C$501,D77,Clients!$S$2:$S$501,"Paid")&gt;0,AND(H77&lt;&gt;"",COUNTIFS(Clients!$E$2:$E$501,H77,Clients!$S$2:$S$501,"Paid")&gt;0)),"⚠ Refunded before – no free video",IF(OR(R77="Contract signed + paid",R77="Closed – No response",R77="Lost"),"",IF(R77="","Set a stage",IF(AND(R77="Proposal sent",SUMIFS(Scoresheet!$N$2:$N$501,Scoresheet!$C$2:$C$501,A77,Scoresheet!$U$2:$U$501,1)&lt;6),"Score this lead – fill the call scoresheet",IF(N(T77)&gt;=Settings!$S$3,"Close – 4 follow-ups sent",IF(U77="",IF(S77="","Make first contact",""),IF(TODAY()&gt;U77,"OVERDUE follow-up",IF(TODAY()=U77,"Follow up today","")))))))))</f>
        <v/>
      </c>
    </row>
    <row r="78" customFormat="false" ht="15" hidden="false" customHeight="false" outlineLevel="0" collapsed="false">
      <c r="A78" s="17"/>
      <c r="B78" s="40"/>
      <c r="C78" s="17"/>
      <c r="D78" s="17"/>
      <c r="E78" s="17"/>
      <c r="F78" s="17"/>
      <c r="G78" s="17"/>
      <c r="H78" s="42"/>
      <c r="I78" s="17"/>
      <c r="J78" s="17"/>
      <c r="K78" s="17"/>
      <c r="L78" s="17"/>
      <c r="M78" s="17"/>
      <c r="N78" s="44" t="str">
        <f aca="false">IF(OR(D78="",A78="",COUNTIFS(Scoresheet!$C$2:$C$501,A78,Scoresheet!$U$2:$U$501,1)=0),"",SUMIFS(Scoresheet!$O$2:$O$501,Scoresheet!$C$2:$C$501,A78,Scoresheet!$U$2:$U$501,1))</f>
        <v/>
      </c>
      <c r="O78" s="44" t="str">
        <f aca="false">IF(D78="","",IF(OR(A78="",COUNTIFS(Scoresheet!$C$2:$C$501,A78,Scoresheet!$U$2:$U$501,1)=0),"No scoresheet yet",IF(SUMIFS(Scoresheet!$N$2:$N$501,Scoresheet!$C$2:$C$501,A78,Scoresheet!$U$2:$U$501,1)&lt;6,"Partly scored ("&amp;SUMIFS(Scoresheet!$N$2:$N$501,Scoresheet!$C$2:$C$501,A78,Scoresheet!$U$2:$U$501,1)&amp;"/6)",IF(N78&gt;=Settings!$S$8,"Hot",IF(N78&gt;=Settings!$S$9,"Warm","Cold")))))</f>
        <v/>
      </c>
      <c r="P78" s="44" t="str">
        <f aca="false">IF(OR(D78="",A78=""),"",IF(AND(COUNTIFS(Scoresheet!$C$2:$C$501,A78,Scoresheet!$U$2:$U$501,1,Scoresheet!$H$2:$H$501,"No")&gt;0,COUNTIFS(Scoresheet!$C$2:$C$501,A78,Scoresheet!$U$2:$U$501,1,Scoresheet!$J$2:$J$501,"No")&gt;0),"🚩 Budget  ·  🚩 No one on camera",IF(COUNTIFS(Scoresheet!$C$2:$C$501,A78,Scoresheet!$U$2:$U$501,1,Scoresheet!$H$2:$H$501,"No")&gt;0,"🚩 Budget under AED 5k",IF(COUNTIFS(Scoresheet!$C$2:$C$501,A78,Scoresheet!$U$2:$U$501,1,Scoresheet!$J$2:$J$501,"No")&gt;0,"🚩 No one on camera",""))))</f>
        <v/>
      </c>
      <c r="Q78" s="17"/>
      <c r="R78" s="17"/>
      <c r="S78" s="40"/>
      <c r="T78" s="17"/>
      <c r="U78" s="45" t="str">
        <f aca="false">IF(OR(D78="",S78="",OR(R78="Contract signed + paid",R78="Closed – No response",R78="Lost"),N(T78)&gt;=Settings!$S$3),"",S78+Settings!$S$2)</f>
        <v/>
      </c>
      <c r="V78" s="40"/>
      <c r="W78" s="41"/>
      <c r="X78" s="17"/>
      <c r="Y78" s="17"/>
      <c r="Z78" s="17"/>
      <c r="AA78" s="46" t="str">
        <f aca="true">IF(OR(D78="",B78=""),"",INT(TODAY()-B78))</f>
        <v/>
      </c>
      <c r="AB78" s="44" t="str">
        <f aca="true">IF(D78="","",IF(OR(COUNTIFS(Clients!$C$2:$C$501,D78,Clients!$S$2:$S$501,"Paid")&gt;0,AND(H78&lt;&gt;"",COUNTIFS(Clients!$E$2:$E$501,H78,Clients!$S$2:$S$501,"Paid")&gt;0)),"⚠ Refunded before – no free video",IF(OR(R78="Contract signed + paid",R78="Closed – No response",R78="Lost"),"",IF(R78="","Set a stage",IF(AND(R78="Proposal sent",SUMIFS(Scoresheet!$N$2:$N$501,Scoresheet!$C$2:$C$501,A78,Scoresheet!$U$2:$U$501,1)&lt;6),"Score this lead – fill the call scoresheet",IF(N(T78)&gt;=Settings!$S$3,"Close – 4 follow-ups sent",IF(U78="",IF(S78="","Make first contact",""),IF(TODAY()&gt;U78,"OVERDUE follow-up",IF(TODAY()=U78,"Follow up today","")))))))))</f>
        <v/>
      </c>
    </row>
    <row r="79" customFormat="false" ht="15" hidden="false" customHeight="false" outlineLevel="0" collapsed="false">
      <c r="A79" s="17"/>
      <c r="B79" s="40"/>
      <c r="C79" s="17"/>
      <c r="D79" s="17"/>
      <c r="E79" s="17"/>
      <c r="F79" s="17"/>
      <c r="G79" s="17"/>
      <c r="H79" s="42"/>
      <c r="I79" s="17"/>
      <c r="J79" s="17"/>
      <c r="K79" s="17"/>
      <c r="L79" s="17"/>
      <c r="M79" s="17"/>
      <c r="N79" s="44" t="str">
        <f aca="false">IF(OR(D79="",A79="",COUNTIFS(Scoresheet!$C$2:$C$501,A79,Scoresheet!$U$2:$U$501,1)=0),"",SUMIFS(Scoresheet!$O$2:$O$501,Scoresheet!$C$2:$C$501,A79,Scoresheet!$U$2:$U$501,1))</f>
        <v/>
      </c>
      <c r="O79" s="44" t="str">
        <f aca="false">IF(D79="","",IF(OR(A79="",COUNTIFS(Scoresheet!$C$2:$C$501,A79,Scoresheet!$U$2:$U$501,1)=0),"No scoresheet yet",IF(SUMIFS(Scoresheet!$N$2:$N$501,Scoresheet!$C$2:$C$501,A79,Scoresheet!$U$2:$U$501,1)&lt;6,"Partly scored ("&amp;SUMIFS(Scoresheet!$N$2:$N$501,Scoresheet!$C$2:$C$501,A79,Scoresheet!$U$2:$U$501,1)&amp;"/6)",IF(N79&gt;=Settings!$S$8,"Hot",IF(N79&gt;=Settings!$S$9,"Warm","Cold")))))</f>
        <v/>
      </c>
      <c r="P79" s="44" t="str">
        <f aca="false">IF(OR(D79="",A79=""),"",IF(AND(COUNTIFS(Scoresheet!$C$2:$C$501,A79,Scoresheet!$U$2:$U$501,1,Scoresheet!$H$2:$H$501,"No")&gt;0,COUNTIFS(Scoresheet!$C$2:$C$501,A79,Scoresheet!$U$2:$U$501,1,Scoresheet!$J$2:$J$501,"No")&gt;0),"🚩 Budget  ·  🚩 No one on camera",IF(COUNTIFS(Scoresheet!$C$2:$C$501,A79,Scoresheet!$U$2:$U$501,1,Scoresheet!$H$2:$H$501,"No")&gt;0,"🚩 Budget under AED 5k",IF(COUNTIFS(Scoresheet!$C$2:$C$501,A79,Scoresheet!$U$2:$U$501,1,Scoresheet!$J$2:$J$501,"No")&gt;0,"🚩 No one on camera",""))))</f>
        <v/>
      </c>
      <c r="Q79" s="17"/>
      <c r="R79" s="17"/>
      <c r="S79" s="40"/>
      <c r="T79" s="17"/>
      <c r="U79" s="45" t="str">
        <f aca="false">IF(OR(D79="",S79="",OR(R79="Contract signed + paid",R79="Closed – No response",R79="Lost"),N(T79)&gt;=Settings!$S$3),"",S79+Settings!$S$2)</f>
        <v/>
      </c>
      <c r="V79" s="40"/>
      <c r="W79" s="41"/>
      <c r="X79" s="17"/>
      <c r="Y79" s="17"/>
      <c r="Z79" s="17"/>
      <c r="AA79" s="46" t="str">
        <f aca="true">IF(OR(D79="",B79=""),"",INT(TODAY()-B79))</f>
        <v/>
      </c>
      <c r="AB79" s="44" t="str">
        <f aca="true">IF(D79="","",IF(OR(COUNTIFS(Clients!$C$2:$C$501,D79,Clients!$S$2:$S$501,"Paid")&gt;0,AND(H79&lt;&gt;"",COUNTIFS(Clients!$E$2:$E$501,H79,Clients!$S$2:$S$501,"Paid")&gt;0)),"⚠ Refunded before – no free video",IF(OR(R79="Contract signed + paid",R79="Closed – No response",R79="Lost"),"",IF(R79="","Set a stage",IF(AND(R79="Proposal sent",SUMIFS(Scoresheet!$N$2:$N$501,Scoresheet!$C$2:$C$501,A79,Scoresheet!$U$2:$U$501,1)&lt;6),"Score this lead – fill the call scoresheet",IF(N(T79)&gt;=Settings!$S$3,"Close – 4 follow-ups sent",IF(U79="",IF(S79="","Make first contact",""),IF(TODAY()&gt;U79,"OVERDUE follow-up",IF(TODAY()=U79,"Follow up today","")))))))))</f>
        <v/>
      </c>
    </row>
    <row r="80" customFormat="false" ht="15" hidden="false" customHeight="false" outlineLevel="0" collapsed="false">
      <c r="A80" s="17"/>
      <c r="B80" s="40"/>
      <c r="C80" s="17"/>
      <c r="D80" s="17"/>
      <c r="E80" s="17"/>
      <c r="F80" s="17"/>
      <c r="G80" s="17"/>
      <c r="H80" s="42"/>
      <c r="I80" s="17"/>
      <c r="J80" s="17"/>
      <c r="K80" s="17"/>
      <c r="L80" s="17"/>
      <c r="M80" s="17"/>
      <c r="N80" s="44" t="str">
        <f aca="false">IF(OR(D80="",A80="",COUNTIFS(Scoresheet!$C$2:$C$501,A80,Scoresheet!$U$2:$U$501,1)=0),"",SUMIFS(Scoresheet!$O$2:$O$501,Scoresheet!$C$2:$C$501,A80,Scoresheet!$U$2:$U$501,1))</f>
        <v/>
      </c>
      <c r="O80" s="44" t="str">
        <f aca="false">IF(D80="","",IF(OR(A80="",COUNTIFS(Scoresheet!$C$2:$C$501,A80,Scoresheet!$U$2:$U$501,1)=0),"No scoresheet yet",IF(SUMIFS(Scoresheet!$N$2:$N$501,Scoresheet!$C$2:$C$501,A80,Scoresheet!$U$2:$U$501,1)&lt;6,"Partly scored ("&amp;SUMIFS(Scoresheet!$N$2:$N$501,Scoresheet!$C$2:$C$501,A80,Scoresheet!$U$2:$U$501,1)&amp;"/6)",IF(N80&gt;=Settings!$S$8,"Hot",IF(N80&gt;=Settings!$S$9,"Warm","Cold")))))</f>
        <v/>
      </c>
      <c r="P80" s="44" t="str">
        <f aca="false">IF(OR(D80="",A80=""),"",IF(AND(COUNTIFS(Scoresheet!$C$2:$C$501,A80,Scoresheet!$U$2:$U$501,1,Scoresheet!$H$2:$H$501,"No")&gt;0,COUNTIFS(Scoresheet!$C$2:$C$501,A80,Scoresheet!$U$2:$U$501,1,Scoresheet!$J$2:$J$501,"No")&gt;0),"🚩 Budget  ·  🚩 No one on camera",IF(COUNTIFS(Scoresheet!$C$2:$C$501,A80,Scoresheet!$U$2:$U$501,1,Scoresheet!$H$2:$H$501,"No")&gt;0,"🚩 Budget under AED 5k",IF(COUNTIFS(Scoresheet!$C$2:$C$501,A80,Scoresheet!$U$2:$U$501,1,Scoresheet!$J$2:$J$501,"No")&gt;0,"🚩 No one on camera",""))))</f>
        <v/>
      </c>
      <c r="Q80" s="17"/>
      <c r="R80" s="17"/>
      <c r="S80" s="40"/>
      <c r="T80" s="17"/>
      <c r="U80" s="45" t="str">
        <f aca="false">IF(OR(D80="",S80="",OR(R80="Contract signed + paid",R80="Closed – No response",R80="Lost"),N(T80)&gt;=Settings!$S$3),"",S80+Settings!$S$2)</f>
        <v/>
      </c>
      <c r="V80" s="40"/>
      <c r="W80" s="41"/>
      <c r="X80" s="17"/>
      <c r="Y80" s="17"/>
      <c r="Z80" s="17"/>
      <c r="AA80" s="46" t="str">
        <f aca="true">IF(OR(D80="",B80=""),"",INT(TODAY()-B80))</f>
        <v/>
      </c>
      <c r="AB80" s="44" t="str">
        <f aca="true">IF(D80="","",IF(OR(COUNTIFS(Clients!$C$2:$C$501,D80,Clients!$S$2:$S$501,"Paid")&gt;0,AND(H80&lt;&gt;"",COUNTIFS(Clients!$E$2:$E$501,H80,Clients!$S$2:$S$501,"Paid")&gt;0)),"⚠ Refunded before – no free video",IF(OR(R80="Contract signed + paid",R80="Closed – No response",R80="Lost"),"",IF(R80="","Set a stage",IF(AND(R80="Proposal sent",SUMIFS(Scoresheet!$N$2:$N$501,Scoresheet!$C$2:$C$501,A80,Scoresheet!$U$2:$U$501,1)&lt;6),"Score this lead – fill the call scoresheet",IF(N(T80)&gt;=Settings!$S$3,"Close – 4 follow-ups sent",IF(U80="",IF(S80="","Make first contact",""),IF(TODAY()&gt;U80,"OVERDUE follow-up",IF(TODAY()=U80,"Follow up today","")))))))))</f>
        <v/>
      </c>
    </row>
    <row r="81" customFormat="false" ht="15" hidden="false" customHeight="false" outlineLevel="0" collapsed="false">
      <c r="A81" s="17"/>
      <c r="B81" s="40"/>
      <c r="C81" s="17"/>
      <c r="D81" s="17"/>
      <c r="E81" s="17"/>
      <c r="F81" s="17"/>
      <c r="G81" s="17"/>
      <c r="H81" s="42"/>
      <c r="I81" s="17"/>
      <c r="J81" s="17"/>
      <c r="K81" s="17"/>
      <c r="L81" s="17"/>
      <c r="M81" s="17"/>
      <c r="N81" s="44" t="str">
        <f aca="false">IF(OR(D81="",A81="",COUNTIFS(Scoresheet!$C$2:$C$501,A81,Scoresheet!$U$2:$U$501,1)=0),"",SUMIFS(Scoresheet!$O$2:$O$501,Scoresheet!$C$2:$C$501,A81,Scoresheet!$U$2:$U$501,1))</f>
        <v/>
      </c>
      <c r="O81" s="44" t="str">
        <f aca="false">IF(D81="","",IF(OR(A81="",COUNTIFS(Scoresheet!$C$2:$C$501,A81,Scoresheet!$U$2:$U$501,1)=0),"No scoresheet yet",IF(SUMIFS(Scoresheet!$N$2:$N$501,Scoresheet!$C$2:$C$501,A81,Scoresheet!$U$2:$U$501,1)&lt;6,"Partly scored ("&amp;SUMIFS(Scoresheet!$N$2:$N$501,Scoresheet!$C$2:$C$501,A81,Scoresheet!$U$2:$U$501,1)&amp;"/6)",IF(N81&gt;=Settings!$S$8,"Hot",IF(N81&gt;=Settings!$S$9,"Warm","Cold")))))</f>
        <v/>
      </c>
      <c r="P81" s="44" t="str">
        <f aca="false">IF(OR(D81="",A81=""),"",IF(AND(COUNTIFS(Scoresheet!$C$2:$C$501,A81,Scoresheet!$U$2:$U$501,1,Scoresheet!$H$2:$H$501,"No")&gt;0,COUNTIFS(Scoresheet!$C$2:$C$501,A81,Scoresheet!$U$2:$U$501,1,Scoresheet!$J$2:$J$501,"No")&gt;0),"🚩 Budget  ·  🚩 No one on camera",IF(COUNTIFS(Scoresheet!$C$2:$C$501,A81,Scoresheet!$U$2:$U$501,1,Scoresheet!$H$2:$H$501,"No")&gt;0,"🚩 Budget under AED 5k",IF(COUNTIFS(Scoresheet!$C$2:$C$501,A81,Scoresheet!$U$2:$U$501,1,Scoresheet!$J$2:$J$501,"No")&gt;0,"🚩 No one on camera",""))))</f>
        <v/>
      </c>
      <c r="Q81" s="17"/>
      <c r="R81" s="17"/>
      <c r="S81" s="40"/>
      <c r="T81" s="17"/>
      <c r="U81" s="45" t="str">
        <f aca="false">IF(OR(D81="",S81="",OR(R81="Contract signed + paid",R81="Closed – No response",R81="Lost"),N(T81)&gt;=Settings!$S$3),"",S81+Settings!$S$2)</f>
        <v/>
      </c>
      <c r="V81" s="40"/>
      <c r="W81" s="41"/>
      <c r="X81" s="17"/>
      <c r="Y81" s="17"/>
      <c r="Z81" s="17"/>
      <c r="AA81" s="46" t="str">
        <f aca="true">IF(OR(D81="",B81=""),"",INT(TODAY()-B81))</f>
        <v/>
      </c>
      <c r="AB81" s="44" t="str">
        <f aca="true">IF(D81="","",IF(OR(COUNTIFS(Clients!$C$2:$C$501,D81,Clients!$S$2:$S$501,"Paid")&gt;0,AND(H81&lt;&gt;"",COUNTIFS(Clients!$E$2:$E$501,H81,Clients!$S$2:$S$501,"Paid")&gt;0)),"⚠ Refunded before – no free video",IF(OR(R81="Contract signed + paid",R81="Closed – No response",R81="Lost"),"",IF(R81="","Set a stage",IF(AND(R81="Proposal sent",SUMIFS(Scoresheet!$N$2:$N$501,Scoresheet!$C$2:$C$501,A81,Scoresheet!$U$2:$U$501,1)&lt;6),"Score this lead – fill the call scoresheet",IF(N(T81)&gt;=Settings!$S$3,"Close – 4 follow-ups sent",IF(U81="",IF(S81="","Make first contact",""),IF(TODAY()&gt;U81,"OVERDUE follow-up",IF(TODAY()=U81,"Follow up today","")))))))))</f>
        <v/>
      </c>
    </row>
    <row r="82" customFormat="false" ht="15" hidden="false" customHeight="false" outlineLevel="0" collapsed="false">
      <c r="A82" s="17"/>
      <c r="B82" s="40"/>
      <c r="C82" s="17"/>
      <c r="D82" s="17"/>
      <c r="E82" s="17"/>
      <c r="F82" s="17"/>
      <c r="G82" s="17"/>
      <c r="H82" s="42"/>
      <c r="I82" s="17"/>
      <c r="J82" s="17"/>
      <c r="K82" s="17"/>
      <c r="L82" s="17"/>
      <c r="M82" s="17"/>
      <c r="N82" s="44" t="str">
        <f aca="false">IF(OR(D82="",A82="",COUNTIFS(Scoresheet!$C$2:$C$501,A82,Scoresheet!$U$2:$U$501,1)=0),"",SUMIFS(Scoresheet!$O$2:$O$501,Scoresheet!$C$2:$C$501,A82,Scoresheet!$U$2:$U$501,1))</f>
        <v/>
      </c>
      <c r="O82" s="44" t="str">
        <f aca="false">IF(D82="","",IF(OR(A82="",COUNTIFS(Scoresheet!$C$2:$C$501,A82,Scoresheet!$U$2:$U$501,1)=0),"No scoresheet yet",IF(SUMIFS(Scoresheet!$N$2:$N$501,Scoresheet!$C$2:$C$501,A82,Scoresheet!$U$2:$U$501,1)&lt;6,"Partly scored ("&amp;SUMIFS(Scoresheet!$N$2:$N$501,Scoresheet!$C$2:$C$501,A82,Scoresheet!$U$2:$U$501,1)&amp;"/6)",IF(N82&gt;=Settings!$S$8,"Hot",IF(N82&gt;=Settings!$S$9,"Warm","Cold")))))</f>
        <v/>
      </c>
      <c r="P82" s="44" t="str">
        <f aca="false">IF(OR(D82="",A82=""),"",IF(AND(COUNTIFS(Scoresheet!$C$2:$C$501,A82,Scoresheet!$U$2:$U$501,1,Scoresheet!$H$2:$H$501,"No")&gt;0,COUNTIFS(Scoresheet!$C$2:$C$501,A82,Scoresheet!$U$2:$U$501,1,Scoresheet!$J$2:$J$501,"No")&gt;0),"🚩 Budget  ·  🚩 No one on camera",IF(COUNTIFS(Scoresheet!$C$2:$C$501,A82,Scoresheet!$U$2:$U$501,1,Scoresheet!$H$2:$H$501,"No")&gt;0,"🚩 Budget under AED 5k",IF(COUNTIFS(Scoresheet!$C$2:$C$501,A82,Scoresheet!$U$2:$U$501,1,Scoresheet!$J$2:$J$501,"No")&gt;0,"🚩 No one on camera",""))))</f>
        <v/>
      </c>
      <c r="Q82" s="17"/>
      <c r="R82" s="17"/>
      <c r="S82" s="40"/>
      <c r="T82" s="17"/>
      <c r="U82" s="45" t="str">
        <f aca="false">IF(OR(D82="",S82="",OR(R82="Contract signed + paid",R82="Closed – No response",R82="Lost"),N(T82)&gt;=Settings!$S$3),"",S82+Settings!$S$2)</f>
        <v/>
      </c>
      <c r="V82" s="40"/>
      <c r="W82" s="41"/>
      <c r="X82" s="17"/>
      <c r="Y82" s="17"/>
      <c r="Z82" s="17"/>
      <c r="AA82" s="46" t="str">
        <f aca="true">IF(OR(D82="",B82=""),"",INT(TODAY()-B82))</f>
        <v/>
      </c>
      <c r="AB82" s="44" t="str">
        <f aca="true">IF(D82="","",IF(OR(COUNTIFS(Clients!$C$2:$C$501,D82,Clients!$S$2:$S$501,"Paid")&gt;0,AND(H82&lt;&gt;"",COUNTIFS(Clients!$E$2:$E$501,H82,Clients!$S$2:$S$501,"Paid")&gt;0)),"⚠ Refunded before – no free video",IF(OR(R82="Contract signed + paid",R82="Closed – No response",R82="Lost"),"",IF(R82="","Set a stage",IF(AND(R82="Proposal sent",SUMIFS(Scoresheet!$N$2:$N$501,Scoresheet!$C$2:$C$501,A82,Scoresheet!$U$2:$U$501,1)&lt;6),"Score this lead – fill the call scoresheet",IF(N(T82)&gt;=Settings!$S$3,"Close – 4 follow-ups sent",IF(U82="",IF(S82="","Make first contact",""),IF(TODAY()&gt;U82,"OVERDUE follow-up",IF(TODAY()=U82,"Follow up today","")))))))))</f>
        <v/>
      </c>
    </row>
    <row r="83" customFormat="false" ht="15" hidden="false" customHeight="false" outlineLevel="0" collapsed="false">
      <c r="A83" s="17"/>
      <c r="B83" s="40"/>
      <c r="C83" s="17"/>
      <c r="D83" s="17"/>
      <c r="E83" s="17"/>
      <c r="F83" s="17"/>
      <c r="G83" s="17"/>
      <c r="H83" s="42"/>
      <c r="I83" s="17"/>
      <c r="J83" s="17"/>
      <c r="K83" s="17"/>
      <c r="L83" s="17"/>
      <c r="M83" s="17"/>
      <c r="N83" s="44" t="str">
        <f aca="false">IF(OR(D83="",A83="",COUNTIFS(Scoresheet!$C$2:$C$501,A83,Scoresheet!$U$2:$U$501,1)=0),"",SUMIFS(Scoresheet!$O$2:$O$501,Scoresheet!$C$2:$C$501,A83,Scoresheet!$U$2:$U$501,1))</f>
        <v/>
      </c>
      <c r="O83" s="44" t="str">
        <f aca="false">IF(D83="","",IF(OR(A83="",COUNTIFS(Scoresheet!$C$2:$C$501,A83,Scoresheet!$U$2:$U$501,1)=0),"No scoresheet yet",IF(SUMIFS(Scoresheet!$N$2:$N$501,Scoresheet!$C$2:$C$501,A83,Scoresheet!$U$2:$U$501,1)&lt;6,"Partly scored ("&amp;SUMIFS(Scoresheet!$N$2:$N$501,Scoresheet!$C$2:$C$501,A83,Scoresheet!$U$2:$U$501,1)&amp;"/6)",IF(N83&gt;=Settings!$S$8,"Hot",IF(N83&gt;=Settings!$S$9,"Warm","Cold")))))</f>
        <v/>
      </c>
      <c r="P83" s="44" t="str">
        <f aca="false">IF(OR(D83="",A83=""),"",IF(AND(COUNTIFS(Scoresheet!$C$2:$C$501,A83,Scoresheet!$U$2:$U$501,1,Scoresheet!$H$2:$H$501,"No")&gt;0,COUNTIFS(Scoresheet!$C$2:$C$501,A83,Scoresheet!$U$2:$U$501,1,Scoresheet!$J$2:$J$501,"No")&gt;0),"🚩 Budget  ·  🚩 No one on camera",IF(COUNTIFS(Scoresheet!$C$2:$C$501,A83,Scoresheet!$U$2:$U$501,1,Scoresheet!$H$2:$H$501,"No")&gt;0,"🚩 Budget under AED 5k",IF(COUNTIFS(Scoresheet!$C$2:$C$501,A83,Scoresheet!$U$2:$U$501,1,Scoresheet!$J$2:$J$501,"No")&gt;0,"🚩 No one on camera",""))))</f>
        <v/>
      </c>
      <c r="Q83" s="17"/>
      <c r="R83" s="17"/>
      <c r="S83" s="40"/>
      <c r="T83" s="17"/>
      <c r="U83" s="45" t="str">
        <f aca="false">IF(OR(D83="",S83="",OR(R83="Contract signed + paid",R83="Closed – No response",R83="Lost"),N(T83)&gt;=Settings!$S$3),"",S83+Settings!$S$2)</f>
        <v/>
      </c>
      <c r="V83" s="40"/>
      <c r="W83" s="41"/>
      <c r="X83" s="17"/>
      <c r="Y83" s="17"/>
      <c r="Z83" s="17"/>
      <c r="AA83" s="46" t="str">
        <f aca="true">IF(OR(D83="",B83=""),"",INT(TODAY()-B83))</f>
        <v/>
      </c>
      <c r="AB83" s="44" t="str">
        <f aca="true">IF(D83="","",IF(OR(COUNTIFS(Clients!$C$2:$C$501,D83,Clients!$S$2:$S$501,"Paid")&gt;0,AND(H83&lt;&gt;"",COUNTIFS(Clients!$E$2:$E$501,H83,Clients!$S$2:$S$501,"Paid")&gt;0)),"⚠ Refunded before – no free video",IF(OR(R83="Contract signed + paid",R83="Closed – No response",R83="Lost"),"",IF(R83="","Set a stage",IF(AND(R83="Proposal sent",SUMIFS(Scoresheet!$N$2:$N$501,Scoresheet!$C$2:$C$501,A83,Scoresheet!$U$2:$U$501,1)&lt;6),"Score this lead – fill the call scoresheet",IF(N(T83)&gt;=Settings!$S$3,"Close – 4 follow-ups sent",IF(U83="",IF(S83="","Make first contact",""),IF(TODAY()&gt;U83,"OVERDUE follow-up",IF(TODAY()=U83,"Follow up today","")))))))))</f>
        <v/>
      </c>
    </row>
    <row r="84" customFormat="false" ht="15" hidden="false" customHeight="false" outlineLevel="0" collapsed="false">
      <c r="A84" s="17"/>
      <c r="B84" s="40"/>
      <c r="C84" s="17"/>
      <c r="D84" s="17"/>
      <c r="E84" s="17"/>
      <c r="F84" s="17"/>
      <c r="G84" s="17"/>
      <c r="H84" s="42"/>
      <c r="I84" s="17"/>
      <c r="J84" s="17"/>
      <c r="K84" s="17"/>
      <c r="L84" s="17"/>
      <c r="M84" s="17"/>
      <c r="N84" s="44" t="str">
        <f aca="false">IF(OR(D84="",A84="",COUNTIFS(Scoresheet!$C$2:$C$501,A84,Scoresheet!$U$2:$U$501,1)=0),"",SUMIFS(Scoresheet!$O$2:$O$501,Scoresheet!$C$2:$C$501,A84,Scoresheet!$U$2:$U$501,1))</f>
        <v/>
      </c>
      <c r="O84" s="44" t="str">
        <f aca="false">IF(D84="","",IF(OR(A84="",COUNTIFS(Scoresheet!$C$2:$C$501,A84,Scoresheet!$U$2:$U$501,1)=0),"No scoresheet yet",IF(SUMIFS(Scoresheet!$N$2:$N$501,Scoresheet!$C$2:$C$501,A84,Scoresheet!$U$2:$U$501,1)&lt;6,"Partly scored ("&amp;SUMIFS(Scoresheet!$N$2:$N$501,Scoresheet!$C$2:$C$501,A84,Scoresheet!$U$2:$U$501,1)&amp;"/6)",IF(N84&gt;=Settings!$S$8,"Hot",IF(N84&gt;=Settings!$S$9,"Warm","Cold")))))</f>
        <v/>
      </c>
      <c r="P84" s="44" t="str">
        <f aca="false">IF(OR(D84="",A84=""),"",IF(AND(COUNTIFS(Scoresheet!$C$2:$C$501,A84,Scoresheet!$U$2:$U$501,1,Scoresheet!$H$2:$H$501,"No")&gt;0,COUNTIFS(Scoresheet!$C$2:$C$501,A84,Scoresheet!$U$2:$U$501,1,Scoresheet!$J$2:$J$501,"No")&gt;0),"🚩 Budget  ·  🚩 No one on camera",IF(COUNTIFS(Scoresheet!$C$2:$C$501,A84,Scoresheet!$U$2:$U$501,1,Scoresheet!$H$2:$H$501,"No")&gt;0,"🚩 Budget under AED 5k",IF(COUNTIFS(Scoresheet!$C$2:$C$501,A84,Scoresheet!$U$2:$U$501,1,Scoresheet!$J$2:$J$501,"No")&gt;0,"🚩 No one on camera",""))))</f>
        <v/>
      </c>
      <c r="Q84" s="17"/>
      <c r="R84" s="17"/>
      <c r="S84" s="40"/>
      <c r="T84" s="17"/>
      <c r="U84" s="45" t="str">
        <f aca="false">IF(OR(D84="",S84="",OR(R84="Contract signed + paid",R84="Closed – No response",R84="Lost"),N(T84)&gt;=Settings!$S$3),"",S84+Settings!$S$2)</f>
        <v/>
      </c>
      <c r="V84" s="40"/>
      <c r="W84" s="41"/>
      <c r="X84" s="17"/>
      <c r="Y84" s="17"/>
      <c r="Z84" s="17"/>
      <c r="AA84" s="46" t="str">
        <f aca="true">IF(OR(D84="",B84=""),"",INT(TODAY()-B84))</f>
        <v/>
      </c>
      <c r="AB84" s="44" t="str">
        <f aca="true">IF(D84="","",IF(OR(COUNTIFS(Clients!$C$2:$C$501,D84,Clients!$S$2:$S$501,"Paid")&gt;0,AND(H84&lt;&gt;"",COUNTIFS(Clients!$E$2:$E$501,H84,Clients!$S$2:$S$501,"Paid")&gt;0)),"⚠ Refunded before – no free video",IF(OR(R84="Contract signed + paid",R84="Closed – No response",R84="Lost"),"",IF(R84="","Set a stage",IF(AND(R84="Proposal sent",SUMIFS(Scoresheet!$N$2:$N$501,Scoresheet!$C$2:$C$501,A84,Scoresheet!$U$2:$U$501,1)&lt;6),"Score this lead – fill the call scoresheet",IF(N(T84)&gt;=Settings!$S$3,"Close – 4 follow-ups sent",IF(U84="",IF(S84="","Make first contact",""),IF(TODAY()&gt;U84,"OVERDUE follow-up",IF(TODAY()=U84,"Follow up today","")))))))))</f>
        <v/>
      </c>
    </row>
    <row r="85" customFormat="false" ht="15" hidden="false" customHeight="false" outlineLevel="0" collapsed="false">
      <c r="A85" s="17"/>
      <c r="B85" s="40"/>
      <c r="C85" s="17"/>
      <c r="D85" s="17"/>
      <c r="E85" s="17"/>
      <c r="F85" s="17"/>
      <c r="G85" s="17"/>
      <c r="H85" s="42"/>
      <c r="I85" s="17"/>
      <c r="J85" s="17"/>
      <c r="K85" s="17"/>
      <c r="L85" s="17"/>
      <c r="M85" s="17"/>
      <c r="N85" s="44" t="str">
        <f aca="false">IF(OR(D85="",A85="",COUNTIFS(Scoresheet!$C$2:$C$501,A85,Scoresheet!$U$2:$U$501,1)=0),"",SUMIFS(Scoresheet!$O$2:$O$501,Scoresheet!$C$2:$C$501,A85,Scoresheet!$U$2:$U$501,1))</f>
        <v/>
      </c>
      <c r="O85" s="44" t="str">
        <f aca="false">IF(D85="","",IF(OR(A85="",COUNTIFS(Scoresheet!$C$2:$C$501,A85,Scoresheet!$U$2:$U$501,1)=0),"No scoresheet yet",IF(SUMIFS(Scoresheet!$N$2:$N$501,Scoresheet!$C$2:$C$501,A85,Scoresheet!$U$2:$U$501,1)&lt;6,"Partly scored ("&amp;SUMIFS(Scoresheet!$N$2:$N$501,Scoresheet!$C$2:$C$501,A85,Scoresheet!$U$2:$U$501,1)&amp;"/6)",IF(N85&gt;=Settings!$S$8,"Hot",IF(N85&gt;=Settings!$S$9,"Warm","Cold")))))</f>
        <v/>
      </c>
      <c r="P85" s="44" t="str">
        <f aca="false">IF(OR(D85="",A85=""),"",IF(AND(COUNTIFS(Scoresheet!$C$2:$C$501,A85,Scoresheet!$U$2:$U$501,1,Scoresheet!$H$2:$H$501,"No")&gt;0,COUNTIFS(Scoresheet!$C$2:$C$501,A85,Scoresheet!$U$2:$U$501,1,Scoresheet!$J$2:$J$501,"No")&gt;0),"🚩 Budget  ·  🚩 No one on camera",IF(COUNTIFS(Scoresheet!$C$2:$C$501,A85,Scoresheet!$U$2:$U$501,1,Scoresheet!$H$2:$H$501,"No")&gt;0,"🚩 Budget under AED 5k",IF(COUNTIFS(Scoresheet!$C$2:$C$501,A85,Scoresheet!$U$2:$U$501,1,Scoresheet!$J$2:$J$501,"No")&gt;0,"🚩 No one on camera",""))))</f>
        <v/>
      </c>
      <c r="Q85" s="17"/>
      <c r="R85" s="17"/>
      <c r="S85" s="40"/>
      <c r="T85" s="17"/>
      <c r="U85" s="45" t="str">
        <f aca="false">IF(OR(D85="",S85="",OR(R85="Contract signed + paid",R85="Closed – No response",R85="Lost"),N(T85)&gt;=Settings!$S$3),"",S85+Settings!$S$2)</f>
        <v/>
      </c>
      <c r="V85" s="40"/>
      <c r="W85" s="41"/>
      <c r="X85" s="17"/>
      <c r="Y85" s="17"/>
      <c r="Z85" s="17"/>
      <c r="AA85" s="46" t="str">
        <f aca="true">IF(OR(D85="",B85=""),"",INT(TODAY()-B85))</f>
        <v/>
      </c>
      <c r="AB85" s="44" t="str">
        <f aca="true">IF(D85="","",IF(OR(COUNTIFS(Clients!$C$2:$C$501,D85,Clients!$S$2:$S$501,"Paid")&gt;0,AND(H85&lt;&gt;"",COUNTIFS(Clients!$E$2:$E$501,H85,Clients!$S$2:$S$501,"Paid")&gt;0)),"⚠ Refunded before – no free video",IF(OR(R85="Contract signed + paid",R85="Closed – No response",R85="Lost"),"",IF(R85="","Set a stage",IF(AND(R85="Proposal sent",SUMIFS(Scoresheet!$N$2:$N$501,Scoresheet!$C$2:$C$501,A85,Scoresheet!$U$2:$U$501,1)&lt;6),"Score this lead – fill the call scoresheet",IF(N(T85)&gt;=Settings!$S$3,"Close – 4 follow-ups sent",IF(U85="",IF(S85="","Make first contact",""),IF(TODAY()&gt;U85,"OVERDUE follow-up",IF(TODAY()=U85,"Follow up today","")))))))))</f>
        <v/>
      </c>
    </row>
    <row r="86" customFormat="false" ht="15" hidden="false" customHeight="false" outlineLevel="0" collapsed="false">
      <c r="A86" s="17"/>
      <c r="B86" s="40"/>
      <c r="C86" s="17"/>
      <c r="D86" s="17"/>
      <c r="E86" s="17"/>
      <c r="F86" s="17"/>
      <c r="G86" s="17"/>
      <c r="H86" s="42"/>
      <c r="I86" s="17"/>
      <c r="J86" s="17"/>
      <c r="K86" s="17"/>
      <c r="L86" s="17"/>
      <c r="M86" s="17"/>
      <c r="N86" s="44" t="str">
        <f aca="false">IF(OR(D86="",A86="",COUNTIFS(Scoresheet!$C$2:$C$501,A86,Scoresheet!$U$2:$U$501,1)=0),"",SUMIFS(Scoresheet!$O$2:$O$501,Scoresheet!$C$2:$C$501,A86,Scoresheet!$U$2:$U$501,1))</f>
        <v/>
      </c>
      <c r="O86" s="44" t="str">
        <f aca="false">IF(D86="","",IF(OR(A86="",COUNTIFS(Scoresheet!$C$2:$C$501,A86,Scoresheet!$U$2:$U$501,1)=0),"No scoresheet yet",IF(SUMIFS(Scoresheet!$N$2:$N$501,Scoresheet!$C$2:$C$501,A86,Scoresheet!$U$2:$U$501,1)&lt;6,"Partly scored ("&amp;SUMIFS(Scoresheet!$N$2:$N$501,Scoresheet!$C$2:$C$501,A86,Scoresheet!$U$2:$U$501,1)&amp;"/6)",IF(N86&gt;=Settings!$S$8,"Hot",IF(N86&gt;=Settings!$S$9,"Warm","Cold")))))</f>
        <v/>
      </c>
      <c r="P86" s="44" t="str">
        <f aca="false">IF(OR(D86="",A86=""),"",IF(AND(COUNTIFS(Scoresheet!$C$2:$C$501,A86,Scoresheet!$U$2:$U$501,1,Scoresheet!$H$2:$H$501,"No")&gt;0,COUNTIFS(Scoresheet!$C$2:$C$501,A86,Scoresheet!$U$2:$U$501,1,Scoresheet!$J$2:$J$501,"No")&gt;0),"🚩 Budget  ·  🚩 No one on camera",IF(COUNTIFS(Scoresheet!$C$2:$C$501,A86,Scoresheet!$U$2:$U$501,1,Scoresheet!$H$2:$H$501,"No")&gt;0,"🚩 Budget under AED 5k",IF(COUNTIFS(Scoresheet!$C$2:$C$501,A86,Scoresheet!$U$2:$U$501,1,Scoresheet!$J$2:$J$501,"No")&gt;0,"🚩 No one on camera",""))))</f>
        <v/>
      </c>
      <c r="Q86" s="17"/>
      <c r="R86" s="17"/>
      <c r="S86" s="40"/>
      <c r="T86" s="17"/>
      <c r="U86" s="45" t="str">
        <f aca="false">IF(OR(D86="",S86="",OR(R86="Contract signed + paid",R86="Closed – No response",R86="Lost"),N(T86)&gt;=Settings!$S$3),"",S86+Settings!$S$2)</f>
        <v/>
      </c>
      <c r="V86" s="40"/>
      <c r="W86" s="41"/>
      <c r="X86" s="17"/>
      <c r="Y86" s="17"/>
      <c r="Z86" s="17"/>
      <c r="AA86" s="46" t="str">
        <f aca="true">IF(OR(D86="",B86=""),"",INT(TODAY()-B86))</f>
        <v/>
      </c>
      <c r="AB86" s="44" t="str">
        <f aca="true">IF(D86="","",IF(OR(COUNTIFS(Clients!$C$2:$C$501,D86,Clients!$S$2:$S$501,"Paid")&gt;0,AND(H86&lt;&gt;"",COUNTIFS(Clients!$E$2:$E$501,H86,Clients!$S$2:$S$501,"Paid")&gt;0)),"⚠ Refunded before – no free video",IF(OR(R86="Contract signed + paid",R86="Closed – No response",R86="Lost"),"",IF(R86="","Set a stage",IF(AND(R86="Proposal sent",SUMIFS(Scoresheet!$N$2:$N$501,Scoresheet!$C$2:$C$501,A86,Scoresheet!$U$2:$U$501,1)&lt;6),"Score this lead – fill the call scoresheet",IF(N(T86)&gt;=Settings!$S$3,"Close – 4 follow-ups sent",IF(U86="",IF(S86="","Make first contact",""),IF(TODAY()&gt;U86,"OVERDUE follow-up",IF(TODAY()=U86,"Follow up today","")))))))))</f>
        <v/>
      </c>
    </row>
    <row r="87" customFormat="false" ht="15" hidden="false" customHeight="false" outlineLevel="0" collapsed="false">
      <c r="A87" s="17"/>
      <c r="B87" s="40"/>
      <c r="C87" s="17"/>
      <c r="D87" s="17"/>
      <c r="E87" s="17"/>
      <c r="F87" s="17"/>
      <c r="G87" s="17"/>
      <c r="H87" s="42"/>
      <c r="I87" s="17"/>
      <c r="J87" s="17"/>
      <c r="K87" s="17"/>
      <c r="L87" s="17"/>
      <c r="M87" s="17"/>
      <c r="N87" s="44" t="str">
        <f aca="false">IF(OR(D87="",A87="",COUNTIFS(Scoresheet!$C$2:$C$501,A87,Scoresheet!$U$2:$U$501,1)=0),"",SUMIFS(Scoresheet!$O$2:$O$501,Scoresheet!$C$2:$C$501,A87,Scoresheet!$U$2:$U$501,1))</f>
        <v/>
      </c>
      <c r="O87" s="44" t="str">
        <f aca="false">IF(D87="","",IF(OR(A87="",COUNTIFS(Scoresheet!$C$2:$C$501,A87,Scoresheet!$U$2:$U$501,1)=0),"No scoresheet yet",IF(SUMIFS(Scoresheet!$N$2:$N$501,Scoresheet!$C$2:$C$501,A87,Scoresheet!$U$2:$U$501,1)&lt;6,"Partly scored ("&amp;SUMIFS(Scoresheet!$N$2:$N$501,Scoresheet!$C$2:$C$501,A87,Scoresheet!$U$2:$U$501,1)&amp;"/6)",IF(N87&gt;=Settings!$S$8,"Hot",IF(N87&gt;=Settings!$S$9,"Warm","Cold")))))</f>
        <v/>
      </c>
      <c r="P87" s="44" t="str">
        <f aca="false">IF(OR(D87="",A87=""),"",IF(AND(COUNTIFS(Scoresheet!$C$2:$C$501,A87,Scoresheet!$U$2:$U$501,1,Scoresheet!$H$2:$H$501,"No")&gt;0,COUNTIFS(Scoresheet!$C$2:$C$501,A87,Scoresheet!$U$2:$U$501,1,Scoresheet!$J$2:$J$501,"No")&gt;0),"🚩 Budget  ·  🚩 No one on camera",IF(COUNTIFS(Scoresheet!$C$2:$C$501,A87,Scoresheet!$U$2:$U$501,1,Scoresheet!$H$2:$H$501,"No")&gt;0,"🚩 Budget under AED 5k",IF(COUNTIFS(Scoresheet!$C$2:$C$501,A87,Scoresheet!$U$2:$U$501,1,Scoresheet!$J$2:$J$501,"No")&gt;0,"🚩 No one on camera",""))))</f>
        <v/>
      </c>
      <c r="Q87" s="17"/>
      <c r="R87" s="17"/>
      <c r="S87" s="40"/>
      <c r="T87" s="17"/>
      <c r="U87" s="45" t="str">
        <f aca="false">IF(OR(D87="",S87="",OR(R87="Contract signed + paid",R87="Closed – No response",R87="Lost"),N(T87)&gt;=Settings!$S$3),"",S87+Settings!$S$2)</f>
        <v/>
      </c>
      <c r="V87" s="40"/>
      <c r="W87" s="41"/>
      <c r="X87" s="17"/>
      <c r="Y87" s="17"/>
      <c r="Z87" s="17"/>
      <c r="AA87" s="46" t="str">
        <f aca="true">IF(OR(D87="",B87=""),"",INT(TODAY()-B87))</f>
        <v/>
      </c>
      <c r="AB87" s="44" t="str">
        <f aca="true">IF(D87="","",IF(OR(COUNTIFS(Clients!$C$2:$C$501,D87,Clients!$S$2:$S$501,"Paid")&gt;0,AND(H87&lt;&gt;"",COUNTIFS(Clients!$E$2:$E$501,H87,Clients!$S$2:$S$501,"Paid")&gt;0)),"⚠ Refunded before – no free video",IF(OR(R87="Contract signed + paid",R87="Closed – No response",R87="Lost"),"",IF(R87="","Set a stage",IF(AND(R87="Proposal sent",SUMIFS(Scoresheet!$N$2:$N$501,Scoresheet!$C$2:$C$501,A87,Scoresheet!$U$2:$U$501,1)&lt;6),"Score this lead – fill the call scoresheet",IF(N(T87)&gt;=Settings!$S$3,"Close – 4 follow-ups sent",IF(U87="",IF(S87="","Make first contact",""),IF(TODAY()&gt;U87,"OVERDUE follow-up",IF(TODAY()=U87,"Follow up today","")))))))))</f>
        <v/>
      </c>
    </row>
    <row r="88" customFormat="false" ht="15" hidden="false" customHeight="false" outlineLevel="0" collapsed="false">
      <c r="A88" s="17"/>
      <c r="B88" s="40"/>
      <c r="C88" s="17"/>
      <c r="D88" s="17"/>
      <c r="E88" s="17"/>
      <c r="F88" s="17"/>
      <c r="G88" s="17"/>
      <c r="H88" s="42"/>
      <c r="I88" s="17"/>
      <c r="J88" s="17"/>
      <c r="K88" s="17"/>
      <c r="L88" s="17"/>
      <c r="M88" s="17"/>
      <c r="N88" s="44" t="str">
        <f aca="false">IF(OR(D88="",A88="",COUNTIFS(Scoresheet!$C$2:$C$501,A88,Scoresheet!$U$2:$U$501,1)=0),"",SUMIFS(Scoresheet!$O$2:$O$501,Scoresheet!$C$2:$C$501,A88,Scoresheet!$U$2:$U$501,1))</f>
        <v/>
      </c>
      <c r="O88" s="44" t="str">
        <f aca="false">IF(D88="","",IF(OR(A88="",COUNTIFS(Scoresheet!$C$2:$C$501,A88,Scoresheet!$U$2:$U$501,1)=0),"No scoresheet yet",IF(SUMIFS(Scoresheet!$N$2:$N$501,Scoresheet!$C$2:$C$501,A88,Scoresheet!$U$2:$U$501,1)&lt;6,"Partly scored ("&amp;SUMIFS(Scoresheet!$N$2:$N$501,Scoresheet!$C$2:$C$501,A88,Scoresheet!$U$2:$U$501,1)&amp;"/6)",IF(N88&gt;=Settings!$S$8,"Hot",IF(N88&gt;=Settings!$S$9,"Warm","Cold")))))</f>
        <v/>
      </c>
      <c r="P88" s="44" t="str">
        <f aca="false">IF(OR(D88="",A88=""),"",IF(AND(COUNTIFS(Scoresheet!$C$2:$C$501,A88,Scoresheet!$U$2:$U$501,1,Scoresheet!$H$2:$H$501,"No")&gt;0,COUNTIFS(Scoresheet!$C$2:$C$501,A88,Scoresheet!$U$2:$U$501,1,Scoresheet!$J$2:$J$501,"No")&gt;0),"🚩 Budget  ·  🚩 No one on camera",IF(COUNTIFS(Scoresheet!$C$2:$C$501,A88,Scoresheet!$U$2:$U$501,1,Scoresheet!$H$2:$H$501,"No")&gt;0,"🚩 Budget under AED 5k",IF(COUNTIFS(Scoresheet!$C$2:$C$501,A88,Scoresheet!$U$2:$U$501,1,Scoresheet!$J$2:$J$501,"No")&gt;0,"🚩 No one on camera",""))))</f>
        <v/>
      </c>
      <c r="Q88" s="17"/>
      <c r="R88" s="17"/>
      <c r="S88" s="40"/>
      <c r="T88" s="17"/>
      <c r="U88" s="45" t="str">
        <f aca="false">IF(OR(D88="",S88="",OR(R88="Contract signed + paid",R88="Closed – No response",R88="Lost"),N(T88)&gt;=Settings!$S$3),"",S88+Settings!$S$2)</f>
        <v/>
      </c>
      <c r="V88" s="40"/>
      <c r="W88" s="41"/>
      <c r="X88" s="17"/>
      <c r="Y88" s="17"/>
      <c r="Z88" s="17"/>
      <c r="AA88" s="46" t="str">
        <f aca="true">IF(OR(D88="",B88=""),"",INT(TODAY()-B88))</f>
        <v/>
      </c>
      <c r="AB88" s="44" t="str">
        <f aca="true">IF(D88="","",IF(OR(COUNTIFS(Clients!$C$2:$C$501,D88,Clients!$S$2:$S$501,"Paid")&gt;0,AND(H88&lt;&gt;"",COUNTIFS(Clients!$E$2:$E$501,H88,Clients!$S$2:$S$501,"Paid")&gt;0)),"⚠ Refunded before – no free video",IF(OR(R88="Contract signed + paid",R88="Closed – No response",R88="Lost"),"",IF(R88="","Set a stage",IF(AND(R88="Proposal sent",SUMIFS(Scoresheet!$N$2:$N$501,Scoresheet!$C$2:$C$501,A88,Scoresheet!$U$2:$U$501,1)&lt;6),"Score this lead – fill the call scoresheet",IF(N(T88)&gt;=Settings!$S$3,"Close – 4 follow-ups sent",IF(U88="",IF(S88="","Make first contact",""),IF(TODAY()&gt;U88,"OVERDUE follow-up",IF(TODAY()=U88,"Follow up today","")))))))))</f>
        <v/>
      </c>
    </row>
    <row r="89" customFormat="false" ht="15" hidden="false" customHeight="false" outlineLevel="0" collapsed="false">
      <c r="A89" s="17"/>
      <c r="B89" s="40"/>
      <c r="C89" s="17"/>
      <c r="D89" s="17"/>
      <c r="E89" s="17"/>
      <c r="F89" s="17"/>
      <c r="G89" s="17"/>
      <c r="H89" s="42"/>
      <c r="I89" s="17"/>
      <c r="J89" s="17"/>
      <c r="K89" s="17"/>
      <c r="L89" s="17"/>
      <c r="M89" s="17"/>
      <c r="N89" s="44" t="str">
        <f aca="false">IF(OR(D89="",A89="",COUNTIFS(Scoresheet!$C$2:$C$501,A89,Scoresheet!$U$2:$U$501,1)=0),"",SUMIFS(Scoresheet!$O$2:$O$501,Scoresheet!$C$2:$C$501,A89,Scoresheet!$U$2:$U$501,1))</f>
        <v/>
      </c>
      <c r="O89" s="44" t="str">
        <f aca="false">IF(D89="","",IF(OR(A89="",COUNTIFS(Scoresheet!$C$2:$C$501,A89,Scoresheet!$U$2:$U$501,1)=0),"No scoresheet yet",IF(SUMIFS(Scoresheet!$N$2:$N$501,Scoresheet!$C$2:$C$501,A89,Scoresheet!$U$2:$U$501,1)&lt;6,"Partly scored ("&amp;SUMIFS(Scoresheet!$N$2:$N$501,Scoresheet!$C$2:$C$501,A89,Scoresheet!$U$2:$U$501,1)&amp;"/6)",IF(N89&gt;=Settings!$S$8,"Hot",IF(N89&gt;=Settings!$S$9,"Warm","Cold")))))</f>
        <v/>
      </c>
      <c r="P89" s="44" t="str">
        <f aca="false">IF(OR(D89="",A89=""),"",IF(AND(COUNTIFS(Scoresheet!$C$2:$C$501,A89,Scoresheet!$U$2:$U$501,1,Scoresheet!$H$2:$H$501,"No")&gt;0,COUNTIFS(Scoresheet!$C$2:$C$501,A89,Scoresheet!$U$2:$U$501,1,Scoresheet!$J$2:$J$501,"No")&gt;0),"🚩 Budget  ·  🚩 No one on camera",IF(COUNTIFS(Scoresheet!$C$2:$C$501,A89,Scoresheet!$U$2:$U$501,1,Scoresheet!$H$2:$H$501,"No")&gt;0,"🚩 Budget under AED 5k",IF(COUNTIFS(Scoresheet!$C$2:$C$501,A89,Scoresheet!$U$2:$U$501,1,Scoresheet!$J$2:$J$501,"No")&gt;0,"🚩 No one on camera",""))))</f>
        <v/>
      </c>
      <c r="Q89" s="17"/>
      <c r="R89" s="17"/>
      <c r="S89" s="40"/>
      <c r="T89" s="17"/>
      <c r="U89" s="45" t="str">
        <f aca="false">IF(OR(D89="",S89="",OR(R89="Contract signed + paid",R89="Closed – No response",R89="Lost"),N(T89)&gt;=Settings!$S$3),"",S89+Settings!$S$2)</f>
        <v/>
      </c>
      <c r="V89" s="40"/>
      <c r="W89" s="41"/>
      <c r="X89" s="17"/>
      <c r="Y89" s="17"/>
      <c r="Z89" s="17"/>
      <c r="AA89" s="46" t="str">
        <f aca="true">IF(OR(D89="",B89=""),"",INT(TODAY()-B89))</f>
        <v/>
      </c>
      <c r="AB89" s="44" t="str">
        <f aca="true">IF(D89="","",IF(OR(COUNTIFS(Clients!$C$2:$C$501,D89,Clients!$S$2:$S$501,"Paid")&gt;0,AND(H89&lt;&gt;"",COUNTIFS(Clients!$E$2:$E$501,H89,Clients!$S$2:$S$501,"Paid")&gt;0)),"⚠ Refunded before – no free video",IF(OR(R89="Contract signed + paid",R89="Closed – No response",R89="Lost"),"",IF(R89="","Set a stage",IF(AND(R89="Proposal sent",SUMIFS(Scoresheet!$N$2:$N$501,Scoresheet!$C$2:$C$501,A89,Scoresheet!$U$2:$U$501,1)&lt;6),"Score this lead – fill the call scoresheet",IF(N(T89)&gt;=Settings!$S$3,"Close – 4 follow-ups sent",IF(U89="",IF(S89="","Make first contact",""),IF(TODAY()&gt;U89,"OVERDUE follow-up",IF(TODAY()=U89,"Follow up today","")))))))))</f>
        <v/>
      </c>
    </row>
    <row r="90" customFormat="false" ht="15" hidden="false" customHeight="false" outlineLevel="0" collapsed="false">
      <c r="A90" s="17"/>
      <c r="B90" s="40"/>
      <c r="C90" s="17"/>
      <c r="D90" s="17"/>
      <c r="E90" s="17"/>
      <c r="F90" s="17"/>
      <c r="G90" s="17"/>
      <c r="H90" s="42"/>
      <c r="I90" s="17"/>
      <c r="J90" s="17"/>
      <c r="K90" s="17"/>
      <c r="L90" s="17"/>
      <c r="M90" s="17"/>
      <c r="N90" s="44" t="str">
        <f aca="false">IF(OR(D90="",A90="",COUNTIFS(Scoresheet!$C$2:$C$501,A90,Scoresheet!$U$2:$U$501,1)=0),"",SUMIFS(Scoresheet!$O$2:$O$501,Scoresheet!$C$2:$C$501,A90,Scoresheet!$U$2:$U$501,1))</f>
        <v/>
      </c>
      <c r="O90" s="44" t="str">
        <f aca="false">IF(D90="","",IF(OR(A90="",COUNTIFS(Scoresheet!$C$2:$C$501,A90,Scoresheet!$U$2:$U$501,1)=0),"No scoresheet yet",IF(SUMIFS(Scoresheet!$N$2:$N$501,Scoresheet!$C$2:$C$501,A90,Scoresheet!$U$2:$U$501,1)&lt;6,"Partly scored ("&amp;SUMIFS(Scoresheet!$N$2:$N$501,Scoresheet!$C$2:$C$501,A90,Scoresheet!$U$2:$U$501,1)&amp;"/6)",IF(N90&gt;=Settings!$S$8,"Hot",IF(N90&gt;=Settings!$S$9,"Warm","Cold")))))</f>
        <v/>
      </c>
      <c r="P90" s="44" t="str">
        <f aca="false">IF(OR(D90="",A90=""),"",IF(AND(COUNTIFS(Scoresheet!$C$2:$C$501,A90,Scoresheet!$U$2:$U$501,1,Scoresheet!$H$2:$H$501,"No")&gt;0,COUNTIFS(Scoresheet!$C$2:$C$501,A90,Scoresheet!$U$2:$U$501,1,Scoresheet!$J$2:$J$501,"No")&gt;0),"🚩 Budget  ·  🚩 No one on camera",IF(COUNTIFS(Scoresheet!$C$2:$C$501,A90,Scoresheet!$U$2:$U$501,1,Scoresheet!$H$2:$H$501,"No")&gt;0,"🚩 Budget under AED 5k",IF(COUNTIFS(Scoresheet!$C$2:$C$501,A90,Scoresheet!$U$2:$U$501,1,Scoresheet!$J$2:$J$501,"No")&gt;0,"🚩 No one on camera",""))))</f>
        <v/>
      </c>
      <c r="Q90" s="17"/>
      <c r="R90" s="17"/>
      <c r="S90" s="40"/>
      <c r="T90" s="17"/>
      <c r="U90" s="45" t="str">
        <f aca="false">IF(OR(D90="",S90="",OR(R90="Contract signed + paid",R90="Closed – No response",R90="Lost"),N(T90)&gt;=Settings!$S$3),"",S90+Settings!$S$2)</f>
        <v/>
      </c>
      <c r="V90" s="40"/>
      <c r="W90" s="41"/>
      <c r="X90" s="17"/>
      <c r="Y90" s="17"/>
      <c r="Z90" s="17"/>
      <c r="AA90" s="46" t="str">
        <f aca="true">IF(OR(D90="",B90=""),"",INT(TODAY()-B90))</f>
        <v/>
      </c>
      <c r="AB90" s="44" t="str">
        <f aca="true">IF(D90="","",IF(OR(COUNTIFS(Clients!$C$2:$C$501,D90,Clients!$S$2:$S$501,"Paid")&gt;0,AND(H90&lt;&gt;"",COUNTIFS(Clients!$E$2:$E$501,H90,Clients!$S$2:$S$501,"Paid")&gt;0)),"⚠ Refunded before – no free video",IF(OR(R90="Contract signed + paid",R90="Closed – No response",R90="Lost"),"",IF(R90="","Set a stage",IF(AND(R90="Proposal sent",SUMIFS(Scoresheet!$N$2:$N$501,Scoresheet!$C$2:$C$501,A90,Scoresheet!$U$2:$U$501,1)&lt;6),"Score this lead – fill the call scoresheet",IF(N(T90)&gt;=Settings!$S$3,"Close – 4 follow-ups sent",IF(U90="",IF(S90="","Make first contact",""),IF(TODAY()&gt;U90,"OVERDUE follow-up",IF(TODAY()=U90,"Follow up today","")))))))))</f>
        <v/>
      </c>
    </row>
    <row r="91" customFormat="false" ht="15" hidden="false" customHeight="false" outlineLevel="0" collapsed="false">
      <c r="A91" s="17"/>
      <c r="B91" s="40"/>
      <c r="C91" s="17"/>
      <c r="D91" s="17"/>
      <c r="E91" s="17"/>
      <c r="F91" s="17"/>
      <c r="G91" s="17"/>
      <c r="H91" s="42"/>
      <c r="I91" s="17"/>
      <c r="J91" s="17"/>
      <c r="K91" s="17"/>
      <c r="L91" s="17"/>
      <c r="M91" s="17"/>
      <c r="N91" s="44" t="str">
        <f aca="false">IF(OR(D91="",A91="",COUNTIFS(Scoresheet!$C$2:$C$501,A91,Scoresheet!$U$2:$U$501,1)=0),"",SUMIFS(Scoresheet!$O$2:$O$501,Scoresheet!$C$2:$C$501,A91,Scoresheet!$U$2:$U$501,1))</f>
        <v/>
      </c>
      <c r="O91" s="44" t="str">
        <f aca="false">IF(D91="","",IF(OR(A91="",COUNTIFS(Scoresheet!$C$2:$C$501,A91,Scoresheet!$U$2:$U$501,1)=0),"No scoresheet yet",IF(SUMIFS(Scoresheet!$N$2:$N$501,Scoresheet!$C$2:$C$501,A91,Scoresheet!$U$2:$U$501,1)&lt;6,"Partly scored ("&amp;SUMIFS(Scoresheet!$N$2:$N$501,Scoresheet!$C$2:$C$501,A91,Scoresheet!$U$2:$U$501,1)&amp;"/6)",IF(N91&gt;=Settings!$S$8,"Hot",IF(N91&gt;=Settings!$S$9,"Warm","Cold")))))</f>
        <v/>
      </c>
      <c r="P91" s="44" t="str">
        <f aca="false">IF(OR(D91="",A91=""),"",IF(AND(COUNTIFS(Scoresheet!$C$2:$C$501,A91,Scoresheet!$U$2:$U$501,1,Scoresheet!$H$2:$H$501,"No")&gt;0,COUNTIFS(Scoresheet!$C$2:$C$501,A91,Scoresheet!$U$2:$U$501,1,Scoresheet!$J$2:$J$501,"No")&gt;0),"🚩 Budget  ·  🚩 No one on camera",IF(COUNTIFS(Scoresheet!$C$2:$C$501,A91,Scoresheet!$U$2:$U$501,1,Scoresheet!$H$2:$H$501,"No")&gt;0,"🚩 Budget under AED 5k",IF(COUNTIFS(Scoresheet!$C$2:$C$501,A91,Scoresheet!$U$2:$U$501,1,Scoresheet!$J$2:$J$501,"No")&gt;0,"🚩 No one on camera",""))))</f>
        <v/>
      </c>
      <c r="Q91" s="17"/>
      <c r="R91" s="17"/>
      <c r="S91" s="40"/>
      <c r="T91" s="17"/>
      <c r="U91" s="45" t="str">
        <f aca="false">IF(OR(D91="",S91="",OR(R91="Contract signed + paid",R91="Closed – No response",R91="Lost"),N(T91)&gt;=Settings!$S$3),"",S91+Settings!$S$2)</f>
        <v/>
      </c>
      <c r="V91" s="40"/>
      <c r="W91" s="41"/>
      <c r="X91" s="17"/>
      <c r="Y91" s="17"/>
      <c r="Z91" s="17"/>
      <c r="AA91" s="46" t="str">
        <f aca="true">IF(OR(D91="",B91=""),"",INT(TODAY()-B91))</f>
        <v/>
      </c>
      <c r="AB91" s="44" t="str">
        <f aca="true">IF(D91="","",IF(OR(COUNTIFS(Clients!$C$2:$C$501,D91,Clients!$S$2:$S$501,"Paid")&gt;0,AND(H91&lt;&gt;"",COUNTIFS(Clients!$E$2:$E$501,H91,Clients!$S$2:$S$501,"Paid")&gt;0)),"⚠ Refunded before – no free video",IF(OR(R91="Contract signed + paid",R91="Closed – No response",R91="Lost"),"",IF(R91="","Set a stage",IF(AND(R91="Proposal sent",SUMIFS(Scoresheet!$N$2:$N$501,Scoresheet!$C$2:$C$501,A91,Scoresheet!$U$2:$U$501,1)&lt;6),"Score this lead – fill the call scoresheet",IF(N(T91)&gt;=Settings!$S$3,"Close – 4 follow-ups sent",IF(U91="",IF(S91="","Make first contact",""),IF(TODAY()&gt;U91,"OVERDUE follow-up",IF(TODAY()=U91,"Follow up today","")))))))))</f>
        <v/>
      </c>
    </row>
    <row r="92" customFormat="false" ht="15" hidden="false" customHeight="false" outlineLevel="0" collapsed="false">
      <c r="A92" s="17"/>
      <c r="B92" s="40"/>
      <c r="C92" s="17"/>
      <c r="D92" s="17"/>
      <c r="E92" s="17"/>
      <c r="F92" s="17"/>
      <c r="G92" s="17"/>
      <c r="H92" s="42"/>
      <c r="I92" s="17"/>
      <c r="J92" s="17"/>
      <c r="K92" s="17"/>
      <c r="L92" s="17"/>
      <c r="M92" s="17"/>
      <c r="N92" s="44" t="str">
        <f aca="false">IF(OR(D92="",A92="",COUNTIFS(Scoresheet!$C$2:$C$501,A92,Scoresheet!$U$2:$U$501,1)=0),"",SUMIFS(Scoresheet!$O$2:$O$501,Scoresheet!$C$2:$C$501,A92,Scoresheet!$U$2:$U$501,1))</f>
        <v/>
      </c>
      <c r="O92" s="44" t="str">
        <f aca="false">IF(D92="","",IF(OR(A92="",COUNTIFS(Scoresheet!$C$2:$C$501,A92,Scoresheet!$U$2:$U$501,1)=0),"No scoresheet yet",IF(SUMIFS(Scoresheet!$N$2:$N$501,Scoresheet!$C$2:$C$501,A92,Scoresheet!$U$2:$U$501,1)&lt;6,"Partly scored ("&amp;SUMIFS(Scoresheet!$N$2:$N$501,Scoresheet!$C$2:$C$501,A92,Scoresheet!$U$2:$U$501,1)&amp;"/6)",IF(N92&gt;=Settings!$S$8,"Hot",IF(N92&gt;=Settings!$S$9,"Warm","Cold")))))</f>
        <v/>
      </c>
      <c r="P92" s="44" t="str">
        <f aca="false">IF(OR(D92="",A92=""),"",IF(AND(COUNTIFS(Scoresheet!$C$2:$C$501,A92,Scoresheet!$U$2:$U$501,1,Scoresheet!$H$2:$H$501,"No")&gt;0,COUNTIFS(Scoresheet!$C$2:$C$501,A92,Scoresheet!$U$2:$U$501,1,Scoresheet!$J$2:$J$501,"No")&gt;0),"🚩 Budget  ·  🚩 No one on camera",IF(COUNTIFS(Scoresheet!$C$2:$C$501,A92,Scoresheet!$U$2:$U$501,1,Scoresheet!$H$2:$H$501,"No")&gt;0,"🚩 Budget under AED 5k",IF(COUNTIFS(Scoresheet!$C$2:$C$501,A92,Scoresheet!$U$2:$U$501,1,Scoresheet!$J$2:$J$501,"No")&gt;0,"🚩 No one on camera",""))))</f>
        <v/>
      </c>
      <c r="Q92" s="17"/>
      <c r="R92" s="17"/>
      <c r="S92" s="40"/>
      <c r="T92" s="17"/>
      <c r="U92" s="45" t="str">
        <f aca="false">IF(OR(D92="",S92="",OR(R92="Contract signed + paid",R92="Closed – No response",R92="Lost"),N(T92)&gt;=Settings!$S$3),"",S92+Settings!$S$2)</f>
        <v/>
      </c>
      <c r="V92" s="40"/>
      <c r="W92" s="41"/>
      <c r="X92" s="17"/>
      <c r="Y92" s="17"/>
      <c r="Z92" s="17"/>
      <c r="AA92" s="46" t="str">
        <f aca="true">IF(OR(D92="",B92=""),"",INT(TODAY()-B92))</f>
        <v/>
      </c>
      <c r="AB92" s="44" t="str">
        <f aca="true">IF(D92="","",IF(OR(COUNTIFS(Clients!$C$2:$C$501,D92,Clients!$S$2:$S$501,"Paid")&gt;0,AND(H92&lt;&gt;"",COUNTIFS(Clients!$E$2:$E$501,H92,Clients!$S$2:$S$501,"Paid")&gt;0)),"⚠ Refunded before – no free video",IF(OR(R92="Contract signed + paid",R92="Closed – No response",R92="Lost"),"",IF(R92="","Set a stage",IF(AND(R92="Proposal sent",SUMIFS(Scoresheet!$N$2:$N$501,Scoresheet!$C$2:$C$501,A92,Scoresheet!$U$2:$U$501,1)&lt;6),"Score this lead – fill the call scoresheet",IF(N(T92)&gt;=Settings!$S$3,"Close – 4 follow-ups sent",IF(U92="",IF(S92="","Make first contact",""),IF(TODAY()&gt;U92,"OVERDUE follow-up",IF(TODAY()=U92,"Follow up today","")))))))))</f>
        <v/>
      </c>
    </row>
    <row r="93" customFormat="false" ht="15" hidden="false" customHeight="false" outlineLevel="0" collapsed="false">
      <c r="A93" s="17"/>
      <c r="B93" s="40"/>
      <c r="C93" s="17"/>
      <c r="D93" s="17"/>
      <c r="E93" s="17"/>
      <c r="F93" s="17"/>
      <c r="G93" s="17"/>
      <c r="H93" s="42"/>
      <c r="I93" s="17"/>
      <c r="J93" s="17"/>
      <c r="K93" s="17"/>
      <c r="L93" s="17"/>
      <c r="M93" s="17"/>
      <c r="N93" s="44" t="str">
        <f aca="false">IF(OR(D93="",A93="",COUNTIFS(Scoresheet!$C$2:$C$501,A93,Scoresheet!$U$2:$U$501,1)=0),"",SUMIFS(Scoresheet!$O$2:$O$501,Scoresheet!$C$2:$C$501,A93,Scoresheet!$U$2:$U$501,1))</f>
        <v/>
      </c>
      <c r="O93" s="44" t="str">
        <f aca="false">IF(D93="","",IF(OR(A93="",COUNTIFS(Scoresheet!$C$2:$C$501,A93,Scoresheet!$U$2:$U$501,1)=0),"No scoresheet yet",IF(SUMIFS(Scoresheet!$N$2:$N$501,Scoresheet!$C$2:$C$501,A93,Scoresheet!$U$2:$U$501,1)&lt;6,"Partly scored ("&amp;SUMIFS(Scoresheet!$N$2:$N$501,Scoresheet!$C$2:$C$501,A93,Scoresheet!$U$2:$U$501,1)&amp;"/6)",IF(N93&gt;=Settings!$S$8,"Hot",IF(N93&gt;=Settings!$S$9,"Warm","Cold")))))</f>
        <v/>
      </c>
      <c r="P93" s="44" t="str">
        <f aca="false">IF(OR(D93="",A93=""),"",IF(AND(COUNTIFS(Scoresheet!$C$2:$C$501,A93,Scoresheet!$U$2:$U$501,1,Scoresheet!$H$2:$H$501,"No")&gt;0,COUNTIFS(Scoresheet!$C$2:$C$501,A93,Scoresheet!$U$2:$U$501,1,Scoresheet!$J$2:$J$501,"No")&gt;0),"🚩 Budget  ·  🚩 No one on camera",IF(COUNTIFS(Scoresheet!$C$2:$C$501,A93,Scoresheet!$U$2:$U$501,1,Scoresheet!$H$2:$H$501,"No")&gt;0,"🚩 Budget under AED 5k",IF(COUNTIFS(Scoresheet!$C$2:$C$501,A93,Scoresheet!$U$2:$U$501,1,Scoresheet!$J$2:$J$501,"No")&gt;0,"🚩 No one on camera",""))))</f>
        <v/>
      </c>
      <c r="Q93" s="17"/>
      <c r="R93" s="17"/>
      <c r="S93" s="40"/>
      <c r="T93" s="17"/>
      <c r="U93" s="45" t="str">
        <f aca="false">IF(OR(D93="",S93="",OR(R93="Contract signed + paid",R93="Closed – No response",R93="Lost"),N(T93)&gt;=Settings!$S$3),"",S93+Settings!$S$2)</f>
        <v/>
      </c>
      <c r="V93" s="40"/>
      <c r="W93" s="41"/>
      <c r="X93" s="17"/>
      <c r="Y93" s="17"/>
      <c r="Z93" s="17"/>
      <c r="AA93" s="46" t="str">
        <f aca="true">IF(OR(D93="",B93=""),"",INT(TODAY()-B93))</f>
        <v/>
      </c>
      <c r="AB93" s="44" t="str">
        <f aca="true">IF(D93="","",IF(OR(COUNTIFS(Clients!$C$2:$C$501,D93,Clients!$S$2:$S$501,"Paid")&gt;0,AND(H93&lt;&gt;"",COUNTIFS(Clients!$E$2:$E$501,H93,Clients!$S$2:$S$501,"Paid")&gt;0)),"⚠ Refunded before – no free video",IF(OR(R93="Contract signed + paid",R93="Closed – No response",R93="Lost"),"",IF(R93="","Set a stage",IF(AND(R93="Proposal sent",SUMIFS(Scoresheet!$N$2:$N$501,Scoresheet!$C$2:$C$501,A93,Scoresheet!$U$2:$U$501,1)&lt;6),"Score this lead – fill the call scoresheet",IF(N(T93)&gt;=Settings!$S$3,"Close – 4 follow-ups sent",IF(U93="",IF(S93="","Make first contact",""),IF(TODAY()&gt;U93,"OVERDUE follow-up",IF(TODAY()=U93,"Follow up today","")))))))))</f>
        <v/>
      </c>
    </row>
    <row r="94" customFormat="false" ht="15" hidden="false" customHeight="false" outlineLevel="0" collapsed="false">
      <c r="A94" s="17"/>
      <c r="B94" s="40"/>
      <c r="C94" s="17"/>
      <c r="D94" s="17"/>
      <c r="E94" s="17"/>
      <c r="F94" s="17"/>
      <c r="G94" s="17"/>
      <c r="H94" s="42"/>
      <c r="I94" s="17"/>
      <c r="J94" s="17"/>
      <c r="K94" s="17"/>
      <c r="L94" s="17"/>
      <c r="M94" s="17"/>
      <c r="N94" s="44" t="str">
        <f aca="false">IF(OR(D94="",A94="",COUNTIFS(Scoresheet!$C$2:$C$501,A94,Scoresheet!$U$2:$U$501,1)=0),"",SUMIFS(Scoresheet!$O$2:$O$501,Scoresheet!$C$2:$C$501,A94,Scoresheet!$U$2:$U$501,1))</f>
        <v/>
      </c>
      <c r="O94" s="44" t="str">
        <f aca="false">IF(D94="","",IF(OR(A94="",COUNTIFS(Scoresheet!$C$2:$C$501,A94,Scoresheet!$U$2:$U$501,1)=0),"No scoresheet yet",IF(SUMIFS(Scoresheet!$N$2:$N$501,Scoresheet!$C$2:$C$501,A94,Scoresheet!$U$2:$U$501,1)&lt;6,"Partly scored ("&amp;SUMIFS(Scoresheet!$N$2:$N$501,Scoresheet!$C$2:$C$501,A94,Scoresheet!$U$2:$U$501,1)&amp;"/6)",IF(N94&gt;=Settings!$S$8,"Hot",IF(N94&gt;=Settings!$S$9,"Warm","Cold")))))</f>
        <v/>
      </c>
      <c r="P94" s="44" t="str">
        <f aca="false">IF(OR(D94="",A94=""),"",IF(AND(COUNTIFS(Scoresheet!$C$2:$C$501,A94,Scoresheet!$U$2:$U$501,1,Scoresheet!$H$2:$H$501,"No")&gt;0,COUNTIFS(Scoresheet!$C$2:$C$501,A94,Scoresheet!$U$2:$U$501,1,Scoresheet!$J$2:$J$501,"No")&gt;0),"🚩 Budget  ·  🚩 No one on camera",IF(COUNTIFS(Scoresheet!$C$2:$C$501,A94,Scoresheet!$U$2:$U$501,1,Scoresheet!$H$2:$H$501,"No")&gt;0,"🚩 Budget under AED 5k",IF(COUNTIFS(Scoresheet!$C$2:$C$501,A94,Scoresheet!$U$2:$U$501,1,Scoresheet!$J$2:$J$501,"No")&gt;0,"🚩 No one on camera",""))))</f>
        <v/>
      </c>
      <c r="Q94" s="17"/>
      <c r="R94" s="17"/>
      <c r="S94" s="40"/>
      <c r="T94" s="17"/>
      <c r="U94" s="45" t="str">
        <f aca="false">IF(OR(D94="",S94="",OR(R94="Contract signed + paid",R94="Closed – No response",R94="Lost"),N(T94)&gt;=Settings!$S$3),"",S94+Settings!$S$2)</f>
        <v/>
      </c>
      <c r="V94" s="40"/>
      <c r="W94" s="41"/>
      <c r="X94" s="17"/>
      <c r="Y94" s="17"/>
      <c r="Z94" s="17"/>
      <c r="AA94" s="46" t="str">
        <f aca="true">IF(OR(D94="",B94=""),"",INT(TODAY()-B94))</f>
        <v/>
      </c>
      <c r="AB94" s="44" t="str">
        <f aca="true">IF(D94="","",IF(OR(COUNTIFS(Clients!$C$2:$C$501,D94,Clients!$S$2:$S$501,"Paid")&gt;0,AND(H94&lt;&gt;"",COUNTIFS(Clients!$E$2:$E$501,H94,Clients!$S$2:$S$501,"Paid")&gt;0)),"⚠ Refunded before – no free video",IF(OR(R94="Contract signed + paid",R94="Closed – No response",R94="Lost"),"",IF(R94="","Set a stage",IF(AND(R94="Proposal sent",SUMIFS(Scoresheet!$N$2:$N$501,Scoresheet!$C$2:$C$501,A94,Scoresheet!$U$2:$U$501,1)&lt;6),"Score this lead – fill the call scoresheet",IF(N(T94)&gt;=Settings!$S$3,"Close – 4 follow-ups sent",IF(U94="",IF(S94="","Make first contact",""),IF(TODAY()&gt;U94,"OVERDUE follow-up",IF(TODAY()=U94,"Follow up today","")))))))))</f>
        <v/>
      </c>
    </row>
    <row r="95" customFormat="false" ht="15" hidden="false" customHeight="false" outlineLevel="0" collapsed="false">
      <c r="A95" s="17"/>
      <c r="B95" s="40"/>
      <c r="C95" s="17"/>
      <c r="D95" s="17"/>
      <c r="E95" s="17"/>
      <c r="F95" s="17"/>
      <c r="G95" s="17"/>
      <c r="H95" s="42"/>
      <c r="I95" s="17"/>
      <c r="J95" s="17"/>
      <c r="K95" s="17"/>
      <c r="L95" s="17"/>
      <c r="M95" s="17"/>
      <c r="N95" s="44" t="str">
        <f aca="false">IF(OR(D95="",A95="",COUNTIFS(Scoresheet!$C$2:$C$501,A95,Scoresheet!$U$2:$U$501,1)=0),"",SUMIFS(Scoresheet!$O$2:$O$501,Scoresheet!$C$2:$C$501,A95,Scoresheet!$U$2:$U$501,1))</f>
        <v/>
      </c>
      <c r="O95" s="44" t="str">
        <f aca="false">IF(D95="","",IF(OR(A95="",COUNTIFS(Scoresheet!$C$2:$C$501,A95,Scoresheet!$U$2:$U$501,1)=0),"No scoresheet yet",IF(SUMIFS(Scoresheet!$N$2:$N$501,Scoresheet!$C$2:$C$501,A95,Scoresheet!$U$2:$U$501,1)&lt;6,"Partly scored ("&amp;SUMIFS(Scoresheet!$N$2:$N$501,Scoresheet!$C$2:$C$501,A95,Scoresheet!$U$2:$U$501,1)&amp;"/6)",IF(N95&gt;=Settings!$S$8,"Hot",IF(N95&gt;=Settings!$S$9,"Warm","Cold")))))</f>
        <v/>
      </c>
      <c r="P95" s="44" t="str">
        <f aca="false">IF(OR(D95="",A95=""),"",IF(AND(COUNTIFS(Scoresheet!$C$2:$C$501,A95,Scoresheet!$U$2:$U$501,1,Scoresheet!$H$2:$H$501,"No")&gt;0,COUNTIFS(Scoresheet!$C$2:$C$501,A95,Scoresheet!$U$2:$U$501,1,Scoresheet!$J$2:$J$501,"No")&gt;0),"🚩 Budget  ·  🚩 No one on camera",IF(COUNTIFS(Scoresheet!$C$2:$C$501,A95,Scoresheet!$U$2:$U$501,1,Scoresheet!$H$2:$H$501,"No")&gt;0,"🚩 Budget under AED 5k",IF(COUNTIFS(Scoresheet!$C$2:$C$501,A95,Scoresheet!$U$2:$U$501,1,Scoresheet!$J$2:$J$501,"No")&gt;0,"🚩 No one on camera",""))))</f>
        <v/>
      </c>
      <c r="Q95" s="17"/>
      <c r="R95" s="17"/>
      <c r="S95" s="40"/>
      <c r="T95" s="17"/>
      <c r="U95" s="45" t="str">
        <f aca="false">IF(OR(D95="",S95="",OR(R95="Contract signed + paid",R95="Closed – No response",R95="Lost"),N(T95)&gt;=Settings!$S$3),"",S95+Settings!$S$2)</f>
        <v/>
      </c>
      <c r="V95" s="40"/>
      <c r="W95" s="41"/>
      <c r="X95" s="17"/>
      <c r="Y95" s="17"/>
      <c r="Z95" s="17"/>
      <c r="AA95" s="46" t="str">
        <f aca="true">IF(OR(D95="",B95=""),"",INT(TODAY()-B95))</f>
        <v/>
      </c>
      <c r="AB95" s="44" t="str">
        <f aca="true">IF(D95="","",IF(OR(COUNTIFS(Clients!$C$2:$C$501,D95,Clients!$S$2:$S$501,"Paid")&gt;0,AND(H95&lt;&gt;"",COUNTIFS(Clients!$E$2:$E$501,H95,Clients!$S$2:$S$501,"Paid")&gt;0)),"⚠ Refunded before – no free video",IF(OR(R95="Contract signed + paid",R95="Closed – No response",R95="Lost"),"",IF(R95="","Set a stage",IF(AND(R95="Proposal sent",SUMIFS(Scoresheet!$N$2:$N$501,Scoresheet!$C$2:$C$501,A95,Scoresheet!$U$2:$U$501,1)&lt;6),"Score this lead – fill the call scoresheet",IF(N(T95)&gt;=Settings!$S$3,"Close – 4 follow-ups sent",IF(U95="",IF(S95="","Make first contact",""),IF(TODAY()&gt;U95,"OVERDUE follow-up",IF(TODAY()=U95,"Follow up today","")))))))))</f>
        <v/>
      </c>
    </row>
    <row r="96" customFormat="false" ht="15" hidden="false" customHeight="false" outlineLevel="0" collapsed="false">
      <c r="A96" s="17"/>
      <c r="B96" s="40"/>
      <c r="C96" s="17"/>
      <c r="D96" s="17"/>
      <c r="E96" s="17"/>
      <c r="F96" s="17"/>
      <c r="G96" s="17"/>
      <c r="H96" s="42"/>
      <c r="I96" s="17"/>
      <c r="J96" s="17"/>
      <c r="K96" s="17"/>
      <c r="L96" s="17"/>
      <c r="M96" s="17"/>
      <c r="N96" s="44" t="str">
        <f aca="false">IF(OR(D96="",A96="",COUNTIFS(Scoresheet!$C$2:$C$501,A96,Scoresheet!$U$2:$U$501,1)=0),"",SUMIFS(Scoresheet!$O$2:$O$501,Scoresheet!$C$2:$C$501,A96,Scoresheet!$U$2:$U$501,1))</f>
        <v/>
      </c>
      <c r="O96" s="44" t="str">
        <f aca="false">IF(D96="","",IF(OR(A96="",COUNTIFS(Scoresheet!$C$2:$C$501,A96,Scoresheet!$U$2:$U$501,1)=0),"No scoresheet yet",IF(SUMIFS(Scoresheet!$N$2:$N$501,Scoresheet!$C$2:$C$501,A96,Scoresheet!$U$2:$U$501,1)&lt;6,"Partly scored ("&amp;SUMIFS(Scoresheet!$N$2:$N$501,Scoresheet!$C$2:$C$501,A96,Scoresheet!$U$2:$U$501,1)&amp;"/6)",IF(N96&gt;=Settings!$S$8,"Hot",IF(N96&gt;=Settings!$S$9,"Warm","Cold")))))</f>
        <v/>
      </c>
      <c r="P96" s="44" t="str">
        <f aca="false">IF(OR(D96="",A96=""),"",IF(AND(COUNTIFS(Scoresheet!$C$2:$C$501,A96,Scoresheet!$U$2:$U$501,1,Scoresheet!$H$2:$H$501,"No")&gt;0,COUNTIFS(Scoresheet!$C$2:$C$501,A96,Scoresheet!$U$2:$U$501,1,Scoresheet!$J$2:$J$501,"No")&gt;0),"🚩 Budget  ·  🚩 No one on camera",IF(COUNTIFS(Scoresheet!$C$2:$C$501,A96,Scoresheet!$U$2:$U$501,1,Scoresheet!$H$2:$H$501,"No")&gt;0,"🚩 Budget under AED 5k",IF(COUNTIFS(Scoresheet!$C$2:$C$501,A96,Scoresheet!$U$2:$U$501,1,Scoresheet!$J$2:$J$501,"No")&gt;0,"🚩 No one on camera",""))))</f>
        <v/>
      </c>
      <c r="Q96" s="17"/>
      <c r="R96" s="17"/>
      <c r="S96" s="40"/>
      <c r="T96" s="17"/>
      <c r="U96" s="45" t="str">
        <f aca="false">IF(OR(D96="",S96="",OR(R96="Contract signed + paid",R96="Closed – No response",R96="Lost"),N(T96)&gt;=Settings!$S$3),"",S96+Settings!$S$2)</f>
        <v/>
      </c>
      <c r="V96" s="40"/>
      <c r="W96" s="41"/>
      <c r="X96" s="17"/>
      <c r="Y96" s="17"/>
      <c r="Z96" s="17"/>
      <c r="AA96" s="46" t="str">
        <f aca="true">IF(OR(D96="",B96=""),"",INT(TODAY()-B96))</f>
        <v/>
      </c>
      <c r="AB96" s="44" t="str">
        <f aca="true">IF(D96="","",IF(OR(COUNTIFS(Clients!$C$2:$C$501,D96,Clients!$S$2:$S$501,"Paid")&gt;0,AND(H96&lt;&gt;"",COUNTIFS(Clients!$E$2:$E$501,H96,Clients!$S$2:$S$501,"Paid")&gt;0)),"⚠ Refunded before – no free video",IF(OR(R96="Contract signed + paid",R96="Closed – No response",R96="Lost"),"",IF(R96="","Set a stage",IF(AND(R96="Proposal sent",SUMIFS(Scoresheet!$N$2:$N$501,Scoresheet!$C$2:$C$501,A96,Scoresheet!$U$2:$U$501,1)&lt;6),"Score this lead – fill the call scoresheet",IF(N(T96)&gt;=Settings!$S$3,"Close – 4 follow-ups sent",IF(U96="",IF(S96="","Make first contact",""),IF(TODAY()&gt;U96,"OVERDUE follow-up",IF(TODAY()=U96,"Follow up today","")))))))))</f>
        <v/>
      </c>
    </row>
    <row r="97" customFormat="false" ht="15" hidden="false" customHeight="false" outlineLevel="0" collapsed="false">
      <c r="A97" s="17"/>
      <c r="B97" s="40"/>
      <c r="C97" s="17"/>
      <c r="D97" s="17"/>
      <c r="E97" s="17"/>
      <c r="F97" s="17"/>
      <c r="G97" s="17"/>
      <c r="H97" s="42"/>
      <c r="I97" s="17"/>
      <c r="J97" s="17"/>
      <c r="K97" s="17"/>
      <c r="L97" s="17"/>
      <c r="M97" s="17"/>
      <c r="N97" s="44" t="str">
        <f aca="false">IF(OR(D97="",A97="",COUNTIFS(Scoresheet!$C$2:$C$501,A97,Scoresheet!$U$2:$U$501,1)=0),"",SUMIFS(Scoresheet!$O$2:$O$501,Scoresheet!$C$2:$C$501,A97,Scoresheet!$U$2:$U$501,1))</f>
        <v/>
      </c>
      <c r="O97" s="44" t="str">
        <f aca="false">IF(D97="","",IF(OR(A97="",COUNTIFS(Scoresheet!$C$2:$C$501,A97,Scoresheet!$U$2:$U$501,1)=0),"No scoresheet yet",IF(SUMIFS(Scoresheet!$N$2:$N$501,Scoresheet!$C$2:$C$501,A97,Scoresheet!$U$2:$U$501,1)&lt;6,"Partly scored ("&amp;SUMIFS(Scoresheet!$N$2:$N$501,Scoresheet!$C$2:$C$501,A97,Scoresheet!$U$2:$U$501,1)&amp;"/6)",IF(N97&gt;=Settings!$S$8,"Hot",IF(N97&gt;=Settings!$S$9,"Warm","Cold")))))</f>
        <v/>
      </c>
      <c r="P97" s="44" t="str">
        <f aca="false">IF(OR(D97="",A97=""),"",IF(AND(COUNTIFS(Scoresheet!$C$2:$C$501,A97,Scoresheet!$U$2:$U$501,1,Scoresheet!$H$2:$H$501,"No")&gt;0,COUNTIFS(Scoresheet!$C$2:$C$501,A97,Scoresheet!$U$2:$U$501,1,Scoresheet!$J$2:$J$501,"No")&gt;0),"🚩 Budget  ·  🚩 No one on camera",IF(COUNTIFS(Scoresheet!$C$2:$C$501,A97,Scoresheet!$U$2:$U$501,1,Scoresheet!$H$2:$H$501,"No")&gt;0,"🚩 Budget under AED 5k",IF(COUNTIFS(Scoresheet!$C$2:$C$501,A97,Scoresheet!$U$2:$U$501,1,Scoresheet!$J$2:$J$501,"No")&gt;0,"🚩 No one on camera",""))))</f>
        <v/>
      </c>
      <c r="Q97" s="17"/>
      <c r="R97" s="17"/>
      <c r="S97" s="40"/>
      <c r="T97" s="17"/>
      <c r="U97" s="45" t="str">
        <f aca="false">IF(OR(D97="",S97="",OR(R97="Contract signed + paid",R97="Closed – No response",R97="Lost"),N(T97)&gt;=Settings!$S$3),"",S97+Settings!$S$2)</f>
        <v/>
      </c>
      <c r="V97" s="40"/>
      <c r="W97" s="41"/>
      <c r="X97" s="17"/>
      <c r="Y97" s="17"/>
      <c r="Z97" s="17"/>
      <c r="AA97" s="46" t="str">
        <f aca="true">IF(OR(D97="",B97=""),"",INT(TODAY()-B97))</f>
        <v/>
      </c>
      <c r="AB97" s="44" t="str">
        <f aca="true">IF(D97="","",IF(OR(COUNTIFS(Clients!$C$2:$C$501,D97,Clients!$S$2:$S$501,"Paid")&gt;0,AND(H97&lt;&gt;"",COUNTIFS(Clients!$E$2:$E$501,H97,Clients!$S$2:$S$501,"Paid")&gt;0)),"⚠ Refunded before – no free video",IF(OR(R97="Contract signed + paid",R97="Closed – No response",R97="Lost"),"",IF(R97="","Set a stage",IF(AND(R97="Proposal sent",SUMIFS(Scoresheet!$N$2:$N$501,Scoresheet!$C$2:$C$501,A97,Scoresheet!$U$2:$U$501,1)&lt;6),"Score this lead – fill the call scoresheet",IF(N(T97)&gt;=Settings!$S$3,"Close – 4 follow-ups sent",IF(U97="",IF(S97="","Make first contact",""),IF(TODAY()&gt;U97,"OVERDUE follow-up",IF(TODAY()=U97,"Follow up today","")))))))))</f>
        <v/>
      </c>
    </row>
    <row r="98" customFormat="false" ht="15" hidden="false" customHeight="false" outlineLevel="0" collapsed="false">
      <c r="A98" s="17"/>
      <c r="B98" s="40"/>
      <c r="C98" s="17"/>
      <c r="D98" s="17"/>
      <c r="E98" s="17"/>
      <c r="F98" s="17"/>
      <c r="G98" s="17"/>
      <c r="H98" s="42"/>
      <c r="I98" s="17"/>
      <c r="J98" s="17"/>
      <c r="K98" s="17"/>
      <c r="L98" s="17"/>
      <c r="M98" s="17"/>
      <c r="N98" s="44" t="str">
        <f aca="false">IF(OR(D98="",A98="",COUNTIFS(Scoresheet!$C$2:$C$501,A98,Scoresheet!$U$2:$U$501,1)=0),"",SUMIFS(Scoresheet!$O$2:$O$501,Scoresheet!$C$2:$C$501,A98,Scoresheet!$U$2:$U$501,1))</f>
        <v/>
      </c>
      <c r="O98" s="44" t="str">
        <f aca="false">IF(D98="","",IF(OR(A98="",COUNTIFS(Scoresheet!$C$2:$C$501,A98,Scoresheet!$U$2:$U$501,1)=0),"No scoresheet yet",IF(SUMIFS(Scoresheet!$N$2:$N$501,Scoresheet!$C$2:$C$501,A98,Scoresheet!$U$2:$U$501,1)&lt;6,"Partly scored ("&amp;SUMIFS(Scoresheet!$N$2:$N$501,Scoresheet!$C$2:$C$501,A98,Scoresheet!$U$2:$U$501,1)&amp;"/6)",IF(N98&gt;=Settings!$S$8,"Hot",IF(N98&gt;=Settings!$S$9,"Warm","Cold")))))</f>
        <v/>
      </c>
      <c r="P98" s="44" t="str">
        <f aca="false">IF(OR(D98="",A98=""),"",IF(AND(COUNTIFS(Scoresheet!$C$2:$C$501,A98,Scoresheet!$U$2:$U$501,1,Scoresheet!$H$2:$H$501,"No")&gt;0,COUNTIFS(Scoresheet!$C$2:$C$501,A98,Scoresheet!$U$2:$U$501,1,Scoresheet!$J$2:$J$501,"No")&gt;0),"🚩 Budget  ·  🚩 No one on camera",IF(COUNTIFS(Scoresheet!$C$2:$C$501,A98,Scoresheet!$U$2:$U$501,1,Scoresheet!$H$2:$H$501,"No")&gt;0,"🚩 Budget under AED 5k",IF(COUNTIFS(Scoresheet!$C$2:$C$501,A98,Scoresheet!$U$2:$U$501,1,Scoresheet!$J$2:$J$501,"No")&gt;0,"🚩 No one on camera",""))))</f>
        <v/>
      </c>
      <c r="Q98" s="17"/>
      <c r="R98" s="17"/>
      <c r="S98" s="40"/>
      <c r="T98" s="17"/>
      <c r="U98" s="45" t="str">
        <f aca="false">IF(OR(D98="",S98="",OR(R98="Contract signed + paid",R98="Closed – No response",R98="Lost"),N(T98)&gt;=Settings!$S$3),"",S98+Settings!$S$2)</f>
        <v/>
      </c>
      <c r="V98" s="40"/>
      <c r="W98" s="41"/>
      <c r="X98" s="17"/>
      <c r="Y98" s="17"/>
      <c r="Z98" s="17"/>
      <c r="AA98" s="46" t="str">
        <f aca="true">IF(OR(D98="",B98=""),"",INT(TODAY()-B98))</f>
        <v/>
      </c>
      <c r="AB98" s="44" t="str">
        <f aca="true">IF(D98="","",IF(OR(COUNTIFS(Clients!$C$2:$C$501,D98,Clients!$S$2:$S$501,"Paid")&gt;0,AND(H98&lt;&gt;"",COUNTIFS(Clients!$E$2:$E$501,H98,Clients!$S$2:$S$501,"Paid")&gt;0)),"⚠ Refunded before – no free video",IF(OR(R98="Contract signed + paid",R98="Closed – No response",R98="Lost"),"",IF(R98="","Set a stage",IF(AND(R98="Proposal sent",SUMIFS(Scoresheet!$N$2:$N$501,Scoresheet!$C$2:$C$501,A98,Scoresheet!$U$2:$U$501,1)&lt;6),"Score this lead – fill the call scoresheet",IF(N(T98)&gt;=Settings!$S$3,"Close – 4 follow-ups sent",IF(U98="",IF(S98="","Make first contact",""),IF(TODAY()&gt;U98,"OVERDUE follow-up",IF(TODAY()=U98,"Follow up today","")))))))))</f>
        <v/>
      </c>
    </row>
    <row r="99" customFormat="false" ht="15" hidden="false" customHeight="false" outlineLevel="0" collapsed="false">
      <c r="A99" s="17"/>
      <c r="B99" s="40"/>
      <c r="C99" s="17"/>
      <c r="D99" s="17"/>
      <c r="E99" s="17"/>
      <c r="F99" s="17"/>
      <c r="G99" s="17"/>
      <c r="H99" s="42"/>
      <c r="I99" s="17"/>
      <c r="J99" s="17"/>
      <c r="K99" s="17"/>
      <c r="L99" s="17"/>
      <c r="M99" s="17"/>
      <c r="N99" s="44" t="str">
        <f aca="false">IF(OR(D99="",A99="",COUNTIFS(Scoresheet!$C$2:$C$501,A99,Scoresheet!$U$2:$U$501,1)=0),"",SUMIFS(Scoresheet!$O$2:$O$501,Scoresheet!$C$2:$C$501,A99,Scoresheet!$U$2:$U$501,1))</f>
        <v/>
      </c>
      <c r="O99" s="44" t="str">
        <f aca="false">IF(D99="","",IF(OR(A99="",COUNTIFS(Scoresheet!$C$2:$C$501,A99,Scoresheet!$U$2:$U$501,1)=0),"No scoresheet yet",IF(SUMIFS(Scoresheet!$N$2:$N$501,Scoresheet!$C$2:$C$501,A99,Scoresheet!$U$2:$U$501,1)&lt;6,"Partly scored ("&amp;SUMIFS(Scoresheet!$N$2:$N$501,Scoresheet!$C$2:$C$501,A99,Scoresheet!$U$2:$U$501,1)&amp;"/6)",IF(N99&gt;=Settings!$S$8,"Hot",IF(N99&gt;=Settings!$S$9,"Warm","Cold")))))</f>
        <v/>
      </c>
      <c r="P99" s="44" t="str">
        <f aca="false">IF(OR(D99="",A99=""),"",IF(AND(COUNTIFS(Scoresheet!$C$2:$C$501,A99,Scoresheet!$U$2:$U$501,1,Scoresheet!$H$2:$H$501,"No")&gt;0,COUNTIFS(Scoresheet!$C$2:$C$501,A99,Scoresheet!$U$2:$U$501,1,Scoresheet!$J$2:$J$501,"No")&gt;0),"🚩 Budget  ·  🚩 No one on camera",IF(COUNTIFS(Scoresheet!$C$2:$C$501,A99,Scoresheet!$U$2:$U$501,1,Scoresheet!$H$2:$H$501,"No")&gt;0,"🚩 Budget under AED 5k",IF(COUNTIFS(Scoresheet!$C$2:$C$501,A99,Scoresheet!$U$2:$U$501,1,Scoresheet!$J$2:$J$501,"No")&gt;0,"🚩 No one on camera",""))))</f>
        <v/>
      </c>
      <c r="Q99" s="17"/>
      <c r="R99" s="17"/>
      <c r="S99" s="40"/>
      <c r="T99" s="17"/>
      <c r="U99" s="45" t="str">
        <f aca="false">IF(OR(D99="",S99="",OR(R99="Contract signed + paid",R99="Closed – No response",R99="Lost"),N(T99)&gt;=Settings!$S$3),"",S99+Settings!$S$2)</f>
        <v/>
      </c>
      <c r="V99" s="40"/>
      <c r="W99" s="41"/>
      <c r="X99" s="17"/>
      <c r="Y99" s="17"/>
      <c r="Z99" s="17"/>
      <c r="AA99" s="46" t="str">
        <f aca="true">IF(OR(D99="",B99=""),"",INT(TODAY()-B99))</f>
        <v/>
      </c>
      <c r="AB99" s="44" t="str">
        <f aca="true">IF(D99="","",IF(OR(COUNTIFS(Clients!$C$2:$C$501,D99,Clients!$S$2:$S$501,"Paid")&gt;0,AND(H99&lt;&gt;"",COUNTIFS(Clients!$E$2:$E$501,H99,Clients!$S$2:$S$501,"Paid")&gt;0)),"⚠ Refunded before – no free video",IF(OR(R99="Contract signed + paid",R99="Closed – No response",R99="Lost"),"",IF(R99="","Set a stage",IF(AND(R99="Proposal sent",SUMIFS(Scoresheet!$N$2:$N$501,Scoresheet!$C$2:$C$501,A99,Scoresheet!$U$2:$U$501,1)&lt;6),"Score this lead – fill the call scoresheet",IF(N(T99)&gt;=Settings!$S$3,"Close – 4 follow-ups sent",IF(U99="",IF(S99="","Make first contact",""),IF(TODAY()&gt;U99,"OVERDUE follow-up",IF(TODAY()=U99,"Follow up today","")))))))))</f>
        <v/>
      </c>
    </row>
    <row r="100" customFormat="false" ht="15" hidden="false" customHeight="false" outlineLevel="0" collapsed="false">
      <c r="A100" s="17"/>
      <c r="B100" s="40"/>
      <c r="C100" s="17"/>
      <c r="D100" s="17"/>
      <c r="E100" s="17"/>
      <c r="F100" s="17"/>
      <c r="G100" s="17"/>
      <c r="H100" s="42"/>
      <c r="I100" s="17"/>
      <c r="J100" s="17"/>
      <c r="K100" s="17"/>
      <c r="L100" s="17"/>
      <c r="M100" s="17"/>
      <c r="N100" s="44" t="str">
        <f aca="false">IF(OR(D100="",A100="",COUNTIFS(Scoresheet!$C$2:$C$501,A100,Scoresheet!$U$2:$U$501,1)=0),"",SUMIFS(Scoresheet!$O$2:$O$501,Scoresheet!$C$2:$C$501,A100,Scoresheet!$U$2:$U$501,1))</f>
        <v/>
      </c>
      <c r="O100" s="44" t="str">
        <f aca="false">IF(D100="","",IF(OR(A100="",COUNTIFS(Scoresheet!$C$2:$C$501,A100,Scoresheet!$U$2:$U$501,1)=0),"No scoresheet yet",IF(SUMIFS(Scoresheet!$N$2:$N$501,Scoresheet!$C$2:$C$501,A100,Scoresheet!$U$2:$U$501,1)&lt;6,"Partly scored ("&amp;SUMIFS(Scoresheet!$N$2:$N$501,Scoresheet!$C$2:$C$501,A100,Scoresheet!$U$2:$U$501,1)&amp;"/6)",IF(N100&gt;=Settings!$S$8,"Hot",IF(N100&gt;=Settings!$S$9,"Warm","Cold")))))</f>
        <v/>
      </c>
      <c r="P100" s="44" t="str">
        <f aca="false">IF(OR(D100="",A100=""),"",IF(AND(COUNTIFS(Scoresheet!$C$2:$C$501,A100,Scoresheet!$U$2:$U$501,1,Scoresheet!$H$2:$H$501,"No")&gt;0,COUNTIFS(Scoresheet!$C$2:$C$501,A100,Scoresheet!$U$2:$U$501,1,Scoresheet!$J$2:$J$501,"No")&gt;0),"🚩 Budget  ·  🚩 No one on camera",IF(COUNTIFS(Scoresheet!$C$2:$C$501,A100,Scoresheet!$U$2:$U$501,1,Scoresheet!$H$2:$H$501,"No")&gt;0,"🚩 Budget under AED 5k",IF(COUNTIFS(Scoresheet!$C$2:$C$501,A100,Scoresheet!$U$2:$U$501,1,Scoresheet!$J$2:$J$501,"No")&gt;0,"🚩 No one on camera",""))))</f>
        <v/>
      </c>
      <c r="Q100" s="17"/>
      <c r="R100" s="17"/>
      <c r="S100" s="40"/>
      <c r="T100" s="17"/>
      <c r="U100" s="45" t="str">
        <f aca="false">IF(OR(D100="",S100="",OR(R100="Contract signed + paid",R100="Closed – No response",R100="Lost"),N(T100)&gt;=Settings!$S$3),"",S100+Settings!$S$2)</f>
        <v/>
      </c>
      <c r="V100" s="40"/>
      <c r="W100" s="41"/>
      <c r="X100" s="17"/>
      <c r="Y100" s="17"/>
      <c r="Z100" s="17"/>
      <c r="AA100" s="46" t="str">
        <f aca="true">IF(OR(D100="",B100=""),"",INT(TODAY()-B100))</f>
        <v/>
      </c>
      <c r="AB100" s="44" t="str">
        <f aca="true">IF(D100="","",IF(OR(COUNTIFS(Clients!$C$2:$C$501,D100,Clients!$S$2:$S$501,"Paid")&gt;0,AND(H100&lt;&gt;"",COUNTIFS(Clients!$E$2:$E$501,H100,Clients!$S$2:$S$501,"Paid")&gt;0)),"⚠ Refunded before – no free video",IF(OR(R100="Contract signed + paid",R100="Closed – No response",R100="Lost"),"",IF(R100="","Set a stage",IF(AND(R100="Proposal sent",SUMIFS(Scoresheet!$N$2:$N$501,Scoresheet!$C$2:$C$501,A100,Scoresheet!$U$2:$U$501,1)&lt;6),"Score this lead – fill the call scoresheet",IF(N(T100)&gt;=Settings!$S$3,"Close – 4 follow-ups sent",IF(U100="",IF(S100="","Make first contact",""),IF(TODAY()&gt;U100,"OVERDUE follow-up",IF(TODAY()=U100,"Follow up today","")))))))))</f>
        <v/>
      </c>
    </row>
    <row r="101" customFormat="false" ht="15" hidden="false" customHeight="false" outlineLevel="0" collapsed="false">
      <c r="A101" s="17"/>
      <c r="B101" s="40"/>
      <c r="C101" s="17"/>
      <c r="D101" s="17"/>
      <c r="E101" s="17"/>
      <c r="F101" s="17"/>
      <c r="G101" s="17"/>
      <c r="H101" s="42"/>
      <c r="I101" s="17"/>
      <c r="J101" s="17"/>
      <c r="K101" s="17"/>
      <c r="L101" s="17"/>
      <c r="M101" s="17"/>
      <c r="N101" s="44" t="str">
        <f aca="false">IF(OR(D101="",A101="",COUNTIFS(Scoresheet!$C$2:$C$501,A101,Scoresheet!$U$2:$U$501,1)=0),"",SUMIFS(Scoresheet!$O$2:$O$501,Scoresheet!$C$2:$C$501,A101,Scoresheet!$U$2:$U$501,1))</f>
        <v/>
      </c>
      <c r="O101" s="44" t="str">
        <f aca="false">IF(D101="","",IF(OR(A101="",COUNTIFS(Scoresheet!$C$2:$C$501,A101,Scoresheet!$U$2:$U$501,1)=0),"No scoresheet yet",IF(SUMIFS(Scoresheet!$N$2:$N$501,Scoresheet!$C$2:$C$501,A101,Scoresheet!$U$2:$U$501,1)&lt;6,"Partly scored ("&amp;SUMIFS(Scoresheet!$N$2:$N$501,Scoresheet!$C$2:$C$501,A101,Scoresheet!$U$2:$U$501,1)&amp;"/6)",IF(N101&gt;=Settings!$S$8,"Hot",IF(N101&gt;=Settings!$S$9,"Warm","Cold")))))</f>
        <v/>
      </c>
      <c r="P101" s="44" t="str">
        <f aca="false">IF(OR(D101="",A101=""),"",IF(AND(COUNTIFS(Scoresheet!$C$2:$C$501,A101,Scoresheet!$U$2:$U$501,1,Scoresheet!$H$2:$H$501,"No")&gt;0,COUNTIFS(Scoresheet!$C$2:$C$501,A101,Scoresheet!$U$2:$U$501,1,Scoresheet!$J$2:$J$501,"No")&gt;0),"🚩 Budget  ·  🚩 No one on camera",IF(COUNTIFS(Scoresheet!$C$2:$C$501,A101,Scoresheet!$U$2:$U$501,1,Scoresheet!$H$2:$H$501,"No")&gt;0,"🚩 Budget under AED 5k",IF(COUNTIFS(Scoresheet!$C$2:$C$501,A101,Scoresheet!$U$2:$U$501,1,Scoresheet!$J$2:$J$501,"No")&gt;0,"🚩 No one on camera",""))))</f>
        <v/>
      </c>
      <c r="Q101" s="17"/>
      <c r="R101" s="17"/>
      <c r="S101" s="40"/>
      <c r="T101" s="17"/>
      <c r="U101" s="45" t="str">
        <f aca="false">IF(OR(D101="",S101="",OR(R101="Contract signed + paid",R101="Closed – No response",R101="Lost"),N(T101)&gt;=Settings!$S$3),"",S101+Settings!$S$2)</f>
        <v/>
      </c>
      <c r="V101" s="40"/>
      <c r="W101" s="41"/>
      <c r="X101" s="17"/>
      <c r="Y101" s="17"/>
      <c r="Z101" s="17"/>
      <c r="AA101" s="46" t="str">
        <f aca="true">IF(OR(D101="",B101=""),"",INT(TODAY()-B101))</f>
        <v/>
      </c>
      <c r="AB101" s="44" t="str">
        <f aca="true">IF(D101="","",IF(OR(COUNTIFS(Clients!$C$2:$C$501,D101,Clients!$S$2:$S$501,"Paid")&gt;0,AND(H101&lt;&gt;"",COUNTIFS(Clients!$E$2:$E$501,H101,Clients!$S$2:$S$501,"Paid")&gt;0)),"⚠ Refunded before – no free video",IF(OR(R101="Contract signed + paid",R101="Closed – No response",R101="Lost"),"",IF(R101="","Set a stage",IF(AND(R101="Proposal sent",SUMIFS(Scoresheet!$N$2:$N$501,Scoresheet!$C$2:$C$501,A101,Scoresheet!$U$2:$U$501,1)&lt;6),"Score this lead – fill the call scoresheet",IF(N(T101)&gt;=Settings!$S$3,"Close – 4 follow-ups sent",IF(U101="",IF(S101="","Make first contact",""),IF(TODAY()&gt;U101,"OVERDUE follow-up",IF(TODAY()=U101,"Follow up today","")))))))))</f>
        <v/>
      </c>
    </row>
    <row r="102" customFormat="false" ht="15" hidden="false" customHeight="false" outlineLevel="0" collapsed="false">
      <c r="A102" s="17"/>
      <c r="B102" s="40"/>
      <c r="C102" s="17"/>
      <c r="D102" s="17"/>
      <c r="E102" s="17"/>
      <c r="F102" s="17"/>
      <c r="G102" s="17"/>
      <c r="H102" s="42"/>
      <c r="I102" s="17"/>
      <c r="J102" s="17"/>
      <c r="K102" s="17"/>
      <c r="L102" s="17"/>
      <c r="M102" s="17"/>
      <c r="N102" s="44" t="str">
        <f aca="false">IF(OR(D102="",A102="",COUNTIFS(Scoresheet!$C$2:$C$501,A102,Scoresheet!$U$2:$U$501,1)=0),"",SUMIFS(Scoresheet!$O$2:$O$501,Scoresheet!$C$2:$C$501,A102,Scoresheet!$U$2:$U$501,1))</f>
        <v/>
      </c>
      <c r="O102" s="44" t="str">
        <f aca="false">IF(D102="","",IF(OR(A102="",COUNTIFS(Scoresheet!$C$2:$C$501,A102,Scoresheet!$U$2:$U$501,1)=0),"No scoresheet yet",IF(SUMIFS(Scoresheet!$N$2:$N$501,Scoresheet!$C$2:$C$501,A102,Scoresheet!$U$2:$U$501,1)&lt;6,"Partly scored ("&amp;SUMIFS(Scoresheet!$N$2:$N$501,Scoresheet!$C$2:$C$501,A102,Scoresheet!$U$2:$U$501,1)&amp;"/6)",IF(N102&gt;=Settings!$S$8,"Hot",IF(N102&gt;=Settings!$S$9,"Warm","Cold")))))</f>
        <v/>
      </c>
      <c r="P102" s="44" t="str">
        <f aca="false">IF(OR(D102="",A102=""),"",IF(AND(COUNTIFS(Scoresheet!$C$2:$C$501,A102,Scoresheet!$U$2:$U$501,1,Scoresheet!$H$2:$H$501,"No")&gt;0,COUNTIFS(Scoresheet!$C$2:$C$501,A102,Scoresheet!$U$2:$U$501,1,Scoresheet!$J$2:$J$501,"No")&gt;0),"🚩 Budget  ·  🚩 No one on camera",IF(COUNTIFS(Scoresheet!$C$2:$C$501,A102,Scoresheet!$U$2:$U$501,1,Scoresheet!$H$2:$H$501,"No")&gt;0,"🚩 Budget under AED 5k",IF(COUNTIFS(Scoresheet!$C$2:$C$501,A102,Scoresheet!$U$2:$U$501,1,Scoresheet!$J$2:$J$501,"No")&gt;0,"🚩 No one on camera",""))))</f>
        <v/>
      </c>
      <c r="Q102" s="17"/>
      <c r="R102" s="17"/>
      <c r="S102" s="40"/>
      <c r="T102" s="17"/>
      <c r="U102" s="45" t="str">
        <f aca="false">IF(OR(D102="",S102="",OR(R102="Contract signed + paid",R102="Closed – No response",R102="Lost"),N(T102)&gt;=Settings!$S$3),"",S102+Settings!$S$2)</f>
        <v/>
      </c>
      <c r="V102" s="40"/>
      <c r="W102" s="41"/>
      <c r="X102" s="17"/>
      <c r="Y102" s="17"/>
      <c r="Z102" s="17"/>
      <c r="AA102" s="46" t="str">
        <f aca="true">IF(OR(D102="",B102=""),"",INT(TODAY()-B102))</f>
        <v/>
      </c>
      <c r="AB102" s="44" t="str">
        <f aca="true">IF(D102="","",IF(OR(COUNTIFS(Clients!$C$2:$C$501,D102,Clients!$S$2:$S$501,"Paid")&gt;0,AND(H102&lt;&gt;"",COUNTIFS(Clients!$E$2:$E$501,H102,Clients!$S$2:$S$501,"Paid")&gt;0)),"⚠ Refunded before – no free video",IF(OR(R102="Contract signed + paid",R102="Closed – No response",R102="Lost"),"",IF(R102="","Set a stage",IF(AND(R102="Proposal sent",SUMIFS(Scoresheet!$N$2:$N$501,Scoresheet!$C$2:$C$501,A102,Scoresheet!$U$2:$U$501,1)&lt;6),"Score this lead – fill the call scoresheet",IF(N(T102)&gt;=Settings!$S$3,"Close – 4 follow-ups sent",IF(U102="",IF(S102="","Make first contact",""),IF(TODAY()&gt;U102,"OVERDUE follow-up",IF(TODAY()=U102,"Follow up today","")))))))))</f>
        <v/>
      </c>
    </row>
    <row r="103" customFormat="false" ht="15" hidden="false" customHeight="false" outlineLevel="0" collapsed="false">
      <c r="A103" s="17"/>
      <c r="B103" s="40"/>
      <c r="C103" s="17"/>
      <c r="D103" s="17"/>
      <c r="E103" s="17"/>
      <c r="F103" s="17"/>
      <c r="G103" s="17"/>
      <c r="H103" s="42"/>
      <c r="I103" s="17"/>
      <c r="J103" s="17"/>
      <c r="K103" s="17"/>
      <c r="L103" s="17"/>
      <c r="M103" s="17"/>
      <c r="N103" s="44" t="str">
        <f aca="false">IF(OR(D103="",A103="",COUNTIFS(Scoresheet!$C$2:$C$501,A103,Scoresheet!$U$2:$U$501,1)=0),"",SUMIFS(Scoresheet!$O$2:$O$501,Scoresheet!$C$2:$C$501,A103,Scoresheet!$U$2:$U$501,1))</f>
        <v/>
      </c>
      <c r="O103" s="44" t="str">
        <f aca="false">IF(D103="","",IF(OR(A103="",COUNTIFS(Scoresheet!$C$2:$C$501,A103,Scoresheet!$U$2:$U$501,1)=0),"No scoresheet yet",IF(SUMIFS(Scoresheet!$N$2:$N$501,Scoresheet!$C$2:$C$501,A103,Scoresheet!$U$2:$U$501,1)&lt;6,"Partly scored ("&amp;SUMIFS(Scoresheet!$N$2:$N$501,Scoresheet!$C$2:$C$501,A103,Scoresheet!$U$2:$U$501,1)&amp;"/6)",IF(N103&gt;=Settings!$S$8,"Hot",IF(N103&gt;=Settings!$S$9,"Warm","Cold")))))</f>
        <v/>
      </c>
      <c r="P103" s="44" t="str">
        <f aca="false">IF(OR(D103="",A103=""),"",IF(AND(COUNTIFS(Scoresheet!$C$2:$C$501,A103,Scoresheet!$U$2:$U$501,1,Scoresheet!$H$2:$H$501,"No")&gt;0,COUNTIFS(Scoresheet!$C$2:$C$501,A103,Scoresheet!$U$2:$U$501,1,Scoresheet!$J$2:$J$501,"No")&gt;0),"🚩 Budget  ·  🚩 No one on camera",IF(COUNTIFS(Scoresheet!$C$2:$C$501,A103,Scoresheet!$U$2:$U$501,1,Scoresheet!$H$2:$H$501,"No")&gt;0,"🚩 Budget under AED 5k",IF(COUNTIFS(Scoresheet!$C$2:$C$501,A103,Scoresheet!$U$2:$U$501,1,Scoresheet!$J$2:$J$501,"No")&gt;0,"🚩 No one on camera",""))))</f>
        <v/>
      </c>
      <c r="Q103" s="17"/>
      <c r="R103" s="17"/>
      <c r="S103" s="40"/>
      <c r="T103" s="17"/>
      <c r="U103" s="45" t="str">
        <f aca="false">IF(OR(D103="",S103="",OR(R103="Contract signed + paid",R103="Closed – No response",R103="Lost"),N(T103)&gt;=Settings!$S$3),"",S103+Settings!$S$2)</f>
        <v/>
      </c>
      <c r="V103" s="40"/>
      <c r="W103" s="41"/>
      <c r="X103" s="17"/>
      <c r="Y103" s="17"/>
      <c r="Z103" s="17"/>
      <c r="AA103" s="46" t="str">
        <f aca="true">IF(OR(D103="",B103=""),"",INT(TODAY()-B103))</f>
        <v/>
      </c>
      <c r="AB103" s="44" t="str">
        <f aca="true">IF(D103="","",IF(OR(COUNTIFS(Clients!$C$2:$C$501,D103,Clients!$S$2:$S$501,"Paid")&gt;0,AND(H103&lt;&gt;"",COUNTIFS(Clients!$E$2:$E$501,H103,Clients!$S$2:$S$501,"Paid")&gt;0)),"⚠ Refunded before – no free video",IF(OR(R103="Contract signed + paid",R103="Closed – No response",R103="Lost"),"",IF(R103="","Set a stage",IF(AND(R103="Proposal sent",SUMIFS(Scoresheet!$N$2:$N$501,Scoresheet!$C$2:$C$501,A103,Scoresheet!$U$2:$U$501,1)&lt;6),"Score this lead – fill the call scoresheet",IF(N(T103)&gt;=Settings!$S$3,"Close – 4 follow-ups sent",IF(U103="",IF(S103="","Make first contact",""),IF(TODAY()&gt;U103,"OVERDUE follow-up",IF(TODAY()=U103,"Follow up today","")))))))))</f>
        <v/>
      </c>
    </row>
    <row r="104" customFormat="false" ht="15" hidden="false" customHeight="false" outlineLevel="0" collapsed="false">
      <c r="A104" s="17"/>
      <c r="B104" s="40"/>
      <c r="C104" s="17"/>
      <c r="D104" s="17"/>
      <c r="E104" s="17"/>
      <c r="F104" s="17"/>
      <c r="G104" s="17"/>
      <c r="H104" s="42"/>
      <c r="I104" s="17"/>
      <c r="J104" s="17"/>
      <c r="K104" s="17"/>
      <c r="L104" s="17"/>
      <c r="M104" s="17"/>
      <c r="N104" s="44" t="str">
        <f aca="false">IF(OR(D104="",A104="",COUNTIFS(Scoresheet!$C$2:$C$501,A104,Scoresheet!$U$2:$U$501,1)=0),"",SUMIFS(Scoresheet!$O$2:$O$501,Scoresheet!$C$2:$C$501,A104,Scoresheet!$U$2:$U$501,1))</f>
        <v/>
      </c>
      <c r="O104" s="44" t="str">
        <f aca="false">IF(D104="","",IF(OR(A104="",COUNTIFS(Scoresheet!$C$2:$C$501,A104,Scoresheet!$U$2:$U$501,1)=0),"No scoresheet yet",IF(SUMIFS(Scoresheet!$N$2:$N$501,Scoresheet!$C$2:$C$501,A104,Scoresheet!$U$2:$U$501,1)&lt;6,"Partly scored ("&amp;SUMIFS(Scoresheet!$N$2:$N$501,Scoresheet!$C$2:$C$501,A104,Scoresheet!$U$2:$U$501,1)&amp;"/6)",IF(N104&gt;=Settings!$S$8,"Hot",IF(N104&gt;=Settings!$S$9,"Warm","Cold")))))</f>
        <v/>
      </c>
      <c r="P104" s="44" t="str">
        <f aca="false">IF(OR(D104="",A104=""),"",IF(AND(COUNTIFS(Scoresheet!$C$2:$C$501,A104,Scoresheet!$U$2:$U$501,1,Scoresheet!$H$2:$H$501,"No")&gt;0,COUNTIFS(Scoresheet!$C$2:$C$501,A104,Scoresheet!$U$2:$U$501,1,Scoresheet!$J$2:$J$501,"No")&gt;0),"🚩 Budget  ·  🚩 No one on camera",IF(COUNTIFS(Scoresheet!$C$2:$C$501,A104,Scoresheet!$U$2:$U$501,1,Scoresheet!$H$2:$H$501,"No")&gt;0,"🚩 Budget under AED 5k",IF(COUNTIFS(Scoresheet!$C$2:$C$501,A104,Scoresheet!$U$2:$U$501,1,Scoresheet!$J$2:$J$501,"No")&gt;0,"🚩 No one on camera",""))))</f>
        <v/>
      </c>
      <c r="Q104" s="17"/>
      <c r="R104" s="17"/>
      <c r="S104" s="40"/>
      <c r="T104" s="17"/>
      <c r="U104" s="45" t="str">
        <f aca="false">IF(OR(D104="",S104="",OR(R104="Contract signed + paid",R104="Closed – No response",R104="Lost"),N(T104)&gt;=Settings!$S$3),"",S104+Settings!$S$2)</f>
        <v/>
      </c>
      <c r="V104" s="40"/>
      <c r="W104" s="41"/>
      <c r="X104" s="17"/>
      <c r="Y104" s="17"/>
      <c r="Z104" s="17"/>
      <c r="AA104" s="46" t="str">
        <f aca="true">IF(OR(D104="",B104=""),"",INT(TODAY()-B104))</f>
        <v/>
      </c>
      <c r="AB104" s="44" t="str">
        <f aca="true">IF(D104="","",IF(OR(COUNTIFS(Clients!$C$2:$C$501,D104,Clients!$S$2:$S$501,"Paid")&gt;0,AND(H104&lt;&gt;"",COUNTIFS(Clients!$E$2:$E$501,H104,Clients!$S$2:$S$501,"Paid")&gt;0)),"⚠ Refunded before – no free video",IF(OR(R104="Contract signed + paid",R104="Closed – No response",R104="Lost"),"",IF(R104="","Set a stage",IF(AND(R104="Proposal sent",SUMIFS(Scoresheet!$N$2:$N$501,Scoresheet!$C$2:$C$501,A104,Scoresheet!$U$2:$U$501,1)&lt;6),"Score this lead – fill the call scoresheet",IF(N(T104)&gt;=Settings!$S$3,"Close – 4 follow-ups sent",IF(U104="",IF(S104="","Make first contact",""),IF(TODAY()&gt;U104,"OVERDUE follow-up",IF(TODAY()=U104,"Follow up today","")))))))))</f>
        <v/>
      </c>
    </row>
    <row r="105" customFormat="false" ht="15" hidden="false" customHeight="false" outlineLevel="0" collapsed="false">
      <c r="A105" s="17"/>
      <c r="B105" s="40"/>
      <c r="C105" s="17"/>
      <c r="D105" s="17"/>
      <c r="E105" s="17"/>
      <c r="F105" s="17"/>
      <c r="G105" s="17"/>
      <c r="H105" s="42"/>
      <c r="I105" s="17"/>
      <c r="J105" s="17"/>
      <c r="K105" s="17"/>
      <c r="L105" s="17"/>
      <c r="M105" s="17"/>
      <c r="N105" s="44" t="str">
        <f aca="false">IF(OR(D105="",A105="",COUNTIFS(Scoresheet!$C$2:$C$501,A105,Scoresheet!$U$2:$U$501,1)=0),"",SUMIFS(Scoresheet!$O$2:$O$501,Scoresheet!$C$2:$C$501,A105,Scoresheet!$U$2:$U$501,1))</f>
        <v/>
      </c>
      <c r="O105" s="44" t="str">
        <f aca="false">IF(D105="","",IF(OR(A105="",COUNTIFS(Scoresheet!$C$2:$C$501,A105,Scoresheet!$U$2:$U$501,1)=0),"No scoresheet yet",IF(SUMIFS(Scoresheet!$N$2:$N$501,Scoresheet!$C$2:$C$501,A105,Scoresheet!$U$2:$U$501,1)&lt;6,"Partly scored ("&amp;SUMIFS(Scoresheet!$N$2:$N$501,Scoresheet!$C$2:$C$501,A105,Scoresheet!$U$2:$U$501,1)&amp;"/6)",IF(N105&gt;=Settings!$S$8,"Hot",IF(N105&gt;=Settings!$S$9,"Warm","Cold")))))</f>
        <v/>
      </c>
      <c r="P105" s="44" t="str">
        <f aca="false">IF(OR(D105="",A105=""),"",IF(AND(COUNTIFS(Scoresheet!$C$2:$C$501,A105,Scoresheet!$U$2:$U$501,1,Scoresheet!$H$2:$H$501,"No")&gt;0,COUNTIFS(Scoresheet!$C$2:$C$501,A105,Scoresheet!$U$2:$U$501,1,Scoresheet!$J$2:$J$501,"No")&gt;0),"🚩 Budget  ·  🚩 No one on camera",IF(COUNTIFS(Scoresheet!$C$2:$C$501,A105,Scoresheet!$U$2:$U$501,1,Scoresheet!$H$2:$H$501,"No")&gt;0,"🚩 Budget under AED 5k",IF(COUNTIFS(Scoresheet!$C$2:$C$501,A105,Scoresheet!$U$2:$U$501,1,Scoresheet!$J$2:$J$501,"No")&gt;0,"🚩 No one on camera",""))))</f>
        <v/>
      </c>
      <c r="Q105" s="17"/>
      <c r="R105" s="17"/>
      <c r="S105" s="40"/>
      <c r="T105" s="17"/>
      <c r="U105" s="45" t="str">
        <f aca="false">IF(OR(D105="",S105="",OR(R105="Contract signed + paid",R105="Closed – No response",R105="Lost"),N(T105)&gt;=Settings!$S$3),"",S105+Settings!$S$2)</f>
        <v/>
      </c>
      <c r="V105" s="40"/>
      <c r="W105" s="41"/>
      <c r="X105" s="17"/>
      <c r="Y105" s="17"/>
      <c r="Z105" s="17"/>
      <c r="AA105" s="46" t="str">
        <f aca="true">IF(OR(D105="",B105=""),"",INT(TODAY()-B105))</f>
        <v/>
      </c>
      <c r="AB105" s="44" t="str">
        <f aca="true">IF(D105="","",IF(OR(COUNTIFS(Clients!$C$2:$C$501,D105,Clients!$S$2:$S$501,"Paid")&gt;0,AND(H105&lt;&gt;"",COUNTIFS(Clients!$E$2:$E$501,H105,Clients!$S$2:$S$501,"Paid")&gt;0)),"⚠ Refunded before – no free video",IF(OR(R105="Contract signed + paid",R105="Closed – No response",R105="Lost"),"",IF(R105="","Set a stage",IF(AND(R105="Proposal sent",SUMIFS(Scoresheet!$N$2:$N$501,Scoresheet!$C$2:$C$501,A105,Scoresheet!$U$2:$U$501,1)&lt;6),"Score this lead – fill the call scoresheet",IF(N(T105)&gt;=Settings!$S$3,"Close – 4 follow-ups sent",IF(U105="",IF(S105="","Make first contact",""),IF(TODAY()&gt;U105,"OVERDUE follow-up",IF(TODAY()=U105,"Follow up today","")))))))))</f>
        <v/>
      </c>
    </row>
    <row r="106" customFormat="false" ht="15" hidden="false" customHeight="false" outlineLevel="0" collapsed="false">
      <c r="A106" s="17"/>
      <c r="B106" s="40"/>
      <c r="C106" s="17"/>
      <c r="D106" s="17"/>
      <c r="E106" s="17"/>
      <c r="F106" s="17"/>
      <c r="G106" s="17"/>
      <c r="H106" s="42"/>
      <c r="I106" s="17"/>
      <c r="J106" s="17"/>
      <c r="K106" s="17"/>
      <c r="L106" s="17"/>
      <c r="M106" s="17"/>
      <c r="N106" s="44" t="str">
        <f aca="false">IF(OR(D106="",A106="",COUNTIFS(Scoresheet!$C$2:$C$501,A106,Scoresheet!$U$2:$U$501,1)=0),"",SUMIFS(Scoresheet!$O$2:$O$501,Scoresheet!$C$2:$C$501,A106,Scoresheet!$U$2:$U$501,1))</f>
        <v/>
      </c>
      <c r="O106" s="44" t="str">
        <f aca="false">IF(D106="","",IF(OR(A106="",COUNTIFS(Scoresheet!$C$2:$C$501,A106,Scoresheet!$U$2:$U$501,1)=0),"No scoresheet yet",IF(SUMIFS(Scoresheet!$N$2:$N$501,Scoresheet!$C$2:$C$501,A106,Scoresheet!$U$2:$U$501,1)&lt;6,"Partly scored ("&amp;SUMIFS(Scoresheet!$N$2:$N$501,Scoresheet!$C$2:$C$501,A106,Scoresheet!$U$2:$U$501,1)&amp;"/6)",IF(N106&gt;=Settings!$S$8,"Hot",IF(N106&gt;=Settings!$S$9,"Warm","Cold")))))</f>
        <v/>
      </c>
      <c r="P106" s="44" t="str">
        <f aca="false">IF(OR(D106="",A106=""),"",IF(AND(COUNTIFS(Scoresheet!$C$2:$C$501,A106,Scoresheet!$U$2:$U$501,1,Scoresheet!$H$2:$H$501,"No")&gt;0,COUNTIFS(Scoresheet!$C$2:$C$501,A106,Scoresheet!$U$2:$U$501,1,Scoresheet!$J$2:$J$501,"No")&gt;0),"🚩 Budget  ·  🚩 No one on camera",IF(COUNTIFS(Scoresheet!$C$2:$C$501,A106,Scoresheet!$U$2:$U$501,1,Scoresheet!$H$2:$H$501,"No")&gt;0,"🚩 Budget under AED 5k",IF(COUNTIFS(Scoresheet!$C$2:$C$501,A106,Scoresheet!$U$2:$U$501,1,Scoresheet!$J$2:$J$501,"No")&gt;0,"🚩 No one on camera",""))))</f>
        <v/>
      </c>
      <c r="Q106" s="17"/>
      <c r="R106" s="17"/>
      <c r="S106" s="40"/>
      <c r="T106" s="17"/>
      <c r="U106" s="45" t="str">
        <f aca="false">IF(OR(D106="",S106="",OR(R106="Contract signed + paid",R106="Closed – No response",R106="Lost"),N(T106)&gt;=Settings!$S$3),"",S106+Settings!$S$2)</f>
        <v/>
      </c>
      <c r="V106" s="40"/>
      <c r="W106" s="41"/>
      <c r="X106" s="17"/>
      <c r="Y106" s="17"/>
      <c r="Z106" s="17"/>
      <c r="AA106" s="46" t="str">
        <f aca="true">IF(OR(D106="",B106=""),"",INT(TODAY()-B106))</f>
        <v/>
      </c>
      <c r="AB106" s="44" t="str">
        <f aca="true">IF(D106="","",IF(OR(COUNTIFS(Clients!$C$2:$C$501,D106,Clients!$S$2:$S$501,"Paid")&gt;0,AND(H106&lt;&gt;"",COUNTIFS(Clients!$E$2:$E$501,H106,Clients!$S$2:$S$501,"Paid")&gt;0)),"⚠ Refunded before – no free video",IF(OR(R106="Contract signed + paid",R106="Closed – No response",R106="Lost"),"",IF(R106="","Set a stage",IF(AND(R106="Proposal sent",SUMIFS(Scoresheet!$N$2:$N$501,Scoresheet!$C$2:$C$501,A106,Scoresheet!$U$2:$U$501,1)&lt;6),"Score this lead – fill the call scoresheet",IF(N(T106)&gt;=Settings!$S$3,"Close – 4 follow-ups sent",IF(U106="",IF(S106="","Make first contact",""),IF(TODAY()&gt;U106,"OVERDUE follow-up",IF(TODAY()=U106,"Follow up today","")))))))))</f>
        <v/>
      </c>
    </row>
    <row r="107" customFormat="false" ht="15" hidden="false" customHeight="false" outlineLevel="0" collapsed="false">
      <c r="A107" s="17"/>
      <c r="B107" s="40"/>
      <c r="C107" s="17"/>
      <c r="D107" s="17"/>
      <c r="E107" s="17"/>
      <c r="F107" s="17"/>
      <c r="G107" s="17"/>
      <c r="H107" s="42"/>
      <c r="I107" s="17"/>
      <c r="J107" s="17"/>
      <c r="K107" s="17"/>
      <c r="L107" s="17"/>
      <c r="M107" s="17"/>
      <c r="N107" s="44" t="str">
        <f aca="false">IF(OR(D107="",A107="",COUNTIFS(Scoresheet!$C$2:$C$501,A107,Scoresheet!$U$2:$U$501,1)=0),"",SUMIFS(Scoresheet!$O$2:$O$501,Scoresheet!$C$2:$C$501,A107,Scoresheet!$U$2:$U$501,1))</f>
        <v/>
      </c>
      <c r="O107" s="44" t="str">
        <f aca="false">IF(D107="","",IF(OR(A107="",COUNTIFS(Scoresheet!$C$2:$C$501,A107,Scoresheet!$U$2:$U$501,1)=0),"No scoresheet yet",IF(SUMIFS(Scoresheet!$N$2:$N$501,Scoresheet!$C$2:$C$501,A107,Scoresheet!$U$2:$U$501,1)&lt;6,"Partly scored ("&amp;SUMIFS(Scoresheet!$N$2:$N$501,Scoresheet!$C$2:$C$501,A107,Scoresheet!$U$2:$U$501,1)&amp;"/6)",IF(N107&gt;=Settings!$S$8,"Hot",IF(N107&gt;=Settings!$S$9,"Warm","Cold")))))</f>
        <v/>
      </c>
      <c r="P107" s="44" t="str">
        <f aca="false">IF(OR(D107="",A107=""),"",IF(AND(COUNTIFS(Scoresheet!$C$2:$C$501,A107,Scoresheet!$U$2:$U$501,1,Scoresheet!$H$2:$H$501,"No")&gt;0,COUNTIFS(Scoresheet!$C$2:$C$501,A107,Scoresheet!$U$2:$U$501,1,Scoresheet!$J$2:$J$501,"No")&gt;0),"🚩 Budget  ·  🚩 No one on camera",IF(COUNTIFS(Scoresheet!$C$2:$C$501,A107,Scoresheet!$U$2:$U$501,1,Scoresheet!$H$2:$H$501,"No")&gt;0,"🚩 Budget under AED 5k",IF(COUNTIFS(Scoresheet!$C$2:$C$501,A107,Scoresheet!$U$2:$U$501,1,Scoresheet!$J$2:$J$501,"No")&gt;0,"🚩 No one on camera",""))))</f>
        <v/>
      </c>
      <c r="Q107" s="17"/>
      <c r="R107" s="17"/>
      <c r="S107" s="40"/>
      <c r="T107" s="17"/>
      <c r="U107" s="45" t="str">
        <f aca="false">IF(OR(D107="",S107="",OR(R107="Contract signed + paid",R107="Closed – No response",R107="Lost"),N(T107)&gt;=Settings!$S$3),"",S107+Settings!$S$2)</f>
        <v/>
      </c>
      <c r="V107" s="40"/>
      <c r="W107" s="41"/>
      <c r="X107" s="17"/>
      <c r="Y107" s="17"/>
      <c r="Z107" s="17"/>
      <c r="AA107" s="46" t="str">
        <f aca="true">IF(OR(D107="",B107=""),"",INT(TODAY()-B107))</f>
        <v/>
      </c>
      <c r="AB107" s="44" t="str">
        <f aca="true">IF(D107="","",IF(OR(COUNTIFS(Clients!$C$2:$C$501,D107,Clients!$S$2:$S$501,"Paid")&gt;0,AND(H107&lt;&gt;"",COUNTIFS(Clients!$E$2:$E$501,H107,Clients!$S$2:$S$501,"Paid")&gt;0)),"⚠ Refunded before – no free video",IF(OR(R107="Contract signed + paid",R107="Closed – No response",R107="Lost"),"",IF(R107="","Set a stage",IF(AND(R107="Proposal sent",SUMIFS(Scoresheet!$N$2:$N$501,Scoresheet!$C$2:$C$501,A107,Scoresheet!$U$2:$U$501,1)&lt;6),"Score this lead – fill the call scoresheet",IF(N(T107)&gt;=Settings!$S$3,"Close – 4 follow-ups sent",IF(U107="",IF(S107="","Make first contact",""),IF(TODAY()&gt;U107,"OVERDUE follow-up",IF(TODAY()=U107,"Follow up today","")))))))))</f>
        <v/>
      </c>
    </row>
    <row r="108" customFormat="false" ht="15" hidden="false" customHeight="false" outlineLevel="0" collapsed="false">
      <c r="A108" s="17"/>
      <c r="B108" s="40"/>
      <c r="C108" s="17"/>
      <c r="D108" s="17"/>
      <c r="E108" s="17"/>
      <c r="F108" s="17"/>
      <c r="G108" s="17"/>
      <c r="H108" s="42"/>
      <c r="I108" s="17"/>
      <c r="J108" s="17"/>
      <c r="K108" s="17"/>
      <c r="L108" s="17"/>
      <c r="M108" s="17"/>
      <c r="N108" s="44" t="str">
        <f aca="false">IF(OR(D108="",A108="",COUNTIFS(Scoresheet!$C$2:$C$501,A108,Scoresheet!$U$2:$U$501,1)=0),"",SUMIFS(Scoresheet!$O$2:$O$501,Scoresheet!$C$2:$C$501,A108,Scoresheet!$U$2:$U$501,1))</f>
        <v/>
      </c>
      <c r="O108" s="44" t="str">
        <f aca="false">IF(D108="","",IF(OR(A108="",COUNTIFS(Scoresheet!$C$2:$C$501,A108,Scoresheet!$U$2:$U$501,1)=0),"No scoresheet yet",IF(SUMIFS(Scoresheet!$N$2:$N$501,Scoresheet!$C$2:$C$501,A108,Scoresheet!$U$2:$U$501,1)&lt;6,"Partly scored ("&amp;SUMIFS(Scoresheet!$N$2:$N$501,Scoresheet!$C$2:$C$501,A108,Scoresheet!$U$2:$U$501,1)&amp;"/6)",IF(N108&gt;=Settings!$S$8,"Hot",IF(N108&gt;=Settings!$S$9,"Warm","Cold")))))</f>
        <v/>
      </c>
      <c r="P108" s="44" t="str">
        <f aca="false">IF(OR(D108="",A108=""),"",IF(AND(COUNTIFS(Scoresheet!$C$2:$C$501,A108,Scoresheet!$U$2:$U$501,1,Scoresheet!$H$2:$H$501,"No")&gt;0,COUNTIFS(Scoresheet!$C$2:$C$501,A108,Scoresheet!$U$2:$U$501,1,Scoresheet!$J$2:$J$501,"No")&gt;0),"🚩 Budget  ·  🚩 No one on camera",IF(COUNTIFS(Scoresheet!$C$2:$C$501,A108,Scoresheet!$U$2:$U$501,1,Scoresheet!$H$2:$H$501,"No")&gt;0,"🚩 Budget under AED 5k",IF(COUNTIFS(Scoresheet!$C$2:$C$501,A108,Scoresheet!$U$2:$U$501,1,Scoresheet!$J$2:$J$501,"No")&gt;0,"🚩 No one on camera",""))))</f>
        <v/>
      </c>
      <c r="Q108" s="17"/>
      <c r="R108" s="17"/>
      <c r="S108" s="40"/>
      <c r="T108" s="17"/>
      <c r="U108" s="45" t="str">
        <f aca="false">IF(OR(D108="",S108="",OR(R108="Contract signed + paid",R108="Closed – No response",R108="Lost"),N(T108)&gt;=Settings!$S$3),"",S108+Settings!$S$2)</f>
        <v/>
      </c>
      <c r="V108" s="40"/>
      <c r="W108" s="41"/>
      <c r="X108" s="17"/>
      <c r="Y108" s="17"/>
      <c r="Z108" s="17"/>
      <c r="AA108" s="46" t="str">
        <f aca="true">IF(OR(D108="",B108=""),"",INT(TODAY()-B108))</f>
        <v/>
      </c>
      <c r="AB108" s="44" t="str">
        <f aca="true">IF(D108="","",IF(OR(COUNTIFS(Clients!$C$2:$C$501,D108,Clients!$S$2:$S$501,"Paid")&gt;0,AND(H108&lt;&gt;"",COUNTIFS(Clients!$E$2:$E$501,H108,Clients!$S$2:$S$501,"Paid")&gt;0)),"⚠ Refunded before – no free video",IF(OR(R108="Contract signed + paid",R108="Closed – No response",R108="Lost"),"",IF(R108="","Set a stage",IF(AND(R108="Proposal sent",SUMIFS(Scoresheet!$N$2:$N$501,Scoresheet!$C$2:$C$501,A108,Scoresheet!$U$2:$U$501,1)&lt;6),"Score this lead – fill the call scoresheet",IF(N(T108)&gt;=Settings!$S$3,"Close – 4 follow-ups sent",IF(U108="",IF(S108="","Make first contact",""),IF(TODAY()&gt;U108,"OVERDUE follow-up",IF(TODAY()=U108,"Follow up today","")))))))))</f>
        <v/>
      </c>
    </row>
    <row r="109" customFormat="false" ht="15" hidden="false" customHeight="false" outlineLevel="0" collapsed="false">
      <c r="A109" s="17"/>
      <c r="B109" s="40"/>
      <c r="C109" s="17"/>
      <c r="D109" s="17"/>
      <c r="E109" s="17"/>
      <c r="F109" s="17"/>
      <c r="G109" s="17"/>
      <c r="H109" s="42"/>
      <c r="I109" s="17"/>
      <c r="J109" s="17"/>
      <c r="K109" s="17"/>
      <c r="L109" s="17"/>
      <c r="M109" s="17"/>
      <c r="N109" s="44" t="str">
        <f aca="false">IF(OR(D109="",A109="",COUNTIFS(Scoresheet!$C$2:$C$501,A109,Scoresheet!$U$2:$U$501,1)=0),"",SUMIFS(Scoresheet!$O$2:$O$501,Scoresheet!$C$2:$C$501,A109,Scoresheet!$U$2:$U$501,1))</f>
        <v/>
      </c>
      <c r="O109" s="44" t="str">
        <f aca="false">IF(D109="","",IF(OR(A109="",COUNTIFS(Scoresheet!$C$2:$C$501,A109,Scoresheet!$U$2:$U$501,1)=0),"No scoresheet yet",IF(SUMIFS(Scoresheet!$N$2:$N$501,Scoresheet!$C$2:$C$501,A109,Scoresheet!$U$2:$U$501,1)&lt;6,"Partly scored ("&amp;SUMIFS(Scoresheet!$N$2:$N$501,Scoresheet!$C$2:$C$501,A109,Scoresheet!$U$2:$U$501,1)&amp;"/6)",IF(N109&gt;=Settings!$S$8,"Hot",IF(N109&gt;=Settings!$S$9,"Warm","Cold")))))</f>
        <v/>
      </c>
      <c r="P109" s="44" t="str">
        <f aca="false">IF(OR(D109="",A109=""),"",IF(AND(COUNTIFS(Scoresheet!$C$2:$C$501,A109,Scoresheet!$U$2:$U$501,1,Scoresheet!$H$2:$H$501,"No")&gt;0,COUNTIFS(Scoresheet!$C$2:$C$501,A109,Scoresheet!$U$2:$U$501,1,Scoresheet!$J$2:$J$501,"No")&gt;0),"🚩 Budget  ·  🚩 No one on camera",IF(COUNTIFS(Scoresheet!$C$2:$C$501,A109,Scoresheet!$U$2:$U$501,1,Scoresheet!$H$2:$H$501,"No")&gt;0,"🚩 Budget under AED 5k",IF(COUNTIFS(Scoresheet!$C$2:$C$501,A109,Scoresheet!$U$2:$U$501,1,Scoresheet!$J$2:$J$501,"No")&gt;0,"🚩 No one on camera",""))))</f>
        <v/>
      </c>
      <c r="Q109" s="17"/>
      <c r="R109" s="17"/>
      <c r="S109" s="40"/>
      <c r="T109" s="17"/>
      <c r="U109" s="45" t="str">
        <f aca="false">IF(OR(D109="",S109="",OR(R109="Contract signed + paid",R109="Closed – No response",R109="Lost"),N(T109)&gt;=Settings!$S$3),"",S109+Settings!$S$2)</f>
        <v/>
      </c>
      <c r="V109" s="40"/>
      <c r="W109" s="41"/>
      <c r="X109" s="17"/>
      <c r="Y109" s="17"/>
      <c r="Z109" s="17"/>
      <c r="AA109" s="46" t="str">
        <f aca="true">IF(OR(D109="",B109=""),"",INT(TODAY()-B109))</f>
        <v/>
      </c>
      <c r="AB109" s="44" t="str">
        <f aca="true">IF(D109="","",IF(OR(COUNTIFS(Clients!$C$2:$C$501,D109,Clients!$S$2:$S$501,"Paid")&gt;0,AND(H109&lt;&gt;"",COUNTIFS(Clients!$E$2:$E$501,H109,Clients!$S$2:$S$501,"Paid")&gt;0)),"⚠ Refunded before – no free video",IF(OR(R109="Contract signed + paid",R109="Closed – No response",R109="Lost"),"",IF(R109="","Set a stage",IF(AND(R109="Proposal sent",SUMIFS(Scoresheet!$N$2:$N$501,Scoresheet!$C$2:$C$501,A109,Scoresheet!$U$2:$U$501,1)&lt;6),"Score this lead – fill the call scoresheet",IF(N(T109)&gt;=Settings!$S$3,"Close – 4 follow-ups sent",IF(U109="",IF(S109="","Make first contact",""),IF(TODAY()&gt;U109,"OVERDUE follow-up",IF(TODAY()=U109,"Follow up today","")))))))))</f>
        <v/>
      </c>
    </row>
    <row r="110" customFormat="false" ht="15" hidden="false" customHeight="false" outlineLevel="0" collapsed="false">
      <c r="A110" s="17"/>
      <c r="B110" s="40"/>
      <c r="C110" s="17"/>
      <c r="D110" s="17"/>
      <c r="E110" s="17"/>
      <c r="F110" s="17"/>
      <c r="G110" s="17"/>
      <c r="H110" s="42"/>
      <c r="I110" s="17"/>
      <c r="J110" s="17"/>
      <c r="K110" s="17"/>
      <c r="L110" s="17"/>
      <c r="M110" s="17"/>
      <c r="N110" s="44" t="str">
        <f aca="false">IF(OR(D110="",A110="",COUNTIFS(Scoresheet!$C$2:$C$501,A110,Scoresheet!$U$2:$U$501,1)=0),"",SUMIFS(Scoresheet!$O$2:$O$501,Scoresheet!$C$2:$C$501,A110,Scoresheet!$U$2:$U$501,1))</f>
        <v/>
      </c>
      <c r="O110" s="44" t="str">
        <f aca="false">IF(D110="","",IF(OR(A110="",COUNTIFS(Scoresheet!$C$2:$C$501,A110,Scoresheet!$U$2:$U$501,1)=0),"No scoresheet yet",IF(SUMIFS(Scoresheet!$N$2:$N$501,Scoresheet!$C$2:$C$501,A110,Scoresheet!$U$2:$U$501,1)&lt;6,"Partly scored ("&amp;SUMIFS(Scoresheet!$N$2:$N$501,Scoresheet!$C$2:$C$501,A110,Scoresheet!$U$2:$U$501,1)&amp;"/6)",IF(N110&gt;=Settings!$S$8,"Hot",IF(N110&gt;=Settings!$S$9,"Warm","Cold")))))</f>
        <v/>
      </c>
      <c r="P110" s="44" t="str">
        <f aca="false">IF(OR(D110="",A110=""),"",IF(AND(COUNTIFS(Scoresheet!$C$2:$C$501,A110,Scoresheet!$U$2:$U$501,1,Scoresheet!$H$2:$H$501,"No")&gt;0,COUNTIFS(Scoresheet!$C$2:$C$501,A110,Scoresheet!$U$2:$U$501,1,Scoresheet!$J$2:$J$501,"No")&gt;0),"🚩 Budget  ·  🚩 No one on camera",IF(COUNTIFS(Scoresheet!$C$2:$C$501,A110,Scoresheet!$U$2:$U$501,1,Scoresheet!$H$2:$H$501,"No")&gt;0,"🚩 Budget under AED 5k",IF(COUNTIFS(Scoresheet!$C$2:$C$501,A110,Scoresheet!$U$2:$U$501,1,Scoresheet!$J$2:$J$501,"No")&gt;0,"🚩 No one on camera",""))))</f>
        <v/>
      </c>
      <c r="Q110" s="17"/>
      <c r="R110" s="17"/>
      <c r="S110" s="40"/>
      <c r="T110" s="17"/>
      <c r="U110" s="45" t="str">
        <f aca="false">IF(OR(D110="",S110="",OR(R110="Contract signed + paid",R110="Closed – No response",R110="Lost"),N(T110)&gt;=Settings!$S$3),"",S110+Settings!$S$2)</f>
        <v/>
      </c>
      <c r="V110" s="40"/>
      <c r="W110" s="41"/>
      <c r="X110" s="17"/>
      <c r="Y110" s="17"/>
      <c r="Z110" s="17"/>
      <c r="AA110" s="46" t="str">
        <f aca="true">IF(OR(D110="",B110=""),"",INT(TODAY()-B110))</f>
        <v/>
      </c>
      <c r="AB110" s="44" t="str">
        <f aca="true">IF(D110="","",IF(OR(COUNTIFS(Clients!$C$2:$C$501,D110,Clients!$S$2:$S$501,"Paid")&gt;0,AND(H110&lt;&gt;"",COUNTIFS(Clients!$E$2:$E$501,H110,Clients!$S$2:$S$501,"Paid")&gt;0)),"⚠ Refunded before – no free video",IF(OR(R110="Contract signed + paid",R110="Closed – No response",R110="Lost"),"",IF(R110="","Set a stage",IF(AND(R110="Proposal sent",SUMIFS(Scoresheet!$N$2:$N$501,Scoresheet!$C$2:$C$501,A110,Scoresheet!$U$2:$U$501,1)&lt;6),"Score this lead – fill the call scoresheet",IF(N(T110)&gt;=Settings!$S$3,"Close – 4 follow-ups sent",IF(U110="",IF(S110="","Make first contact",""),IF(TODAY()&gt;U110,"OVERDUE follow-up",IF(TODAY()=U110,"Follow up today","")))))))))</f>
        <v/>
      </c>
    </row>
    <row r="111" customFormat="false" ht="15" hidden="false" customHeight="false" outlineLevel="0" collapsed="false">
      <c r="A111" s="17"/>
      <c r="B111" s="40"/>
      <c r="C111" s="17"/>
      <c r="D111" s="17"/>
      <c r="E111" s="17"/>
      <c r="F111" s="17"/>
      <c r="G111" s="17"/>
      <c r="H111" s="42"/>
      <c r="I111" s="17"/>
      <c r="J111" s="17"/>
      <c r="K111" s="17"/>
      <c r="L111" s="17"/>
      <c r="M111" s="17"/>
      <c r="N111" s="44" t="str">
        <f aca="false">IF(OR(D111="",A111="",COUNTIFS(Scoresheet!$C$2:$C$501,A111,Scoresheet!$U$2:$U$501,1)=0),"",SUMIFS(Scoresheet!$O$2:$O$501,Scoresheet!$C$2:$C$501,A111,Scoresheet!$U$2:$U$501,1))</f>
        <v/>
      </c>
      <c r="O111" s="44" t="str">
        <f aca="false">IF(D111="","",IF(OR(A111="",COUNTIFS(Scoresheet!$C$2:$C$501,A111,Scoresheet!$U$2:$U$501,1)=0),"No scoresheet yet",IF(SUMIFS(Scoresheet!$N$2:$N$501,Scoresheet!$C$2:$C$501,A111,Scoresheet!$U$2:$U$501,1)&lt;6,"Partly scored ("&amp;SUMIFS(Scoresheet!$N$2:$N$501,Scoresheet!$C$2:$C$501,A111,Scoresheet!$U$2:$U$501,1)&amp;"/6)",IF(N111&gt;=Settings!$S$8,"Hot",IF(N111&gt;=Settings!$S$9,"Warm","Cold")))))</f>
        <v/>
      </c>
      <c r="P111" s="44" t="str">
        <f aca="false">IF(OR(D111="",A111=""),"",IF(AND(COUNTIFS(Scoresheet!$C$2:$C$501,A111,Scoresheet!$U$2:$U$501,1,Scoresheet!$H$2:$H$501,"No")&gt;0,COUNTIFS(Scoresheet!$C$2:$C$501,A111,Scoresheet!$U$2:$U$501,1,Scoresheet!$J$2:$J$501,"No")&gt;0),"🚩 Budget  ·  🚩 No one on camera",IF(COUNTIFS(Scoresheet!$C$2:$C$501,A111,Scoresheet!$U$2:$U$501,1,Scoresheet!$H$2:$H$501,"No")&gt;0,"🚩 Budget under AED 5k",IF(COUNTIFS(Scoresheet!$C$2:$C$501,A111,Scoresheet!$U$2:$U$501,1,Scoresheet!$J$2:$J$501,"No")&gt;0,"🚩 No one on camera",""))))</f>
        <v/>
      </c>
      <c r="Q111" s="17"/>
      <c r="R111" s="17"/>
      <c r="S111" s="40"/>
      <c r="T111" s="17"/>
      <c r="U111" s="45" t="str">
        <f aca="false">IF(OR(D111="",S111="",OR(R111="Contract signed + paid",R111="Closed – No response",R111="Lost"),N(T111)&gt;=Settings!$S$3),"",S111+Settings!$S$2)</f>
        <v/>
      </c>
      <c r="V111" s="40"/>
      <c r="W111" s="41"/>
      <c r="X111" s="17"/>
      <c r="Y111" s="17"/>
      <c r="Z111" s="17"/>
      <c r="AA111" s="46" t="str">
        <f aca="true">IF(OR(D111="",B111=""),"",INT(TODAY()-B111))</f>
        <v/>
      </c>
      <c r="AB111" s="44" t="str">
        <f aca="true">IF(D111="","",IF(OR(COUNTIFS(Clients!$C$2:$C$501,D111,Clients!$S$2:$S$501,"Paid")&gt;0,AND(H111&lt;&gt;"",COUNTIFS(Clients!$E$2:$E$501,H111,Clients!$S$2:$S$501,"Paid")&gt;0)),"⚠ Refunded before – no free video",IF(OR(R111="Contract signed + paid",R111="Closed – No response",R111="Lost"),"",IF(R111="","Set a stage",IF(AND(R111="Proposal sent",SUMIFS(Scoresheet!$N$2:$N$501,Scoresheet!$C$2:$C$501,A111,Scoresheet!$U$2:$U$501,1)&lt;6),"Score this lead – fill the call scoresheet",IF(N(T111)&gt;=Settings!$S$3,"Close – 4 follow-ups sent",IF(U111="",IF(S111="","Make first contact",""),IF(TODAY()&gt;U111,"OVERDUE follow-up",IF(TODAY()=U111,"Follow up today","")))))))))</f>
        <v/>
      </c>
    </row>
    <row r="112" customFormat="false" ht="15" hidden="false" customHeight="false" outlineLevel="0" collapsed="false">
      <c r="A112" s="17"/>
      <c r="B112" s="40"/>
      <c r="C112" s="17"/>
      <c r="D112" s="17"/>
      <c r="E112" s="17"/>
      <c r="F112" s="17"/>
      <c r="G112" s="17"/>
      <c r="H112" s="42"/>
      <c r="I112" s="17"/>
      <c r="J112" s="17"/>
      <c r="K112" s="17"/>
      <c r="L112" s="17"/>
      <c r="M112" s="17"/>
      <c r="N112" s="44" t="str">
        <f aca="false">IF(OR(D112="",A112="",COUNTIFS(Scoresheet!$C$2:$C$501,A112,Scoresheet!$U$2:$U$501,1)=0),"",SUMIFS(Scoresheet!$O$2:$O$501,Scoresheet!$C$2:$C$501,A112,Scoresheet!$U$2:$U$501,1))</f>
        <v/>
      </c>
      <c r="O112" s="44" t="str">
        <f aca="false">IF(D112="","",IF(OR(A112="",COUNTIFS(Scoresheet!$C$2:$C$501,A112,Scoresheet!$U$2:$U$501,1)=0),"No scoresheet yet",IF(SUMIFS(Scoresheet!$N$2:$N$501,Scoresheet!$C$2:$C$501,A112,Scoresheet!$U$2:$U$501,1)&lt;6,"Partly scored ("&amp;SUMIFS(Scoresheet!$N$2:$N$501,Scoresheet!$C$2:$C$501,A112,Scoresheet!$U$2:$U$501,1)&amp;"/6)",IF(N112&gt;=Settings!$S$8,"Hot",IF(N112&gt;=Settings!$S$9,"Warm","Cold")))))</f>
        <v/>
      </c>
      <c r="P112" s="44" t="str">
        <f aca="false">IF(OR(D112="",A112=""),"",IF(AND(COUNTIFS(Scoresheet!$C$2:$C$501,A112,Scoresheet!$U$2:$U$501,1,Scoresheet!$H$2:$H$501,"No")&gt;0,COUNTIFS(Scoresheet!$C$2:$C$501,A112,Scoresheet!$U$2:$U$501,1,Scoresheet!$J$2:$J$501,"No")&gt;0),"🚩 Budget  ·  🚩 No one on camera",IF(COUNTIFS(Scoresheet!$C$2:$C$501,A112,Scoresheet!$U$2:$U$501,1,Scoresheet!$H$2:$H$501,"No")&gt;0,"🚩 Budget under AED 5k",IF(COUNTIFS(Scoresheet!$C$2:$C$501,A112,Scoresheet!$U$2:$U$501,1,Scoresheet!$J$2:$J$501,"No")&gt;0,"🚩 No one on camera",""))))</f>
        <v/>
      </c>
      <c r="Q112" s="17"/>
      <c r="R112" s="17"/>
      <c r="S112" s="40"/>
      <c r="T112" s="17"/>
      <c r="U112" s="45" t="str">
        <f aca="false">IF(OR(D112="",S112="",OR(R112="Contract signed + paid",R112="Closed – No response",R112="Lost"),N(T112)&gt;=Settings!$S$3),"",S112+Settings!$S$2)</f>
        <v/>
      </c>
      <c r="V112" s="40"/>
      <c r="W112" s="41"/>
      <c r="X112" s="17"/>
      <c r="Y112" s="17"/>
      <c r="Z112" s="17"/>
      <c r="AA112" s="46" t="str">
        <f aca="true">IF(OR(D112="",B112=""),"",INT(TODAY()-B112))</f>
        <v/>
      </c>
      <c r="AB112" s="44" t="str">
        <f aca="true">IF(D112="","",IF(OR(COUNTIFS(Clients!$C$2:$C$501,D112,Clients!$S$2:$S$501,"Paid")&gt;0,AND(H112&lt;&gt;"",COUNTIFS(Clients!$E$2:$E$501,H112,Clients!$S$2:$S$501,"Paid")&gt;0)),"⚠ Refunded before – no free video",IF(OR(R112="Contract signed + paid",R112="Closed – No response",R112="Lost"),"",IF(R112="","Set a stage",IF(AND(R112="Proposal sent",SUMIFS(Scoresheet!$N$2:$N$501,Scoresheet!$C$2:$C$501,A112,Scoresheet!$U$2:$U$501,1)&lt;6),"Score this lead – fill the call scoresheet",IF(N(T112)&gt;=Settings!$S$3,"Close – 4 follow-ups sent",IF(U112="",IF(S112="","Make first contact",""),IF(TODAY()&gt;U112,"OVERDUE follow-up",IF(TODAY()=U112,"Follow up today","")))))))))</f>
        <v/>
      </c>
    </row>
    <row r="113" customFormat="false" ht="15" hidden="false" customHeight="false" outlineLevel="0" collapsed="false">
      <c r="A113" s="17"/>
      <c r="B113" s="40"/>
      <c r="C113" s="17"/>
      <c r="D113" s="17"/>
      <c r="E113" s="17"/>
      <c r="F113" s="17"/>
      <c r="G113" s="17"/>
      <c r="H113" s="42"/>
      <c r="I113" s="17"/>
      <c r="J113" s="17"/>
      <c r="K113" s="17"/>
      <c r="L113" s="17"/>
      <c r="M113" s="17"/>
      <c r="N113" s="44" t="str">
        <f aca="false">IF(OR(D113="",A113="",COUNTIFS(Scoresheet!$C$2:$C$501,A113,Scoresheet!$U$2:$U$501,1)=0),"",SUMIFS(Scoresheet!$O$2:$O$501,Scoresheet!$C$2:$C$501,A113,Scoresheet!$U$2:$U$501,1))</f>
        <v/>
      </c>
      <c r="O113" s="44" t="str">
        <f aca="false">IF(D113="","",IF(OR(A113="",COUNTIFS(Scoresheet!$C$2:$C$501,A113,Scoresheet!$U$2:$U$501,1)=0),"No scoresheet yet",IF(SUMIFS(Scoresheet!$N$2:$N$501,Scoresheet!$C$2:$C$501,A113,Scoresheet!$U$2:$U$501,1)&lt;6,"Partly scored ("&amp;SUMIFS(Scoresheet!$N$2:$N$501,Scoresheet!$C$2:$C$501,A113,Scoresheet!$U$2:$U$501,1)&amp;"/6)",IF(N113&gt;=Settings!$S$8,"Hot",IF(N113&gt;=Settings!$S$9,"Warm","Cold")))))</f>
        <v/>
      </c>
      <c r="P113" s="44" t="str">
        <f aca="false">IF(OR(D113="",A113=""),"",IF(AND(COUNTIFS(Scoresheet!$C$2:$C$501,A113,Scoresheet!$U$2:$U$501,1,Scoresheet!$H$2:$H$501,"No")&gt;0,COUNTIFS(Scoresheet!$C$2:$C$501,A113,Scoresheet!$U$2:$U$501,1,Scoresheet!$J$2:$J$501,"No")&gt;0),"🚩 Budget  ·  🚩 No one on camera",IF(COUNTIFS(Scoresheet!$C$2:$C$501,A113,Scoresheet!$U$2:$U$501,1,Scoresheet!$H$2:$H$501,"No")&gt;0,"🚩 Budget under AED 5k",IF(COUNTIFS(Scoresheet!$C$2:$C$501,A113,Scoresheet!$U$2:$U$501,1,Scoresheet!$J$2:$J$501,"No")&gt;0,"🚩 No one on camera",""))))</f>
        <v/>
      </c>
      <c r="Q113" s="17"/>
      <c r="R113" s="17"/>
      <c r="S113" s="40"/>
      <c r="T113" s="17"/>
      <c r="U113" s="45" t="str">
        <f aca="false">IF(OR(D113="",S113="",OR(R113="Contract signed + paid",R113="Closed – No response",R113="Lost"),N(T113)&gt;=Settings!$S$3),"",S113+Settings!$S$2)</f>
        <v/>
      </c>
      <c r="V113" s="40"/>
      <c r="W113" s="41"/>
      <c r="X113" s="17"/>
      <c r="Y113" s="17"/>
      <c r="Z113" s="17"/>
      <c r="AA113" s="46" t="str">
        <f aca="true">IF(OR(D113="",B113=""),"",INT(TODAY()-B113))</f>
        <v/>
      </c>
      <c r="AB113" s="44" t="str">
        <f aca="true">IF(D113="","",IF(OR(COUNTIFS(Clients!$C$2:$C$501,D113,Clients!$S$2:$S$501,"Paid")&gt;0,AND(H113&lt;&gt;"",COUNTIFS(Clients!$E$2:$E$501,H113,Clients!$S$2:$S$501,"Paid")&gt;0)),"⚠ Refunded before – no free video",IF(OR(R113="Contract signed + paid",R113="Closed – No response",R113="Lost"),"",IF(R113="","Set a stage",IF(AND(R113="Proposal sent",SUMIFS(Scoresheet!$N$2:$N$501,Scoresheet!$C$2:$C$501,A113,Scoresheet!$U$2:$U$501,1)&lt;6),"Score this lead – fill the call scoresheet",IF(N(T113)&gt;=Settings!$S$3,"Close – 4 follow-ups sent",IF(U113="",IF(S113="","Make first contact",""),IF(TODAY()&gt;U113,"OVERDUE follow-up",IF(TODAY()=U113,"Follow up today","")))))))))</f>
        <v/>
      </c>
    </row>
    <row r="114" customFormat="false" ht="15" hidden="false" customHeight="false" outlineLevel="0" collapsed="false">
      <c r="A114" s="17"/>
      <c r="B114" s="40"/>
      <c r="C114" s="17"/>
      <c r="D114" s="17"/>
      <c r="E114" s="17"/>
      <c r="F114" s="17"/>
      <c r="G114" s="17"/>
      <c r="H114" s="42"/>
      <c r="I114" s="17"/>
      <c r="J114" s="17"/>
      <c r="K114" s="17"/>
      <c r="L114" s="17"/>
      <c r="M114" s="17"/>
      <c r="N114" s="44" t="str">
        <f aca="false">IF(OR(D114="",A114="",COUNTIFS(Scoresheet!$C$2:$C$501,A114,Scoresheet!$U$2:$U$501,1)=0),"",SUMIFS(Scoresheet!$O$2:$O$501,Scoresheet!$C$2:$C$501,A114,Scoresheet!$U$2:$U$501,1))</f>
        <v/>
      </c>
      <c r="O114" s="44" t="str">
        <f aca="false">IF(D114="","",IF(OR(A114="",COUNTIFS(Scoresheet!$C$2:$C$501,A114,Scoresheet!$U$2:$U$501,1)=0),"No scoresheet yet",IF(SUMIFS(Scoresheet!$N$2:$N$501,Scoresheet!$C$2:$C$501,A114,Scoresheet!$U$2:$U$501,1)&lt;6,"Partly scored ("&amp;SUMIFS(Scoresheet!$N$2:$N$501,Scoresheet!$C$2:$C$501,A114,Scoresheet!$U$2:$U$501,1)&amp;"/6)",IF(N114&gt;=Settings!$S$8,"Hot",IF(N114&gt;=Settings!$S$9,"Warm","Cold")))))</f>
        <v/>
      </c>
      <c r="P114" s="44" t="str">
        <f aca="false">IF(OR(D114="",A114=""),"",IF(AND(COUNTIFS(Scoresheet!$C$2:$C$501,A114,Scoresheet!$U$2:$U$501,1,Scoresheet!$H$2:$H$501,"No")&gt;0,COUNTIFS(Scoresheet!$C$2:$C$501,A114,Scoresheet!$U$2:$U$501,1,Scoresheet!$J$2:$J$501,"No")&gt;0),"🚩 Budget  ·  🚩 No one on camera",IF(COUNTIFS(Scoresheet!$C$2:$C$501,A114,Scoresheet!$U$2:$U$501,1,Scoresheet!$H$2:$H$501,"No")&gt;0,"🚩 Budget under AED 5k",IF(COUNTIFS(Scoresheet!$C$2:$C$501,A114,Scoresheet!$U$2:$U$501,1,Scoresheet!$J$2:$J$501,"No")&gt;0,"🚩 No one on camera",""))))</f>
        <v/>
      </c>
      <c r="Q114" s="17"/>
      <c r="R114" s="17"/>
      <c r="S114" s="40"/>
      <c r="T114" s="17"/>
      <c r="U114" s="45" t="str">
        <f aca="false">IF(OR(D114="",S114="",OR(R114="Contract signed + paid",R114="Closed – No response",R114="Lost"),N(T114)&gt;=Settings!$S$3),"",S114+Settings!$S$2)</f>
        <v/>
      </c>
      <c r="V114" s="40"/>
      <c r="W114" s="41"/>
      <c r="X114" s="17"/>
      <c r="Y114" s="17"/>
      <c r="Z114" s="17"/>
      <c r="AA114" s="46" t="str">
        <f aca="true">IF(OR(D114="",B114=""),"",INT(TODAY()-B114))</f>
        <v/>
      </c>
      <c r="AB114" s="44" t="str">
        <f aca="true">IF(D114="","",IF(OR(COUNTIFS(Clients!$C$2:$C$501,D114,Clients!$S$2:$S$501,"Paid")&gt;0,AND(H114&lt;&gt;"",COUNTIFS(Clients!$E$2:$E$501,H114,Clients!$S$2:$S$501,"Paid")&gt;0)),"⚠ Refunded before – no free video",IF(OR(R114="Contract signed + paid",R114="Closed – No response",R114="Lost"),"",IF(R114="","Set a stage",IF(AND(R114="Proposal sent",SUMIFS(Scoresheet!$N$2:$N$501,Scoresheet!$C$2:$C$501,A114,Scoresheet!$U$2:$U$501,1)&lt;6),"Score this lead – fill the call scoresheet",IF(N(T114)&gt;=Settings!$S$3,"Close – 4 follow-ups sent",IF(U114="",IF(S114="","Make first contact",""),IF(TODAY()&gt;U114,"OVERDUE follow-up",IF(TODAY()=U114,"Follow up today","")))))))))</f>
        <v/>
      </c>
    </row>
    <row r="115" customFormat="false" ht="15" hidden="false" customHeight="false" outlineLevel="0" collapsed="false">
      <c r="A115" s="17"/>
      <c r="B115" s="40"/>
      <c r="C115" s="17"/>
      <c r="D115" s="17"/>
      <c r="E115" s="17"/>
      <c r="F115" s="17"/>
      <c r="G115" s="17"/>
      <c r="H115" s="42"/>
      <c r="I115" s="17"/>
      <c r="J115" s="17"/>
      <c r="K115" s="17"/>
      <c r="L115" s="17"/>
      <c r="M115" s="17"/>
      <c r="N115" s="44" t="str">
        <f aca="false">IF(OR(D115="",A115="",COUNTIFS(Scoresheet!$C$2:$C$501,A115,Scoresheet!$U$2:$U$501,1)=0),"",SUMIFS(Scoresheet!$O$2:$O$501,Scoresheet!$C$2:$C$501,A115,Scoresheet!$U$2:$U$501,1))</f>
        <v/>
      </c>
      <c r="O115" s="44" t="str">
        <f aca="false">IF(D115="","",IF(OR(A115="",COUNTIFS(Scoresheet!$C$2:$C$501,A115,Scoresheet!$U$2:$U$501,1)=0),"No scoresheet yet",IF(SUMIFS(Scoresheet!$N$2:$N$501,Scoresheet!$C$2:$C$501,A115,Scoresheet!$U$2:$U$501,1)&lt;6,"Partly scored ("&amp;SUMIFS(Scoresheet!$N$2:$N$501,Scoresheet!$C$2:$C$501,A115,Scoresheet!$U$2:$U$501,1)&amp;"/6)",IF(N115&gt;=Settings!$S$8,"Hot",IF(N115&gt;=Settings!$S$9,"Warm","Cold")))))</f>
        <v/>
      </c>
      <c r="P115" s="44" t="str">
        <f aca="false">IF(OR(D115="",A115=""),"",IF(AND(COUNTIFS(Scoresheet!$C$2:$C$501,A115,Scoresheet!$U$2:$U$501,1,Scoresheet!$H$2:$H$501,"No")&gt;0,COUNTIFS(Scoresheet!$C$2:$C$501,A115,Scoresheet!$U$2:$U$501,1,Scoresheet!$J$2:$J$501,"No")&gt;0),"🚩 Budget  ·  🚩 No one on camera",IF(COUNTIFS(Scoresheet!$C$2:$C$501,A115,Scoresheet!$U$2:$U$501,1,Scoresheet!$H$2:$H$501,"No")&gt;0,"🚩 Budget under AED 5k",IF(COUNTIFS(Scoresheet!$C$2:$C$501,A115,Scoresheet!$U$2:$U$501,1,Scoresheet!$J$2:$J$501,"No")&gt;0,"🚩 No one on camera",""))))</f>
        <v/>
      </c>
      <c r="Q115" s="17"/>
      <c r="R115" s="17"/>
      <c r="S115" s="40"/>
      <c r="T115" s="17"/>
      <c r="U115" s="45" t="str">
        <f aca="false">IF(OR(D115="",S115="",OR(R115="Contract signed + paid",R115="Closed – No response",R115="Lost"),N(T115)&gt;=Settings!$S$3),"",S115+Settings!$S$2)</f>
        <v/>
      </c>
      <c r="V115" s="40"/>
      <c r="W115" s="41"/>
      <c r="X115" s="17"/>
      <c r="Y115" s="17"/>
      <c r="Z115" s="17"/>
      <c r="AA115" s="46" t="str">
        <f aca="true">IF(OR(D115="",B115=""),"",INT(TODAY()-B115))</f>
        <v/>
      </c>
      <c r="AB115" s="44" t="str">
        <f aca="true">IF(D115="","",IF(OR(COUNTIFS(Clients!$C$2:$C$501,D115,Clients!$S$2:$S$501,"Paid")&gt;0,AND(H115&lt;&gt;"",COUNTIFS(Clients!$E$2:$E$501,H115,Clients!$S$2:$S$501,"Paid")&gt;0)),"⚠ Refunded before – no free video",IF(OR(R115="Contract signed + paid",R115="Closed – No response",R115="Lost"),"",IF(R115="","Set a stage",IF(AND(R115="Proposal sent",SUMIFS(Scoresheet!$N$2:$N$501,Scoresheet!$C$2:$C$501,A115,Scoresheet!$U$2:$U$501,1)&lt;6),"Score this lead – fill the call scoresheet",IF(N(T115)&gt;=Settings!$S$3,"Close – 4 follow-ups sent",IF(U115="",IF(S115="","Make first contact",""),IF(TODAY()&gt;U115,"OVERDUE follow-up",IF(TODAY()=U115,"Follow up today","")))))))))</f>
        <v/>
      </c>
    </row>
    <row r="116" customFormat="false" ht="15" hidden="false" customHeight="false" outlineLevel="0" collapsed="false">
      <c r="A116" s="17"/>
      <c r="B116" s="40"/>
      <c r="C116" s="17"/>
      <c r="D116" s="17"/>
      <c r="E116" s="17"/>
      <c r="F116" s="17"/>
      <c r="G116" s="17"/>
      <c r="H116" s="42"/>
      <c r="I116" s="17"/>
      <c r="J116" s="17"/>
      <c r="K116" s="17"/>
      <c r="L116" s="17"/>
      <c r="M116" s="17"/>
      <c r="N116" s="44" t="str">
        <f aca="false">IF(OR(D116="",A116="",COUNTIFS(Scoresheet!$C$2:$C$501,A116,Scoresheet!$U$2:$U$501,1)=0),"",SUMIFS(Scoresheet!$O$2:$O$501,Scoresheet!$C$2:$C$501,A116,Scoresheet!$U$2:$U$501,1))</f>
        <v/>
      </c>
      <c r="O116" s="44" t="str">
        <f aca="false">IF(D116="","",IF(OR(A116="",COUNTIFS(Scoresheet!$C$2:$C$501,A116,Scoresheet!$U$2:$U$501,1)=0),"No scoresheet yet",IF(SUMIFS(Scoresheet!$N$2:$N$501,Scoresheet!$C$2:$C$501,A116,Scoresheet!$U$2:$U$501,1)&lt;6,"Partly scored ("&amp;SUMIFS(Scoresheet!$N$2:$N$501,Scoresheet!$C$2:$C$501,A116,Scoresheet!$U$2:$U$501,1)&amp;"/6)",IF(N116&gt;=Settings!$S$8,"Hot",IF(N116&gt;=Settings!$S$9,"Warm","Cold")))))</f>
        <v/>
      </c>
      <c r="P116" s="44" t="str">
        <f aca="false">IF(OR(D116="",A116=""),"",IF(AND(COUNTIFS(Scoresheet!$C$2:$C$501,A116,Scoresheet!$U$2:$U$501,1,Scoresheet!$H$2:$H$501,"No")&gt;0,COUNTIFS(Scoresheet!$C$2:$C$501,A116,Scoresheet!$U$2:$U$501,1,Scoresheet!$J$2:$J$501,"No")&gt;0),"🚩 Budget  ·  🚩 No one on camera",IF(COUNTIFS(Scoresheet!$C$2:$C$501,A116,Scoresheet!$U$2:$U$501,1,Scoresheet!$H$2:$H$501,"No")&gt;0,"🚩 Budget under AED 5k",IF(COUNTIFS(Scoresheet!$C$2:$C$501,A116,Scoresheet!$U$2:$U$501,1,Scoresheet!$J$2:$J$501,"No")&gt;0,"🚩 No one on camera",""))))</f>
        <v/>
      </c>
      <c r="Q116" s="17"/>
      <c r="R116" s="17"/>
      <c r="S116" s="40"/>
      <c r="T116" s="17"/>
      <c r="U116" s="45" t="str">
        <f aca="false">IF(OR(D116="",S116="",OR(R116="Contract signed + paid",R116="Closed – No response",R116="Lost"),N(T116)&gt;=Settings!$S$3),"",S116+Settings!$S$2)</f>
        <v/>
      </c>
      <c r="V116" s="40"/>
      <c r="W116" s="41"/>
      <c r="X116" s="17"/>
      <c r="Y116" s="17"/>
      <c r="Z116" s="17"/>
      <c r="AA116" s="46" t="str">
        <f aca="true">IF(OR(D116="",B116=""),"",INT(TODAY()-B116))</f>
        <v/>
      </c>
      <c r="AB116" s="44" t="str">
        <f aca="true">IF(D116="","",IF(OR(COUNTIFS(Clients!$C$2:$C$501,D116,Clients!$S$2:$S$501,"Paid")&gt;0,AND(H116&lt;&gt;"",COUNTIFS(Clients!$E$2:$E$501,H116,Clients!$S$2:$S$501,"Paid")&gt;0)),"⚠ Refunded before – no free video",IF(OR(R116="Contract signed + paid",R116="Closed – No response",R116="Lost"),"",IF(R116="","Set a stage",IF(AND(R116="Proposal sent",SUMIFS(Scoresheet!$N$2:$N$501,Scoresheet!$C$2:$C$501,A116,Scoresheet!$U$2:$U$501,1)&lt;6),"Score this lead – fill the call scoresheet",IF(N(T116)&gt;=Settings!$S$3,"Close – 4 follow-ups sent",IF(U116="",IF(S116="","Make first contact",""),IF(TODAY()&gt;U116,"OVERDUE follow-up",IF(TODAY()=U116,"Follow up today","")))))))))</f>
        <v/>
      </c>
    </row>
    <row r="117" customFormat="false" ht="15" hidden="false" customHeight="false" outlineLevel="0" collapsed="false">
      <c r="A117" s="17"/>
      <c r="B117" s="40"/>
      <c r="C117" s="17"/>
      <c r="D117" s="17"/>
      <c r="E117" s="17"/>
      <c r="F117" s="17"/>
      <c r="G117" s="17"/>
      <c r="H117" s="42"/>
      <c r="I117" s="17"/>
      <c r="J117" s="17"/>
      <c r="K117" s="17"/>
      <c r="L117" s="17"/>
      <c r="M117" s="17"/>
      <c r="N117" s="44" t="str">
        <f aca="false">IF(OR(D117="",A117="",COUNTIFS(Scoresheet!$C$2:$C$501,A117,Scoresheet!$U$2:$U$501,1)=0),"",SUMIFS(Scoresheet!$O$2:$O$501,Scoresheet!$C$2:$C$501,A117,Scoresheet!$U$2:$U$501,1))</f>
        <v/>
      </c>
      <c r="O117" s="44" t="str">
        <f aca="false">IF(D117="","",IF(OR(A117="",COUNTIFS(Scoresheet!$C$2:$C$501,A117,Scoresheet!$U$2:$U$501,1)=0),"No scoresheet yet",IF(SUMIFS(Scoresheet!$N$2:$N$501,Scoresheet!$C$2:$C$501,A117,Scoresheet!$U$2:$U$501,1)&lt;6,"Partly scored ("&amp;SUMIFS(Scoresheet!$N$2:$N$501,Scoresheet!$C$2:$C$501,A117,Scoresheet!$U$2:$U$501,1)&amp;"/6)",IF(N117&gt;=Settings!$S$8,"Hot",IF(N117&gt;=Settings!$S$9,"Warm","Cold")))))</f>
        <v/>
      </c>
      <c r="P117" s="44" t="str">
        <f aca="false">IF(OR(D117="",A117=""),"",IF(AND(COUNTIFS(Scoresheet!$C$2:$C$501,A117,Scoresheet!$U$2:$U$501,1,Scoresheet!$H$2:$H$501,"No")&gt;0,COUNTIFS(Scoresheet!$C$2:$C$501,A117,Scoresheet!$U$2:$U$501,1,Scoresheet!$J$2:$J$501,"No")&gt;0),"🚩 Budget  ·  🚩 No one on camera",IF(COUNTIFS(Scoresheet!$C$2:$C$501,A117,Scoresheet!$U$2:$U$501,1,Scoresheet!$H$2:$H$501,"No")&gt;0,"🚩 Budget under AED 5k",IF(COUNTIFS(Scoresheet!$C$2:$C$501,A117,Scoresheet!$U$2:$U$501,1,Scoresheet!$J$2:$J$501,"No")&gt;0,"🚩 No one on camera",""))))</f>
        <v/>
      </c>
      <c r="Q117" s="17"/>
      <c r="R117" s="17"/>
      <c r="S117" s="40"/>
      <c r="T117" s="17"/>
      <c r="U117" s="45" t="str">
        <f aca="false">IF(OR(D117="",S117="",OR(R117="Contract signed + paid",R117="Closed – No response",R117="Lost"),N(T117)&gt;=Settings!$S$3),"",S117+Settings!$S$2)</f>
        <v/>
      </c>
      <c r="V117" s="40"/>
      <c r="W117" s="41"/>
      <c r="X117" s="17"/>
      <c r="Y117" s="17"/>
      <c r="Z117" s="17"/>
      <c r="AA117" s="46" t="str">
        <f aca="true">IF(OR(D117="",B117=""),"",INT(TODAY()-B117))</f>
        <v/>
      </c>
      <c r="AB117" s="44" t="str">
        <f aca="true">IF(D117="","",IF(OR(COUNTIFS(Clients!$C$2:$C$501,D117,Clients!$S$2:$S$501,"Paid")&gt;0,AND(H117&lt;&gt;"",COUNTIFS(Clients!$E$2:$E$501,H117,Clients!$S$2:$S$501,"Paid")&gt;0)),"⚠ Refunded before – no free video",IF(OR(R117="Contract signed + paid",R117="Closed – No response",R117="Lost"),"",IF(R117="","Set a stage",IF(AND(R117="Proposal sent",SUMIFS(Scoresheet!$N$2:$N$501,Scoresheet!$C$2:$C$501,A117,Scoresheet!$U$2:$U$501,1)&lt;6),"Score this lead – fill the call scoresheet",IF(N(T117)&gt;=Settings!$S$3,"Close – 4 follow-ups sent",IF(U117="",IF(S117="","Make first contact",""),IF(TODAY()&gt;U117,"OVERDUE follow-up",IF(TODAY()=U117,"Follow up today","")))))))))</f>
        <v/>
      </c>
    </row>
    <row r="118" customFormat="false" ht="15" hidden="false" customHeight="false" outlineLevel="0" collapsed="false">
      <c r="A118" s="17"/>
      <c r="B118" s="40"/>
      <c r="C118" s="17"/>
      <c r="D118" s="17"/>
      <c r="E118" s="17"/>
      <c r="F118" s="17"/>
      <c r="G118" s="17"/>
      <c r="H118" s="42"/>
      <c r="I118" s="17"/>
      <c r="J118" s="17"/>
      <c r="K118" s="17"/>
      <c r="L118" s="17"/>
      <c r="M118" s="17"/>
      <c r="N118" s="44" t="str">
        <f aca="false">IF(OR(D118="",A118="",COUNTIFS(Scoresheet!$C$2:$C$501,A118,Scoresheet!$U$2:$U$501,1)=0),"",SUMIFS(Scoresheet!$O$2:$O$501,Scoresheet!$C$2:$C$501,A118,Scoresheet!$U$2:$U$501,1))</f>
        <v/>
      </c>
      <c r="O118" s="44" t="str">
        <f aca="false">IF(D118="","",IF(OR(A118="",COUNTIFS(Scoresheet!$C$2:$C$501,A118,Scoresheet!$U$2:$U$501,1)=0),"No scoresheet yet",IF(SUMIFS(Scoresheet!$N$2:$N$501,Scoresheet!$C$2:$C$501,A118,Scoresheet!$U$2:$U$501,1)&lt;6,"Partly scored ("&amp;SUMIFS(Scoresheet!$N$2:$N$501,Scoresheet!$C$2:$C$501,A118,Scoresheet!$U$2:$U$501,1)&amp;"/6)",IF(N118&gt;=Settings!$S$8,"Hot",IF(N118&gt;=Settings!$S$9,"Warm","Cold")))))</f>
        <v/>
      </c>
      <c r="P118" s="44" t="str">
        <f aca="false">IF(OR(D118="",A118=""),"",IF(AND(COUNTIFS(Scoresheet!$C$2:$C$501,A118,Scoresheet!$U$2:$U$501,1,Scoresheet!$H$2:$H$501,"No")&gt;0,COUNTIFS(Scoresheet!$C$2:$C$501,A118,Scoresheet!$U$2:$U$501,1,Scoresheet!$J$2:$J$501,"No")&gt;0),"🚩 Budget  ·  🚩 No one on camera",IF(COUNTIFS(Scoresheet!$C$2:$C$501,A118,Scoresheet!$U$2:$U$501,1,Scoresheet!$H$2:$H$501,"No")&gt;0,"🚩 Budget under AED 5k",IF(COUNTIFS(Scoresheet!$C$2:$C$501,A118,Scoresheet!$U$2:$U$501,1,Scoresheet!$J$2:$J$501,"No")&gt;0,"🚩 No one on camera",""))))</f>
        <v/>
      </c>
      <c r="Q118" s="17"/>
      <c r="R118" s="17"/>
      <c r="S118" s="40"/>
      <c r="T118" s="17"/>
      <c r="U118" s="45" t="str">
        <f aca="false">IF(OR(D118="",S118="",OR(R118="Contract signed + paid",R118="Closed – No response",R118="Lost"),N(T118)&gt;=Settings!$S$3),"",S118+Settings!$S$2)</f>
        <v/>
      </c>
      <c r="V118" s="40"/>
      <c r="W118" s="41"/>
      <c r="X118" s="17"/>
      <c r="Y118" s="17"/>
      <c r="Z118" s="17"/>
      <c r="AA118" s="46" t="str">
        <f aca="true">IF(OR(D118="",B118=""),"",INT(TODAY()-B118))</f>
        <v/>
      </c>
      <c r="AB118" s="44" t="str">
        <f aca="true">IF(D118="","",IF(OR(COUNTIFS(Clients!$C$2:$C$501,D118,Clients!$S$2:$S$501,"Paid")&gt;0,AND(H118&lt;&gt;"",COUNTIFS(Clients!$E$2:$E$501,H118,Clients!$S$2:$S$501,"Paid")&gt;0)),"⚠ Refunded before – no free video",IF(OR(R118="Contract signed + paid",R118="Closed – No response",R118="Lost"),"",IF(R118="","Set a stage",IF(AND(R118="Proposal sent",SUMIFS(Scoresheet!$N$2:$N$501,Scoresheet!$C$2:$C$501,A118,Scoresheet!$U$2:$U$501,1)&lt;6),"Score this lead – fill the call scoresheet",IF(N(T118)&gt;=Settings!$S$3,"Close – 4 follow-ups sent",IF(U118="",IF(S118="","Make first contact",""),IF(TODAY()&gt;U118,"OVERDUE follow-up",IF(TODAY()=U118,"Follow up today","")))))))))</f>
        <v/>
      </c>
    </row>
    <row r="119" customFormat="false" ht="15" hidden="false" customHeight="false" outlineLevel="0" collapsed="false">
      <c r="A119" s="17"/>
      <c r="B119" s="40"/>
      <c r="C119" s="17"/>
      <c r="D119" s="17"/>
      <c r="E119" s="17"/>
      <c r="F119" s="17"/>
      <c r="G119" s="17"/>
      <c r="H119" s="42"/>
      <c r="I119" s="17"/>
      <c r="J119" s="17"/>
      <c r="K119" s="17"/>
      <c r="L119" s="17"/>
      <c r="M119" s="17"/>
      <c r="N119" s="44" t="str">
        <f aca="false">IF(OR(D119="",A119="",COUNTIFS(Scoresheet!$C$2:$C$501,A119,Scoresheet!$U$2:$U$501,1)=0),"",SUMIFS(Scoresheet!$O$2:$O$501,Scoresheet!$C$2:$C$501,A119,Scoresheet!$U$2:$U$501,1))</f>
        <v/>
      </c>
      <c r="O119" s="44" t="str">
        <f aca="false">IF(D119="","",IF(OR(A119="",COUNTIFS(Scoresheet!$C$2:$C$501,A119,Scoresheet!$U$2:$U$501,1)=0),"No scoresheet yet",IF(SUMIFS(Scoresheet!$N$2:$N$501,Scoresheet!$C$2:$C$501,A119,Scoresheet!$U$2:$U$501,1)&lt;6,"Partly scored ("&amp;SUMIFS(Scoresheet!$N$2:$N$501,Scoresheet!$C$2:$C$501,A119,Scoresheet!$U$2:$U$501,1)&amp;"/6)",IF(N119&gt;=Settings!$S$8,"Hot",IF(N119&gt;=Settings!$S$9,"Warm","Cold")))))</f>
        <v/>
      </c>
      <c r="P119" s="44" t="str">
        <f aca="false">IF(OR(D119="",A119=""),"",IF(AND(COUNTIFS(Scoresheet!$C$2:$C$501,A119,Scoresheet!$U$2:$U$501,1,Scoresheet!$H$2:$H$501,"No")&gt;0,COUNTIFS(Scoresheet!$C$2:$C$501,A119,Scoresheet!$U$2:$U$501,1,Scoresheet!$J$2:$J$501,"No")&gt;0),"🚩 Budget  ·  🚩 No one on camera",IF(COUNTIFS(Scoresheet!$C$2:$C$501,A119,Scoresheet!$U$2:$U$501,1,Scoresheet!$H$2:$H$501,"No")&gt;0,"🚩 Budget under AED 5k",IF(COUNTIFS(Scoresheet!$C$2:$C$501,A119,Scoresheet!$U$2:$U$501,1,Scoresheet!$J$2:$J$501,"No")&gt;0,"🚩 No one on camera",""))))</f>
        <v/>
      </c>
      <c r="Q119" s="17"/>
      <c r="R119" s="17"/>
      <c r="S119" s="40"/>
      <c r="T119" s="17"/>
      <c r="U119" s="45" t="str">
        <f aca="false">IF(OR(D119="",S119="",OR(R119="Contract signed + paid",R119="Closed – No response",R119="Lost"),N(T119)&gt;=Settings!$S$3),"",S119+Settings!$S$2)</f>
        <v/>
      </c>
      <c r="V119" s="40"/>
      <c r="W119" s="41"/>
      <c r="X119" s="17"/>
      <c r="Y119" s="17"/>
      <c r="Z119" s="17"/>
      <c r="AA119" s="46" t="str">
        <f aca="true">IF(OR(D119="",B119=""),"",INT(TODAY()-B119))</f>
        <v/>
      </c>
      <c r="AB119" s="44" t="str">
        <f aca="true">IF(D119="","",IF(OR(COUNTIFS(Clients!$C$2:$C$501,D119,Clients!$S$2:$S$501,"Paid")&gt;0,AND(H119&lt;&gt;"",COUNTIFS(Clients!$E$2:$E$501,H119,Clients!$S$2:$S$501,"Paid")&gt;0)),"⚠ Refunded before – no free video",IF(OR(R119="Contract signed + paid",R119="Closed – No response",R119="Lost"),"",IF(R119="","Set a stage",IF(AND(R119="Proposal sent",SUMIFS(Scoresheet!$N$2:$N$501,Scoresheet!$C$2:$C$501,A119,Scoresheet!$U$2:$U$501,1)&lt;6),"Score this lead – fill the call scoresheet",IF(N(T119)&gt;=Settings!$S$3,"Close – 4 follow-ups sent",IF(U119="",IF(S119="","Make first contact",""),IF(TODAY()&gt;U119,"OVERDUE follow-up",IF(TODAY()=U119,"Follow up today","")))))))))</f>
        <v/>
      </c>
    </row>
    <row r="120" customFormat="false" ht="15" hidden="false" customHeight="false" outlineLevel="0" collapsed="false">
      <c r="A120" s="17"/>
      <c r="B120" s="40"/>
      <c r="C120" s="17"/>
      <c r="D120" s="17"/>
      <c r="E120" s="17"/>
      <c r="F120" s="17"/>
      <c r="G120" s="17"/>
      <c r="H120" s="42"/>
      <c r="I120" s="17"/>
      <c r="J120" s="17"/>
      <c r="K120" s="17"/>
      <c r="L120" s="17"/>
      <c r="M120" s="17"/>
      <c r="N120" s="44" t="str">
        <f aca="false">IF(OR(D120="",A120="",COUNTIFS(Scoresheet!$C$2:$C$501,A120,Scoresheet!$U$2:$U$501,1)=0),"",SUMIFS(Scoresheet!$O$2:$O$501,Scoresheet!$C$2:$C$501,A120,Scoresheet!$U$2:$U$501,1))</f>
        <v/>
      </c>
      <c r="O120" s="44" t="str">
        <f aca="false">IF(D120="","",IF(OR(A120="",COUNTIFS(Scoresheet!$C$2:$C$501,A120,Scoresheet!$U$2:$U$501,1)=0),"No scoresheet yet",IF(SUMIFS(Scoresheet!$N$2:$N$501,Scoresheet!$C$2:$C$501,A120,Scoresheet!$U$2:$U$501,1)&lt;6,"Partly scored ("&amp;SUMIFS(Scoresheet!$N$2:$N$501,Scoresheet!$C$2:$C$501,A120,Scoresheet!$U$2:$U$501,1)&amp;"/6)",IF(N120&gt;=Settings!$S$8,"Hot",IF(N120&gt;=Settings!$S$9,"Warm","Cold")))))</f>
        <v/>
      </c>
      <c r="P120" s="44" t="str">
        <f aca="false">IF(OR(D120="",A120=""),"",IF(AND(COUNTIFS(Scoresheet!$C$2:$C$501,A120,Scoresheet!$U$2:$U$501,1,Scoresheet!$H$2:$H$501,"No")&gt;0,COUNTIFS(Scoresheet!$C$2:$C$501,A120,Scoresheet!$U$2:$U$501,1,Scoresheet!$J$2:$J$501,"No")&gt;0),"🚩 Budget  ·  🚩 No one on camera",IF(COUNTIFS(Scoresheet!$C$2:$C$501,A120,Scoresheet!$U$2:$U$501,1,Scoresheet!$H$2:$H$501,"No")&gt;0,"🚩 Budget under AED 5k",IF(COUNTIFS(Scoresheet!$C$2:$C$501,A120,Scoresheet!$U$2:$U$501,1,Scoresheet!$J$2:$J$501,"No")&gt;0,"🚩 No one on camera",""))))</f>
        <v/>
      </c>
      <c r="Q120" s="17"/>
      <c r="R120" s="17"/>
      <c r="S120" s="40"/>
      <c r="T120" s="17"/>
      <c r="U120" s="45" t="str">
        <f aca="false">IF(OR(D120="",S120="",OR(R120="Contract signed + paid",R120="Closed – No response",R120="Lost"),N(T120)&gt;=Settings!$S$3),"",S120+Settings!$S$2)</f>
        <v/>
      </c>
      <c r="V120" s="40"/>
      <c r="W120" s="41"/>
      <c r="X120" s="17"/>
      <c r="Y120" s="17"/>
      <c r="Z120" s="17"/>
      <c r="AA120" s="46" t="str">
        <f aca="true">IF(OR(D120="",B120=""),"",INT(TODAY()-B120))</f>
        <v/>
      </c>
      <c r="AB120" s="44" t="str">
        <f aca="true">IF(D120="","",IF(OR(COUNTIFS(Clients!$C$2:$C$501,D120,Clients!$S$2:$S$501,"Paid")&gt;0,AND(H120&lt;&gt;"",COUNTIFS(Clients!$E$2:$E$501,H120,Clients!$S$2:$S$501,"Paid")&gt;0)),"⚠ Refunded before – no free video",IF(OR(R120="Contract signed + paid",R120="Closed – No response",R120="Lost"),"",IF(R120="","Set a stage",IF(AND(R120="Proposal sent",SUMIFS(Scoresheet!$N$2:$N$501,Scoresheet!$C$2:$C$501,A120,Scoresheet!$U$2:$U$501,1)&lt;6),"Score this lead – fill the call scoresheet",IF(N(T120)&gt;=Settings!$S$3,"Close – 4 follow-ups sent",IF(U120="",IF(S120="","Make first contact",""),IF(TODAY()&gt;U120,"OVERDUE follow-up",IF(TODAY()=U120,"Follow up today","")))))))))</f>
        <v/>
      </c>
    </row>
    <row r="121" customFormat="false" ht="15" hidden="false" customHeight="false" outlineLevel="0" collapsed="false">
      <c r="A121" s="17"/>
      <c r="B121" s="40"/>
      <c r="C121" s="17"/>
      <c r="D121" s="17"/>
      <c r="E121" s="17"/>
      <c r="F121" s="17"/>
      <c r="G121" s="17"/>
      <c r="H121" s="42"/>
      <c r="I121" s="17"/>
      <c r="J121" s="17"/>
      <c r="K121" s="17"/>
      <c r="L121" s="17"/>
      <c r="M121" s="17"/>
      <c r="N121" s="44" t="str">
        <f aca="false">IF(OR(D121="",A121="",COUNTIFS(Scoresheet!$C$2:$C$501,A121,Scoresheet!$U$2:$U$501,1)=0),"",SUMIFS(Scoresheet!$O$2:$O$501,Scoresheet!$C$2:$C$501,A121,Scoresheet!$U$2:$U$501,1))</f>
        <v/>
      </c>
      <c r="O121" s="44" t="str">
        <f aca="false">IF(D121="","",IF(OR(A121="",COUNTIFS(Scoresheet!$C$2:$C$501,A121,Scoresheet!$U$2:$U$501,1)=0),"No scoresheet yet",IF(SUMIFS(Scoresheet!$N$2:$N$501,Scoresheet!$C$2:$C$501,A121,Scoresheet!$U$2:$U$501,1)&lt;6,"Partly scored ("&amp;SUMIFS(Scoresheet!$N$2:$N$501,Scoresheet!$C$2:$C$501,A121,Scoresheet!$U$2:$U$501,1)&amp;"/6)",IF(N121&gt;=Settings!$S$8,"Hot",IF(N121&gt;=Settings!$S$9,"Warm","Cold")))))</f>
        <v/>
      </c>
      <c r="P121" s="44" t="str">
        <f aca="false">IF(OR(D121="",A121=""),"",IF(AND(COUNTIFS(Scoresheet!$C$2:$C$501,A121,Scoresheet!$U$2:$U$501,1,Scoresheet!$H$2:$H$501,"No")&gt;0,COUNTIFS(Scoresheet!$C$2:$C$501,A121,Scoresheet!$U$2:$U$501,1,Scoresheet!$J$2:$J$501,"No")&gt;0),"🚩 Budget  ·  🚩 No one on camera",IF(COUNTIFS(Scoresheet!$C$2:$C$501,A121,Scoresheet!$U$2:$U$501,1,Scoresheet!$H$2:$H$501,"No")&gt;0,"🚩 Budget under AED 5k",IF(COUNTIFS(Scoresheet!$C$2:$C$501,A121,Scoresheet!$U$2:$U$501,1,Scoresheet!$J$2:$J$501,"No")&gt;0,"🚩 No one on camera",""))))</f>
        <v/>
      </c>
      <c r="Q121" s="17"/>
      <c r="R121" s="17"/>
      <c r="S121" s="40"/>
      <c r="T121" s="17"/>
      <c r="U121" s="45" t="str">
        <f aca="false">IF(OR(D121="",S121="",OR(R121="Contract signed + paid",R121="Closed – No response",R121="Lost"),N(T121)&gt;=Settings!$S$3),"",S121+Settings!$S$2)</f>
        <v/>
      </c>
      <c r="V121" s="40"/>
      <c r="W121" s="41"/>
      <c r="X121" s="17"/>
      <c r="Y121" s="17"/>
      <c r="Z121" s="17"/>
      <c r="AA121" s="46" t="str">
        <f aca="true">IF(OR(D121="",B121=""),"",INT(TODAY()-B121))</f>
        <v/>
      </c>
      <c r="AB121" s="44" t="str">
        <f aca="true">IF(D121="","",IF(OR(COUNTIFS(Clients!$C$2:$C$501,D121,Clients!$S$2:$S$501,"Paid")&gt;0,AND(H121&lt;&gt;"",COUNTIFS(Clients!$E$2:$E$501,H121,Clients!$S$2:$S$501,"Paid")&gt;0)),"⚠ Refunded before – no free video",IF(OR(R121="Contract signed + paid",R121="Closed – No response",R121="Lost"),"",IF(R121="","Set a stage",IF(AND(R121="Proposal sent",SUMIFS(Scoresheet!$N$2:$N$501,Scoresheet!$C$2:$C$501,A121,Scoresheet!$U$2:$U$501,1)&lt;6),"Score this lead – fill the call scoresheet",IF(N(T121)&gt;=Settings!$S$3,"Close – 4 follow-ups sent",IF(U121="",IF(S121="","Make first contact",""),IF(TODAY()&gt;U121,"OVERDUE follow-up",IF(TODAY()=U121,"Follow up today","")))))))))</f>
        <v/>
      </c>
    </row>
    <row r="122" customFormat="false" ht="15" hidden="false" customHeight="false" outlineLevel="0" collapsed="false">
      <c r="A122" s="17"/>
      <c r="B122" s="40"/>
      <c r="C122" s="17"/>
      <c r="D122" s="17"/>
      <c r="E122" s="17"/>
      <c r="F122" s="17"/>
      <c r="G122" s="17"/>
      <c r="H122" s="42"/>
      <c r="I122" s="17"/>
      <c r="J122" s="17"/>
      <c r="K122" s="17"/>
      <c r="L122" s="17"/>
      <c r="M122" s="17"/>
      <c r="N122" s="44" t="str">
        <f aca="false">IF(OR(D122="",A122="",COUNTIFS(Scoresheet!$C$2:$C$501,A122,Scoresheet!$U$2:$U$501,1)=0),"",SUMIFS(Scoresheet!$O$2:$O$501,Scoresheet!$C$2:$C$501,A122,Scoresheet!$U$2:$U$501,1))</f>
        <v/>
      </c>
      <c r="O122" s="44" t="str">
        <f aca="false">IF(D122="","",IF(OR(A122="",COUNTIFS(Scoresheet!$C$2:$C$501,A122,Scoresheet!$U$2:$U$501,1)=0),"No scoresheet yet",IF(SUMIFS(Scoresheet!$N$2:$N$501,Scoresheet!$C$2:$C$501,A122,Scoresheet!$U$2:$U$501,1)&lt;6,"Partly scored ("&amp;SUMIFS(Scoresheet!$N$2:$N$501,Scoresheet!$C$2:$C$501,A122,Scoresheet!$U$2:$U$501,1)&amp;"/6)",IF(N122&gt;=Settings!$S$8,"Hot",IF(N122&gt;=Settings!$S$9,"Warm","Cold")))))</f>
        <v/>
      </c>
      <c r="P122" s="44" t="str">
        <f aca="false">IF(OR(D122="",A122=""),"",IF(AND(COUNTIFS(Scoresheet!$C$2:$C$501,A122,Scoresheet!$U$2:$U$501,1,Scoresheet!$H$2:$H$501,"No")&gt;0,COUNTIFS(Scoresheet!$C$2:$C$501,A122,Scoresheet!$U$2:$U$501,1,Scoresheet!$J$2:$J$501,"No")&gt;0),"🚩 Budget  ·  🚩 No one on camera",IF(COUNTIFS(Scoresheet!$C$2:$C$501,A122,Scoresheet!$U$2:$U$501,1,Scoresheet!$H$2:$H$501,"No")&gt;0,"🚩 Budget under AED 5k",IF(COUNTIFS(Scoresheet!$C$2:$C$501,A122,Scoresheet!$U$2:$U$501,1,Scoresheet!$J$2:$J$501,"No")&gt;0,"🚩 No one on camera",""))))</f>
        <v/>
      </c>
      <c r="Q122" s="17"/>
      <c r="R122" s="17"/>
      <c r="S122" s="40"/>
      <c r="T122" s="17"/>
      <c r="U122" s="45" t="str">
        <f aca="false">IF(OR(D122="",S122="",OR(R122="Contract signed + paid",R122="Closed – No response",R122="Lost"),N(T122)&gt;=Settings!$S$3),"",S122+Settings!$S$2)</f>
        <v/>
      </c>
      <c r="V122" s="40"/>
      <c r="W122" s="41"/>
      <c r="X122" s="17"/>
      <c r="Y122" s="17"/>
      <c r="Z122" s="17"/>
      <c r="AA122" s="46" t="str">
        <f aca="true">IF(OR(D122="",B122=""),"",INT(TODAY()-B122))</f>
        <v/>
      </c>
      <c r="AB122" s="44" t="str">
        <f aca="true">IF(D122="","",IF(OR(COUNTIFS(Clients!$C$2:$C$501,D122,Clients!$S$2:$S$501,"Paid")&gt;0,AND(H122&lt;&gt;"",COUNTIFS(Clients!$E$2:$E$501,H122,Clients!$S$2:$S$501,"Paid")&gt;0)),"⚠ Refunded before – no free video",IF(OR(R122="Contract signed + paid",R122="Closed – No response",R122="Lost"),"",IF(R122="","Set a stage",IF(AND(R122="Proposal sent",SUMIFS(Scoresheet!$N$2:$N$501,Scoresheet!$C$2:$C$501,A122,Scoresheet!$U$2:$U$501,1)&lt;6),"Score this lead – fill the call scoresheet",IF(N(T122)&gt;=Settings!$S$3,"Close – 4 follow-ups sent",IF(U122="",IF(S122="","Make first contact",""),IF(TODAY()&gt;U122,"OVERDUE follow-up",IF(TODAY()=U122,"Follow up today","")))))))))</f>
        <v/>
      </c>
    </row>
    <row r="123" customFormat="false" ht="15" hidden="false" customHeight="false" outlineLevel="0" collapsed="false">
      <c r="A123" s="17"/>
      <c r="B123" s="40"/>
      <c r="C123" s="17"/>
      <c r="D123" s="17"/>
      <c r="E123" s="17"/>
      <c r="F123" s="17"/>
      <c r="G123" s="17"/>
      <c r="H123" s="42"/>
      <c r="I123" s="17"/>
      <c r="J123" s="17"/>
      <c r="K123" s="17"/>
      <c r="L123" s="17"/>
      <c r="M123" s="17"/>
      <c r="N123" s="44" t="str">
        <f aca="false">IF(OR(D123="",A123="",COUNTIFS(Scoresheet!$C$2:$C$501,A123,Scoresheet!$U$2:$U$501,1)=0),"",SUMIFS(Scoresheet!$O$2:$O$501,Scoresheet!$C$2:$C$501,A123,Scoresheet!$U$2:$U$501,1))</f>
        <v/>
      </c>
      <c r="O123" s="44" t="str">
        <f aca="false">IF(D123="","",IF(OR(A123="",COUNTIFS(Scoresheet!$C$2:$C$501,A123,Scoresheet!$U$2:$U$501,1)=0),"No scoresheet yet",IF(SUMIFS(Scoresheet!$N$2:$N$501,Scoresheet!$C$2:$C$501,A123,Scoresheet!$U$2:$U$501,1)&lt;6,"Partly scored ("&amp;SUMIFS(Scoresheet!$N$2:$N$501,Scoresheet!$C$2:$C$501,A123,Scoresheet!$U$2:$U$501,1)&amp;"/6)",IF(N123&gt;=Settings!$S$8,"Hot",IF(N123&gt;=Settings!$S$9,"Warm","Cold")))))</f>
        <v/>
      </c>
      <c r="P123" s="44" t="str">
        <f aca="false">IF(OR(D123="",A123=""),"",IF(AND(COUNTIFS(Scoresheet!$C$2:$C$501,A123,Scoresheet!$U$2:$U$501,1,Scoresheet!$H$2:$H$501,"No")&gt;0,COUNTIFS(Scoresheet!$C$2:$C$501,A123,Scoresheet!$U$2:$U$501,1,Scoresheet!$J$2:$J$501,"No")&gt;0),"🚩 Budget  ·  🚩 No one on camera",IF(COUNTIFS(Scoresheet!$C$2:$C$501,A123,Scoresheet!$U$2:$U$501,1,Scoresheet!$H$2:$H$501,"No")&gt;0,"🚩 Budget under AED 5k",IF(COUNTIFS(Scoresheet!$C$2:$C$501,A123,Scoresheet!$U$2:$U$501,1,Scoresheet!$J$2:$J$501,"No")&gt;0,"🚩 No one on camera",""))))</f>
        <v/>
      </c>
      <c r="Q123" s="17"/>
      <c r="R123" s="17"/>
      <c r="S123" s="40"/>
      <c r="T123" s="17"/>
      <c r="U123" s="45" t="str">
        <f aca="false">IF(OR(D123="",S123="",OR(R123="Contract signed + paid",R123="Closed – No response",R123="Lost"),N(T123)&gt;=Settings!$S$3),"",S123+Settings!$S$2)</f>
        <v/>
      </c>
      <c r="V123" s="40"/>
      <c r="W123" s="41"/>
      <c r="X123" s="17"/>
      <c r="Y123" s="17"/>
      <c r="Z123" s="17"/>
      <c r="AA123" s="46" t="str">
        <f aca="true">IF(OR(D123="",B123=""),"",INT(TODAY()-B123))</f>
        <v/>
      </c>
      <c r="AB123" s="44" t="str">
        <f aca="true">IF(D123="","",IF(OR(COUNTIFS(Clients!$C$2:$C$501,D123,Clients!$S$2:$S$501,"Paid")&gt;0,AND(H123&lt;&gt;"",COUNTIFS(Clients!$E$2:$E$501,H123,Clients!$S$2:$S$501,"Paid")&gt;0)),"⚠ Refunded before – no free video",IF(OR(R123="Contract signed + paid",R123="Closed – No response",R123="Lost"),"",IF(R123="","Set a stage",IF(AND(R123="Proposal sent",SUMIFS(Scoresheet!$N$2:$N$501,Scoresheet!$C$2:$C$501,A123,Scoresheet!$U$2:$U$501,1)&lt;6),"Score this lead – fill the call scoresheet",IF(N(T123)&gt;=Settings!$S$3,"Close – 4 follow-ups sent",IF(U123="",IF(S123="","Make first contact",""),IF(TODAY()&gt;U123,"OVERDUE follow-up",IF(TODAY()=U123,"Follow up today","")))))))))</f>
        <v/>
      </c>
    </row>
    <row r="124" customFormat="false" ht="15" hidden="false" customHeight="false" outlineLevel="0" collapsed="false">
      <c r="A124" s="17"/>
      <c r="B124" s="40"/>
      <c r="C124" s="17"/>
      <c r="D124" s="17"/>
      <c r="E124" s="17"/>
      <c r="F124" s="17"/>
      <c r="G124" s="17"/>
      <c r="H124" s="42"/>
      <c r="I124" s="17"/>
      <c r="J124" s="17"/>
      <c r="K124" s="17"/>
      <c r="L124" s="17"/>
      <c r="M124" s="17"/>
      <c r="N124" s="44" t="str">
        <f aca="false">IF(OR(D124="",A124="",COUNTIFS(Scoresheet!$C$2:$C$501,A124,Scoresheet!$U$2:$U$501,1)=0),"",SUMIFS(Scoresheet!$O$2:$O$501,Scoresheet!$C$2:$C$501,A124,Scoresheet!$U$2:$U$501,1))</f>
        <v/>
      </c>
      <c r="O124" s="44" t="str">
        <f aca="false">IF(D124="","",IF(OR(A124="",COUNTIFS(Scoresheet!$C$2:$C$501,A124,Scoresheet!$U$2:$U$501,1)=0),"No scoresheet yet",IF(SUMIFS(Scoresheet!$N$2:$N$501,Scoresheet!$C$2:$C$501,A124,Scoresheet!$U$2:$U$501,1)&lt;6,"Partly scored ("&amp;SUMIFS(Scoresheet!$N$2:$N$501,Scoresheet!$C$2:$C$501,A124,Scoresheet!$U$2:$U$501,1)&amp;"/6)",IF(N124&gt;=Settings!$S$8,"Hot",IF(N124&gt;=Settings!$S$9,"Warm","Cold")))))</f>
        <v/>
      </c>
      <c r="P124" s="44" t="str">
        <f aca="false">IF(OR(D124="",A124=""),"",IF(AND(COUNTIFS(Scoresheet!$C$2:$C$501,A124,Scoresheet!$U$2:$U$501,1,Scoresheet!$H$2:$H$501,"No")&gt;0,COUNTIFS(Scoresheet!$C$2:$C$501,A124,Scoresheet!$U$2:$U$501,1,Scoresheet!$J$2:$J$501,"No")&gt;0),"🚩 Budget  ·  🚩 No one on camera",IF(COUNTIFS(Scoresheet!$C$2:$C$501,A124,Scoresheet!$U$2:$U$501,1,Scoresheet!$H$2:$H$501,"No")&gt;0,"🚩 Budget under AED 5k",IF(COUNTIFS(Scoresheet!$C$2:$C$501,A124,Scoresheet!$U$2:$U$501,1,Scoresheet!$J$2:$J$501,"No")&gt;0,"🚩 No one on camera",""))))</f>
        <v/>
      </c>
      <c r="Q124" s="17"/>
      <c r="R124" s="17"/>
      <c r="S124" s="40"/>
      <c r="T124" s="17"/>
      <c r="U124" s="45" t="str">
        <f aca="false">IF(OR(D124="",S124="",OR(R124="Contract signed + paid",R124="Closed – No response",R124="Lost"),N(T124)&gt;=Settings!$S$3),"",S124+Settings!$S$2)</f>
        <v/>
      </c>
      <c r="V124" s="40"/>
      <c r="W124" s="41"/>
      <c r="X124" s="17"/>
      <c r="Y124" s="17"/>
      <c r="Z124" s="17"/>
      <c r="AA124" s="46" t="str">
        <f aca="true">IF(OR(D124="",B124=""),"",INT(TODAY()-B124))</f>
        <v/>
      </c>
      <c r="AB124" s="44" t="str">
        <f aca="true">IF(D124="","",IF(OR(COUNTIFS(Clients!$C$2:$C$501,D124,Clients!$S$2:$S$501,"Paid")&gt;0,AND(H124&lt;&gt;"",COUNTIFS(Clients!$E$2:$E$501,H124,Clients!$S$2:$S$501,"Paid")&gt;0)),"⚠ Refunded before – no free video",IF(OR(R124="Contract signed + paid",R124="Closed – No response",R124="Lost"),"",IF(R124="","Set a stage",IF(AND(R124="Proposal sent",SUMIFS(Scoresheet!$N$2:$N$501,Scoresheet!$C$2:$C$501,A124,Scoresheet!$U$2:$U$501,1)&lt;6),"Score this lead – fill the call scoresheet",IF(N(T124)&gt;=Settings!$S$3,"Close – 4 follow-ups sent",IF(U124="",IF(S124="","Make first contact",""),IF(TODAY()&gt;U124,"OVERDUE follow-up",IF(TODAY()=U124,"Follow up today","")))))))))</f>
        <v/>
      </c>
    </row>
    <row r="125" customFormat="false" ht="15" hidden="false" customHeight="false" outlineLevel="0" collapsed="false">
      <c r="A125" s="17"/>
      <c r="B125" s="40"/>
      <c r="C125" s="17"/>
      <c r="D125" s="17"/>
      <c r="E125" s="17"/>
      <c r="F125" s="17"/>
      <c r="G125" s="17"/>
      <c r="H125" s="42"/>
      <c r="I125" s="17"/>
      <c r="J125" s="17"/>
      <c r="K125" s="17"/>
      <c r="L125" s="17"/>
      <c r="M125" s="17"/>
      <c r="N125" s="44" t="str">
        <f aca="false">IF(OR(D125="",A125="",COUNTIFS(Scoresheet!$C$2:$C$501,A125,Scoresheet!$U$2:$U$501,1)=0),"",SUMIFS(Scoresheet!$O$2:$O$501,Scoresheet!$C$2:$C$501,A125,Scoresheet!$U$2:$U$501,1))</f>
        <v/>
      </c>
      <c r="O125" s="44" t="str">
        <f aca="false">IF(D125="","",IF(OR(A125="",COUNTIFS(Scoresheet!$C$2:$C$501,A125,Scoresheet!$U$2:$U$501,1)=0),"No scoresheet yet",IF(SUMIFS(Scoresheet!$N$2:$N$501,Scoresheet!$C$2:$C$501,A125,Scoresheet!$U$2:$U$501,1)&lt;6,"Partly scored ("&amp;SUMIFS(Scoresheet!$N$2:$N$501,Scoresheet!$C$2:$C$501,A125,Scoresheet!$U$2:$U$501,1)&amp;"/6)",IF(N125&gt;=Settings!$S$8,"Hot",IF(N125&gt;=Settings!$S$9,"Warm","Cold")))))</f>
        <v/>
      </c>
      <c r="P125" s="44" t="str">
        <f aca="false">IF(OR(D125="",A125=""),"",IF(AND(COUNTIFS(Scoresheet!$C$2:$C$501,A125,Scoresheet!$U$2:$U$501,1,Scoresheet!$H$2:$H$501,"No")&gt;0,COUNTIFS(Scoresheet!$C$2:$C$501,A125,Scoresheet!$U$2:$U$501,1,Scoresheet!$J$2:$J$501,"No")&gt;0),"🚩 Budget  ·  🚩 No one on camera",IF(COUNTIFS(Scoresheet!$C$2:$C$501,A125,Scoresheet!$U$2:$U$501,1,Scoresheet!$H$2:$H$501,"No")&gt;0,"🚩 Budget under AED 5k",IF(COUNTIFS(Scoresheet!$C$2:$C$501,A125,Scoresheet!$U$2:$U$501,1,Scoresheet!$J$2:$J$501,"No")&gt;0,"🚩 No one on camera",""))))</f>
        <v/>
      </c>
      <c r="Q125" s="17"/>
      <c r="R125" s="17"/>
      <c r="S125" s="40"/>
      <c r="T125" s="17"/>
      <c r="U125" s="45" t="str">
        <f aca="false">IF(OR(D125="",S125="",OR(R125="Contract signed + paid",R125="Closed – No response",R125="Lost"),N(T125)&gt;=Settings!$S$3),"",S125+Settings!$S$2)</f>
        <v/>
      </c>
      <c r="V125" s="40"/>
      <c r="W125" s="41"/>
      <c r="X125" s="17"/>
      <c r="Y125" s="17"/>
      <c r="Z125" s="17"/>
      <c r="AA125" s="46" t="str">
        <f aca="true">IF(OR(D125="",B125=""),"",INT(TODAY()-B125))</f>
        <v/>
      </c>
      <c r="AB125" s="44" t="str">
        <f aca="true">IF(D125="","",IF(OR(COUNTIFS(Clients!$C$2:$C$501,D125,Clients!$S$2:$S$501,"Paid")&gt;0,AND(H125&lt;&gt;"",COUNTIFS(Clients!$E$2:$E$501,H125,Clients!$S$2:$S$501,"Paid")&gt;0)),"⚠ Refunded before – no free video",IF(OR(R125="Contract signed + paid",R125="Closed – No response",R125="Lost"),"",IF(R125="","Set a stage",IF(AND(R125="Proposal sent",SUMIFS(Scoresheet!$N$2:$N$501,Scoresheet!$C$2:$C$501,A125,Scoresheet!$U$2:$U$501,1)&lt;6),"Score this lead – fill the call scoresheet",IF(N(T125)&gt;=Settings!$S$3,"Close – 4 follow-ups sent",IF(U125="",IF(S125="","Make first contact",""),IF(TODAY()&gt;U125,"OVERDUE follow-up",IF(TODAY()=U125,"Follow up today","")))))))))</f>
        <v/>
      </c>
    </row>
    <row r="126" customFormat="false" ht="15" hidden="false" customHeight="false" outlineLevel="0" collapsed="false">
      <c r="A126" s="17"/>
      <c r="B126" s="40"/>
      <c r="C126" s="17"/>
      <c r="D126" s="17"/>
      <c r="E126" s="17"/>
      <c r="F126" s="17"/>
      <c r="G126" s="17"/>
      <c r="H126" s="42"/>
      <c r="I126" s="17"/>
      <c r="J126" s="17"/>
      <c r="K126" s="17"/>
      <c r="L126" s="17"/>
      <c r="M126" s="17"/>
      <c r="N126" s="44" t="str">
        <f aca="false">IF(OR(D126="",A126="",COUNTIFS(Scoresheet!$C$2:$C$501,A126,Scoresheet!$U$2:$U$501,1)=0),"",SUMIFS(Scoresheet!$O$2:$O$501,Scoresheet!$C$2:$C$501,A126,Scoresheet!$U$2:$U$501,1))</f>
        <v/>
      </c>
      <c r="O126" s="44" t="str">
        <f aca="false">IF(D126="","",IF(OR(A126="",COUNTIFS(Scoresheet!$C$2:$C$501,A126,Scoresheet!$U$2:$U$501,1)=0),"No scoresheet yet",IF(SUMIFS(Scoresheet!$N$2:$N$501,Scoresheet!$C$2:$C$501,A126,Scoresheet!$U$2:$U$501,1)&lt;6,"Partly scored ("&amp;SUMIFS(Scoresheet!$N$2:$N$501,Scoresheet!$C$2:$C$501,A126,Scoresheet!$U$2:$U$501,1)&amp;"/6)",IF(N126&gt;=Settings!$S$8,"Hot",IF(N126&gt;=Settings!$S$9,"Warm","Cold")))))</f>
        <v/>
      </c>
      <c r="P126" s="44" t="str">
        <f aca="false">IF(OR(D126="",A126=""),"",IF(AND(COUNTIFS(Scoresheet!$C$2:$C$501,A126,Scoresheet!$U$2:$U$501,1,Scoresheet!$H$2:$H$501,"No")&gt;0,COUNTIFS(Scoresheet!$C$2:$C$501,A126,Scoresheet!$U$2:$U$501,1,Scoresheet!$J$2:$J$501,"No")&gt;0),"🚩 Budget  ·  🚩 No one on camera",IF(COUNTIFS(Scoresheet!$C$2:$C$501,A126,Scoresheet!$U$2:$U$501,1,Scoresheet!$H$2:$H$501,"No")&gt;0,"🚩 Budget under AED 5k",IF(COUNTIFS(Scoresheet!$C$2:$C$501,A126,Scoresheet!$U$2:$U$501,1,Scoresheet!$J$2:$J$501,"No")&gt;0,"🚩 No one on camera",""))))</f>
        <v/>
      </c>
      <c r="Q126" s="17"/>
      <c r="R126" s="17"/>
      <c r="S126" s="40"/>
      <c r="T126" s="17"/>
      <c r="U126" s="45" t="str">
        <f aca="false">IF(OR(D126="",S126="",OR(R126="Contract signed + paid",R126="Closed – No response",R126="Lost"),N(T126)&gt;=Settings!$S$3),"",S126+Settings!$S$2)</f>
        <v/>
      </c>
      <c r="V126" s="40"/>
      <c r="W126" s="41"/>
      <c r="X126" s="17"/>
      <c r="Y126" s="17"/>
      <c r="Z126" s="17"/>
      <c r="AA126" s="46" t="str">
        <f aca="true">IF(OR(D126="",B126=""),"",INT(TODAY()-B126))</f>
        <v/>
      </c>
      <c r="AB126" s="44" t="str">
        <f aca="true">IF(D126="","",IF(OR(COUNTIFS(Clients!$C$2:$C$501,D126,Clients!$S$2:$S$501,"Paid")&gt;0,AND(H126&lt;&gt;"",COUNTIFS(Clients!$E$2:$E$501,H126,Clients!$S$2:$S$501,"Paid")&gt;0)),"⚠ Refunded before – no free video",IF(OR(R126="Contract signed + paid",R126="Closed – No response",R126="Lost"),"",IF(R126="","Set a stage",IF(AND(R126="Proposal sent",SUMIFS(Scoresheet!$N$2:$N$501,Scoresheet!$C$2:$C$501,A126,Scoresheet!$U$2:$U$501,1)&lt;6),"Score this lead – fill the call scoresheet",IF(N(T126)&gt;=Settings!$S$3,"Close – 4 follow-ups sent",IF(U126="",IF(S126="","Make first contact",""),IF(TODAY()&gt;U126,"OVERDUE follow-up",IF(TODAY()=U126,"Follow up today","")))))))))</f>
        <v/>
      </c>
    </row>
    <row r="127" customFormat="false" ht="15" hidden="false" customHeight="false" outlineLevel="0" collapsed="false">
      <c r="A127" s="17"/>
      <c r="B127" s="40"/>
      <c r="C127" s="17"/>
      <c r="D127" s="17"/>
      <c r="E127" s="17"/>
      <c r="F127" s="17"/>
      <c r="G127" s="17"/>
      <c r="H127" s="42"/>
      <c r="I127" s="17"/>
      <c r="J127" s="17"/>
      <c r="K127" s="17"/>
      <c r="L127" s="17"/>
      <c r="M127" s="17"/>
      <c r="N127" s="44" t="str">
        <f aca="false">IF(OR(D127="",A127="",COUNTIFS(Scoresheet!$C$2:$C$501,A127,Scoresheet!$U$2:$U$501,1)=0),"",SUMIFS(Scoresheet!$O$2:$O$501,Scoresheet!$C$2:$C$501,A127,Scoresheet!$U$2:$U$501,1))</f>
        <v/>
      </c>
      <c r="O127" s="44" t="str">
        <f aca="false">IF(D127="","",IF(OR(A127="",COUNTIFS(Scoresheet!$C$2:$C$501,A127,Scoresheet!$U$2:$U$501,1)=0),"No scoresheet yet",IF(SUMIFS(Scoresheet!$N$2:$N$501,Scoresheet!$C$2:$C$501,A127,Scoresheet!$U$2:$U$501,1)&lt;6,"Partly scored ("&amp;SUMIFS(Scoresheet!$N$2:$N$501,Scoresheet!$C$2:$C$501,A127,Scoresheet!$U$2:$U$501,1)&amp;"/6)",IF(N127&gt;=Settings!$S$8,"Hot",IF(N127&gt;=Settings!$S$9,"Warm","Cold")))))</f>
        <v/>
      </c>
      <c r="P127" s="44" t="str">
        <f aca="false">IF(OR(D127="",A127=""),"",IF(AND(COUNTIFS(Scoresheet!$C$2:$C$501,A127,Scoresheet!$U$2:$U$501,1,Scoresheet!$H$2:$H$501,"No")&gt;0,COUNTIFS(Scoresheet!$C$2:$C$501,A127,Scoresheet!$U$2:$U$501,1,Scoresheet!$J$2:$J$501,"No")&gt;0),"🚩 Budget  ·  🚩 No one on camera",IF(COUNTIFS(Scoresheet!$C$2:$C$501,A127,Scoresheet!$U$2:$U$501,1,Scoresheet!$H$2:$H$501,"No")&gt;0,"🚩 Budget under AED 5k",IF(COUNTIFS(Scoresheet!$C$2:$C$501,A127,Scoresheet!$U$2:$U$501,1,Scoresheet!$J$2:$J$501,"No")&gt;0,"🚩 No one on camera",""))))</f>
        <v/>
      </c>
      <c r="Q127" s="17"/>
      <c r="R127" s="17"/>
      <c r="S127" s="40"/>
      <c r="T127" s="17"/>
      <c r="U127" s="45" t="str">
        <f aca="false">IF(OR(D127="",S127="",OR(R127="Contract signed + paid",R127="Closed – No response",R127="Lost"),N(T127)&gt;=Settings!$S$3),"",S127+Settings!$S$2)</f>
        <v/>
      </c>
      <c r="V127" s="40"/>
      <c r="W127" s="41"/>
      <c r="X127" s="17"/>
      <c r="Y127" s="17"/>
      <c r="Z127" s="17"/>
      <c r="AA127" s="46" t="str">
        <f aca="true">IF(OR(D127="",B127=""),"",INT(TODAY()-B127))</f>
        <v/>
      </c>
      <c r="AB127" s="44" t="str">
        <f aca="true">IF(D127="","",IF(OR(COUNTIFS(Clients!$C$2:$C$501,D127,Clients!$S$2:$S$501,"Paid")&gt;0,AND(H127&lt;&gt;"",COUNTIFS(Clients!$E$2:$E$501,H127,Clients!$S$2:$S$501,"Paid")&gt;0)),"⚠ Refunded before – no free video",IF(OR(R127="Contract signed + paid",R127="Closed – No response",R127="Lost"),"",IF(R127="","Set a stage",IF(AND(R127="Proposal sent",SUMIFS(Scoresheet!$N$2:$N$501,Scoresheet!$C$2:$C$501,A127,Scoresheet!$U$2:$U$501,1)&lt;6),"Score this lead – fill the call scoresheet",IF(N(T127)&gt;=Settings!$S$3,"Close – 4 follow-ups sent",IF(U127="",IF(S127="","Make first contact",""),IF(TODAY()&gt;U127,"OVERDUE follow-up",IF(TODAY()=U127,"Follow up today","")))))))))</f>
        <v/>
      </c>
    </row>
    <row r="128" customFormat="false" ht="15" hidden="false" customHeight="false" outlineLevel="0" collapsed="false">
      <c r="A128" s="17"/>
      <c r="B128" s="40"/>
      <c r="C128" s="17"/>
      <c r="D128" s="17"/>
      <c r="E128" s="17"/>
      <c r="F128" s="17"/>
      <c r="G128" s="17"/>
      <c r="H128" s="42"/>
      <c r="I128" s="17"/>
      <c r="J128" s="17"/>
      <c r="K128" s="17"/>
      <c r="L128" s="17"/>
      <c r="M128" s="17"/>
      <c r="N128" s="44" t="str">
        <f aca="false">IF(OR(D128="",A128="",COUNTIFS(Scoresheet!$C$2:$C$501,A128,Scoresheet!$U$2:$U$501,1)=0),"",SUMIFS(Scoresheet!$O$2:$O$501,Scoresheet!$C$2:$C$501,A128,Scoresheet!$U$2:$U$501,1))</f>
        <v/>
      </c>
      <c r="O128" s="44" t="str">
        <f aca="false">IF(D128="","",IF(OR(A128="",COUNTIFS(Scoresheet!$C$2:$C$501,A128,Scoresheet!$U$2:$U$501,1)=0),"No scoresheet yet",IF(SUMIFS(Scoresheet!$N$2:$N$501,Scoresheet!$C$2:$C$501,A128,Scoresheet!$U$2:$U$501,1)&lt;6,"Partly scored ("&amp;SUMIFS(Scoresheet!$N$2:$N$501,Scoresheet!$C$2:$C$501,A128,Scoresheet!$U$2:$U$501,1)&amp;"/6)",IF(N128&gt;=Settings!$S$8,"Hot",IF(N128&gt;=Settings!$S$9,"Warm","Cold")))))</f>
        <v/>
      </c>
      <c r="P128" s="44" t="str">
        <f aca="false">IF(OR(D128="",A128=""),"",IF(AND(COUNTIFS(Scoresheet!$C$2:$C$501,A128,Scoresheet!$U$2:$U$501,1,Scoresheet!$H$2:$H$501,"No")&gt;0,COUNTIFS(Scoresheet!$C$2:$C$501,A128,Scoresheet!$U$2:$U$501,1,Scoresheet!$J$2:$J$501,"No")&gt;0),"🚩 Budget  ·  🚩 No one on camera",IF(COUNTIFS(Scoresheet!$C$2:$C$501,A128,Scoresheet!$U$2:$U$501,1,Scoresheet!$H$2:$H$501,"No")&gt;0,"🚩 Budget under AED 5k",IF(COUNTIFS(Scoresheet!$C$2:$C$501,A128,Scoresheet!$U$2:$U$501,1,Scoresheet!$J$2:$J$501,"No")&gt;0,"🚩 No one on camera",""))))</f>
        <v/>
      </c>
      <c r="Q128" s="17"/>
      <c r="R128" s="17"/>
      <c r="S128" s="40"/>
      <c r="T128" s="17"/>
      <c r="U128" s="45" t="str">
        <f aca="false">IF(OR(D128="",S128="",OR(R128="Contract signed + paid",R128="Closed – No response",R128="Lost"),N(T128)&gt;=Settings!$S$3),"",S128+Settings!$S$2)</f>
        <v/>
      </c>
      <c r="V128" s="40"/>
      <c r="W128" s="41"/>
      <c r="X128" s="17"/>
      <c r="Y128" s="17"/>
      <c r="Z128" s="17"/>
      <c r="AA128" s="46" t="str">
        <f aca="true">IF(OR(D128="",B128=""),"",INT(TODAY()-B128))</f>
        <v/>
      </c>
      <c r="AB128" s="44" t="str">
        <f aca="true">IF(D128="","",IF(OR(COUNTIFS(Clients!$C$2:$C$501,D128,Clients!$S$2:$S$501,"Paid")&gt;0,AND(H128&lt;&gt;"",COUNTIFS(Clients!$E$2:$E$501,H128,Clients!$S$2:$S$501,"Paid")&gt;0)),"⚠ Refunded before – no free video",IF(OR(R128="Contract signed + paid",R128="Closed – No response",R128="Lost"),"",IF(R128="","Set a stage",IF(AND(R128="Proposal sent",SUMIFS(Scoresheet!$N$2:$N$501,Scoresheet!$C$2:$C$501,A128,Scoresheet!$U$2:$U$501,1)&lt;6),"Score this lead – fill the call scoresheet",IF(N(T128)&gt;=Settings!$S$3,"Close – 4 follow-ups sent",IF(U128="",IF(S128="","Make first contact",""),IF(TODAY()&gt;U128,"OVERDUE follow-up",IF(TODAY()=U128,"Follow up today","")))))))))</f>
        <v/>
      </c>
    </row>
    <row r="129" customFormat="false" ht="15" hidden="false" customHeight="false" outlineLevel="0" collapsed="false">
      <c r="A129" s="17"/>
      <c r="B129" s="40"/>
      <c r="C129" s="17"/>
      <c r="D129" s="17"/>
      <c r="E129" s="17"/>
      <c r="F129" s="17"/>
      <c r="G129" s="17"/>
      <c r="H129" s="42"/>
      <c r="I129" s="17"/>
      <c r="J129" s="17"/>
      <c r="K129" s="17"/>
      <c r="L129" s="17"/>
      <c r="M129" s="17"/>
      <c r="N129" s="44" t="str">
        <f aca="false">IF(OR(D129="",A129="",COUNTIFS(Scoresheet!$C$2:$C$501,A129,Scoresheet!$U$2:$U$501,1)=0),"",SUMIFS(Scoresheet!$O$2:$O$501,Scoresheet!$C$2:$C$501,A129,Scoresheet!$U$2:$U$501,1))</f>
        <v/>
      </c>
      <c r="O129" s="44" t="str">
        <f aca="false">IF(D129="","",IF(OR(A129="",COUNTIFS(Scoresheet!$C$2:$C$501,A129,Scoresheet!$U$2:$U$501,1)=0),"No scoresheet yet",IF(SUMIFS(Scoresheet!$N$2:$N$501,Scoresheet!$C$2:$C$501,A129,Scoresheet!$U$2:$U$501,1)&lt;6,"Partly scored ("&amp;SUMIFS(Scoresheet!$N$2:$N$501,Scoresheet!$C$2:$C$501,A129,Scoresheet!$U$2:$U$501,1)&amp;"/6)",IF(N129&gt;=Settings!$S$8,"Hot",IF(N129&gt;=Settings!$S$9,"Warm","Cold")))))</f>
        <v/>
      </c>
      <c r="P129" s="44" t="str">
        <f aca="false">IF(OR(D129="",A129=""),"",IF(AND(COUNTIFS(Scoresheet!$C$2:$C$501,A129,Scoresheet!$U$2:$U$501,1,Scoresheet!$H$2:$H$501,"No")&gt;0,COUNTIFS(Scoresheet!$C$2:$C$501,A129,Scoresheet!$U$2:$U$501,1,Scoresheet!$J$2:$J$501,"No")&gt;0),"🚩 Budget  ·  🚩 No one on camera",IF(COUNTIFS(Scoresheet!$C$2:$C$501,A129,Scoresheet!$U$2:$U$501,1,Scoresheet!$H$2:$H$501,"No")&gt;0,"🚩 Budget under AED 5k",IF(COUNTIFS(Scoresheet!$C$2:$C$501,A129,Scoresheet!$U$2:$U$501,1,Scoresheet!$J$2:$J$501,"No")&gt;0,"🚩 No one on camera",""))))</f>
        <v/>
      </c>
      <c r="Q129" s="17"/>
      <c r="R129" s="17"/>
      <c r="S129" s="40"/>
      <c r="T129" s="17"/>
      <c r="U129" s="45" t="str">
        <f aca="false">IF(OR(D129="",S129="",OR(R129="Contract signed + paid",R129="Closed – No response",R129="Lost"),N(T129)&gt;=Settings!$S$3),"",S129+Settings!$S$2)</f>
        <v/>
      </c>
      <c r="V129" s="40"/>
      <c r="W129" s="41"/>
      <c r="X129" s="17"/>
      <c r="Y129" s="17"/>
      <c r="Z129" s="17"/>
      <c r="AA129" s="46" t="str">
        <f aca="true">IF(OR(D129="",B129=""),"",INT(TODAY()-B129))</f>
        <v/>
      </c>
      <c r="AB129" s="44" t="str">
        <f aca="true">IF(D129="","",IF(OR(COUNTIFS(Clients!$C$2:$C$501,D129,Clients!$S$2:$S$501,"Paid")&gt;0,AND(H129&lt;&gt;"",COUNTIFS(Clients!$E$2:$E$501,H129,Clients!$S$2:$S$501,"Paid")&gt;0)),"⚠ Refunded before – no free video",IF(OR(R129="Contract signed + paid",R129="Closed – No response",R129="Lost"),"",IF(R129="","Set a stage",IF(AND(R129="Proposal sent",SUMIFS(Scoresheet!$N$2:$N$501,Scoresheet!$C$2:$C$501,A129,Scoresheet!$U$2:$U$501,1)&lt;6),"Score this lead – fill the call scoresheet",IF(N(T129)&gt;=Settings!$S$3,"Close – 4 follow-ups sent",IF(U129="",IF(S129="","Make first contact",""),IF(TODAY()&gt;U129,"OVERDUE follow-up",IF(TODAY()=U129,"Follow up today","")))))))))</f>
        <v/>
      </c>
    </row>
    <row r="130" customFormat="false" ht="15" hidden="false" customHeight="false" outlineLevel="0" collapsed="false">
      <c r="A130" s="17"/>
      <c r="B130" s="40"/>
      <c r="C130" s="17"/>
      <c r="D130" s="17"/>
      <c r="E130" s="17"/>
      <c r="F130" s="17"/>
      <c r="G130" s="17"/>
      <c r="H130" s="42"/>
      <c r="I130" s="17"/>
      <c r="J130" s="17"/>
      <c r="K130" s="17"/>
      <c r="L130" s="17"/>
      <c r="M130" s="17"/>
      <c r="N130" s="44" t="str">
        <f aca="false">IF(OR(D130="",A130="",COUNTIFS(Scoresheet!$C$2:$C$501,A130,Scoresheet!$U$2:$U$501,1)=0),"",SUMIFS(Scoresheet!$O$2:$O$501,Scoresheet!$C$2:$C$501,A130,Scoresheet!$U$2:$U$501,1))</f>
        <v/>
      </c>
      <c r="O130" s="44" t="str">
        <f aca="false">IF(D130="","",IF(OR(A130="",COUNTIFS(Scoresheet!$C$2:$C$501,A130,Scoresheet!$U$2:$U$501,1)=0),"No scoresheet yet",IF(SUMIFS(Scoresheet!$N$2:$N$501,Scoresheet!$C$2:$C$501,A130,Scoresheet!$U$2:$U$501,1)&lt;6,"Partly scored ("&amp;SUMIFS(Scoresheet!$N$2:$N$501,Scoresheet!$C$2:$C$501,A130,Scoresheet!$U$2:$U$501,1)&amp;"/6)",IF(N130&gt;=Settings!$S$8,"Hot",IF(N130&gt;=Settings!$S$9,"Warm","Cold")))))</f>
        <v/>
      </c>
      <c r="P130" s="44" t="str">
        <f aca="false">IF(OR(D130="",A130=""),"",IF(AND(COUNTIFS(Scoresheet!$C$2:$C$501,A130,Scoresheet!$U$2:$U$501,1,Scoresheet!$H$2:$H$501,"No")&gt;0,COUNTIFS(Scoresheet!$C$2:$C$501,A130,Scoresheet!$U$2:$U$501,1,Scoresheet!$J$2:$J$501,"No")&gt;0),"🚩 Budget  ·  🚩 No one on camera",IF(COUNTIFS(Scoresheet!$C$2:$C$501,A130,Scoresheet!$U$2:$U$501,1,Scoresheet!$H$2:$H$501,"No")&gt;0,"🚩 Budget under AED 5k",IF(COUNTIFS(Scoresheet!$C$2:$C$501,A130,Scoresheet!$U$2:$U$501,1,Scoresheet!$J$2:$J$501,"No")&gt;0,"🚩 No one on camera",""))))</f>
        <v/>
      </c>
      <c r="Q130" s="17"/>
      <c r="R130" s="17"/>
      <c r="S130" s="40"/>
      <c r="T130" s="17"/>
      <c r="U130" s="45" t="str">
        <f aca="false">IF(OR(D130="",S130="",OR(R130="Contract signed + paid",R130="Closed – No response",R130="Lost"),N(T130)&gt;=Settings!$S$3),"",S130+Settings!$S$2)</f>
        <v/>
      </c>
      <c r="V130" s="40"/>
      <c r="W130" s="41"/>
      <c r="X130" s="17"/>
      <c r="Y130" s="17"/>
      <c r="Z130" s="17"/>
      <c r="AA130" s="46" t="str">
        <f aca="true">IF(OR(D130="",B130=""),"",INT(TODAY()-B130))</f>
        <v/>
      </c>
      <c r="AB130" s="44" t="str">
        <f aca="true">IF(D130="","",IF(OR(COUNTIFS(Clients!$C$2:$C$501,D130,Clients!$S$2:$S$501,"Paid")&gt;0,AND(H130&lt;&gt;"",COUNTIFS(Clients!$E$2:$E$501,H130,Clients!$S$2:$S$501,"Paid")&gt;0)),"⚠ Refunded before – no free video",IF(OR(R130="Contract signed + paid",R130="Closed – No response",R130="Lost"),"",IF(R130="","Set a stage",IF(AND(R130="Proposal sent",SUMIFS(Scoresheet!$N$2:$N$501,Scoresheet!$C$2:$C$501,A130,Scoresheet!$U$2:$U$501,1)&lt;6),"Score this lead – fill the call scoresheet",IF(N(T130)&gt;=Settings!$S$3,"Close – 4 follow-ups sent",IF(U130="",IF(S130="","Make first contact",""),IF(TODAY()&gt;U130,"OVERDUE follow-up",IF(TODAY()=U130,"Follow up today","")))))))))</f>
        <v/>
      </c>
    </row>
    <row r="131" customFormat="false" ht="15" hidden="false" customHeight="false" outlineLevel="0" collapsed="false">
      <c r="A131" s="17"/>
      <c r="B131" s="40"/>
      <c r="C131" s="17"/>
      <c r="D131" s="17"/>
      <c r="E131" s="17"/>
      <c r="F131" s="17"/>
      <c r="G131" s="17"/>
      <c r="H131" s="42"/>
      <c r="I131" s="17"/>
      <c r="J131" s="17"/>
      <c r="K131" s="17"/>
      <c r="L131" s="17"/>
      <c r="M131" s="17"/>
      <c r="N131" s="44" t="str">
        <f aca="false">IF(OR(D131="",A131="",COUNTIFS(Scoresheet!$C$2:$C$501,A131,Scoresheet!$U$2:$U$501,1)=0),"",SUMIFS(Scoresheet!$O$2:$O$501,Scoresheet!$C$2:$C$501,A131,Scoresheet!$U$2:$U$501,1))</f>
        <v/>
      </c>
      <c r="O131" s="44" t="str">
        <f aca="false">IF(D131="","",IF(OR(A131="",COUNTIFS(Scoresheet!$C$2:$C$501,A131,Scoresheet!$U$2:$U$501,1)=0),"No scoresheet yet",IF(SUMIFS(Scoresheet!$N$2:$N$501,Scoresheet!$C$2:$C$501,A131,Scoresheet!$U$2:$U$501,1)&lt;6,"Partly scored ("&amp;SUMIFS(Scoresheet!$N$2:$N$501,Scoresheet!$C$2:$C$501,A131,Scoresheet!$U$2:$U$501,1)&amp;"/6)",IF(N131&gt;=Settings!$S$8,"Hot",IF(N131&gt;=Settings!$S$9,"Warm","Cold")))))</f>
        <v/>
      </c>
      <c r="P131" s="44" t="str">
        <f aca="false">IF(OR(D131="",A131=""),"",IF(AND(COUNTIFS(Scoresheet!$C$2:$C$501,A131,Scoresheet!$U$2:$U$501,1,Scoresheet!$H$2:$H$501,"No")&gt;0,COUNTIFS(Scoresheet!$C$2:$C$501,A131,Scoresheet!$U$2:$U$501,1,Scoresheet!$J$2:$J$501,"No")&gt;0),"🚩 Budget  ·  🚩 No one on camera",IF(COUNTIFS(Scoresheet!$C$2:$C$501,A131,Scoresheet!$U$2:$U$501,1,Scoresheet!$H$2:$H$501,"No")&gt;0,"🚩 Budget under AED 5k",IF(COUNTIFS(Scoresheet!$C$2:$C$501,A131,Scoresheet!$U$2:$U$501,1,Scoresheet!$J$2:$J$501,"No")&gt;0,"🚩 No one on camera",""))))</f>
        <v/>
      </c>
      <c r="Q131" s="17"/>
      <c r="R131" s="17"/>
      <c r="S131" s="40"/>
      <c r="T131" s="17"/>
      <c r="U131" s="45" t="str">
        <f aca="false">IF(OR(D131="",S131="",OR(R131="Contract signed + paid",R131="Closed – No response",R131="Lost"),N(T131)&gt;=Settings!$S$3),"",S131+Settings!$S$2)</f>
        <v/>
      </c>
      <c r="V131" s="40"/>
      <c r="W131" s="41"/>
      <c r="X131" s="17"/>
      <c r="Y131" s="17"/>
      <c r="Z131" s="17"/>
      <c r="AA131" s="46" t="str">
        <f aca="true">IF(OR(D131="",B131=""),"",INT(TODAY()-B131))</f>
        <v/>
      </c>
      <c r="AB131" s="44" t="str">
        <f aca="true">IF(D131="","",IF(OR(COUNTIFS(Clients!$C$2:$C$501,D131,Clients!$S$2:$S$501,"Paid")&gt;0,AND(H131&lt;&gt;"",COUNTIFS(Clients!$E$2:$E$501,H131,Clients!$S$2:$S$501,"Paid")&gt;0)),"⚠ Refunded before – no free video",IF(OR(R131="Contract signed + paid",R131="Closed – No response",R131="Lost"),"",IF(R131="","Set a stage",IF(AND(R131="Proposal sent",SUMIFS(Scoresheet!$N$2:$N$501,Scoresheet!$C$2:$C$501,A131,Scoresheet!$U$2:$U$501,1)&lt;6),"Score this lead – fill the call scoresheet",IF(N(T131)&gt;=Settings!$S$3,"Close – 4 follow-ups sent",IF(U131="",IF(S131="","Make first contact",""),IF(TODAY()&gt;U131,"OVERDUE follow-up",IF(TODAY()=U131,"Follow up today","")))))))))</f>
        <v/>
      </c>
    </row>
    <row r="132" customFormat="false" ht="15" hidden="false" customHeight="false" outlineLevel="0" collapsed="false">
      <c r="A132" s="17"/>
      <c r="B132" s="40"/>
      <c r="C132" s="17"/>
      <c r="D132" s="17"/>
      <c r="E132" s="17"/>
      <c r="F132" s="17"/>
      <c r="G132" s="17"/>
      <c r="H132" s="42"/>
      <c r="I132" s="17"/>
      <c r="J132" s="17"/>
      <c r="K132" s="17"/>
      <c r="L132" s="17"/>
      <c r="M132" s="17"/>
      <c r="N132" s="44" t="str">
        <f aca="false">IF(OR(D132="",A132="",COUNTIFS(Scoresheet!$C$2:$C$501,A132,Scoresheet!$U$2:$U$501,1)=0),"",SUMIFS(Scoresheet!$O$2:$O$501,Scoresheet!$C$2:$C$501,A132,Scoresheet!$U$2:$U$501,1))</f>
        <v/>
      </c>
      <c r="O132" s="44" t="str">
        <f aca="false">IF(D132="","",IF(OR(A132="",COUNTIFS(Scoresheet!$C$2:$C$501,A132,Scoresheet!$U$2:$U$501,1)=0),"No scoresheet yet",IF(SUMIFS(Scoresheet!$N$2:$N$501,Scoresheet!$C$2:$C$501,A132,Scoresheet!$U$2:$U$501,1)&lt;6,"Partly scored ("&amp;SUMIFS(Scoresheet!$N$2:$N$501,Scoresheet!$C$2:$C$501,A132,Scoresheet!$U$2:$U$501,1)&amp;"/6)",IF(N132&gt;=Settings!$S$8,"Hot",IF(N132&gt;=Settings!$S$9,"Warm","Cold")))))</f>
        <v/>
      </c>
      <c r="P132" s="44" t="str">
        <f aca="false">IF(OR(D132="",A132=""),"",IF(AND(COUNTIFS(Scoresheet!$C$2:$C$501,A132,Scoresheet!$U$2:$U$501,1,Scoresheet!$H$2:$H$501,"No")&gt;0,COUNTIFS(Scoresheet!$C$2:$C$501,A132,Scoresheet!$U$2:$U$501,1,Scoresheet!$J$2:$J$501,"No")&gt;0),"🚩 Budget  ·  🚩 No one on camera",IF(COUNTIFS(Scoresheet!$C$2:$C$501,A132,Scoresheet!$U$2:$U$501,1,Scoresheet!$H$2:$H$501,"No")&gt;0,"🚩 Budget under AED 5k",IF(COUNTIFS(Scoresheet!$C$2:$C$501,A132,Scoresheet!$U$2:$U$501,1,Scoresheet!$J$2:$J$501,"No")&gt;0,"🚩 No one on camera",""))))</f>
        <v/>
      </c>
      <c r="Q132" s="17"/>
      <c r="R132" s="17"/>
      <c r="S132" s="40"/>
      <c r="T132" s="17"/>
      <c r="U132" s="45" t="str">
        <f aca="false">IF(OR(D132="",S132="",OR(R132="Contract signed + paid",R132="Closed – No response",R132="Lost"),N(T132)&gt;=Settings!$S$3),"",S132+Settings!$S$2)</f>
        <v/>
      </c>
      <c r="V132" s="40"/>
      <c r="W132" s="41"/>
      <c r="X132" s="17"/>
      <c r="Y132" s="17"/>
      <c r="Z132" s="17"/>
      <c r="AA132" s="46" t="str">
        <f aca="true">IF(OR(D132="",B132=""),"",INT(TODAY()-B132))</f>
        <v/>
      </c>
      <c r="AB132" s="44" t="str">
        <f aca="true">IF(D132="","",IF(OR(COUNTIFS(Clients!$C$2:$C$501,D132,Clients!$S$2:$S$501,"Paid")&gt;0,AND(H132&lt;&gt;"",COUNTIFS(Clients!$E$2:$E$501,H132,Clients!$S$2:$S$501,"Paid")&gt;0)),"⚠ Refunded before – no free video",IF(OR(R132="Contract signed + paid",R132="Closed – No response",R132="Lost"),"",IF(R132="","Set a stage",IF(AND(R132="Proposal sent",SUMIFS(Scoresheet!$N$2:$N$501,Scoresheet!$C$2:$C$501,A132,Scoresheet!$U$2:$U$501,1)&lt;6),"Score this lead – fill the call scoresheet",IF(N(T132)&gt;=Settings!$S$3,"Close – 4 follow-ups sent",IF(U132="",IF(S132="","Make first contact",""),IF(TODAY()&gt;U132,"OVERDUE follow-up",IF(TODAY()=U132,"Follow up today","")))))))))</f>
        <v/>
      </c>
    </row>
    <row r="133" customFormat="false" ht="15" hidden="false" customHeight="false" outlineLevel="0" collapsed="false">
      <c r="A133" s="17"/>
      <c r="B133" s="40"/>
      <c r="C133" s="17"/>
      <c r="D133" s="17"/>
      <c r="E133" s="17"/>
      <c r="F133" s="17"/>
      <c r="G133" s="17"/>
      <c r="H133" s="42"/>
      <c r="I133" s="17"/>
      <c r="J133" s="17"/>
      <c r="K133" s="17"/>
      <c r="L133" s="17"/>
      <c r="M133" s="17"/>
      <c r="N133" s="44" t="str">
        <f aca="false">IF(OR(D133="",A133="",COUNTIFS(Scoresheet!$C$2:$C$501,A133,Scoresheet!$U$2:$U$501,1)=0),"",SUMIFS(Scoresheet!$O$2:$O$501,Scoresheet!$C$2:$C$501,A133,Scoresheet!$U$2:$U$501,1))</f>
        <v/>
      </c>
      <c r="O133" s="44" t="str">
        <f aca="false">IF(D133="","",IF(OR(A133="",COUNTIFS(Scoresheet!$C$2:$C$501,A133,Scoresheet!$U$2:$U$501,1)=0),"No scoresheet yet",IF(SUMIFS(Scoresheet!$N$2:$N$501,Scoresheet!$C$2:$C$501,A133,Scoresheet!$U$2:$U$501,1)&lt;6,"Partly scored ("&amp;SUMIFS(Scoresheet!$N$2:$N$501,Scoresheet!$C$2:$C$501,A133,Scoresheet!$U$2:$U$501,1)&amp;"/6)",IF(N133&gt;=Settings!$S$8,"Hot",IF(N133&gt;=Settings!$S$9,"Warm","Cold")))))</f>
        <v/>
      </c>
      <c r="P133" s="44" t="str">
        <f aca="false">IF(OR(D133="",A133=""),"",IF(AND(COUNTIFS(Scoresheet!$C$2:$C$501,A133,Scoresheet!$U$2:$U$501,1,Scoresheet!$H$2:$H$501,"No")&gt;0,COUNTIFS(Scoresheet!$C$2:$C$501,A133,Scoresheet!$U$2:$U$501,1,Scoresheet!$J$2:$J$501,"No")&gt;0),"🚩 Budget  ·  🚩 No one on camera",IF(COUNTIFS(Scoresheet!$C$2:$C$501,A133,Scoresheet!$U$2:$U$501,1,Scoresheet!$H$2:$H$501,"No")&gt;0,"🚩 Budget under AED 5k",IF(COUNTIFS(Scoresheet!$C$2:$C$501,A133,Scoresheet!$U$2:$U$501,1,Scoresheet!$J$2:$J$501,"No")&gt;0,"🚩 No one on camera",""))))</f>
        <v/>
      </c>
      <c r="Q133" s="17"/>
      <c r="R133" s="17"/>
      <c r="S133" s="40"/>
      <c r="T133" s="17"/>
      <c r="U133" s="45" t="str">
        <f aca="false">IF(OR(D133="",S133="",OR(R133="Contract signed + paid",R133="Closed – No response",R133="Lost"),N(T133)&gt;=Settings!$S$3),"",S133+Settings!$S$2)</f>
        <v/>
      </c>
      <c r="V133" s="40"/>
      <c r="W133" s="41"/>
      <c r="X133" s="17"/>
      <c r="Y133" s="17"/>
      <c r="Z133" s="17"/>
      <c r="AA133" s="46" t="str">
        <f aca="true">IF(OR(D133="",B133=""),"",INT(TODAY()-B133))</f>
        <v/>
      </c>
      <c r="AB133" s="44" t="str">
        <f aca="true">IF(D133="","",IF(OR(COUNTIFS(Clients!$C$2:$C$501,D133,Clients!$S$2:$S$501,"Paid")&gt;0,AND(H133&lt;&gt;"",COUNTIFS(Clients!$E$2:$E$501,H133,Clients!$S$2:$S$501,"Paid")&gt;0)),"⚠ Refunded before – no free video",IF(OR(R133="Contract signed + paid",R133="Closed – No response",R133="Lost"),"",IF(R133="","Set a stage",IF(AND(R133="Proposal sent",SUMIFS(Scoresheet!$N$2:$N$501,Scoresheet!$C$2:$C$501,A133,Scoresheet!$U$2:$U$501,1)&lt;6),"Score this lead – fill the call scoresheet",IF(N(T133)&gt;=Settings!$S$3,"Close – 4 follow-ups sent",IF(U133="",IF(S133="","Make first contact",""),IF(TODAY()&gt;U133,"OVERDUE follow-up",IF(TODAY()=U133,"Follow up today","")))))))))</f>
        <v/>
      </c>
    </row>
    <row r="134" customFormat="false" ht="15" hidden="false" customHeight="false" outlineLevel="0" collapsed="false">
      <c r="A134" s="17"/>
      <c r="B134" s="40"/>
      <c r="C134" s="17"/>
      <c r="D134" s="17"/>
      <c r="E134" s="17"/>
      <c r="F134" s="17"/>
      <c r="G134" s="17"/>
      <c r="H134" s="42"/>
      <c r="I134" s="17"/>
      <c r="J134" s="17"/>
      <c r="K134" s="17"/>
      <c r="L134" s="17"/>
      <c r="M134" s="17"/>
      <c r="N134" s="44" t="str">
        <f aca="false">IF(OR(D134="",A134="",COUNTIFS(Scoresheet!$C$2:$C$501,A134,Scoresheet!$U$2:$U$501,1)=0),"",SUMIFS(Scoresheet!$O$2:$O$501,Scoresheet!$C$2:$C$501,A134,Scoresheet!$U$2:$U$501,1))</f>
        <v/>
      </c>
      <c r="O134" s="44" t="str">
        <f aca="false">IF(D134="","",IF(OR(A134="",COUNTIFS(Scoresheet!$C$2:$C$501,A134,Scoresheet!$U$2:$U$501,1)=0),"No scoresheet yet",IF(SUMIFS(Scoresheet!$N$2:$N$501,Scoresheet!$C$2:$C$501,A134,Scoresheet!$U$2:$U$501,1)&lt;6,"Partly scored ("&amp;SUMIFS(Scoresheet!$N$2:$N$501,Scoresheet!$C$2:$C$501,A134,Scoresheet!$U$2:$U$501,1)&amp;"/6)",IF(N134&gt;=Settings!$S$8,"Hot",IF(N134&gt;=Settings!$S$9,"Warm","Cold")))))</f>
        <v/>
      </c>
      <c r="P134" s="44" t="str">
        <f aca="false">IF(OR(D134="",A134=""),"",IF(AND(COUNTIFS(Scoresheet!$C$2:$C$501,A134,Scoresheet!$U$2:$U$501,1,Scoresheet!$H$2:$H$501,"No")&gt;0,COUNTIFS(Scoresheet!$C$2:$C$501,A134,Scoresheet!$U$2:$U$501,1,Scoresheet!$J$2:$J$501,"No")&gt;0),"🚩 Budget  ·  🚩 No one on camera",IF(COUNTIFS(Scoresheet!$C$2:$C$501,A134,Scoresheet!$U$2:$U$501,1,Scoresheet!$H$2:$H$501,"No")&gt;0,"🚩 Budget under AED 5k",IF(COUNTIFS(Scoresheet!$C$2:$C$501,A134,Scoresheet!$U$2:$U$501,1,Scoresheet!$J$2:$J$501,"No")&gt;0,"🚩 No one on camera",""))))</f>
        <v/>
      </c>
      <c r="Q134" s="17"/>
      <c r="R134" s="17"/>
      <c r="S134" s="40"/>
      <c r="T134" s="17"/>
      <c r="U134" s="45" t="str">
        <f aca="false">IF(OR(D134="",S134="",OR(R134="Contract signed + paid",R134="Closed – No response",R134="Lost"),N(T134)&gt;=Settings!$S$3),"",S134+Settings!$S$2)</f>
        <v/>
      </c>
      <c r="V134" s="40"/>
      <c r="W134" s="41"/>
      <c r="X134" s="17"/>
      <c r="Y134" s="17"/>
      <c r="Z134" s="17"/>
      <c r="AA134" s="46" t="str">
        <f aca="true">IF(OR(D134="",B134=""),"",INT(TODAY()-B134))</f>
        <v/>
      </c>
      <c r="AB134" s="44" t="str">
        <f aca="true">IF(D134="","",IF(OR(COUNTIFS(Clients!$C$2:$C$501,D134,Clients!$S$2:$S$501,"Paid")&gt;0,AND(H134&lt;&gt;"",COUNTIFS(Clients!$E$2:$E$501,H134,Clients!$S$2:$S$501,"Paid")&gt;0)),"⚠ Refunded before – no free video",IF(OR(R134="Contract signed + paid",R134="Closed – No response",R134="Lost"),"",IF(R134="","Set a stage",IF(AND(R134="Proposal sent",SUMIFS(Scoresheet!$N$2:$N$501,Scoresheet!$C$2:$C$501,A134,Scoresheet!$U$2:$U$501,1)&lt;6),"Score this lead – fill the call scoresheet",IF(N(T134)&gt;=Settings!$S$3,"Close – 4 follow-ups sent",IF(U134="",IF(S134="","Make first contact",""),IF(TODAY()&gt;U134,"OVERDUE follow-up",IF(TODAY()=U134,"Follow up today","")))))))))</f>
        <v/>
      </c>
    </row>
    <row r="135" customFormat="false" ht="15" hidden="false" customHeight="false" outlineLevel="0" collapsed="false">
      <c r="A135" s="17"/>
      <c r="B135" s="40"/>
      <c r="C135" s="17"/>
      <c r="D135" s="17"/>
      <c r="E135" s="17"/>
      <c r="F135" s="17"/>
      <c r="G135" s="17"/>
      <c r="H135" s="42"/>
      <c r="I135" s="17"/>
      <c r="J135" s="17"/>
      <c r="K135" s="17"/>
      <c r="L135" s="17"/>
      <c r="M135" s="17"/>
      <c r="N135" s="44" t="str">
        <f aca="false">IF(OR(D135="",A135="",COUNTIFS(Scoresheet!$C$2:$C$501,A135,Scoresheet!$U$2:$U$501,1)=0),"",SUMIFS(Scoresheet!$O$2:$O$501,Scoresheet!$C$2:$C$501,A135,Scoresheet!$U$2:$U$501,1))</f>
        <v/>
      </c>
      <c r="O135" s="44" t="str">
        <f aca="false">IF(D135="","",IF(OR(A135="",COUNTIFS(Scoresheet!$C$2:$C$501,A135,Scoresheet!$U$2:$U$501,1)=0),"No scoresheet yet",IF(SUMIFS(Scoresheet!$N$2:$N$501,Scoresheet!$C$2:$C$501,A135,Scoresheet!$U$2:$U$501,1)&lt;6,"Partly scored ("&amp;SUMIFS(Scoresheet!$N$2:$N$501,Scoresheet!$C$2:$C$501,A135,Scoresheet!$U$2:$U$501,1)&amp;"/6)",IF(N135&gt;=Settings!$S$8,"Hot",IF(N135&gt;=Settings!$S$9,"Warm","Cold")))))</f>
        <v/>
      </c>
      <c r="P135" s="44" t="str">
        <f aca="false">IF(OR(D135="",A135=""),"",IF(AND(COUNTIFS(Scoresheet!$C$2:$C$501,A135,Scoresheet!$U$2:$U$501,1,Scoresheet!$H$2:$H$501,"No")&gt;0,COUNTIFS(Scoresheet!$C$2:$C$501,A135,Scoresheet!$U$2:$U$501,1,Scoresheet!$J$2:$J$501,"No")&gt;0),"🚩 Budget  ·  🚩 No one on camera",IF(COUNTIFS(Scoresheet!$C$2:$C$501,A135,Scoresheet!$U$2:$U$501,1,Scoresheet!$H$2:$H$501,"No")&gt;0,"🚩 Budget under AED 5k",IF(COUNTIFS(Scoresheet!$C$2:$C$501,A135,Scoresheet!$U$2:$U$501,1,Scoresheet!$J$2:$J$501,"No")&gt;0,"🚩 No one on camera",""))))</f>
        <v/>
      </c>
      <c r="Q135" s="17"/>
      <c r="R135" s="17"/>
      <c r="S135" s="40"/>
      <c r="T135" s="17"/>
      <c r="U135" s="45" t="str">
        <f aca="false">IF(OR(D135="",S135="",OR(R135="Contract signed + paid",R135="Closed – No response",R135="Lost"),N(T135)&gt;=Settings!$S$3),"",S135+Settings!$S$2)</f>
        <v/>
      </c>
      <c r="V135" s="40"/>
      <c r="W135" s="41"/>
      <c r="X135" s="17"/>
      <c r="Y135" s="17"/>
      <c r="Z135" s="17"/>
      <c r="AA135" s="46" t="str">
        <f aca="true">IF(OR(D135="",B135=""),"",INT(TODAY()-B135))</f>
        <v/>
      </c>
      <c r="AB135" s="44" t="str">
        <f aca="true">IF(D135="","",IF(OR(COUNTIFS(Clients!$C$2:$C$501,D135,Clients!$S$2:$S$501,"Paid")&gt;0,AND(H135&lt;&gt;"",COUNTIFS(Clients!$E$2:$E$501,H135,Clients!$S$2:$S$501,"Paid")&gt;0)),"⚠ Refunded before – no free video",IF(OR(R135="Contract signed + paid",R135="Closed – No response",R135="Lost"),"",IF(R135="","Set a stage",IF(AND(R135="Proposal sent",SUMIFS(Scoresheet!$N$2:$N$501,Scoresheet!$C$2:$C$501,A135,Scoresheet!$U$2:$U$501,1)&lt;6),"Score this lead – fill the call scoresheet",IF(N(T135)&gt;=Settings!$S$3,"Close – 4 follow-ups sent",IF(U135="",IF(S135="","Make first contact",""),IF(TODAY()&gt;U135,"OVERDUE follow-up",IF(TODAY()=U135,"Follow up today","")))))))))</f>
        <v/>
      </c>
    </row>
    <row r="136" customFormat="false" ht="15" hidden="false" customHeight="false" outlineLevel="0" collapsed="false">
      <c r="A136" s="17"/>
      <c r="B136" s="40"/>
      <c r="C136" s="17"/>
      <c r="D136" s="17"/>
      <c r="E136" s="17"/>
      <c r="F136" s="17"/>
      <c r="G136" s="17"/>
      <c r="H136" s="42"/>
      <c r="I136" s="17"/>
      <c r="J136" s="17"/>
      <c r="K136" s="17"/>
      <c r="L136" s="17"/>
      <c r="M136" s="17"/>
      <c r="N136" s="44" t="str">
        <f aca="false">IF(OR(D136="",A136="",COUNTIFS(Scoresheet!$C$2:$C$501,A136,Scoresheet!$U$2:$U$501,1)=0),"",SUMIFS(Scoresheet!$O$2:$O$501,Scoresheet!$C$2:$C$501,A136,Scoresheet!$U$2:$U$501,1))</f>
        <v/>
      </c>
      <c r="O136" s="44" t="str">
        <f aca="false">IF(D136="","",IF(OR(A136="",COUNTIFS(Scoresheet!$C$2:$C$501,A136,Scoresheet!$U$2:$U$501,1)=0),"No scoresheet yet",IF(SUMIFS(Scoresheet!$N$2:$N$501,Scoresheet!$C$2:$C$501,A136,Scoresheet!$U$2:$U$501,1)&lt;6,"Partly scored ("&amp;SUMIFS(Scoresheet!$N$2:$N$501,Scoresheet!$C$2:$C$501,A136,Scoresheet!$U$2:$U$501,1)&amp;"/6)",IF(N136&gt;=Settings!$S$8,"Hot",IF(N136&gt;=Settings!$S$9,"Warm","Cold")))))</f>
        <v/>
      </c>
      <c r="P136" s="44" t="str">
        <f aca="false">IF(OR(D136="",A136=""),"",IF(AND(COUNTIFS(Scoresheet!$C$2:$C$501,A136,Scoresheet!$U$2:$U$501,1,Scoresheet!$H$2:$H$501,"No")&gt;0,COUNTIFS(Scoresheet!$C$2:$C$501,A136,Scoresheet!$U$2:$U$501,1,Scoresheet!$J$2:$J$501,"No")&gt;0),"🚩 Budget  ·  🚩 No one on camera",IF(COUNTIFS(Scoresheet!$C$2:$C$501,A136,Scoresheet!$U$2:$U$501,1,Scoresheet!$H$2:$H$501,"No")&gt;0,"🚩 Budget under AED 5k",IF(COUNTIFS(Scoresheet!$C$2:$C$501,A136,Scoresheet!$U$2:$U$501,1,Scoresheet!$J$2:$J$501,"No")&gt;0,"🚩 No one on camera",""))))</f>
        <v/>
      </c>
      <c r="Q136" s="17"/>
      <c r="R136" s="17"/>
      <c r="S136" s="40"/>
      <c r="T136" s="17"/>
      <c r="U136" s="45" t="str">
        <f aca="false">IF(OR(D136="",S136="",OR(R136="Contract signed + paid",R136="Closed – No response",R136="Lost"),N(T136)&gt;=Settings!$S$3),"",S136+Settings!$S$2)</f>
        <v/>
      </c>
      <c r="V136" s="40"/>
      <c r="W136" s="41"/>
      <c r="X136" s="17"/>
      <c r="Y136" s="17"/>
      <c r="Z136" s="17"/>
      <c r="AA136" s="46" t="str">
        <f aca="true">IF(OR(D136="",B136=""),"",INT(TODAY()-B136))</f>
        <v/>
      </c>
      <c r="AB136" s="44" t="str">
        <f aca="true">IF(D136="","",IF(OR(COUNTIFS(Clients!$C$2:$C$501,D136,Clients!$S$2:$S$501,"Paid")&gt;0,AND(H136&lt;&gt;"",COUNTIFS(Clients!$E$2:$E$501,H136,Clients!$S$2:$S$501,"Paid")&gt;0)),"⚠ Refunded before – no free video",IF(OR(R136="Contract signed + paid",R136="Closed – No response",R136="Lost"),"",IF(R136="","Set a stage",IF(AND(R136="Proposal sent",SUMIFS(Scoresheet!$N$2:$N$501,Scoresheet!$C$2:$C$501,A136,Scoresheet!$U$2:$U$501,1)&lt;6),"Score this lead – fill the call scoresheet",IF(N(T136)&gt;=Settings!$S$3,"Close – 4 follow-ups sent",IF(U136="",IF(S136="","Make first contact",""),IF(TODAY()&gt;U136,"OVERDUE follow-up",IF(TODAY()=U136,"Follow up today","")))))))))</f>
        <v/>
      </c>
    </row>
    <row r="137" customFormat="false" ht="15" hidden="false" customHeight="false" outlineLevel="0" collapsed="false">
      <c r="A137" s="17"/>
      <c r="B137" s="40"/>
      <c r="C137" s="17"/>
      <c r="D137" s="17"/>
      <c r="E137" s="17"/>
      <c r="F137" s="17"/>
      <c r="G137" s="17"/>
      <c r="H137" s="42"/>
      <c r="I137" s="17"/>
      <c r="J137" s="17"/>
      <c r="K137" s="17"/>
      <c r="L137" s="17"/>
      <c r="M137" s="17"/>
      <c r="N137" s="44" t="str">
        <f aca="false">IF(OR(D137="",A137="",COUNTIFS(Scoresheet!$C$2:$C$501,A137,Scoresheet!$U$2:$U$501,1)=0),"",SUMIFS(Scoresheet!$O$2:$O$501,Scoresheet!$C$2:$C$501,A137,Scoresheet!$U$2:$U$501,1))</f>
        <v/>
      </c>
      <c r="O137" s="44" t="str">
        <f aca="false">IF(D137="","",IF(OR(A137="",COUNTIFS(Scoresheet!$C$2:$C$501,A137,Scoresheet!$U$2:$U$501,1)=0),"No scoresheet yet",IF(SUMIFS(Scoresheet!$N$2:$N$501,Scoresheet!$C$2:$C$501,A137,Scoresheet!$U$2:$U$501,1)&lt;6,"Partly scored ("&amp;SUMIFS(Scoresheet!$N$2:$N$501,Scoresheet!$C$2:$C$501,A137,Scoresheet!$U$2:$U$501,1)&amp;"/6)",IF(N137&gt;=Settings!$S$8,"Hot",IF(N137&gt;=Settings!$S$9,"Warm","Cold")))))</f>
        <v/>
      </c>
      <c r="P137" s="44" t="str">
        <f aca="false">IF(OR(D137="",A137=""),"",IF(AND(COUNTIFS(Scoresheet!$C$2:$C$501,A137,Scoresheet!$U$2:$U$501,1,Scoresheet!$H$2:$H$501,"No")&gt;0,COUNTIFS(Scoresheet!$C$2:$C$501,A137,Scoresheet!$U$2:$U$501,1,Scoresheet!$J$2:$J$501,"No")&gt;0),"🚩 Budget  ·  🚩 No one on camera",IF(COUNTIFS(Scoresheet!$C$2:$C$501,A137,Scoresheet!$U$2:$U$501,1,Scoresheet!$H$2:$H$501,"No")&gt;0,"🚩 Budget under AED 5k",IF(COUNTIFS(Scoresheet!$C$2:$C$501,A137,Scoresheet!$U$2:$U$501,1,Scoresheet!$J$2:$J$501,"No")&gt;0,"🚩 No one on camera",""))))</f>
        <v/>
      </c>
      <c r="Q137" s="17"/>
      <c r="R137" s="17"/>
      <c r="S137" s="40"/>
      <c r="T137" s="17"/>
      <c r="U137" s="45" t="str">
        <f aca="false">IF(OR(D137="",S137="",OR(R137="Contract signed + paid",R137="Closed – No response",R137="Lost"),N(T137)&gt;=Settings!$S$3),"",S137+Settings!$S$2)</f>
        <v/>
      </c>
      <c r="V137" s="40"/>
      <c r="W137" s="41"/>
      <c r="X137" s="17"/>
      <c r="Y137" s="17"/>
      <c r="Z137" s="17"/>
      <c r="AA137" s="46" t="str">
        <f aca="true">IF(OR(D137="",B137=""),"",INT(TODAY()-B137))</f>
        <v/>
      </c>
      <c r="AB137" s="44" t="str">
        <f aca="true">IF(D137="","",IF(OR(COUNTIFS(Clients!$C$2:$C$501,D137,Clients!$S$2:$S$501,"Paid")&gt;0,AND(H137&lt;&gt;"",COUNTIFS(Clients!$E$2:$E$501,H137,Clients!$S$2:$S$501,"Paid")&gt;0)),"⚠ Refunded before – no free video",IF(OR(R137="Contract signed + paid",R137="Closed – No response",R137="Lost"),"",IF(R137="","Set a stage",IF(AND(R137="Proposal sent",SUMIFS(Scoresheet!$N$2:$N$501,Scoresheet!$C$2:$C$501,A137,Scoresheet!$U$2:$U$501,1)&lt;6),"Score this lead – fill the call scoresheet",IF(N(T137)&gt;=Settings!$S$3,"Close – 4 follow-ups sent",IF(U137="",IF(S137="","Make first contact",""),IF(TODAY()&gt;U137,"OVERDUE follow-up",IF(TODAY()=U137,"Follow up today","")))))))))</f>
        <v/>
      </c>
    </row>
    <row r="138" customFormat="false" ht="15" hidden="false" customHeight="false" outlineLevel="0" collapsed="false">
      <c r="A138" s="17"/>
      <c r="B138" s="40"/>
      <c r="C138" s="17"/>
      <c r="D138" s="17"/>
      <c r="E138" s="17"/>
      <c r="F138" s="17"/>
      <c r="G138" s="17"/>
      <c r="H138" s="42"/>
      <c r="I138" s="17"/>
      <c r="J138" s="17"/>
      <c r="K138" s="17"/>
      <c r="L138" s="17"/>
      <c r="M138" s="17"/>
      <c r="N138" s="44" t="str">
        <f aca="false">IF(OR(D138="",A138="",COUNTIFS(Scoresheet!$C$2:$C$501,A138,Scoresheet!$U$2:$U$501,1)=0),"",SUMIFS(Scoresheet!$O$2:$O$501,Scoresheet!$C$2:$C$501,A138,Scoresheet!$U$2:$U$501,1))</f>
        <v/>
      </c>
      <c r="O138" s="44" t="str">
        <f aca="false">IF(D138="","",IF(OR(A138="",COUNTIFS(Scoresheet!$C$2:$C$501,A138,Scoresheet!$U$2:$U$501,1)=0),"No scoresheet yet",IF(SUMIFS(Scoresheet!$N$2:$N$501,Scoresheet!$C$2:$C$501,A138,Scoresheet!$U$2:$U$501,1)&lt;6,"Partly scored ("&amp;SUMIFS(Scoresheet!$N$2:$N$501,Scoresheet!$C$2:$C$501,A138,Scoresheet!$U$2:$U$501,1)&amp;"/6)",IF(N138&gt;=Settings!$S$8,"Hot",IF(N138&gt;=Settings!$S$9,"Warm","Cold")))))</f>
        <v/>
      </c>
      <c r="P138" s="44" t="str">
        <f aca="false">IF(OR(D138="",A138=""),"",IF(AND(COUNTIFS(Scoresheet!$C$2:$C$501,A138,Scoresheet!$U$2:$U$501,1,Scoresheet!$H$2:$H$501,"No")&gt;0,COUNTIFS(Scoresheet!$C$2:$C$501,A138,Scoresheet!$U$2:$U$501,1,Scoresheet!$J$2:$J$501,"No")&gt;0),"🚩 Budget  ·  🚩 No one on camera",IF(COUNTIFS(Scoresheet!$C$2:$C$501,A138,Scoresheet!$U$2:$U$501,1,Scoresheet!$H$2:$H$501,"No")&gt;0,"🚩 Budget under AED 5k",IF(COUNTIFS(Scoresheet!$C$2:$C$501,A138,Scoresheet!$U$2:$U$501,1,Scoresheet!$J$2:$J$501,"No")&gt;0,"🚩 No one on camera",""))))</f>
        <v/>
      </c>
      <c r="Q138" s="17"/>
      <c r="R138" s="17"/>
      <c r="S138" s="40"/>
      <c r="T138" s="17"/>
      <c r="U138" s="45" t="str">
        <f aca="false">IF(OR(D138="",S138="",OR(R138="Contract signed + paid",R138="Closed – No response",R138="Lost"),N(T138)&gt;=Settings!$S$3),"",S138+Settings!$S$2)</f>
        <v/>
      </c>
      <c r="V138" s="40"/>
      <c r="W138" s="41"/>
      <c r="X138" s="17"/>
      <c r="Y138" s="17"/>
      <c r="Z138" s="17"/>
      <c r="AA138" s="46" t="str">
        <f aca="true">IF(OR(D138="",B138=""),"",INT(TODAY()-B138))</f>
        <v/>
      </c>
      <c r="AB138" s="44" t="str">
        <f aca="true">IF(D138="","",IF(OR(COUNTIFS(Clients!$C$2:$C$501,D138,Clients!$S$2:$S$501,"Paid")&gt;0,AND(H138&lt;&gt;"",COUNTIFS(Clients!$E$2:$E$501,H138,Clients!$S$2:$S$501,"Paid")&gt;0)),"⚠ Refunded before – no free video",IF(OR(R138="Contract signed + paid",R138="Closed – No response",R138="Lost"),"",IF(R138="","Set a stage",IF(AND(R138="Proposal sent",SUMIFS(Scoresheet!$N$2:$N$501,Scoresheet!$C$2:$C$501,A138,Scoresheet!$U$2:$U$501,1)&lt;6),"Score this lead – fill the call scoresheet",IF(N(T138)&gt;=Settings!$S$3,"Close – 4 follow-ups sent",IF(U138="",IF(S138="","Make first contact",""),IF(TODAY()&gt;U138,"OVERDUE follow-up",IF(TODAY()=U138,"Follow up today","")))))))))</f>
        <v/>
      </c>
    </row>
    <row r="139" customFormat="false" ht="15" hidden="false" customHeight="false" outlineLevel="0" collapsed="false">
      <c r="A139" s="17"/>
      <c r="B139" s="40"/>
      <c r="C139" s="17"/>
      <c r="D139" s="17"/>
      <c r="E139" s="17"/>
      <c r="F139" s="17"/>
      <c r="G139" s="17"/>
      <c r="H139" s="42"/>
      <c r="I139" s="17"/>
      <c r="J139" s="17"/>
      <c r="K139" s="17"/>
      <c r="L139" s="17"/>
      <c r="M139" s="17"/>
      <c r="N139" s="44" t="str">
        <f aca="false">IF(OR(D139="",A139="",COUNTIFS(Scoresheet!$C$2:$C$501,A139,Scoresheet!$U$2:$U$501,1)=0),"",SUMIFS(Scoresheet!$O$2:$O$501,Scoresheet!$C$2:$C$501,A139,Scoresheet!$U$2:$U$501,1))</f>
        <v/>
      </c>
      <c r="O139" s="44" t="str">
        <f aca="false">IF(D139="","",IF(OR(A139="",COUNTIFS(Scoresheet!$C$2:$C$501,A139,Scoresheet!$U$2:$U$501,1)=0),"No scoresheet yet",IF(SUMIFS(Scoresheet!$N$2:$N$501,Scoresheet!$C$2:$C$501,A139,Scoresheet!$U$2:$U$501,1)&lt;6,"Partly scored ("&amp;SUMIFS(Scoresheet!$N$2:$N$501,Scoresheet!$C$2:$C$501,A139,Scoresheet!$U$2:$U$501,1)&amp;"/6)",IF(N139&gt;=Settings!$S$8,"Hot",IF(N139&gt;=Settings!$S$9,"Warm","Cold")))))</f>
        <v/>
      </c>
      <c r="P139" s="44" t="str">
        <f aca="false">IF(OR(D139="",A139=""),"",IF(AND(COUNTIFS(Scoresheet!$C$2:$C$501,A139,Scoresheet!$U$2:$U$501,1,Scoresheet!$H$2:$H$501,"No")&gt;0,COUNTIFS(Scoresheet!$C$2:$C$501,A139,Scoresheet!$U$2:$U$501,1,Scoresheet!$J$2:$J$501,"No")&gt;0),"🚩 Budget  ·  🚩 No one on camera",IF(COUNTIFS(Scoresheet!$C$2:$C$501,A139,Scoresheet!$U$2:$U$501,1,Scoresheet!$H$2:$H$501,"No")&gt;0,"🚩 Budget under AED 5k",IF(COUNTIFS(Scoresheet!$C$2:$C$501,A139,Scoresheet!$U$2:$U$501,1,Scoresheet!$J$2:$J$501,"No")&gt;0,"🚩 No one on camera",""))))</f>
        <v/>
      </c>
      <c r="Q139" s="17"/>
      <c r="R139" s="17"/>
      <c r="S139" s="40"/>
      <c r="T139" s="17"/>
      <c r="U139" s="45" t="str">
        <f aca="false">IF(OR(D139="",S139="",OR(R139="Contract signed + paid",R139="Closed – No response",R139="Lost"),N(T139)&gt;=Settings!$S$3),"",S139+Settings!$S$2)</f>
        <v/>
      </c>
      <c r="V139" s="40"/>
      <c r="W139" s="41"/>
      <c r="X139" s="17"/>
      <c r="Y139" s="17"/>
      <c r="Z139" s="17"/>
      <c r="AA139" s="46" t="str">
        <f aca="true">IF(OR(D139="",B139=""),"",INT(TODAY()-B139))</f>
        <v/>
      </c>
      <c r="AB139" s="44" t="str">
        <f aca="true">IF(D139="","",IF(OR(COUNTIFS(Clients!$C$2:$C$501,D139,Clients!$S$2:$S$501,"Paid")&gt;0,AND(H139&lt;&gt;"",COUNTIFS(Clients!$E$2:$E$501,H139,Clients!$S$2:$S$501,"Paid")&gt;0)),"⚠ Refunded before – no free video",IF(OR(R139="Contract signed + paid",R139="Closed – No response",R139="Lost"),"",IF(R139="","Set a stage",IF(AND(R139="Proposal sent",SUMIFS(Scoresheet!$N$2:$N$501,Scoresheet!$C$2:$C$501,A139,Scoresheet!$U$2:$U$501,1)&lt;6),"Score this lead – fill the call scoresheet",IF(N(T139)&gt;=Settings!$S$3,"Close – 4 follow-ups sent",IF(U139="",IF(S139="","Make first contact",""),IF(TODAY()&gt;U139,"OVERDUE follow-up",IF(TODAY()=U139,"Follow up today","")))))))))</f>
        <v/>
      </c>
    </row>
    <row r="140" customFormat="false" ht="15" hidden="false" customHeight="false" outlineLevel="0" collapsed="false">
      <c r="A140" s="17"/>
      <c r="B140" s="40"/>
      <c r="C140" s="17"/>
      <c r="D140" s="17"/>
      <c r="E140" s="17"/>
      <c r="F140" s="17"/>
      <c r="G140" s="17"/>
      <c r="H140" s="42"/>
      <c r="I140" s="17"/>
      <c r="J140" s="17"/>
      <c r="K140" s="17"/>
      <c r="L140" s="17"/>
      <c r="M140" s="17"/>
      <c r="N140" s="44" t="str">
        <f aca="false">IF(OR(D140="",A140="",COUNTIFS(Scoresheet!$C$2:$C$501,A140,Scoresheet!$U$2:$U$501,1)=0),"",SUMIFS(Scoresheet!$O$2:$O$501,Scoresheet!$C$2:$C$501,A140,Scoresheet!$U$2:$U$501,1))</f>
        <v/>
      </c>
      <c r="O140" s="44" t="str">
        <f aca="false">IF(D140="","",IF(OR(A140="",COUNTIFS(Scoresheet!$C$2:$C$501,A140,Scoresheet!$U$2:$U$501,1)=0),"No scoresheet yet",IF(SUMIFS(Scoresheet!$N$2:$N$501,Scoresheet!$C$2:$C$501,A140,Scoresheet!$U$2:$U$501,1)&lt;6,"Partly scored ("&amp;SUMIFS(Scoresheet!$N$2:$N$501,Scoresheet!$C$2:$C$501,A140,Scoresheet!$U$2:$U$501,1)&amp;"/6)",IF(N140&gt;=Settings!$S$8,"Hot",IF(N140&gt;=Settings!$S$9,"Warm","Cold")))))</f>
        <v/>
      </c>
      <c r="P140" s="44" t="str">
        <f aca="false">IF(OR(D140="",A140=""),"",IF(AND(COUNTIFS(Scoresheet!$C$2:$C$501,A140,Scoresheet!$U$2:$U$501,1,Scoresheet!$H$2:$H$501,"No")&gt;0,COUNTIFS(Scoresheet!$C$2:$C$501,A140,Scoresheet!$U$2:$U$501,1,Scoresheet!$J$2:$J$501,"No")&gt;0),"🚩 Budget  ·  🚩 No one on camera",IF(COUNTIFS(Scoresheet!$C$2:$C$501,A140,Scoresheet!$U$2:$U$501,1,Scoresheet!$H$2:$H$501,"No")&gt;0,"🚩 Budget under AED 5k",IF(COUNTIFS(Scoresheet!$C$2:$C$501,A140,Scoresheet!$U$2:$U$501,1,Scoresheet!$J$2:$J$501,"No")&gt;0,"🚩 No one on camera",""))))</f>
        <v/>
      </c>
      <c r="Q140" s="17"/>
      <c r="R140" s="17"/>
      <c r="S140" s="40"/>
      <c r="T140" s="17"/>
      <c r="U140" s="45" t="str">
        <f aca="false">IF(OR(D140="",S140="",OR(R140="Contract signed + paid",R140="Closed – No response",R140="Lost"),N(T140)&gt;=Settings!$S$3),"",S140+Settings!$S$2)</f>
        <v/>
      </c>
      <c r="V140" s="40"/>
      <c r="W140" s="41"/>
      <c r="X140" s="17"/>
      <c r="Y140" s="17"/>
      <c r="Z140" s="17"/>
      <c r="AA140" s="46" t="str">
        <f aca="true">IF(OR(D140="",B140=""),"",INT(TODAY()-B140))</f>
        <v/>
      </c>
      <c r="AB140" s="44" t="str">
        <f aca="true">IF(D140="","",IF(OR(COUNTIFS(Clients!$C$2:$C$501,D140,Clients!$S$2:$S$501,"Paid")&gt;0,AND(H140&lt;&gt;"",COUNTIFS(Clients!$E$2:$E$501,H140,Clients!$S$2:$S$501,"Paid")&gt;0)),"⚠ Refunded before – no free video",IF(OR(R140="Contract signed + paid",R140="Closed – No response",R140="Lost"),"",IF(R140="","Set a stage",IF(AND(R140="Proposal sent",SUMIFS(Scoresheet!$N$2:$N$501,Scoresheet!$C$2:$C$501,A140,Scoresheet!$U$2:$U$501,1)&lt;6),"Score this lead – fill the call scoresheet",IF(N(T140)&gt;=Settings!$S$3,"Close – 4 follow-ups sent",IF(U140="",IF(S140="","Make first contact",""),IF(TODAY()&gt;U140,"OVERDUE follow-up",IF(TODAY()=U140,"Follow up today","")))))))))</f>
        <v/>
      </c>
    </row>
    <row r="141" customFormat="false" ht="15" hidden="false" customHeight="false" outlineLevel="0" collapsed="false">
      <c r="A141" s="17"/>
      <c r="B141" s="40"/>
      <c r="C141" s="17"/>
      <c r="D141" s="17"/>
      <c r="E141" s="17"/>
      <c r="F141" s="17"/>
      <c r="G141" s="17"/>
      <c r="H141" s="42"/>
      <c r="I141" s="17"/>
      <c r="J141" s="17"/>
      <c r="K141" s="17"/>
      <c r="L141" s="17"/>
      <c r="M141" s="17"/>
      <c r="N141" s="44" t="str">
        <f aca="false">IF(OR(D141="",A141="",COUNTIFS(Scoresheet!$C$2:$C$501,A141,Scoresheet!$U$2:$U$501,1)=0),"",SUMIFS(Scoresheet!$O$2:$O$501,Scoresheet!$C$2:$C$501,A141,Scoresheet!$U$2:$U$501,1))</f>
        <v/>
      </c>
      <c r="O141" s="44" t="str">
        <f aca="false">IF(D141="","",IF(OR(A141="",COUNTIFS(Scoresheet!$C$2:$C$501,A141,Scoresheet!$U$2:$U$501,1)=0),"No scoresheet yet",IF(SUMIFS(Scoresheet!$N$2:$N$501,Scoresheet!$C$2:$C$501,A141,Scoresheet!$U$2:$U$501,1)&lt;6,"Partly scored ("&amp;SUMIFS(Scoresheet!$N$2:$N$501,Scoresheet!$C$2:$C$501,A141,Scoresheet!$U$2:$U$501,1)&amp;"/6)",IF(N141&gt;=Settings!$S$8,"Hot",IF(N141&gt;=Settings!$S$9,"Warm","Cold")))))</f>
        <v/>
      </c>
      <c r="P141" s="44" t="str">
        <f aca="false">IF(OR(D141="",A141=""),"",IF(AND(COUNTIFS(Scoresheet!$C$2:$C$501,A141,Scoresheet!$U$2:$U$501,1,Scoresheet!$H$2:$H$501,"No")&gt;0,COUNTIFS(Scoresheet!$C$2:$C$501,A141,Scoresheet!$U$2:$U$501,1,Scoresheet!$J$2:$J$501,"No")&gt;0),"🚩 Budget  ·  🚩 No one on camera",IF(COUNTIFS(Scoresheet!$C$2:$C$501,A141,Scoresheet!$U$2:$U$501,1,Scoresheet!$H$2:$H$501,"No")&gt;0,"🚩 Budget under AED 5k",IF(COUNTIFS(Scoresheet!$C$2:$C$501,A141,Scoresheet!$U$2:$U$501,1,Scoresheet!$J$2:$J$501,"No")&gt;0,"🚩 No one on camera",""))))</f>
        <v/>
      </c>
      <c r="Q141" s="17"/>
      <c r="R141" s="17"/>
      <c r="S141" s="40"/>
      <c r="T141" s="17"/>
      <c r="U141" s="45" t="str">
        <f aca="false">IF(OR(D141="",S141="",OR(R141="Contract signed + paid",R141="Closed – No response",R141="Lost"),N(T141)&gt;=Settings!$S$3),"",S141+Settings!$S$2)</f>
        <v/>
      </c>
      <c r="V141" s="40"/>
      <c r="W141" s="41"/>
      <c r="X141" s="17"/>
      <c r="Y141" s="17"/>
      <c r="Z141" s="17"/>
      <c r="AA141" s="46" t="str">
        <f aca="true">IF(OR(D141="",B141=""),"",INT(TODAY()-B141))</f>
        <v/>
      </c>
      <c r="AB141" s="44" t="str">
        <f aca="true">IF(D141="","",IF(OR(COUNTIFS(Clients!$C$2:$C$501,D141,Clients!$S$2:$S$501,"Paid")&gt;0,AND(H141&lt;&gt;"",COUNTIFS(Clients!$E$2:$E$501,H141,Clients!$S$2:$S$501,"Paid")&gt;0)),"⚠ Refunded before – no free video",IF(OR(R141="Contract signed + paid",R141="Closed – No response",R141="Lost"),"",IF(R141="","Set a stage",IF(AND(R141="Proposal sent",SUMIFS(Scoresheet!$N$2:$N$501,Scoresheet!$C$2:$C$501,A141,Scoresheet!$U$2:$U$501,1)&lt;6),"Score this lead – fill the call scoresheet",IF(N(T141)&gt;=Settings!$S$3,"Close – 4 follow-ups sent",IF(U141="",IF(S141="","Make first contact",""),IF(TODAY()&gt;U141,"OVERDUE follow-up",IF(TODAY()=U141,"Follow up today","")))))))))</f>
        <v/>
      </c>
    </row>
    <row r="142" customFormat="false" ht="15" hidden="false" customHeight="false" outlineLevel="0" collapsed="false">
      <c r="A142" s="17"/>
      <c r="B142" s="40"/>
      <c r="C142" s="17"/>
      <c r="D142" s="17"/>
      <c r="E142" s="17"/>
      <c r="F142" s="17"/>
      <c r="G142" s="17"/>
      <c r="H142" s="42"/>
      <c r="I142" s="17"/>
      <c r="J142" s="17"/>
      <c r="K142" s="17"/>
      <c r="L142" s="17"/>
      <c r="M142" s="17"/>
      <c r="N142" s="44" t="str">
        <f aca="false">IF(OR(D142="",A142="",COUNTIFS(Scoresheet!$C$2:$C$501,A142,Scoresheet!$U$2:$U$501,1)=0),"",SUMIFS(Scoresheet!$O$2:$O$501,Scoresheet!$C$2:$C$501,A142,Scoresheet!$U$2:$U$501,1))</f>
        <v/>
      </c>
      <c r="O142" s="44" t="str">
        <f aca="false">IF(D142="","",IF(OR(A142="",COUNTIFS(Scoresheet!$C$2:$C$501,A142,Scoresheet!$U$2:$U$501,1)=0),"No scoresheet yet",IF(SUMIFS(Scoresheet!$N$2:$N$501,Scoresheet!$C$2:$C$501,A142,Scoresheet!$U$2:$U$501,1)&lt;6,"Partly scored ("&amp;SUMIFS(Scoresheet!$N$2:$N$501,Scoresheet!$C$2:$C$501,A142,Scoresheet!$U$2:$U$501,1)&amp;"/6)",IF(N142&gt;=Settings!$S$8,"Hot",IF(N142&gt;=Settings!$S$9,"Warm","Cold")))))</f>
        <v/>
      </c>
      <c r="P142" s="44" t="str">
        <f aca="false">IF(OR(D142="",A142=""),"",IF(AND(COUNTIFS(Scoresheet!$C$2:$C$501,A142,Scoresheet!$U$2:$U$501,1,Scoresheet!$H$2:$H$501,"No")&gt;0,COUNTIFS(Scoresheet!$C$2:$C$501,A142,Scoresheet!$U$2:$U$501,1,Scoresheet!$J$2:$J$501,"No")&gt;0),"🚩 Budget  ·  🚩 No one on camera",IF(COUNTIFS(Scoresheet!$C$2:$C$501,A142,Scoresheet!$U$2:$U$501,1,Scoresheet!$H$2:$H$501,"No")&gt;0,"🚩 Budget under AED 5k",IF(COUNTIFS(Scoresheet!$C$2:$C$501,A142,Scoresheet!$U$2:$U$501,1,Scoresheet!$J$2:$J$501,"No")&gt;0,"🚩 No one on camera",""))))</f>
        <v/>
      </c>
      <c r="Q142" s="17"/>
      <c r="R142" s="17"/>
      <c r="S142" s="40"/>
      <c r="T142" s="17"/>
      <c r="U142" s="45" t="str">
        <f aca="false">IF(OR(D142="",S142="",OR(R142="Contract signed + paid",R142="Closed – No response",R142="Lost"),N(T142)&gt;=Settings!$S$3),"",S142+Settings!$S$2)</f>
        <v/>
      </c>
      <c r="V142" s="40"/>
      <c r="W142" s="41"/>
      <c r="X142" s="17"/>
      <c r="Y142" s="17"/>
      <c r="Z142" s="17"/>
      <c r="AA142" s="46" t="str">
        <f aca="true">IF(OR(D142="",B142=""),"",INT(TODAY()-B142))</f>
        <v/>
      </c>
      <c r="AB142" s="44" t="str">
        <f aca="true">IF(D142="","",IF(OR(COUNTIFS(Clients!$C$2:$C$501,D142,Clients!$S$2:$S$501,"Paid")&gt;0,AND(H142&lt;&gt;"",COUNTIFS(Clients!$E$2:$E$501,H142,Clients!$S$2:$S$501,"Paid")&gt;0)),"⚠ Refunded before – no free video",IF(OR(R142="Contract signed + paid",R142="Closed – No response",R142="Lost"),"",IF(R142="","Set a stage",IF(AND(R142="Proposal sent",SUMIFS(Scoresheet!$N$2:$N$501,Scoresheet!$C$2:$C$501,A142,Scoresheet!$U$2:$U$501,1)&lt;6),"Score this lead – fill the call scoresheet",IF(N(T142)&gt;=Settings!$S$3,"Close – 4 follow-ups sent",IF(U142="",IF(S142="","Make first contact",""),IF(TODAY()&gt;U142,"OVERDUE follow-up",IF(TODAY()=U142,"Follow up today","")))))))))</f>
        <v/>
      </c>
    </row>
    <row r="143" customFormat="false" ht="15" hidden="false" customHeight="false" outlineLevel="0" collapsed="false">
      <c r="A143" s="17"/>
      <c r="B143" s="40"/>
      <c r="C143" s="17"/>
      <c r="D143" s="17"/>
      <c r="E143" s="17"/>
      <c r="F143" s="17"/>
      <c r="G143" s="17"/>
      <c r="H143" s="42"/>
      <c r="I143" s="17"/>
      <c r="J143" s="17"/>
      <c r="K143" s="17"/>
      <c r="L143" s="17"/>
      <c r="M143" s="17"/>
      <c r="N143" s="44" t="str">
        <f aca="false">IF(OR(D143="",A143="",COUNTIFS(Scoresheet!$C$2:$C$501,A143,Scoresheet!$U$2:$U$501,1)=0),"",SUMIFS(Scoresheet!$O$2:$O$501,Scoresheet!$C$2:$C$501,A143,Scoresheet!$U$2:$U$501,1))</f>
        <v/>
      </c>
      <c r="O143" s="44" t="str">
        <f aca="false">IF(D143="","",IF(OR(A143="",COUNTIFS(Scoresheet!$C$2:$C$501,A143,Scoresheet!$U$2:$U$501,1)=0),"No scoresheet yet",IF(SUMIFS(Scoresheet!$N$2:$N$501,Scoresheet!$C$2:$C$501,A143,Scoresheet!$U$2:$U$501,1)&lt;6,"Partly scored ("&amp;SUMIFS(Scoresheet!$N$2:$N$501,Scoresheet!$C$2:$C$501,A143,Scoresheet!$U$2:$U$501,1)&amp;"/6)",IF(N143&gt;=Settings!$S$8,"Hot",IF(N143&gt;=Settings!$S$9,"Warm","Cold")))))</f>
        <v/>
      </c>
      <c r="P143" s="44" t="str">
        <f aca="false">IF(OR(D143="",A143=""),"",IF(AND(COUNTIFS(Scoresheet!$C$2:$C$501,A143,Scoresheet!$U$2:$U$501,1,Scoresheet!$H$2:$H$501,"No")&gt;0,COUNTIFS(Scoresheet!$C$2:$C$501,A143,Scoresheet!$U$2:$U$501,1,Scoresheet!$J$2:$J$501,"No")&gt;0),"🚩 Budget  ·  🚩 No one on camera",IF(COUNTIFS(Scoresheet!$C$2:$C$501,A143,Scoresheet!$U$2:$U$501,1,Scoresheet!$H$2:$H$501,"No")&gt;0,"🚩 Budget under AED 5k",IF(COUNTIFS(Scoresheet!$C$2:$C$501,A143,Scoresheet!$U$2:$U$501,1,Scoresheet!$J$2:$J$501,"No")&gt;0,"🚩 No one on camera",""))))</f>
        <v/>
      </c>
      <c r="Q143" s="17"/>
      <c r="R143" s="17"/>
      <c r="S143" s="40"/>
      <c r="T143" s="17"/>
      <c r="U143" s="45" t="str">
        <f aca="false">IF(OR(D143="",S143="",OR(R143="Contract signed + paid",R143="Closed – No response",R143="Lost"),N(T143)&gt;=Settings!$S$3),"",S143+Settings!$S$2)</f>
        <v/>
      </c>
      <c r="V143" s="40"/>
      <c r="W143" s="41"/>
      <c r="X143" s="17"/>
      <c r="Y143" s="17"/>
      <c r="Z143" s="17"/>
      <c r="AA143" s="46" t="str">
        <f aca="true">IF(OR(D143="",B143=""),"",INT(TODAY()-B143))</f>
        <v/>
      </c>
      <c r="AB143" s="44" t="str">
        <f aca="true">IF(D143="","",IF(OR(COUNTIFS(Clients!$C$2:$C$501,D143,Clients!$S$2:$S$501,"Paid")&gt;0,AND(H143&lt;&gt;"",COUNTIFS(Clients!$E$2:$E$501,H143,Clients!$S$2:$S$501,"Paid")&gt;0)),"⚠ Refunded before – no free video",IF(OR(R143="Contract signed + paid",R143="Closed – No response",R143="Lost"),"",IF(R143="","Set a stage",IF(AND(R143="Proposal sent",SUMIFS(Scoresheet!$N$2:$N$501,Scoresheet!$C$2:$C$501,A143,Scoresheet!$U$2:$U$501,1)&lt;6),"Score this lead – fill the call scoresheet",IF(N(T143)&gt;=Settings!$S$3,"Close – 4 follow-ups sent",IF(U143="",IF(S143="","Make first contact",""),IF(TODAY()&gt;U143,"OVERDUE follow-up",IF(TODAY()=U143,"Follow up today","")))))))))</f>
        <v/>
      </c>
    </row>
    <row r="144" customFormat="false" ht="15" hidden="false" customHeight="false" outlineLevel="0" collapsed="false">
      <c r="A144" s="17"/>
      <c r="B144" s="40"/>
      <c r="C144" s="17"/>
      <c r="D144" s="17"/>
      <c r="E144" s="17"/>
      <c r="F144" s="17"/>
      <c r="G144" s="17"/>
      <c r="H144" s="42"/>
      <c r="I144" s="17"/>
      <c r="J144" s="17"/>
      <c r="K144" s="17"/>
      <c r="L144" s="17"/>
      <c r="M144" s="17"/>
      <c r="N144" s="44" t="str">
        <f aca="false">IF(OR(D144="",A144="",COUNTIFS(Scoresheet!$C$2:$C$501,A144,Scoresheet!$U$2:$U$501,1)=0),"",SUMIFS(Scoresheet!$O$2:$O$501,Scoresheet!$C$2:$C$501,A144,Scoresheet!$U$2:$U$501,1))</f>
        <v/>
      </c>
      <c r="O144" s="44" t="str">
        <f aca="false">IF(D144="","",IF(OR(A144="",COUNTIFS(Scoresheet!$C$2:$C$501,A144,Scoresheet!$U$2:$U$501,1)=0),"No scoresheet yet",IF(SUMIFS(Scoresheet!$N$2:$N$501,Scoresheet!$C$2:$C$501,A144,Scoresheet!$U$2:$U$501,1)&lt;6,"Partly scored ("&amp;SUMIFS(Scoresheet!$N$2:$N$501,Scoresheet!$C$2:$C$501,A144,Scoresheet!$U$2:$U$501,1)&amp;"/6)",IF(N144&gt;=Settings!$S$8,"Hot",IF(N144&gt;=Settings!$S$9,"Warm","Cold")))))</f>
        <v/>
      </c>
      <c r="P144" s="44" t="str">
        <f aca="false">IF(OR(D144="",A144=""),"",IF(AND(COUNTIFS(Scoresheet!$C$2:$C$501,A144,Scoresheet!$U$2:$U$501,1,Scoresheet!$H$2:$H$501,"No")&gt;0,COUNTIFS(Scoresheet!$C$2:$C$501,A144,Scoresheet!$U$2:$U$501,1,Scoresheet!$J$2:$J$501,"No")&gt;0),"🚩 Budget  ·  🚩 No one on camera",IF(COUNTIFS(Scoresheet!$C$2:$C$501,A144,Scoresheet!$U$2:$U$501,1,Scoresheet!$H$2:$H$501,"No")&gt;0,"🚩 Budget under AED 5k",IF(COUNTIFS(Scoresheet!$C$2:$C$501,A144,Scoresheet!$U$2:$U$501,1,Scoresheet!$J$2:$J$501,"No")&gt;0,"🚩 No one on camera",""))))</f>
        <v/>
      </c>
      <c r="Q144" s="17"/>
      <c r="R144" s="17"/>
      <c r="S144" s="40"/>
      <c r="T144" s="17"/>
      <c r="U144" s="45" t="str">
        <f aca="false">IF(OR(D144="",S144="",OR(R144="Contract signed + paid",R144="Closed – No response",R144="Lost"),N(T144)&gt;=Settings!$S$3),"",S144+Settings!$S$2)</f>
        <v/>
      </c>
      <c r="V144" s="40"/>
      <c r="W144" s="41"/>
      <c r="X144" s="17"/>
      <c r="Y144" s="17"/>
      <c r="Z144" s="17"/>
      <c r="AA144" s="46" t="str">
        <f aca="true">IF(OR(D144="",B144=""),"",INT(TODAY()-B144))</f>
        <v/>
      </c>
      <c r="AB144" s="44" t="str">
        <f aca="true">IF(D144="","",IF(OR(COUNTIFS(Clients!$C$2:$C$501,D144,Clients!$S$2:$S$501,"Paid")&gt;0,AND(H144&lt;&gt;"",COUNTIFS(Clients!$E$2:$E$501,H144,Clients!$S$2:$S$501,"Paid")&gt;0)),"⚠ Refunded before – no free video",IF(OR(R144="Contract signed + paid",R144="Closed – No response",R144="Lost"),"",IF(R144="","Set a stage",IF(AND(R144="Proposal sent",SUMIFS(Scoresheet!$N$2:$N$501,Scoresheet!$C$2:$C$501,A144,Scoresheet!$U$2:$U$501,1)&lt;6),"Score this lead – fill the call scoresheet",IF(N(T144)&gt;=Settings!$S$3,"Close – 4 follow-ups sent",IF(U144="",IF(S144="","Make first contact",""),IF(TODAY()&gt;U144,"OVERDUE follow-up",IF(TODAY()=U144,"Follow up today","")))))))))</f>
        <v/>
      </c>
    </row>
    <row r="145" customFormat="false" ht="15" hidden="false" customHeight="false" outlineLevel="0" collapsed="false">
      <c r="A145" s="17"/>
      <c r="B145" s="40"/>
      <c r="C145" s="17"/>
      <c r="D145" s="17"/>
      <c r="E145" s="17"/>
      <c r="F145" s="17"/>
      <c r="G145" s="17"/>
      <c r="H145" s="42"/>
      <c r="I145" s="17"/>
      <c r="J145" s="17"/>
      <c r="K145" s="17"/>
      <c r="L145" s="17"/>
      <c r="M145" s="17"/>
      <c r="N145" s="44" t="str">
        <f aca="false">IF(OR(D145="",A145="",COUNTIFS(Scoresheet!$C$2:$C$501,A145,Scoresheet!$U$2:$U$501,1)=0),"",SUMIFS(Scoresheet!$O$2:$O$501,Scoresheet!$C$2:$C$501,A145,Scoresheet!$U$2:$U$501,1))</f>
        <v/>
      </c>
      <c r="O145" s="44" t="str">
        <f aca="false">IF(D145="","",IF(OR(A145="",COUNTIFS(Scoresheet!$C$2:$C$501,A145,Scoresheet!$U$2:$U$501,1)=0),"No scoresheet yet",IF(SUMIFS(Scoresheet!$N$2:$N$501,Scoresheet!$C$2:$C$501,A145,Scoresheet!$U$2:$U$501,1)&lt;6,"Partly scored ("&amp;SUMIFS(Scoresheet!$N$2:$N$501,Scoresheet!$C$2:$C$501,A145,Scoresheet!$U$2:$U$501,1)&amp;"/6)",IF(N145&gt;=Settings!$S$8,"Hot",IF(N145&gt;=Settings!$S$9,"Warm","Cold")))))</f>
        <v/>
      </c>
      <c r="P145" s="44" t="str">
        <f aca="false">IF(OR(D145="",A145=""),"",IF(AND(COUNTIFS(Scoresheet!$C$2:$C$501,A145,Scoresheet!$U$2:$U$501,1,Scoresheet!$H$2:$H$501,"No")&gt;0,COUNTIFS(Scoresheet!$C$2:$C$501,A145,Scoresheet!$U$2:$U$501,1,Scoresheet!$J$2:$J$501,"No")&gt;0),"🚩 Budget  ·  🚩 No one on camera",IF(COUNTIFS(Scoresheet!$C$2:$C$501,A145,Scoresheet!$U$2:$U$501,1,Scoresheet!$H$2:$H$501,"No")&gt;0,"🚩 Budget under AED 5k",IF(COUNTIFS(Scoresheet!$C$2:$C$501,A145,Scoresheet!$U$2:$U$501,1,Scoresheet!$J$2:$J$501,"No")&gt;0,"🚩 No one on camera",""))))</f>
        <v/>
      </c>
      <c r="Q145" s="17"/>
      <c r="R145" s="17"/>
      <c r="S145" s="40"/>
      <c r="T145" s="17"/>
      <c r="U145" s="45" t="str">
        <f aca="false">IF(OR(D145="",S145="",OR(R145="Contract signed + paid",R145="Closed – No response",R145="Lost"),N(T145)&gt;=Settings!$S$3),"",S145+Settings!$S$2)</f>
        <v/>
      </c>
      <c r="V145" s="40"/>
      <c r="W145" s="41"/>
      <c r="X145" s="17"/>
      <c r="Y145" s="17"/>
      <c r="Z145" s="17"/>
      <c r="AA145" s="46" t="str">
        <f aca="true">IF(OR(D145="",B145=""),"",INT(TODAY()-B145))</f>
        <v/>
      </c>
      <c r="AB145" s="44" t="str">
        <f aca="true">IF(D145="","",IF(OR(COUNTIFS(Clients!$C$2:$C$501,D145,Clients!$S$2:$S$501,"Paid")&gt;0,AND(H145&lt;&gt;"",COUNTIFS(Clients!$E$2:$E$501,H145,Clients!$S$2:$S$501,"Paid")&gt;0)),"⚠ Refunded before – no free video",IF(OR(R145="Contract signed + paid",R145="Closed – No response",R145="Lost"),"",IF(R145="","Set a stage",IF(AND(R145="Proposal sent",SUMIFS(Scoresheet!$N$2:$N$501,Scoresheet!$C$2:$C$501,A145,Scoresheet!$U$2:$U$501,1)&lt;6),"Score this lead – fill the call scoresheet",IF(N(T145)&gt;=Settings!$S$3,"Close – 4 follow-ups sent",IF(U145="",IF(S145="","Make first contact",""),IF(TODAY()&gt;U145,"OVERDUE follow-up",IF(TODAY()=U145,"Follow up today","")))))))))</f>
        <v/>
      </c>
    </row>
    <row r="146" customFormat="false" ht="15" hidden="false" customHeight="false" outlineLevel="0" collapsed="false">
      <c r="A146" s="17"/>
      <c r="B146" s="40"/>
      <c r="C146" s="17"/>
      <c r="D146" s="17"/>
      <c r="E146" s="17"/>
      <c r="F146" s="17"/>
      <c r="G146" s="17"/>
      <c r="H146" s="42"/>
      <c r="I146" s="17"/>
      <c r="J146" s="17"/>
      <c r="K146" s="17"/>
      <c r="L146" s="17"/>
      <c r="M146" s="17"/>
      <c r="N146" s="44" t="str">
        <f aca="false">IF(OR(D146="",A146="",COUNTIFS(Scoresheet!$C$2:$C$501,A146,Scoresheet!$U$2:$U$501,1)=0),"",SUMIFS(Scoresheet!$O$2:$O$501,Scoresheet!$C$2:$C$501,A146,Scoresheet!$U$2:$U$501,1))</f>
        <v/>
      </c>
      <c r="O146" s="44" t="str">
        <f aca="false">IF(D146="","",IF(OR(A146="",COUNTIFS(Scoresheet!$C$2:$C$501,A146,Scoresheet!$U$2:$U$501,1)=0),"No scoresheet yet",IF(SUMIFS(Scoresheet!$N$2:$N$501,Scoresheet!$C$2:$C$501,A146,Scoresheet!$U$2:$U$501,1)&lt;6,"Partly scored ("&amp;SUMIFS(Scoresheet!$N$2:$N$501,Scoresheet!$C$2:$C$501,A146,Scoresheet!$U$2:$U$501,1)&amp;"/6)",IF(N146&gt;=Settings!$S$8,"Hot",IF(N146&gt;=Settings!$S$9,"Warm","Cold")))))</f>
        <v/>
      </c>
      <c r="P146" s="44" t="str">
        <f aca="false">IF(OR(D146="",A146=""),"",IF(AND(COUNTIFS(Scoresheet!$C$2:$C$501,A146,Scoresheet!$U$2:$U$501,1,Scoresheet!$H$2:$H$501,"No")&gt;0,COUNTIFS(Scoresheet!$C$2:$C$501,A146,Scoresheet!$U$2:$U$501,1,Scoresheet!$J$2:$J$501,"No")&gt;0),"🚩 Budget  ·  🚩 No one on camera",IF(COUNTIFS(Scoresheet!$C$2:$C$501,A146,Scoresheet!$U$2:$U$501,1,Scoresheet!$H$2:$H$501,"No")&gt;0,"🚩 Budget under AED 5k",IF(COUNTIFS(Scoresheet!$C$2:$C$501,A146,Scoresheet!$U$2:$U$501,1,Scoresheet!$J$2:$J$501,"No")&gt;0,"🚩 No one on camera",""))))</f>
        <v/>
      </c>
      <c r="Q146" s="17"/>
      <c r="R146" s="17"/>
      <c r="S146" s="40"/>
      <c r="T146" s="17"/>
      <c r="U146" s="45" t="str">
        <f aca="false">IF(OR(D146="",S146="",OR(R146="Contract signed + paid",R146="Closed – No response",R146="Lost"),N(T146)&gt;=Settings!$S$3),"",S146+Settings!$S$2)</f>
        <v/>
      </c>
      <c r="V146" s="40"/>
      <c r="W146" s="41"/>
      <c r="X146" s="17"/>
      <c r="Y146" s="17"/>
      <c r="Z146" s="17"/>
      <c r="AA146" s="46" t="str">
        <f aca="true">IF(OR(D146="",B146=""),"",INT(TODAY()-B146))</f>
        <v/>
      </c>
      <c r="AB146" s="44" t="str">
        <f aca="true">IF(D146="","",IF(OR(COUNTIFS(Clients!$C$2:$C$501,D146,Clients!$S$2:$S$501,"Paid")&gt;0,AND(H146&lt;&gt;"",COUNTIFS(Clients!$E$2:$E$501,H146,Clients!$S$2:$S$501,"Paid")&gt;0)),"⚠ Refunded before – no free video",IF(OR(R146="Contract signed + paid",R146="Closed – No response",R146="Lost"),"",IF(R146="","Set a stage",IF(AND(R146="Proposal sent",SUMIFS(Scoresheet!$N$2:$N$501,Scoresheet!$C$2:$C$501,A146,Scoresheet!$U$2:$U$501,1)&lt;6),"Score this lead – fill the call scoresheet",IF(N(T146)&gt;=Settings!$S$3,"Close – 4 follow-ups sent",IF(U146="",IF(S146="","Make first contact",""),IF(TODAY()&gt;U146,"OVERDUE follow-up",IF(TODAY()=U146,"Follow up today","")))))))))</f>
        <v/>
      </c>
    </row>
    <row r="147" customFormat="false" ht="15" hidden="false" customHeight="false" outlineLevel="0" collapsed="false">
      <c r="A147" s="17"/>
      <c r="B147" s="40"/>
      <c r="C147" s="17"/>
      <c r="D147" s="17"/>
      <c r="E147" s="17"/>
      <c r="F147" s="17"/>
      <c r="G147" s="17"/>
      <c r="H147" s="42"/>
      <c r="I147" s="17"/>
      <c r="J147" s="17"/>
      <c r="K147" s="17"/>
      <c r="L147" s="17"/>
      <c r="M147" s="17"/>
      <c r="N147" s="44" t="str">
        <f aca="false">IF(OR(D147="",A147="",COUNTIFS(Scoresheet!$C$2:$C$501,A147,Scoresheet!$U$2:$U$501,1)=0),"",SUMIFS(Scoresheet!$O$2:$O$501,Scoresheet!$C$2:$C$501,A147,Scoresheet!$U$2:$U$501,1))</f>
        <v/>
      </c>
      <c r="O147" s="44" t="str">
        <f aca="false">IF(D147="","",IF(OR(A147="",COUNTIFS(Scoresheet!$C$2:$C$501,A147,Scoresheet!$U$2:$U$501,1)=0),"No scoresheet yet",IF(SUMIFS(Scoresheet!$N$2:$N$501,Scoresheet!$C$2:$C$501,A147,Scoresheet!$U$2:$U$501,1)&lt;6,"Partly scored ("&amp;SUMIFS(Scoresheet!$N$2:$N$501,Scoresheet!$C$2:$C$501,A147,Scoresheet!$U$2:$U$501,1)&amp;"/6)",IF(N147&gt;=Settings!$S$8,"Hot",IF(N147&gt;=Settings!$S$9,"Warm","Cold")))))</f>
        <v/>
      </c>
      <c r="P147" s="44" t="str">
        <f aca="false">IF(OR(D147="",A147=""),"",IF(AND(COUNTIFS(Scoresheet!$C$2:$C$501,A147,Scoresheet!$U$2:$U$501,1,Scoresheet!$H$2:$H$501,"No")&gt;0,COUNTIFS(Scoresheet!$C$2:$C$501,A147,Scoresheet!$U$2:$U$501,1,Scoresheet!$J$2:$J$501,"No")&gt;0),"🚩 Budget  ·  🚩 No one on camera",IF(COUNTIFS(Scoresheet!$C$2:$C$501,A147,Scoresheet!$U$2:$U$501,1,Scoresheet!$H$2:$H$501,"No")&gt;0,"🚩 Budget under AED 5k",IF(COUNTIFS(Scoresheet!$C$2:$C$501,A147,Scoresheet!$U$2:$U$501,1,Scoresheet!$J$2:$J$501,"No")&gt;0,"🚩 No one on camera",""))))</f>
        <v/>
      </c>
      <c r="Q147" s="17"/>
      <c r="R147" s="17"/>
      <c r="S147" s="40"/>
      <c r="T147" s="17"/>
      <c r="U147" s="45" t="str">
        <f aca="false">IF(OR(D147="",S147="",OR(R147="Contract signed + paid",R147="Closed – No response",R147="Lost"),N(T147)&gt;=Settings!$S$3),"",S147+Settings!$S$2)</f>
        <v/>
      </c>
      <c r="V147" s="40"/>
      <c r="W147" s="41"/>
      <c r="X147" s="17"/>
      <c r="Y147" s="17"/>
      <c r="Z147" s="17"/>
      <c r="AA147" s="46" t="str">
        <f aca="true">IF(OR(D147="",B147=""),"",INT(TODAY()-B147))</f>
        <v/>
      </c>
      <c r="AB147" s="44" t="str">
        <f aca="true">IF(D147="","",IF(OR(COUNTIFS(Clients!$C$2:$C$501,D147,Clients!$S$2:$S$501,"Paid")&gt;0,AND(H147&lt;&gt;"",COUNTIFS(Clients!$E$2:$E$501,H147,Clients!$S$2:$S$501,"Paid")&gt;0)),"⚠ Refunded before – no free video",IF(OR(R147="Contract signed + paid",R147="Closed – No response",R147="Lost"),"",IF(R147="","Set a stage",IF(AND(R147="Proposal sent",SUMIFS(Scoresheet!$N$2:$N$501,Scoresheet!$C$2:$C$501,A147,Scoresheet!$U$2:$U$501,1)&lt;6),"Score this lead – fill the call scoresheet",IF(N(T147)&gt;=Settings!$S$3,"Close – 4 follow-ups sent",IF(U147="",IF(S147="","Make first contact",""),IF(TODAY()&gt;U147,"OVERDUE follow-up",IF(TODAY()=U147,"Follow up today","")))))))))</f>
        <v/>
      </c>
    </row>
    <row r="148" customFormat="false" ht="15" hidden="false" customHeight="false" outlineLevel="0" collapsed="false">
      <c r="A148" s="17"/>
      <c r="B148" s="40"/>
      <c r="C148" s="17"/>
      <c r="D148" s="17"/>
      <c r="E148" s="17"/>
      <c r="F148" s="17"/>
      <c r="G148" s="17"/>
      <c r="H148" s="42"/>
      <c r="I148" s="17"/>
      <c r="J148" s="17"/>
      <c r="K148" s="17"/>
      <c r="L148" s="17"/>
      <c r="M148" s="17"/>
      <c r="N148" s="44" t="str">
        <f aca="false">IF(OR(D148="",A148="",COUNTIFS(Scoresheet!$C$2:$C$501,A148,Scoresheet!$U$2:$U$501,1)=0),"",SUMIFS(Scoresheet!$O$2:$O$501,Scoresheet!$C$2:$C$501,A148,Scoresheet!$U$2:$U$501,1))</f>
        <v/>
      </c>
      <c r="O148" s="44" t="str">
        <f aca="false">IF(D148="","",IF(OR(A148="",COUNTIFS(Scoresheet!$C$2:$C$501,A148,Scoresheet!$U$2:$U$501,1)=0),"No scoresheet yet",IF(SUMIFS(Scoresheet!$N$2:$N$501,Scoresheet!$C$2:$C$501,A148,Scoresheet!$U$2:$U$501,1)&lt;6,"Partly scored ("&amp;SUMIFS(Scoresheet!$N$2:$N$501,Scoresheet!$C$2:$C$501,A148,Scoresheet!$U$2:$U$501,1)&amp;"/6)",IF(N148&gt;=Settings!$S$8,"Hot",IF(N148&gt;=Settings!$S$9,"Warm","Cold")))))</f>
        <v/>
      </c>
      <c r="P148" s="44" t="str">
        <f aca="false">IF(OR(D148="",A148=""),"",IF(AND(COUNTIFS(Scoresheet!$C$2:$C$501,A148,Scoresheet!$U$2:$U$501,1,Scoresheet!$H$2:$H$501,"No")&gt;0,COUNTIFS(Scoresheet!$C$2:$C$501,A148,Scoresheet!$U$2:$U$501,1,Scoresheet!$J$2:$J$501,"No")&gt;0),"🚩 Budget  ·  🚩 No one on camera",IF(COUNTIFS(Scoresheet!$C$2:$C$501,A148,Scoresheet!$U$2:$U$501,1,Scoresheet!$H$2:$H$501,"No")&gt;0,"🚩 Budget under AED 5k",IF(COUNTIFS(Scoresheet!$C$2:$C$501,A148,Scoresheet!$U$2:$U$501,1,Scoresheet!$J$2:$J$501,"No")&gt;0,"🚩 No one on camera",""))))</f>
        <v/>
      </c>
      <c r="Q148" s="17"/>
      <c r="R148" s="17"/>
      <c r="S148" s="40"/>
      <c r="T148" s="17"/>
      <c r="U148" s="45" t="str">
        <f aca="false">IF(OR(D148="",S148="",OR(R148="Contract signed + paid",R148="Closed – No response",R148="Lost"),N(T148)&gt;=Settings!$S$3),"",S148+Settings!$S$2)</f>
        <v/>
      </c>
      <c r="V148" s="40"/>
      <c r="W148" s="41"/>
      <c r="X148" s="17"/>
      <c r="Y148" s="17"/>
      <c r="Z148" s="17"/>
      <c r="AA148" s="46" t="str">
        <f aca="true">IF(OR(D148="",B148=""),"",INT(TODAY()-B148))</f>
        <v/>
      </c>
      <c r="AB148" s="44" t="str">
        <f aca="true">IF(D148="","",IF(OR(COUNTIFS(Clients!$C$2:$C$501,D148,Clients!$S$2:$S$501,"Paid")&gt;0,AND(H148&lt;&gt;"",COUNTIFS(Clients!$E$2:$E$501,H148,Clients!$S$2:$S$501,"Paid")&gt;0)),"⚠ Refunded before – no free video",IF(OR(R148="Contract signed + paid",R148="Closed – No response",R148="Lost"),"",IF(R148="","Set a stage",IF(AND(R148="Proposal sent",SUMIFS(Scoresheet!$N$2:$N$501,Scoresheet!$C$2:$C$501,A148,Scoresheet!$U$2:$U$501,1)&lt;6),"Score this lead – fill the call scoresheet",IF(N(T148)&gt;=Settings!$S$3,"Close – 4 follow-ups sent",IF(U148="",IF(S148="","Make first contact",""),IF(TODAY()&gt;U148,"OVERDUE follow-up",IF(TODAY()=U148,"Follow up today","")))))))))</f>
        <v/>
      </c>
    </row>
    <row r="149" customFormat="false" ht="15" hidden="false" customHeight="false" outlineLevel="0" collapsed="false">
      <c r="A149" s="17"/>
      <c r="B149" s="40"/>
      <c r="C149" s="17"/>
      <c r="D149" s="17"/>
      <c r="E149" s="17"/>
      <c r="F149" s="17"/>
      <c r="G149" s="17"/>
      <c r="H149" s="42"/>
      <c r="I149" s="17"/>
      <c r="J149" s="17"/>
      <c r="K149" s="17"/>
      <c r="L149" s="17"/>
      <c r="M149" s="17"/>
      <c r="N149" s="44" t="str">
        <f aca="false">IF(OR(D149="",A149="",COUNTIFS(Scoresheet!$C$2:$C$501,A149,Scoresheet!$U$2:$U$501,1)=0),"",SUMIFS(Scoresheet!$O$2:$O$501,Scoresheet!$C$2:$C$501,A149,Scoresheet!$U$2:$U$501,1))</f>
        <v/>
      </c>
      <c r="O149" s="44" t="str">
        <f aca="false">IF(D149="","",IF(OR(A149="",COUNTIFS(Scoresheet!$C$2:$C$501,A149,Scoresheet!$U$2:$U$501,1)=0),"No scoresheet yet",IF(SUMIFS(Scoresheet!$N$2:$N$501,Scoresheet!$C$2:$C$501,A149,Scoresheet!$U$2:$U$501,1)&lt;6,"Partly scored ("&amp;SUMIFS(Scoresheet!$N$2:$N$501,Scoresheet!$C$2:$C$501,A149,Scoresheet!$U$2:$U$501,1)&amp;"/6)",IF(N149&gt;=Settings!$S$8,"Hot",IF(N149&gt;=Settings!$S$9,"Warm","Cold")))))</f>
        <v/>
      </c>
      <c r="P149" s="44" t="str">
        <f aca="false">IF(OR(D149="",A149=""),"",IF(AND(COUNTIFS(Scoresheet!$C$2:$C$501,A149,Scoresheet!$U$2:$U$501,1,Scoresheet!$H$2:$H$501,"No")&gt;0,COUNTIFS(Scoresheet!$C$2:$C$501,A149,Scoresheet!$U$2:$U$501,1,Scoresheet!$J$2:$J$501,"No")&gt;0),"🚩 Budget  ·  🚩 No one on camera",IF(COUNTIFS(Scoresheet!$C$2:$C$501,A149,Scoresheet!$U$2:$U$501,1,Scoresheet!$H$2:$H$501,"No")&gt;0,"🚩 Budget under AED 5k",IF(COUNTIFS(Scoresheet!$C$2:$C$501,A149,Scoresheet!$U$2:$U$501,1,Scoresheet!$J$2:$J$501,"No")&gt;0,"🚩 No one on camera",""))))</f>
        <v/>
      </c>
      <c r="Q149" s="17"/>
      <c r="R149" s="17"/>
      <c r="S149" s="40"/>
      <c r="T149" s="17"/>
      <c r="U149" s="45" t="str">
        <f aca="false">IF(OR(D149="",S149="",OR(R149="Contract signed + paid",R149="Closed – No response",R149="Lost"),N(T149)&gt;=Settings!$S$3),"",S149+Settings!$S$2)</f>
        <v/>
      </c>
      <c r="V149" s="40"/>
      <c r="W149" s="41"/>
      <c r="X149" s="17"/>
      <c r="Y149" s="17"/>
      <c r="Z149" s="17"/>
      <c r="AA149" s="46" t="str">
        <f aca="true">IF(OR(D149="",B149=""),"",INT(TODAY()-B149))</f>
        <v/>
      </c>
      <c r="AB149" s="44" t="str">
        <f aca="true">IF(D149="","",IF(OR(COUNTIFS(Clients!$C$2:$C$501,D149,Clients!$S$2:$S$501,"Paid")&gt;0,AND(H149&lt;&gt;"",COUNTIFS(Clients!$E$2:$E$501,H149,Clients!$S$2:$S$501,"Paid")&gt;0)),"⚠ Refunded before – no free video",IF(OR(R149="Contract signed + paid",R149="Closed – No response",R149="Lost"),"",IF(R149="","Set a stage",IF(AND(R149="Proposal sent",SUMIFS(Scoresheet!$N$2:$N$501,Scoresheet!$C$2:$C$501,A149,Scoresheet!$U$2:$U$501,1)&lt;6),"Score this lead – fill the call scoresheet",IF(N(T149)&gt;=Settings!$S$3,"Close – 4 follow-ups sent",IF(U149="",IF(S149="","Make first contact",""),IF(TODAY()&gt;U149,"OVERDUE follow-up",IF(TODAY()=U149,"Follow up today","")))))))))</f>
        <v/>
      </c>
    </row>
    <row r="150" customFormat="false" ht="15" hidden="false" customHeight="false" outlineLevel="0" collapsed="false">
      <c r="A150" s="17"/>
      <c r="B150" s="40"/>
      <c r="C150" s="17"/>
      <c r="D150" s="17"/>
      <c r="E150" s="17"/>
      <c r="F150" s="17"/>
      <c r="G150" s="17"/>
      <c r="H150" s="42"/>
      <c r="I150" s="17"/>
      <c r="J150" s="17"/>
      <c r="K150" s="17"/>
      <c r="L150" s="17"/>
      <c r="M150" s="17"/>
      <c r="N150" s="44" t="str">
        <f aca="false">IF(OR(D150="",A150="",COUNTIFS(Scoresheet!$C$2:$C$501,A150,Scoresheet!$U$2:$U$501,1)=0),"",SUMIFS(Scoresheet!$O$2:$O$501,Scoresheet!$C$2:$C$501,A150,Scoresheet!$U$2:$U$501,1))</f>
        <v/>
      </c>
      <c r="O150" s="44" t="str">
        <f aca="false">IF(D150="","",IF(OR(A150="",COUNTIFS(Scoresheet!$C$2:$C$501,A150,Scoresheet!$U$2:$U$501,1)=0),"No scoresheet yet",IF(SUMIFS(Scoresheet!$N$2:$N$501,Scoresheet!$C$2:$C$501,A150,Scoresheet!$U$2:$U$501,1)&lt;6,"Partly scored ("&amp;SUMIFS(Scoresheet!$N$2:$N$501,Scoresheet!$C$2:$C$501,A150,Scoresheet!$U$2:$U$501,1)&amp;"/6)",IF(N150&gt;=Settings!$S$8,"Hot",IF(N150&gt;=Settings!$S$9,"Warm","Cold")))))</f>
        <v/>
      </c>
      <c r="P150" s="44" t="str">
        <f aca="false">IF(OR(D150="",A150=""),"",IF(AND(COUNTIFS(Scoresheet!$C$2:$C$501,A150,Scoresheet!$U$2:$U$501,1,Scoresheet!$H$2:$H$501,"No")&gt;0,COUNTIFS(Scoresheet!$C$2:$C$501,A150,Scoresheet!$U$2:$U$501,1,Scoresheet!$J$2:$J$501,"No")&gt;0),"🚩 Budget  ·  🚩 No one on camera",IF(COUNTIFS(Scoresheet!$C$2:$C$501,A150,Scoresheet!$U$2:$U$501,1,Scoresheet!$H$2:$H$501,"No")&gt;0,"🚩 Budget under AED 5k",IF(COUNTIFS(Scoresheet!$C$2:$C$501,A150,Scoresheet!$U$2:$U$501,1,Scoresheet!$J$2:$J$501,"No")&gt;0,"🚩 No one on camera",""))))</f>
        <v/>
      </c>
      <c r="Q150" s="17"/>
      <c r="R150" s="17"/>
      <c r="S150" s="40"/>
      <c r="T150" s="17"/>
      <c r="U150" s="45" t="str">
        <f aca="false">IF(OR(D150="",S150="",OR(R150="Contract signed + paid",R150="Closed – No response",R150="Lost"),N(T150)&gt;=Settings!$S$3),"",S150+Settings!$S$2)</f>
        <v/>
      </c>
      <c r="V150" s="40"/>
      <c r="W150" s="41"/>
      <c r="X150" s="17"/>
      <c r="Y150" s="17"/>
      <c r="Z150" s="17"/>
      <c r="AA150" s="46" t="str">
        <f aca="true">IF(OR(D150="",B150=""),"",INT(TODAY()-B150))</f>
        <v/>
      </c>
      <c r="AB150" s="44" t="str">
        <f aca="true">IF(D150="","",IF(OR(COUNTIFS(Clients!$C$2:$C$501,D150,Clients!$S$2:$S$501,"Paid")&gt;0,AND(H150&lt;&gt;"",COUNTIFS(Clients!$E$2:$E$501,H150,Clients!$S$2:$S$501,"Paid")&gt;0)),"⚠ Refunded before – no free video",IF(OR(R150="Contract signed + paid",R150="Closed – No response",R150="Lost"),"",IF(R150="","Set a stage",IF(AND(R150="Proposal sent",SUMIFS(Scoresheet!$N$2:$N$501,Scoresheet!$C$2:$C$501,A150,Scoresheet!$U$2:$U$501,1)&lt;6),"Score this lead – fill the call scoresheet",IF(N(T150)&gt;=Settings!$S$3,"Close – 4 follow-ups sent",IF(U150="",IF(S150="","Make first contact",""),IF(TODAY()&gt;U150,"OVERDUE follow-up",IF(TODAY()=U150,"Follow up today","")))))))))</f>
        <v/>
      </c>
    </row>
    <row r="151" customFormat="false" ht="15" hidden="false" customHeight="false" outlineLevel="0" collapsed="false">
      <c r="A151" s="17"/>
      <c r="B151" s="40"/>
      <c r="C151" s="17"/>
      <c r="D151" s="17"/>
      <c r="E151" s="17"/>
      <c r="F151" s="17"/>
      <c r="G151" s="17"/>
      <c r="H151" s="42"/>
      <c r="I151" s="17"/>
      <c r="J151" s="17"/>
      <c r="K151" s="17"/>
      <c r="L151" s="17"/>
      <c r="M151" s="17"/>
      <c r="N151" s="44" t="str">
        <f aca="false">IF(OR(D151="",A151="",COUNTIFS(Scoresheet!$C$2:$C$501,A151,Scoresheet!$U$2:$U$501,1)=0),"",SUMIFS(Scoresheet!$O$2:$O$501,Scoresheet!$C$2:$C$501,A151,Scoresheet!$U$2:$U$501,1))</f>
        <v/>
      </c>
      <c r="O151" s="44" t="str">
        <f aca="false">IF(D151="","",IF(OR(A151="",COUNTIFS(Scoresheet!$C$2:$C$501,A151,Scoresheet!$U$2:$U$501,1)=0),"No scoresheet yet",IF(SUMIFS(Scoresheet!$N$2:$N$501,Scoresheet!$C$2:$C$501,A151,Scoresheet!$U$2:$U$501,1)&lt;6,"Partly scored ("&amp;SUMIFS(Scoresheet!$N$2:$N$501,Scoresheet!$C$2:$C$501,A151,Scoresheet!$U$2:$U$501,1)&amp;"/6)",IF(N151&gt;=Settings!$S$8,"Hot",IF(N151&gt;=Settings!$S$9,"Warm","Cold")))))</f>
        <v/>
      </c>
      <c r="P151" s="44" t="str">
        <f aca="false">IF(OR(D151="",A151=""),"",IF(AND(COUNTIFS(Scoresheet!$C$2:$C$501,A151,Scoresheet!$U$2:$U$501,1,Scoresheet!$H$2:$H$501,"No")&gt;0,COUNTIFS(Scoresheet!$C$2:$C$501,A151,Scoresheet!$U$2:$U$501,1,Scoresheet!$J$2:$J$501,"No")&gt;0),"🚩 Budget  ·  🚩 No one on camera",IF(COUNTIFS(Scoresheet!$C$2:$C$501,A151,Scoresheet!$U$2:$U$501,1,Scoresheet!$H$2:$H$501,"No")&gt;0,"🚩 Budget under AED 5k",IF(COUNTIFS(Scoresheet!$C$2:$C$501,A151,Scoresheet!$U$2:$U$501,1,Scoresheet!$J$2:$J$501,"No")&gt;0,"🚩 No one on camera",""))))</f>
        <v/>
      </c>
      <c r="Q151" s="17"/>
      <c r="R151" s="17"/>
      <c r="S151" s="40"/>
      <c r="T151" s="17"/>
      <c r="U151" s="45" t="str">
        <f aca="false">IF(OR(D151="",S151="",OR(R151="Contract signed + paid",R151="Closed – No response",R151="Lost"),N(T151)&gt;=Settings!$S$3),"",S151+Settings!$S$2)</f>
        <v/>
      </c>
      <c r="V151" s="40"/>
      <c r="W151" s="41"/>
      <c r="X151" s="17"/>
      <c r="Y151" s="17"/>
      <c r="Z151" s="17"/>
      <c r="AA151" s="46" t="str">
        <f aca="true">IF(OR(D151="",B151=""),"",INT(TODAY()-B151))</f>
        <v/>
      </c>
      <c r="AB151" s="44" t="str">
        <f aca="true">IF(D151="","",IF(OR(COUNTIFS(Clients!$C$2:$C$501,D151,Clients!$S$2:$S$501,"Paid")&gt;0,AND(H151&lt;&gt;"",COUNTIFS(Clients!$E$2:$E$501,H151,Clients!$S$2:$S$501,"Paid")&gt;0)),"⚠ Refunded before – no free video",IF(OR(R151="Contract signed + paid",R151="Closed – No response",R151="Lost"),"",IF(R151="","Set a stage",IF(AND(R151="Proposal sent",SUMIFS(Scoresheet!$N$2:$N$501,Scoresheet!$C$2:$C$501,A151,Scoresheet!$U$2:$U$501,1)&lt;6),"Score this lead – fill the call scoresheet",IF(N(T151)&gt;=Settings!$S$3,"Close – 4 follow-ups sent",IF(U151="",IF(S151="","Make first contact",""),IF(TODAY()&gt;U151,"OVERDUE follow-up",IF(TODAY()=U151,"Follow up today","")))))))))</f>
        <v/>
      </c>
    </row>
    <row r="152" customFormat="false" ht="15" hidden="false" customHeight="false" outlineLevel="0" collapsed="false">
      <c r="A152" s="17"/>
      <c r="B152" s="40"/>
      <c r="C152" s="17"/>
      <c r="D152" s="17"/>
      <c r="E152" s="17"/>
      <c r="F152" s="17"/>
      <c r="G152" s="17"/>
      <c r="H152" s="42"/>
      <c r="I152" s="17"/>
      <c r="J152" s="17"/>
      <c r="K152" s="17"/>
      <c r="L152" s="17"/>
      <c r="M152" s="17"/>
      <c r="N152" s="44" t="str">
        <f aca="false">IF(OR(D152="",A152="",COUNTIFS(Scoresheet!$C$2:$C$501,A152,Scoresheet!$U$2:$U$501,1)=0),"",SUMIFS(Scoresheet!$O$2:$O$501,Scoresheet!$C$2:$C$501,A152,Scoresheet!$U$2:$U$501,1))</f>
        <v/>
      </c>
      <c r="O152" s="44" t="str">
        <f aca="false">IF(D152="","",IF(OR(A152="",COUNTIFS(Scoresheet!$C$2:$C$501,A152,Scoresheet!$U$2:$U$501,1)=0),"No scoresheet yet",IF(SUMIFS(Scoresheet!$N$2:$N$501,Scoresheet!$C$2:$C$501,A152,Scoresheet!$U$2:$U$501,1)&lt;6,"Partly scored ("&amp;SUMIFS(Scoresheet!$N$2:$N$501,Scoresheet!$C$2:$C$501,A152,Scoresheet!$U$2:$U$501,1)&amp;"/6)",IF(N152&gt;=Settings!$S$8,"Hot",IF(N152&gt;=Settings!$S$9,"Warm","Cold")))))</f>
        <v/>
      </c>
      <c r="P152" s="44" t="str">
        <f aca="false">IF(OR(D152="",A152=""),"",IF(AND(COUNTIFS(Scoresheet!$C$2:$C$501,A152,Scoresheet!$U$2:$U$501,1,Scoresheet!$H$2:$H$501,"No")&gt;0,COUNTIFS(Scoresheet!$C$2:$C$501,A152,Scoresheet!$U$2:$U$501,1,Scoresheet!$J$2:$J$501,"No")&gt;0),"🚩 Budget  ·  🚩 No one on camera",IF(COUNTIFS(Scoresheet!$C$2:$C$501,A152,Scoresheet!$U$2:$U$501,1,Scoresheet!$H$2:$H$501,"No")&gt;0,"🚩 Budget under AED 5k",IF(COUNTIFS(Scoresheet!$C$2:$C$501,A152,Scoresheet!$U$2:$U$501,1,Scoresheet!$J$2:$J$501,"No")&gt;0,"🚩 No one on camera",""))))</f>
        <v/>
      </c>
      <c r="Q152" s="17"/>
      <c r="R152" s="17"/>
      <c r="S152" s="40"/>
      <c r="T152" s="17"/>
      <c r="U152" s="45" t="str">
        <f aca="false">IF(OR(D152="",S152="",OR(R152="Contract signed + paid",R152="Closed – No response",R152="Lost"),N(T152)&gt;=Settings!$S$3),"",S152+Settings!$S$2)</f>
        <v/>
      </c>
      <c r="V152" s="40"/>
      <c r="W152" s="41"/>
      <c r="X152" s="17"/>
      <c r="Y152" s="17"/>
      <c r="Z152" s="17"/>
      <c r="AA152" s="46" t="str">
        <f aca="true">IF(OR(D152="",B152=""),"",INT(TODAY()-B152))</f>
        <v/>
      </c>
      <c r="AB152" s="44" t="str">
        <f aca="true">IF(D152="","",IF(OR(COUNTIFS(Clients!$C$2:$C$501,D152,Clients!$S$2:$S$501,"Paid")&gt;0,AND(H152&lt;&gt;"",COUNTIFS(Clients!$E$2:$E$501,H152,Clients!$S$2:$S$501,"Paid")&gt;0)),"⚠ Refunded before – no free video",IF(OR(R152="Contract signed + paid",R152="Closed – No response",R152="Lost"),"",IF(R152="","Set a stage",IF(AND(R152="Proposal sent",SUMIFS(Scoresheet!$N$2:$N$501,Scoresheet!$C$2:$C$501,A152,Scoresheet!$U$2:$U$501,1)&lt;6),"Score this lead – fill the call scoresheet",IF(N(T152)&gt;=Settings!$S$3,"Close – 4 follow-ups sent",IF(U152="",IF(S152="","Make first contact",""),IF(TODAY()&gt;U152,"OVERDUE follow-up",IF(TODAY()=U152,"Follow up today","")))))))))</f>
        <v/>
      </c>
    </row>
    <row r="153" customFormat="false" ht="15" hidden="false" customHeight="false" outlineLevel="0" collapsed="false">
      <c r="A153" s="17"/>
      <c r="B153" s="40"/>
      <c r="C153" s="17"/>
      <c r="D153" s="17"/>
      <c r="E153" s="17"/>
      <c r="F153" s="17"/>
      <c r="G153" s="17"/>
      <c r="H153" s="42"/>
      <c r="I153" s="17"/>
      <c r="J153" s="17"/>
      <c r="K153" s="17"/>
      <c r="L153" s="17"/>
      <c r="M153" s="17"/>
      <c r="N153" s="44" t="str">
        <f aca="false">IF(OR(D153="",A153="",COUNTIFS(Scoresheet!$C$2:$C$501,A153,Scoresheet!$U$2:$U$501,1)=0),"",SUMIFS(Scoresheet!$O$2:$O$501,Scoresheet!$C$2:$C$501,A153,Scoresheet!$U$2:$U$501,1))</f>
        <v/>
      </c>
      <c r="O153" s="44" t="str">
        <f aca="false">IF(D153="","",IF(OR(A153="",COUNTIFS(Scoresheet!$C$2:$C$501,A153,Scoresheet!$U$2:$U$501,1)=0),"No scoresheet yet",IF(SUMIFS(Scoresheet!$N$2:$N$501,Scoresheet!$C$2:$C$501,A153,Scoresheet!$U$2:$U$501,1)&lt;6,"Partly scored ("&amp;SUMIFS(Scoresheet!$N$2:$N$501,Scoresheet!$C$2:$C$501,A153,Scoresheet!$U$2:$U$501,1)&amp;"/6)",IF(N153&gt;=Settings!$S$8,"Hot",IF(N153&gt;=Settings!$S$9,"Warm","Cold")))))</f>
        <v/>
      </c>
      <c r="P153" s="44" t="str">
        <f aca="false">IF(OR(D153="",A153=""),"",IF(AND(COUNTIFS(Scoresheet!$C$2:$C$501,A153,Scoresheet!$U$2:$U$501,1,Scoresheet!$H$2:$H$501,"No")&gt;0,COUNTIFS(Scoresheet!$C$2:$C$501,A153,Scoresheet!$U$2:$U$501,1,Scoresheet!$J$2:$J$501,"No")&gt;0),"🚩 Budget  ·  🚩 No one on camera",IF(COUNTIFS(Scoresheet!$C$2:$C$501,A153,Scoresheet!$U$2:$U$501,1,Scoresheet!$H$2:$H$501,"No")&gt;0,"🚩 Budget under AED 5k",IF(COUNTIFS(Scoresheet!$C$2:$C$501,A153,Scoresheet!$U$2:$U$501,1,Scoresheet!$J$2:$J$501,"No")&gt;0,"🚩 No one on camera",""))))</f>
        <v/>
      </c>
      <c r="Q153" s="17"/>
      <c r="R153" s="17"/>
      <c r="S153" s="40"/>
      <c r="T153" s="17"/>
      <c r="U153" s="45" t="str">
        <f aca="false">IF(OR(D153="",S153="",OR(R153="Contract signed + paid",R153="Closed – No response",R153="Lost"),N(T153)&gt;=Settings!$S$3),"",S153+Settings!$S$2)</f>
        <v/>
      </c>
      <c r="V153" s="40"/>
      <c r="W153" s="41"/>
      <c r="X153" s="17"/>
      <c r="Y153" s="17"/>
      <c r="Z153" s="17"/>
      <c r="AA153" s="46" t="str">
        <f aca="true">IF(OR(D153="",B153=""),"",INT(TODAY()-B153))</f>
        <v/>
      </c>
      <c r="AB153" s="44" t="str">
        <f aca="true">IF(D153="","",IF(OR(COUNTIFS(Clients!$C$2:$C$501,D153,Clients!$S$2:$S$501,"Paid")&gt;0,AND(H153&lt;&gt;"",COUNTIFS(Clients!$E$2:$E$501,H153,Clients!$S$2:$S$501,"Paid")&gt;0)),"⚠ Refunded before – no free video",IF(OR(R153="Contract signed + paid",R153="Closed – No response",R153="Lost"),"",IF(R153="","Set a stage",IF(AND(R153="Proposal sent",SUMIFS(Scoresheet!$N$2:$N$501,Scoresheet!$C$2:$C$501,A153,Scoresheet!$U$2:$U$501,1)&lt;6),"Score this lead – fill the call scoresheet",IF(N(T153)&gt;=Settings!$S$3,"Close – 4 follow-ups sent",IF(U153="",IF(S153="","Make first contact",""),IF(TODAY()&gt;U153,"OVERDUE follow-up",IF(TODAY()=U153,"Follow up today","")))))))))</f>
        <v/>
      </c>
    </row>
    <row r="154" customFormat="false" ht="15" hidden="false" customHeight="false" outlineLevel="0" collapsed="false">
      <c r="A154" s="17"/>
      <c r="B154" s="40"/>
      <c r="C154" s="17"/>
      <c r="D154" s="17"/>
      <c r="E154" s="17"/>
      <c r="F154" s="17"/>
      <c r="G154" s="17"/>
      <c r="H154" s="42"/>
      <c r="I154" s="17"/>
      <c r="J154" s="17"/>
      <c r="K154" s="17"/>
      <c r="L154" s="17"/>
      <c r="M154" s="17"/>
      <c r="N154" s="44" t="str">
        <f aca="false">IF(OR(D154="",A154="",COUNTIFS(Scoresheet!$C$2:$C$501,A154,Scoresheet!$U$2:$U$501,1)=0),"",SUMIFS(Scoresheet!$O$2:$O$501,Scoresheet!$C$2:$C$501,A154,Scoresheet!$U$2:$U$501,1))</f>
        <v/>
      </c>
      <c r="O154" s="44" t="str">
        <f aca="false">IF(D154="","",IF(OR(A154="",COUNTIFS(Scoresheet!$C$2:$C$501,A154,Scoresheet!$U$2:$U$501,1)=0),"No scoresheet yet",IF(SUMIFS(Scoresheet!$N$2:$N$501,Scoresheet!$C$2:$C$501,A154,Scoresheet!$U$2:$U$501,1)&lt;6,"Partly scored ("&amp;SUMIFS(Scoresheet!$N$2:$N$501,Scoresheet!$C$2:$C$501,A154,Scoresheet!$U$2:$U$501,1)&amp;"/6)",IF(N154&gt;=Settings!$S$8,"Hot",IF(N154&gt;=Settings!$S$9,"Warm","Cold")))))</f>
        <v/>
      </c>
      <c r="P154" s="44" t="str">
        <f aca="false">IF(OR(D154="",A154=""),"",IF(AND(COUNTIFS(Scoresheet!$C$2:$C$501,A154,Scoresheet!$U$2:$U$501,1,Scoresheet!$H$2:$H$501,"No")&gt;0,COUNTIFS(Scoresheet!$C$2:$C$501,A154,Scoresheet!$U$2:$U$501,1,Scoresheet!$J$2:$J$501,"No")&gt;0),"🚩 Budget  ·  🚩 No one on camera",IF(COUNTIFS(Scoresheet!$C$2:$C$501,A154,Scoresheet!$U$2:$U$501,1,Scoresheet!$H$2:$H$501,"No")&gt;0,"🚩 Budget under AED 5k",IF(COUNTIFS(Scoresheet!$C$2:$C$501,A154,Scoresheet!$U$2:$U$501,1,Scoresheet!$J$2:$J$501,"No")&gt;0,"🚩 No one on camera",""))))</f>
        <v/>
      </c>
      <c r="Q154" s="17"/>
      <c r="R154" s="17"/>
      <c r="S154" s="40"/>
      <c r="T154" s="17"/>
      <c r="U154" s="45" t="str">
        <f aca="false">IF(OR(D154="",S154="",OR(R154="Contract signed + paid",R154="Closed – No response",R154="Lost"),N(T154)&gt;=Settings!$S$3),"",S154+Settings!$S$2)</f>
        <v/>
      </c>
      <c r="V154" s="40"/>
      <c r="W154" s="41"/>
      <c r="X154" s="17"/>
      <c r="Y154" s="17"/>
      <c r="Z154" s="17"/>
      <c r="AA154" s="46" t="str">
        <f aca="true">IF(OR(D154="",B154=""),"",INT(TODAY()-B154))</f>
        <v/>
      </c>
      <c r="AB154" s="44" t="str">
        <f aca="true">IF(D154="","",IF(OR(COUNTIFS(Clients!$C$2:$C$501,D154,Clients!$S$2:$S$501,"Paid")&gt;0,AND(H154&lt;&gt;"",COUNTIFS(Clients!$E$2:$E$501,H154,Clients!$S$2:$S$501,"Paid")&gt;0)),"⚠ Refunded before – no free video",IF(OR(R154="Contract signed + paid",R154="Closed – No response",R154="Lost"),"",IF(R154="","Set a stage",IF(AND(R154="Proposal sent",SUMIFS(Scoresheet!$N$2:$N$501,Scoresheet!$C$2:$C$501,A154,Scoresheet!$U$2:$U$501,1)&lt;6),"Score this lead – fill the call scoresheet",IF(N(T154)&gt;=Settings!$S$3,"Close – 4 follow-ups sent",IF(U154="",IF(S154="","Make first contact",""),IF(TODAY()&gt;U154,"OVERDUE follow-up",IF(TODAY()=U154,"Follow up today","")))))))))</f>
        <v/>
      </c>
    </row>
    <row r="155" customFormat="false" ht="15" hidden="false" customHeight="false" outlineLevel="0" collapsed="false">
      <c r="A155" s="17"/>
      <c r="B155" s="40"/>
      <c r="C155" s="17"/>
      <c r="D155" s="17"/>
      <c r="E155" s="17"/>
      <c r="F155" s="17"/>
      <c r="G155" s="17"/>
      <c r="H155" s="42"/>
      <c r="I155" s="17"/>
      <c r="J155" s="17"/>
      <c r="K155" s="17"/>
      <c r="L155" s="17"/>
      <c r="M155" s="17"/>
      <c r="N155" s="44" t="str">
        <f aca="false">IF(OR(D155="",A155="",COUNTIFS(Scoresheet!$C$2:$C$501,A155,Scoresheet!$U$2:$U$501,1)=0),"",SUMIFS(Scoresheet!$O$2:$O$501,Scoresheet!$C$2:$C$501,A155,Scoresheet!$U$2:$U$501,1))</f>
        <v/>
      </c>
      <c r="O155" s="44" t="str">
        <f aca="false">IF(D155="","",IF(OR(A155="",COUNTIFS(Scoresheet!$C$2:$C$501,A155,Scoresheet!$U$2:$U$501,1)=0),"No scoresheet yet",IF(SUMIFS(Scoresheet!$N$2:$N$501,Scoresheet!$C$2:$C$501,A155,Scoresheet!$U$2:$U$501,1)&lt;6,"Partly scored ("&amp;SUMIFS(Scoresheet!$N$2:$N$501,Scoresheet!$C$2:$C$501,A155,Scoresheet!$U$2:$U$501,1)&amp;"/6)",IF(N155&gt;=Settings!$S$8,"Hot",IF(N155&gt;=Settings!$S$9,"Warm","Cold")))))</f>
        <v/>
      </c>
      <c r="P155" s="44" t="str">
        <f aca="false">IF(OR(D155="",A155=""),"",IF(AND(COUNTIFS(Scoresheet!$C$2:$C$501,A155,Scoresheet!$U$2:$U$501,1,Scoresheet!$H$2:$H$501,"No")&gt;0,COUNTIFS(Scoresheet!$C$2:$C$501,A155,Scoresheet!$U$2:$U$501,1,Scoresheet!$J$2:$J$501,"No")&gt;0),"🚩 Budget  ·  🚩 No one on camera",IF(COUNTIFS(Scoresheet!$C$2:$C$501,A155,Scoresheet!$U$2:$U$501,1,Scoresheet!$H$2:$H$501,"No")&gt;0,"🚩 Budget under AED 5k",IF(COUNTIFS(Scoresheet!$C$2:$C$501,A155,Scoresheet!$U$2:$U$501,1,Scoresheet!$J$2:$J$501,"No")&gt;0,"🚩 No one on camera",""))))</f>
        <v/>
      </c>
      <c r="Q155" s="17"/>
      <c r="R155" s="17"/>
      <c r="S155" s="40"/>
      <c r="T155" s="17"/>
      <c r="U155" s="45" t="str">
        <f aca="false">IF(OR(D155="",S155="",OR(R155="Contract signed + paid",R155="Closed – No response",R155="Lost"),N(T155)&gt;=Settings!$S$3),"",S155+Settings!$S$2)</f>
        <v/>
      </c>
      <c r="V155" s="40"/>
      <c r="W155" s="41"/>
      <c r="X155" s="17"/>
      <c r="Y155" s="17"/>
      <c r="Z155" s="17"/>
      <c r="AA155" s="46" t="str">
        <f aca="true">IF(OR(D155="",B155=""),"",INT(TODAY()-B155))</f>
        <v/>
      </c>
      <c r="AB155" s="44" t="str">
        <f aca="true">IF(D155="","",IF(OR(COUNTIFS(Clients!$C$2:$C$501,D155,Clients!$S$2:$S$501,"Paid")&gt;0,AND(H155&lt;&gt;"",COUNTIFS(Clients!$E$2:$E$501,H155,Clients!$S$2:$S$501,"Paid")&gt;0)),"⚠ Refunded before – no free video",IF(OR(R155="Contract signed + paid",R155="Closed – No response",R155="Lost"),"",IF(R155="","Set a stage",IF(AND(R155="Proposal sent",SUMIFS(Scoresheet!$N$2:$N$501,Scoresheet!$C$2:$C$501,A155,Scoresheet!$U$2:$U$501,1)&lt;6),"Score this lead – fill the call scoresheet",IF(N(T155)&gt;=Settings!$S$3,"Close – 4 follow-ups sent",IF(U155="",IF(S155="","Make first contact",""),IF(TODAY()&gt;U155,"OVERDUE follow-up",IF(TODAY()=U155,"Follow up today","")))))))))</f>
        <v/>
      </c>
    </row>
    <row r="156" customFormat="false" ht="15" hidden="false" customHeight="false" outlineLevel="0" collapsed="false">
      <c r="A156" s="17"/>
      <c r="B156" s="40"/>
      <c r="C156" s="17"/>
      <c r="D156" s="17"/>
      <c r="E156" s="17"/>
      <c r="F156" s="17"/>
      <c r="G156" s="17"/>
      <c r="H156" s="42"/>
      <c r="I156" s="17"/>
      <c r="J156" s="17"/>
      <c r="K156" s="17"/>
      <c r="L156" s="17"/>
      <c r="M156" s="17"/>
      <c r="N156" s="44" t="str">
        <f aca="false">IF(OR(D156="",A156="",COUNTIFS(Scoresheet!$C$2:$C$501,A156,Scoresheet!$U$2:$U$501,1)=0),"",SUMIFS(Scoresheet!$O$2:$O$501,Scoresheet!$C$2:$C$501,A156,Scoresheet!$U$2:$U$501,1))</f>
        <v/>
      </c>
      <c r="O156" s="44" t="str">
        <f aca="false">IF(D156="","",IF(OR(A156="",COUNTIFS(Scoresheet!$C$2:$C$501,A156,Scoresheet!$U$2:$U$501,1)=0),"No scoresheet yet",IF(SUMIFS(Scoresheet!$N$2:$N$501,Scoresheet!$C$2:$C$501,A156,Scoresheet!$U$2:$U$501,1)&lt;6,"Partly scored ("&amp;SUMIFS(Scoresheet!$N$2:$N$501,Scoresheet!$C$2:$C$501,A156,Scoresheet!$U$2:$U$501,1)&amp;"/6)",IF(N156&gt;=Settings!$S$8,"Hot",IF(N156&gt;=Settings!$S$9,"Warm","Cold")))))</f>
        <v/>
      </c>
      <c r="P156" s="44" t="str">
        <f aca="false">IF(OR(D156="",A156=""),"",IF(AND(COUNTIFS(Scoresheet!$C$2:$C$501,A156,Scoresheet!$U$2:$U$501,1,Scoresheet!$H$2:$H$501,"No")&gt;0,COUNTIFS(Scoresheet!$C$2:$C$501,A156,Scoresheet!$U$2:$U$501,1,Scoresheet!$J$2:$J$501,"No")&gt;0),"🚩 Budget  ·  🚩 No one on camera",IF(COUNTIFS(Scoresheet!$C$2:$C$501,A156,Scoresheet!$U$2:$U$501,1,Scoresheet!$H$2:$H$501,"No")&gt;0,"🚩 Budget under AED 5k",IF(COUNTIFS(Scoresheet!$C$2:$C$501,A156,Scoresheet!$U$2:$U$501,1,Scoresheet!$J$2:$J$501,"No")&gt;0,"🚩 No one on camera",""))))</f>
        <v/>
      </c>
      <c r="Q156" s="17"/>
      <c r="R156" s="17"/>
      <c r="S156" s="40"/>
      <c r="T156" s="17"/>
      <c r="U156" s="45" t="str">
        <f aca="false">IF(OR(D156="",S156="",OR(R156="Contract signed + paid",R156="Closed – No response",R156="Lost"),N(T156)&gt;=Settings!$S$3),"",S156+Settings!$S$2)</f>
        <v/>
      </c>
      <c r="V156" s="40"/>
      <c r="W156" s="41"/>
      <c r="X156" s="17"/>
      <c r="Y156" s="17"/>
      <c r="Z156" s="17"/>
      <c r="AA156" s="46" t="str">
        <f aca="true">IF(OR(D156="",B156=""),"",INT(TODAY()-B156))</f>
        <v/>
      </c>
      <c r="AB156" s="44" t="str">
        <f aca="true">IF(D156="","",IF(OR(COUNTIFS(Clients!$C$2:$C$501,D156,Clients!$S$2:$S$501,"Paid")&gt;0,AND(H156&lt;&gt;"",COUNTIFS(Clients!$E$2:$E$501,H156,Clients!$S$2:$S$501,"Paid")&gt;0)),"⚠ Refunded before – no free video",IF(OR(R156="Contract signed + paid",R156="Closed – No response",R156="Lost"),"",IF(R156="","Set a stage",IF(AND(R156="Proposal sent",SUMIFS(Scoresheet!$N$2:$N$501,Scoresheet!$C$2:$C$501,A156,Scoresheet!$U$2:$U$501,1)&lt;6),"Score this lead – fill the call scoresheet",IF(N(T156)&gt;=Settings!$S$3,"Close – 4 follow-ups sent",IF(U156="",IF(S156="","Make first contact",""),IF(TODAY()&gt;U156,"OVERDUE follow-up",IF(TODAY()=U156,"Follow up today","")))))))))</f>
        <v/>
      </c>
    </row>
    <row r="157" customFormat="false" ht="15" hidden="false" customHeight="false" outlineLevel="0" collapsed="false">
      <c r="A157" s="17"/>
      <c r="B157" s="40"/>
      <c r="C157" s="17"/>
      <c r="D157" s="17"/>
      <c r="E157" s="17"/>
      <c r="F157" s="17"/>
      <c r="G157" s="17"/>
      <c r="H157" s="42"/>
      <c r="I157" s="17"/>
      <c r="J157" s="17"/>
      <c r="K157" s="17"/>
      <c r="L157" s="17"/>
      <c r="M157" s="17"/>
      <c r="N157" s="44" t="str">
        <f aca="false">IF(OR(D157="",A157="",COUNTIFS(Scoresheet!$C$2:$C$501,A157,Scoresheet!$U$2:$U$501,1)=0),"",SUMIFS(Scoresheet!$O$2:$O$501,Scoresheet!$C$2:$C$501,A157,Scoresheet!$U$2:$U$501,1))</f>
        <v/>
      </c>
      <c r="O157" s="44" t="str">
        <f aca="false">IF(D157="","",IF(OR(A157="",COUNTIFS(Scoresheet!$C$2:$C$501,A157,Scoresheet!$U$2:$U$501,1)=0),"No scoresheet yet",IF(SUMIFS(Scoresheet!$N$2:$N$501,Scoresheet!$C$2:$C$501,A157,Scoresheet!$U$2:$U$501,1)&lt;6,"Partly scored ("&amp;SUMIFS(Scoresheet!$N$2:$N$501,Scoresheet!$C$2:$C$501,A157,Scoresheet!$U$2:$U$501,1)&amp;"/6)",IF(N157&gt;=Settings!$S$8,"Hot",IF(N157&gt;=Settings!$S$9,"Warm","Cold")))))</f>
        <v/>
      </c>
      <c r="P157" s="44" t="str">
        <f aca="false">IF(OR(D157="",A157=""),"",IF(AND(COUNTIFS(Scoresheet!$C$2:$C$501,A157,Scoresheet!$U$2:$U$501,1,Scoresheet!$H$2:$H$501,"No")&gt;0,COUNTIFS(Scoresheet!$C$2:$C$501,A157,Scoresheet!$U$2:$U$501,1,Scoresheet!$J$2:$J$501,"No")&gt;0),"🚩 Budget  ·  🚩 No one on camera",IF(COUNTIFS(Scoresheet!$C$2:$C$501,A157,Scoresheet!$U$2:$U$501,1,Scoresheet!$H$2:$H$501,"No")&gt;0,"🚩 Budget under AED 5k",IF(COUNTIFS(Scoresheet!$C$2:$C$501,A157,Scoresheet!$U$2:$U$501,1,Scoresheet!$J$2:$J$501,"No")&gt;0,"🚩 No one on camera",""))))</f>
        <v/>
      </c>
      <c r="Q157" s="17"/>
      <c r="R157" s="17"/>
      <c r="S157" s="40"/>
      <c r="T157" s="17"/>
      <c r="U157" s="45" t="str">
        <f aca="false">IF(OR(D157="",S157="",OR(R157="Contract signed + paid",R157="Closed – No response",R157="Lost"),N(T157)&gt;=Settings!$S$3),"",S157+Settings!$S$2)</f>
        <v/>
      </c>
      <c r="V157" s="40"/>
      <c r="W157" s="41"/>
      <c r="X157" s="17"/>
      <c r="Y157" s="17"/>
      <c r="Z157" s="17"/>
      <c r="AA157" s="46" t="str">
        <f aca="true">IF(OR(D157="",B157=""),"",INT(TODAY()-B157))</f>
        <v/>
      </c>
      <c r="AB157" s="44" t="str">
        <f aca="true">IF(D157="","",IF(OR(COUNTIFS(Clients!$C$2:$C$501,D157,Clients!$S$2:$S$501,"Paid")&gt;0,AND(H157&lt;&gt;"",COUNTIFS(Clients!$E$2:$E$501,H157,Clients!$S$2:$S$501,"Paid")&gt;0)),"⚠ Refunded before – no free video",IF(OR(R157="Contract signed + paid",R157="Closed – No response",R157="Lost"),"",IF(R157="","Set a stage",IF(AND(R157="Proposal sent",SUMIFS(Scoresheet!$N$2:$N$501,Scoresheet!$C$2:$C$501,A157,Scoresheet!$U$2:$U$501,1)&lt;6),"Score this lead – fill the call scoresheet",IF(N(T157)&gt;=Settings!$S$3,"Close – 4 follow-ups sent",IF(U157="",IF(S157="","Make first contact",""),IF(TODAY()&gt;U157,"OVERDUE follow-up",IF(TODAY()=U157,"Follow up today","")))))))))</f>
        <v/>
      </c>
    </row>
    <row r="158" customFormat="false" ht="15" hidden="false" customHeight="false" outlineLevel="0" collapsed="false">
      <c r="A158" s="17"/>
      <c r="B158" s="40"/>
      <c r="C158" s="17"/>
      <c r="D158" s="17"/>
      <c r="E158" s="17"/>
      <c r="F158" s="17"/>
      <c r="G158" s="17"/>
      <c r="H158" s="42"/>
      <c r="I158" s="17"/>
      <c r="J158" s="17"/>
      <c r="K158" s="17"/>
      <c r="L158" s="17"/>
      <c r="M158" s="17"/>
      <c r="N158" s="44" t="str">
        <f aca="false">IF(OR(D158="",A158="",COUNTIFS(Scoresheet!$C$2:$C$501,A158,Scoresheet!$U$2:$U$501,1)=0),"",SUMIFS(Scoresheet!$O$2:$O$501,Scoresheet!$C$2:$C$501,A158,Scoresheet!$U$2:$U$501,1))</f>
        <v/>
      </c>
      <c r="O158" s="44" t="str">
        <f aca="false">IF(D158="","",IF(OR(A158="",COUNTIFS(Scoresheet!$C$2:$C$501,A158,Scoresheet!$U$2:$U$501,1)=0),"No scoresheet yet",IF(SUMIFS(Scoresheet!$N$2:$N$501,Scoresheet!$C$2:$C$501,A158,Scoresheet!$U$2:$U$501,1)&lt;6,"Partly scored ("&amp;SUMIFS(Scoresheet!$N$2:$N$501,Scoresheet!$C$2:$C$501,A158,Scoresheet!$U$2:$U$501,1)&amp;"/6)",IF(N158&gt;=Settings!$S$8,"Hot",IF(N158&gt;=Settings!$S$9,"Warm","Cold")))))</f>
        <v/>
      </c>
      <c r="P158" s="44" t="str">
        <f aca="false">IF(OR(D158="",A158=""),"",IF(AND(COUNTIFS(Scoresheet!$C$2:$C$501,A158,Scoresheet!$U$2:$U$501,1,Scoresheet!$H$2:$H$501,"No")&gt;0,COUNTIFS(Scoresheet!$C$2:$C$501,A158,Scoresheet!$U$2:$U$501,1,Scoresheet!$J$2:$J$501,"No")&gt;0),"🚩 Budget  ·  🚩 No one on camera",IF(COUNTIFS(Scoresheet!$C$2:$C$501,A158,Scoresheet!$U$2:$U$501,1,Scoresheet!$H$2:$H$501,"No")&gt;0,"🚩 Budget under AED 5k",IF(COUNTIFS(Scoresheet!$C$2:$C$501,A158,Scoresheet!$U$2:$U$501,1,Scoresheet!$J$2:$J$501,"No")&gt;0,"🚩 No one on camera",""))))</f>
        <v/>
      </c>
      <c r="Q158" s="17"/>
      <c r="R158" s="17"/>
      <c r="S158" s="40"/>
      <c r="T158" s="17"/>
      <c r="U158" s="45" t="str">
        <f aca="false">IF(OR(D158="",S158="",OR(R158="Contract signed + paid",R158="Closed – No response",R158="Lost"),N(T158)&gt;=Settings!$S$3),"",S158+Settings!$S$2)</f>
        <v/>
      </c>
      <c r="V158" s="40"/>
      <c r="W158" s="41"/>
      <c r="X158" s="17"/>
      <c r="Y158" s="17"/>
      <c r="Z158" s="17"/>
      <c r="AA158" s="46" t="str">
        <f aca="true">IF(OR(D158="",B158=""),"",INT(TODAY()-B158))</f>
        <v/>
      </c>
      <c r="AB158" s="44" t="str">
        <f aca="true">IF(D158="","",IF(OR(COUNTIFS(Clients!$C$2:$C$501,D158,Clients!$S$2:$S$501,"Paid")&gt;0,AND(H158&lt;&gt;"",COUNTIFS(Clients!$E$2:$E$501,H158,Clients!$S$2:$S$501,"Paid")&gt;0)),"⚠ Refunded before – no free video",IF(OR(R158="Contract signed + paid",R158="Closed – No response",R158="Lost"),"",IF(R158="","Set a stage",IF(AND(R158="Proposal sent",SUMIFS(Scoresheet!$N$2:$N$501,Scoresheet!$C$2:$C$501,A158,Scoresheet!$U$2:$U$501,1)&lt;6),"Score this lead – fill the call scoresheet",IF(N(T158)&gt;=Settings!$S$3,"Close – 4 follow-ups sent",IF(U158="",IF(S158="","Make first contact",""),IF(TODAY()&gt;U158,"OVERDUE follow-up",IF(TODAY()=U158,"Follow up today","")))))))))</f>
        <v/>
      </c>
    </row>
    <row r="159" customFormat="false" ht="15" hidden="false" customHeight="false" outlineLevel="0" collapsed="false">
      <c r="A159" s="17"/>
      <c r="B159" s="40"/>
      <c r="C159" s="17"/>
      <c r="D159" s="17"/>
      <c r="E159" s="17"/>
      <c r="F159" s="17"/>
      <c r="G159" s="17"/>
      <c r="H159" s="42"/>
      <c r="I159" s="17"/>
      <c r="J159" s="17"/>
      <c r="K159" s="17"/>
      <c r="L159" s="17"/>
      <c r="M159" s="17"/>
      <c r="N159" s="44" t="str">
        <f aca="false">IF(OR(D159="",A159="",COUNTIFS(Scoresheet!$C$2:$C$501,A159,Scoresheet!$U$2:$U$501,1)=0),"",SUMIFS(Scoresheet!$O$2:$O$501,Scoresheet!$C$2:$C$501,A159,Scoresheet!$U$2:$U$501,1))</f>
        <v/>
      </c>
      <c r="O159" s="44" t="str">
        <f aca="false">IF(D159="","",IF(OR(A159="",COUNTIFS(Scoresheet!$C$2:$C$501,A159,Scoresheet!$U$2:$U$501,1)=0),"No scoresheet yet",IF(SUMIFS(Scoresheet!$N$2:$N$501,Scoresheet!$C$2:$C$501,A159,Scoresheet!$U$2:$U$501,1)&lt;6,"Partly scored ("&amp;SUMIFS(Scoresheet!$N$2:$N$501,Scoresheet!$C$2:$C$501,A159,Scoresheet!$U$2:$U$501,1)&amp;"/6)",IF(N159&gt;=Settings!$S$8,"Hot",IF(N159&gt;=Settings!$S$9,"Warm","Cold")))))</f>
        <v/>
      </c>
      <c r="P159" s="44" t="str">
        <f aca="false">IF(OR(D159="",A159=""),"",IF(AND(COUNTIFS(Scoresheet!$C$2:$C$501,A159,Scoresheet!$U$2:$U$501,1,Scoresheet!$H$2:$H$501,"No")&gt;0,COUNTIFS(Scoresheet!$C$2:$C$501,A159,Scoresheet!$U$2:$U$501,1,Scoresheet!$J$2:$J$501,"No")&gt;0),"🚩 Budget  ·  🚩 No one on camera",IF(COUNTIFS(Scoresheet!$C$2:$C$501,A159,Scoresheet!$U$2:$U$501,1,Scoresheet!$H$2:$H$501,"No")&gt;0,"🚩 Budget under AED 5k",IF(COUNTIFS(Scoresheet!$C$2:$C$501,A159,Scoresheet!$U$2:$U$501,1,Scoresheet!$J$2:$J$501,"No")&gt;0,"🚩 No one on camera",""))))</f>
        <v/>
      </c>
      <c r="Q159" s="17"/>
      <c r="R159" s="17"/>
      <c r="S159" s="40"/>
      <c r="T159" s="17"/>
      <c r="U159" s="45" t="str">
        <f aca="false">IF(OR(D159="",S159="",OR(R159="Contract signed + paid",R159="Closed – No response",R159="Lost"),N(T159)&gt;=Settings!$S$3),"",S159+Settings!$S$2)</f>
        <v/>
      </c>
      <c r="V159" s="40"/>
      <c r="W159" s="41"/>
      <c r="X159" s="17"/>
      <c r="Y159" s="17"/>
      <c r="Z159" s="17"/>
      <c r="AA159" s="46" t="str">
        <f aca="true">IF(OR(D159="",B159=""),"",INT(TODAY()-B159))</f>
        <v/>
      </c>
      <c r="AB159" s="44" t="str">
        <f aca="true">IF(D159="","",IF(OR(COUNTIFS(Clients!$C$2:$C$501,D159,Clients!$S$2:$S$501,"Paid")&gt;0,AND(H159&lt;&gt;"",COUNTIFS(Clients!$E$2:$E$501,H159,Clients!$S$2:$S$501,"Paid")&gt;0)),"⚠ Refunded before – no free video",IF(OR(R159="Contract signed + paid",R159="Closed – No response",R159="Lost"),"",IF(R159="","Set a stage",IF(AND(R159="Proposal sent",SUMIFS(Scoresheet!$N$2:$N$501,Scoresheet!$C$2:$C$501,A159,Scoresheet!$U$2:$U$501,1)&lt;6),"Score this lead – fill the call scoresheet",IF(N(T159)&gt;=Settings!$S$3,"Close – 4 follow-ups sent",IF(U159="",IF(S159="","Make first contact",""),IF(TODAY()&gt;U159,"OVERDUE follow-up",IF(TODAY()=U159,"Follow up today","")))))))))</f>
        <v/>
      </c>
    </row>
    <row r="160" customFormat="false" ht="15" hidden="false" customHeight="false" outlineLevel="0" collapsed="false">
      <c r="A160" s="17"/>
      <c r="B160" s="40"/>
      <c r="C160" s="17"/>
      <c r="D160" s="17"/>
      <c r="E160" s="17"/>
      <c r="F160" s="17"/>
      <c r="G160" s="17"/>
      <c r="H160" s="42"/>
      <c r="I160" s="17"/>
      <c r="J160" s="17"/>
      <c r="K160" s="17"/>
      <c r="L160" s="17"/>
      <c r="M160" s="17"/>
      <c r="N160" s="44" t="str">
        <f aca="false">IF(OR(D160="",A160="",COUNTIFS(Scoresheet!$C$2:$C$501,A160,Scoresheet!$U$2:$U$501,1)=0),"",SUMIFS(Scoresheet!$O$2:$O$501,Scoresheet!$C$2:$C$501,A160,Scoresheet!$U$2:$U$501,1))</f>
        <v/>
      </c>
      <c r="O160" s="44" t="str">
        <f aca="false">IF(D160="","",IF(OR(A160="",COUNTIFS(Scoresheet!$C$2:$C$501,A160,Scoresheet!$U$2:$U$501,1)=0),"No scoresheet yet",IF(SUMIFS(Scoresheet!$N$2:$N$501,Scoresheet!$C$2:$C$501,A160,Scoresheet!$U$2:$U$501,1)&lt;6,"Partly scored ("&amp;SUMIFS(Scoresheet!$N$2:$N$501,Scoresheet!$C$2:$C$501,A160,Scoresheet!$U$2:$U$501,1)&amp;"/6)",IF(N160&gt;=Settings!$S$8,"Hot",IF(N160&gt;=Settings!$S$9,"Warm","Cold")))))</f>
        <v/>
      </c>
      <c r="P160" s="44" t="str">
        <f aca="false">IF(OR(D160="",A160=""),"",IF(AND(COUNTIFS(Scoresheet!$C$2:$C$501,A160,Scoresheet!$U$2:$U$501,1,Scoresheet!$H$2:$H$501,"No")&gt;0,COUNTIFS(Scoresheet!$C$2:$C$501,A160,Scoresheet!$U$2:$U$501,1,Scoresheet!$J$2:$J$501,"No")&gt;0),"🚩 Budget  ·  🚩 No one on camera",IF(COUNTIFS(Scoresheet!$C$2:$C$501,A160,Scoresheet!$U$2:$U$501,1,Scoresheet!$H$2:$H$501,"No")&gt;0,"🚩 Budget under AED 5k",IF(COUNTIFS(Scoresheet!$C$2:$C$501,A160,Scoresheet!$U$2:$U$501,1,Scoresheet!$J$2:$J$501,"No")&gt;0,"🚩 No one on camera",""))))</f>
        <v/>
      </c>
      <c r="Q160" s="17"/>
      <c r="R160" s="17"/>
      <c r="S160" s="40"/>
      <c r="T160" s="17"/>
      <c r="U160" s="45" t="str">
        <f aca="false">IF(OR(D160="",S160="",OR(R160="Contract signed + paid",R160="Closed – No response",R160="Lost"),N(T160)&gt;=Settings!$S$3),"",S160+Settings!$S$2)</f>
        <v/>
      </c>
      <c r="V160" s="40"/>
      <c r="W160" s="41"/>
      <c r="X160" s="17"/>
      <c r="Y160" s="17"/>
      <c r="Z160" s="17"/>
      <c r="AA160" s="46" t="str">
        <f aca="true">IF(OR(D160="",B160=""),"",INT(TODAY()-B160))</f>
        <v/>
      </c>
      <c r="AB160" s="44" t="str">
        <f aca="true">IF(D160="","",IF(OR(COUNTIFS(Clients!$C$2:$C$501,D160,Clients!$S$2:$S$501,"Paid")&gt;0,AND(H160&lt;&gt;"",COUNTIFS(Clients!$E$2:$E$501,H160,Clients!$S$2:$S$501,"Paid")&gt;0)),"⚠ Refunded before – no free video",IF(OR(R160="Contract signed + paid",R160="Closed – No response",R160="Lost"),"",IF(R160="","Set a stage",IF(AND(R160="Proposal sent",SUMIFS(Scoresheet!$N$2:$N$501,Scoresheet!$C$2:$C$501,A160,Scoresheet!$U$2:$U$501,1)&lt;6),"Score this lead – fill the call scoresheet",IF(N(T160)&gt;=Settings!$S$3,"Close – 4 follow-ups sent",IF(U160="",IF(S160="","Make first contact",""),IF(TODAY()&gt;U160,"OVERDUE follow-up",IF(TODAY()=U160,"Follow up today","")))))))))</f>
        <v/>
      </c>
    </row>
    <row r="161" customFormat="false" ht="15" hidden="false" customHeight="false" outlineLevel="0" collapsed="false">
      <c r="A161" s="17"/>
      <c r="B161" s="40"/>
      <c r="C161" s="17"/>
      <c r="D161" s="17"/>
      <c r="E161" s="17"/>
      <c r="F161" s="17"/>
      <c r="G161" s="17"/>
      <c r="H161" s="42"/>
      <c r="I161" s="17"/>
      <c r="J161" s="17"/>
      <c r="K161" s="17"/>
      <c r="L161" s="17"/>
      <c r="M161" s="17"/>
      <c r="N161" s="44" t="str">
        <f aca="false">IF(OR(D161="",A161="",COUNTIFS(Scoresheet!$C$2:$C$501,A161,Scoresheet!$U$2:$U$501,1)=0),"",SUMIFS(Scoresheet!$O$2:$O$501,Scoresheet!$C$2:$C$501,A161,Scoresheet!$U$2:$U$501,1))</f>
        <v/>
      </c>
      <c r="O161" s="44" t="str">
        <f aca="false">IF(D161="","",IF(OR(A161="",COUNTIFS(Scoresheet!$C$2:$C$501,A161,Scoresheet!$U$2:$U$501,1)=0),"No scoresheet yet",IF(SUMIFS(Scoresheet!$N$2:$N$501,Scoresheet!$C$2:$C$501,A161,Scoresheet!$U$2:$U$501,1)&lt;6,"Partly scored ("&amp;SUMIFS(Scoresheet!$N$2:$N$501,Scoresheet!$C$2:$C$501,A161,Scoresheet!$U$2:$U$501,1)&amp;"/6)",IF(N161&gt;=Settings!$S$8,"Hot",IF(N161&gt;=Settings!$S$9,"Warm","Cold")))))</f>
        <v/>
      </c>
      <c r="P161" s="44" t="str">
        <f aca="false">IF(OR(D161="",A161=""),"",IF(AND(COUNTIFS(Scoresheet!$C$2:$C$501,A161,Scoresheet!$U$2:$U$501,1,Scoresheet!$H$2:$H$501,"No")&gt;0,COUNTIFS(Scoresheet!$C$2:$C$501,A161,Scoresheet!$U$2:$U$501,1,Scoresheet!$J$2:$J$501,"No")&gt;0),"🚩 Budget  ·  🚩 No one on camera",IF(COUNTIFS(Scoresheet!$C$2:$C$501,A161,Scoresheet!$U$2:$U$501,1,Scoresheet!$H$2:$H$501,"No")&gt;0,"🚩 Budget under AED 5k",IF(COUNTIFS(Scoresheet!$C$2:$C$501,A161,Scoresheet!$U$2:$U$501,1,Scoresheet!$J$2:$J$501,"No")&gt;0,"🚩 No one on camera",""))))</f>
        <v/>
      </c>
      <c r="Q161" s="17"/>
      <c r="R161" s="17"/>
      <c r="S161" s="40"/>
      <c r="T161" s="17"/>
      <c r="U161" s="45" t="str">
        <f aca="false">IF(OR(D161="",S161="",OR(R161="Contract signed + paid",R161="Closed – No response",R161="Lost"),N(T161)&gt;=Settings!$S$3),"",S161+Settings!$S$2)</f>
        <v/>
      </c>
      <c r="V161" s="40"/>
      <c r="W161" s="41"/>
      <c r="X161" s="17"/>
      <c r="Y161" s="17"/>
      <c r="Z161" s="17"/>
      <c r="AA161" s="46" t="str">
        <f aca="true">IF(OR(D161="",B161=""),"",INT(TODAY()-B161))</f>
        <v/>
      </c>
      <c r="AB161" s="44" t="str">
        <f aca="true">IF(D161="","",IF(OR(COUNTIFS(Clients!$C$2:$C$501,D161,Clients!$S$2:$S$501,"Paid")&gt;0,AND(H161&lt;&gt;"",COUNTIFS(Clients!$E$2:$E$501,H161,Clients!$S$2:$S$501,"Paid")&gt;0)),"⚠ Refunded before – no free video",IF(OR(R161="Contract signed + paid",R161="Closed – No response",R161="Lost"),"",IF(R161="","Set a stage",IF(AND(R161="Proposal sent",SUMIFS(Scoresheet!$N$2:$N$501,Scoresheet!$C$2:$C$501,A161,Scoresheet!$U$2:$U$501,1)&lt;6),"Score this lead – fill the call scoresheet",IF(N(T161)&gt;=Settings!$S$3,"Close – 4 follow-ups sent",IF(U161="",IF(S161="","Make first contact",""),IF(TODAY()&gt;U161,"OVERDUE follow-up",IF(TODAY()=U161,"Follow up today","")))))))))</f>
        <v/>
      </c>
    </row>
    <row r="162" customFormat="false" ht="15" hidden="false" customHeight="false" outlineLevel="0" collapsed="false">
      <c r="A162" s="17"/>
      <c r="B162" s="40"/>
      <c r="C162" s="17"/>
      <c r="D162" s="17"/>
      <c r="E162" s="17"/>
      <c r="F162" s="17"/>
      <c r="G162" s="17"/>
      <c r="H162" s="42"/>
      <c r="I162" s="17"/>
      <c r="J162" s="17"/>
      <c r="K162" s="17"/>
      <c r="L162" s="17"/>
      <c r="M162" s="17"/>
      <c r="N162" s="44" t="str">
        <f aca="false">IF(OR(D162="",A162="",COUNTIFS(Scoresheet!$C$2:$C$501,A162,Scoresheet!$U$2:$U$501,1)=0),"",SUMIFS(Scoresheet!$O$2:$O$501,Scoresheet!$C$2:$C$501,A162,Scoresheet!$U$2:$U$501,1))</f>
        <v/>
      </c>
      <c r="O162" s="44" t="str">
        <f aca="false">IF(D162="","",IF(OR(A162="",COUNTIFS(Scoresheet!$C$2:$C$501,A162,Scoresheet!$U$2:$U$501,1)=0),"No scoresheet yet",IF(SUMIFS(Scoresheet!$N$2:$N$501,Scoresheet!$C$2:$C$501,A162,Scoresheet!$U$2:$U$501,1)&lt;6,"Partly scored ("&amp;SUMIFS(Scoresheet!$N$2:$N$501,Scoresheet!$C$2:$C$501,A162,Scoresheet!$U$2:$U$501,1)&amp;"/6)",IF(N162&gt;=Settings!$S$8,"Hot",IF(N162&gt;=Settings!$S$9,"Warm","Cold")))))</f>
        <v/>
      </c>
      <c r="P162" s="44" t="str">
        <f aca="false">IF(OR(D162="",A162=""),"",IF(AND(COUNTIFS(Scoresheet!$C$2:$C$501,A162,Scoresheet!$U$2:$U$501,1,Scoresheet!$H$2:$H$501,"No")&gt;0,COUNTIFS(Scoresheet!$C$2:$C$501,A162,Scoresheet!$U$2:$U$501,1,Scoresheet!$J$2:$J$501,"No")&gt;0),"🚩 Budget  ·  🚩 No one on camera",IF(COUNTIFS(Scoresheet!$C$2:$C$501,A162,Scoresheet!$U$2:$U$501,1,Scoresheet!$H$2:$H$501,"No")&gt;0,"🚩 Budget under AED 5k",IF(COUNTIFS(Scoresheet!$C$2:$C$501,A162,Scoresheet!$U$2:$U$501,1,Scoresheet!$J$2:$J$501,"No")&gt;0,"🚩 No one on camera",""))))</f>
        <v/>
      </c>
      <c r="Q162" s="17"/>
      <c r="R162" s="17"/>
      <c r="S162" s="40"/>
      <c r="T162" s="17"/>
      <c r="U162" s="45" t="str">
        <f aca="false">IF(OR(D162="",S162="",OR(R162="Contract signed + paid",R162="Closed – No response",R162="Lost"),N(T162)&gt;=Settings!$S$3),"",S162+Settings!$S$2)</f>
        <v/>
      </c>
      <c r="V162" s="40"/>
      <c r="W162" s="41"/>
      <c r="X162" s="17"/>
      <c r="Y162" s="17"/>
      <c r="Z162" s="17"/>
      <c r="AA162" s="46" t="str">
        <f aca="true">IF(OR(D162="",B162=""),"",INT(TODAY()-B162))</f>
        <v/>
      </c>
      <c r="AB162" s="44" t="str">
        <f aca="true">IF(D162="","",IF(OR(COUNTIFS(Clients!$C$2:$C$501,D162,Clients!$S$2:$S$501,"Paid")&gt;0,AND(H162&lt;&gt;"",COUNTIFS(Clients!$E$2:$E$501,H162,Clients!$S$2:$S$501,"Paid")&gt;0)),"⚠ Refunded before – no free video",IF(OR(R162="Contract signed + paid",R162="Closed – No response",R162="Lost"),"",IF(R162="","Set a stage",IF(AND(R162="Proposal sent",SUMIFS(Scoresheet!$N$2:$N$501,Scoresheet!$C$2:$C$501,A162,Scoresheet!$U$2:$U$501,1)&lt;6),"Score this lead – fill the call scoresheet",IF(N(T162)&gt;=Settings!$S$3,"Close – 4 follow-ups sent",IF(U162="",IF(S162="","Make first contact",""),IF(TODAY()&gt;U162,"OVERDUE follow-up",IF(TODAY()=U162,"Follow up today","")))))))))</f>
        <v/>
      </c>
    </row>
    <row r="163" customFormat="false" ht="15" hidden="false" customHeight="false" outlineLevel="0" collapsed="false">
      <c r="A163" s="17"/>
      <c r="B163" s="40"/>
      <c r="C163" s="17"/>
      <c r="D163" s="17"/>
      <c r="E163" s="17"/>
      <c r="F163" s="17"/>
      <c r="G163" s="17"/>
      <c r="H163" s="42"/>
      <c r="I163" s="17"/>
      <c r="J163" s="17"/>
      <c r="K163" s="17"/>
      <c r="L163" s="17"/>
      <c r="M163" s="17"/>
      <c r="N163" s="44" t="str">
        <f aca="false">IF(OR(D163="",A163="",COUNTIFS(Scoresheet!$C$2:$C$501,A163,Scoresheet!$U$2:$U$501,1)=0),"",SUMIFS(Scoresheet!$O$2:$O$501,Scoresheet!$C$2:$C$501,A163,Scoresheet!$U$2:$U$501,1))</f>
        <v/>
      </c>
      <c r="O163" s="44" t="str">
        <f aca="false">IF(D163="","",IF(OR(A163="",COUNTIFS(Scoresheet!$C$2:$C$501,A163,Scoresheet!$U$2:$U$501,1)=0),"No scoresheet yet",IF(SUMIFS(Scoresheet!$N$2:$N$501,Scoresheet!$C$2:$C$501,A163,Scoresheet!$U$2:$U$501,1)&lt;6,"Partly scored ("&amp;SUMIFS(Scoresheet!$N$2:$N$501,Scoresheet!$C$2:$C$501,A163,Scoresheet!$U$2:$U$501,1)&amp;"/6)",IF(N163&gt;=Settings!$S$8,"Hot",IF(N163&gt;=Settings!$S$9,"Warm","Cold")))))</f>
        <v/>
      </c>
      <c r="P163" s="44" t="str">
        <f aca="false">IF(OR(D163="",A163=""),"",IF(AND(COUNTIFS(Scoresheet!$C$2:$C$501,A163,Scoresheet!$U$2:$U$501,1,Scoresheet!$H$2:$H$501,"No")&gt;0,COUNTIFS(Scoresheet!$C$2:$C$501,A163,Scoresheet!$U$2:$U$501,1,Scoresheet!$J$2:$J$501,"No")&gt;0),"🚩 Budget  ·  🚩 No one on camera",IF(COUNTIFS(Scoresheet!$C$2:$C$501,A163,Scoresheet!$U$2:$U$501,1,Scoresheet!$H$2:$H$501,"No")&gt;0,"🚩 Budget under AED 5k",IF(COUNTIFS(Scoresheet!$C$2:$C$501,A163,Scoresheet!$U$2:$U$501,1,Scoresheet!$J$2:$J$501,"No")&gt;0,"🚩 No one on camera",""))))</f>
        <v/>
      </c>
      <c r="Q163" s="17"/>
      <c r="R163" s="17"/>
      <c r="S163" s="40"/>
      <c r="T163" s="17"/>
      <c r="U163" s="45" t="str">
        <f aca="false">IF(OR(D163="",S163="",OR(R163="Contract signed + paid",R163="Closed – No response",R163="Lost"),N(T163)&gt;=Settings!$S$3),"",S163+Settings!$S$2)</f>
        <v/>
      </c>
      <c r="V163" s="40"/>
      <c r="W163" s="41"/>
      <c r="X163" s="17"/>
      <c r="Y163" s="17"/>
      <c r="Z163" s="17"/>
      <c r="AA163" s="46" t="str">
        <f aca="true">IF(OR(D163="",B163=""),"",INT(TODAY()-B163))</f>
        <v/>
      </c>
      <c r="AB163" s="44" t="str">
        <f aca="true">IF(D163="","",IF(OR(COUNTIFS(Clients!$C$2:$C$501,D163,Clients!$S$2:$S$501,"Paid")&gt;0,AND(H163&lt;&gt;"",COUNTIFS(Clients!$E$2:$E$501,H163,Clients!$S$2:$S$501,"Paid")&gt;0)),"⚠ Refunded before – no free video",IF(OR(R163="Contract signed + paid",R163="Closed – No response",R163="Lost"),"",IF(R163="","Set a stage",IF(AND(R163="Proposal sent",SUMIFS(Scoresheet!$N$2:$N$501,Scoresheet!$C$2:$C$501,A163,Scoresheet!$U$2:$U$501,1)&lt;6),"Score this lead – fill the call scoresheet",IF(N(T163)&gt;=Settings!$S$3,"Close – 4 follow-ups sent",IF(U163="",IF(S163="","Make first contact",""),IF(TODAY()&gt;U163,"OVERDUE follow-up",IF(TODAY()=U163,"Follow up today","")))))))))</f>
        <v/>
      </c>
    </row>
    <row r="164" customFormat="false" ht="15" hidden="false" customHeight="false" outlineLevel="0" collapsed="false">
      <c r="A164" s="17"/>
      <c r="B164" s="40"/>
      <c r="C164" s="17"/>
      <c r="D164" s="17"/>
      <c r="E164" s="17"/>
      <c r="F164" s="17"/>
      <c r="G164" s="17"/>
      <c r="H164" s="42"/>
      <c r="I164" s="17"/>
      <c r="J164" s="17"/>
      <c r="K164" s="17"/>
      <c r="L164" s="17"/>
      <c r="M164" s="17"/>
      <c r="N164" s="44" t="str">
        <f aca="false">IF(OR(D164="",A164="",COUNTIFS(Scoresheet!$C$2:$C$501,A164,Scoresheet!$U$2:$U$501,1)=0),"",SUMIFS(Scoresheet!$O$2:$O$501,Scoresheet!$C$2:$C$501,A164,Scoresheet!$U$2:$U$501,1))</f>
        <v/>
      </c>
      <c r="O164" s="44" t="str">
        <f aca="false">IF(D164="","",IF(OR(A164="",COUNTIFS(Scoresheet!$C$2:$C$501,A164,Scoresheet!$U$2:$U$501,1)=0),"No scoresheet yet",IF(SUMIFS(Scoresheet!$N$2:$N$501,Scoresheet!$C$2:$C$501,A164,Scoresheet!$U$2:$U$501,1)&lt;6,"Partly scored ("&amp;SUMIFS(Scoresheet!$N$2:$N$501,Scoresheet!$C$2:$C$501,A164,Scoresheet!$U$2:$U$501,1)&amp;"/6)",IF(N164&gt;=Settings!$S$8,"Hot",IF(N164&gt;=Settings!$S$9,"Warm","Cold")))))</f>
        <v/>
      </c>
      <c r="P164" s="44" t="str">
        <f aca="false">IF(OR(D164="",A164=""),"",IF(AND(COUNTIFS(Scoresheet!$C$2:$C$501,A164,Scoresheet!$U$2:$U$501,1,Scoresheet!$H$2:$H$501,"No")&gt;0,COUNTIFS(Scoresheet!$C$2:$C$501,A164,Scoresheet!$U$2:$U$501,1,Scoresheet!$J$2:$J$501,"No")&gt;0),"🚩 Budget  ·  🚩 No one on camera",IF(COUNTIFS(Scoresheet!$C$2:$C$501,A164,Scoresheet!$U$2:$U$501,1,Scoresheet!$H$2:$H$501,"No")&gt;0,"🚩 Budget under AED 5k",IF(COUNTIFS(Scoresheet!$C$2:$C$501,A164,Scoresheet!$U$2:$U$501,1,Scoresheet!$J$2:$J$501,"No")&gt;0,"🚩 No one on camera",""))))</f>
        <v/>
      </c>
      <c r="Q164" s="17"/>
      <c r="R164" s="17"/>
      <c r="S164" s="40"/>
      <c r="T164" s="17"/>
      <c r="U164" s="45" t="str">
        <f aca="false">IF(OR(D164="",S164="",OR(R164="Contract signed + paid",R164="Closed – No response",R164="Lost"),N(T164)&gt;=Settings!$S$3),"",S164+Settings!$S$2)</f>
        <v/>
      </c>
      <c r="V164" s="40"/>
      <c r="W164" s="41"/>
      <c r="X164" s="17"/>
      <c r="Y164" s="17"/>
      <c r="Z164" s="17"/>
      <c r="AA164" s="46" t="str">
        <f aca="true">IF(OR(D164="",B164=""),"",INT(TODAY()-B164))</f>
        <v/>
      </c>
      <c r="AB164" s="44" t="str">
        <f aca="true">IF(D164="","",IF(OR(COUNTIFS(Clients!$C$2:$C$501,D164,Clients!$S$2:$S$501,"Paid")&gt;0,AND(H164&lt;&gt;"",COUNTIFS(Clients!$E$2:$E$501,H164,Clients!$S$2:$S$501,"Paid")&gt;0)),"⚠ Refunded before – no free video",IF(OR(R164="Contract signed + paid",R164="Closed – No response",R164="Lost"),"",IF(R164="","Set a stage",IF(AND(R164="Proposal sent",SUMIFS(Scoresheet!$N$2:$N$501,Scoresheet!$C$2:$C$501,A164,Scoresheet!$U$2:$U$501,1)&lt;6),"Score this lead – fill the call scoresheet",IF(N(T164)&gt;=Settings!$S$3,"Close – 4 follow-ups sent",IF(U164="",IF(S164="","Make first contact",""),IF(TODAY()&gt;U164,"OVERDUE follow-up",IF(TODAY()=U164,"Follow up today","")))))))))</f>
        <v/>
      </c>
    </row>
    <row r="165" customFormat="false" ht="15" hidden="false" customHeight="false" outlineLevel="0" collapsed="false">
      <c r="A165" s="17"/>
      <c r="B165" s="40"/>
      <c r="C165" s="17"/>
      <c r="D165" s="17"/>
      <c r="E165" s="17"/>
      <c r="F165" s="17"/>
      <c r="G165" s="17"/>
      <c r="H165" s="42"/>
      <c r="I165" s="17"/>
      <c r="J165" s="17"/>
      <c r="K165" s="17"/>
      <c r="L165" s="17"/>
      <c r="M165" s="17"/>
      <c r="N165" s="44" t="str">
        <f aca="false">IF(OR(D165="",A165="",COUNTIFS(Scoresheet!$C$2:$C$501,A165,Scoresheet!$U$2:$U$501,1)=0),"",SUMIFS(Scoresheet!$O$2:$O$501,Scoresheet!$C$2:$C$501,A165,Scoresheet!$U$2:$U$501,1))</f>
        <v/>
      </c>
      <c r="O165" s="44" t="str">
        <f aca="false">IF(D165="","",IF(OR(A165="",COUNTIFS(Scoresheet!$C$2:$C$501,A165,Scoresheet!$U$2:$U$501,1)=0),"No scoresheet yet",IF(SUMIFS(Scoresheet!$N$2:$N$501,Scoresheet!$C$2:$C$501,A165,Scoresheet!$U$2:$U$501,1)&lt;6,"Partly scored ("&amp;SUMIFS(Scoresheet!$N$2:$N$501,Scoresheet!$C$2:$C$501,A165,Scoresheet!$U$2:$U$501,1)&amp;"/6)",IF(N165&gt;=Settings!$S$8,"Hot",IF(N165&gt;=Settings!$S$9,"Warm","Cold")))))</f>
        <v/>
      </c>
      <c r="P165" s="44" t="str">
        <f aca="false">IF(OR(D165="",A165=""),"",IF(AND(COUNTIFS(Scoresheet!$C$2:$C$501,A165,Scoresheet!$U$2:$U$501,1,Scoresheet!$H$2:$H$501,"No")&gt;0,COUNTIFS(Scoresheet!$C$2:$C$501,A165,Scoresheet!$U$2:$U$501,1,Scoresheet!$J$2:$J$501,"No")&gt;0),"🚩 Budget  ·  🚩 No one on camera",IF(COUNTIFS(Scoresheet!$C$2:$C$501,A165,Scoresheet!$U$2:$U$501,1,Scoresheet!$H$2:$H$501,"No")&gt;0,"🚩 Budget under AED 5k",IF(COUNTIFS(Scoresheet!$C$2:$C$501,A165,Scoresheet!$U$2:$U$501,1,Scoresheet!$J$2:$J$501,"No")&gt;0,"🚩 No one on camera",""))))</f>
        <v/>
      </c>
      <c r="Q165" s="17"/>
      <c r="R165" s="17"/>
      <c r="S165" s="40"/>
      <c r="T165" s="17"/>
      <c r="U165" s="45" t="str">
        <f aca="false">IF(OR(D165="",S165="",OR(R165="Contract signed + paid",R165="Closed – No response",R165="Lost"),N(T165)&gt;=Settings!$S$3),"",S165+Settings!$S$2)</f>
        <v/>
      </c>
      <c r="V165" s="40"/>
      <c r="W165" s="41"/>
      <c r="X165" s="17"/>
      <c r="Y165" s="17"/>
      <c r="Z165" s="17"/>
      <c r="AA165" s="46" t="str">
        <f aca="true">IF(OR(D165="",B165=""),"",INT(TODAY()-B165))</f>
        <v/>
      </c>
      <c r="AB165" s="44" t="str">
        <f aca="true">IF(D165="","",IF(OR(COUNTIFS(Clients!$C$2:$C$501,D165,Clients!$S$2:$S$501,"Paid")&gt;0,AND(H165&lt;&gt;"",COUNTIFS(Clients!$E$2:$E$501,H165,Clients!$S$2:$S$501,"Paid")&gt;0)),"⚠ Refunded before – no free video",IF(OR(R165="Contract signed + paid",R165="Closed – No response",R165="Lost"),"",IF(R165="","Set a stage",IF(AND(R165="Proposal sent",SUMIFS(Scoresheet!$N$2:$N$501,Scoresheet!$C$2:$C$501,A165,Scoresheet!$U$2:$U$501,1)&lt;6),"Score this lead – fill the call scoresheet",IF(N(T165)&gt;=Settings!$S$3,"Close – 4 follow-ups sent",IF(U165="",IF(S165="","Make first contact",""),IF(TODAY()&gt;U165,"OVERDUE follow-up",IF(TODAY()=U165,"Follow up today","")))))))))</f>
        <v/>
      </c>
    </row>
    <row r="166" customFormat="false" ht="15" hidden="false" customHeight="false" outlineLevel="0" collapsed="false">
      <c r="A166" s="17"/>
      <c r="B166" s="40"/>
      <c r="C166" s="17"/>
      <c r="D166" s="17"/>
      <c r="E166" s="17"/>
      <c r="F166" s="17"/>
      <c r="G166" s="17"/>
      <c r="H166" s="42"/>
      <c r="I166" s="17"/>
      <c r="J166" s="17"/>
      <c r="K166" s="17"/>
      <c r="L166" s="17"/>
      <c r="M166" s="17"/>
      <c r="N166" s="44" t="str">
        <f aca="false">IF(OR(D166="",A166="",COUNTIFS(Scoresheet!$C$2:$C$501,A166,Scoresheet!$U$2:$U$501,1)=0),"",SUMIFS(Scoresheet!$O$2:$O$501,Scoresheet!$C$2:$C$501,A166,Scoresheet!$U$2:$U$501,1))</f>
        <v/>
      </c>
      <c r="O166" s="44" t="str">
        <f aca="false">IF(D166="","",IF(OR(A166="",COUNTIFS(Scoresheet!$C$2:$C$501,A166,Scoresheet!$U$2:$U$501,1)=0),"No scoresheet yet",IF(SUMIFS(Scoresheet!$N$2:$N$501,Scoresheet!$C$2:$C$501,A166,Scoresheet!$U$2:$U$501,1)&lt;6,"Partly scored ("&amp;SUMIFS(Scoresheet!$N$2:$N$501,Scoresheet!$C$2:$C$501,A166,Scoresheet!$U$2:$U$501,1)&amp;"/6)",IF(N166&gt;=Settings!$S$8,"Hot",IF(N166&gt;=Settings!$S$9,"Warm","Cold")))))</f>
        <v/>
      </c>
      <c r="P166" s="44" t="str">
        <f aca="false">IF(OR(D166="",A166=""),"",IF(AND(COUNTIFS(Scoresheet!$C$2:$C$501,A166,Scoresheet!$U$2:$U$501,1,Scoresheet!$H$2:$H$501,"No")&gt;0,COUNTIFS(Scoresheet!$C$2:$C$501,A166,Scoresheet!$U$2:$U$501,1,Scoresheet!$J$2:$J$501,"No")&gt;0),"🚩 Budget  ·  🚩 No one on camera",IF(COUNTIFS(Scoresheet!$C$2:$C$501,A166,Scoresheet!$U$2:$U$501,1,Scoresheet!$H$2:$H$501,"No")&gt;0,"🚩 Budget under AED 5k",IF(COUNTIFS(Scoresheet!$C$2:$C$501,A166,Scoresheet!$U$2:$U$501,1,Scoresheet!$J$2:$J$501,"No")&gt;0,"🚩 No one on camera",""))))</f>
        <v/>
      </c>
      <c r="Q166" s="17"/>
      <c r="R166" s="17"/>
      <c r="S166" s="40"/>
      <c r="T166" s="17"/>
      <c r="U166" s="45" t="str">
        <f aca="false">IF(OR(D166="",S166="",OR(R166="Contract signed + paid",R166="Closed – No response",R166="Lost"),N(T166)&gt;=Settings!$S$3),"",S166+Settings!$S$2)</f>
        <v/>
      </c>
      <c r="V166" s="40"/>
      <c r="W166" s="41"/>
      <c r="X166" s="17"/>
      <c r="Y166" s="17"/>
      <c r="Z166" s="17"/>
      <c r="AA166" s="46" t="str">
        <f aca="true">IF(OR(D166="",B166=""),"",INT(TODAY()-B166))</f>
        <v/>
      </c>
      <c r="AB166" s="44" t="str">
        <f aca="true">IF(D166="","",IF(OR(COUNTIFS(Clients!$C$2:$C$501,D166,Clients!$S$2:$S$501,"Paid")&gt;0,AND(H166&lt;&gt;"",COUNTIFS(Clients!$E$2:$E$501,H166,Clients!$S$2:$S$501,"Paid")&gt;0)),"⚠ Refunded before – no free video",IF(OR(R166="Contract signed + paid",R166="Closed – No response",R166="Lost"),"",IF(R166="","Set a stage",IF(AND(R166="Proposal sent",SUMIFS(Scoresheet!$N$2:$N$501,Scoresheet!$C$2:$C$501,A166,Scoresheet!$U$2:$U$501,1)&lt;6),"Score this lead – fill the call scoresheet",IF(N(T166)&gt;=Settings!$S$3,"Close – 4 follow-ups sent",IF(U166="",IF(S166="","Make first contact",""),IF(TODAY()&gt;U166,"OVERDUE follow-up",IF(TODAY()=U166,"Follow up today","")))))))))</f>
        <v/>
      </c>
    </row>
    <row r="167" customFormat="false" ht="15" hidden="false" customHeight="false" outlineLevel="0" collapsed="false">
      <c r="A167" s="17"/>
      <c r="B167" s="40"/>
      <c r="C167" s="17"/>
      <c r="D167" s="17"/>
      <c r="E167" s="17"/>
      <c r="F167" s="17"/>
      <c r="G167" s="17"/>
      <c r="H167" s="42"/>
      <c r="I167" s="17"/>
      <c r="J167" s="17"/>
      <c r="K167" s="17"/>
      <c r="L167" s="17"/>
      <c r="M167" s="17"/>
      <c r="N167" s="44" t="str">
        <f aca="false">IF(OR(D167="",A167="",COUNTIFS(Scoresheet!$C$2:$C$501,A167,Scoresheet!$U$2:$U$501,1)=0),"",SUMIFS(Scoresheet!$O$2:$O$501,Scoresheet!$C$2:$C$501,A167,Scoresheet!$U$2:$U$501,1))</f>
        <v/>
      </c>
      <c r="O167" s="44" t="str">
        <f aca="false">IF(D167="","",IF(OR(A167="",COUNTIFS(Scoresheet!$C$2:$C$501,A167,Scoresheet!$U$2:$U$501,1)=0),"No scoresheet yet",IF(SUMIFS(Scoresheet!$N$2:$N$501,Scoresheet!$C$2:$C$501,A167,Scoresheet!$U$2:$U$501,1)&lt;6,"Partly scored ("&amp;SUMIFS(Scoresheet!$N$2:$N$501,Scoresheet!$C$2:$C$501,A167,Scoresheet!$U$2:$U$501,1)&amp;"/6)",IF(N167&gt;=Settings!$S$8,"Hot",IF(N167&gt;=Settings!$S$9,"Warm","Cold")))))</f>
        <v/>
      </c>
      <c r="P167" s="44" t="str">
        <f aca="false">IF(OR(D167="",A167=""),"",IF(AND(COUNTIFS(Scoresheet!$C$2:$C$501,A167,Scoresheet!$U$2:$U$501,1,Scoresheet!$H$2:$H$501,"No")&gt;0,COUNTIFS(Scoresheet!$C$2:$C$501,A167,Scoresheet!$U$2:$U$501,1,Scoresheet!$J$2:$J$501,"No")&gt;0),"🚩 Budget  ·  🚩 No one on camera",IF(COUNTIFS(Scoresheet!$C$2:$C$501,A167,Scoresheet!$U$2:$U$501,1,Scoresheet!$H$2:$H$501,"No")&gt;0,"🚩 Budget under AED 5k",IF(COUNTIFS(Scoresheet!$C$2:$C$501,A167,Scoresheet!$U$2:$U$501,1,Scoresheet!$J$2:$J$501,"No")&gt;0,"🚩 No one on camera",""))))</f>
        <v/>
      </c>
      <c r="Q167" s="17"/>
      <c r="R167" s="17"/>
      <c r="S167" s="40"/>
      <c r="T167" s="17"/>
      <c r="U167" s="45" t="str">
        <f aca="false">IF(OR(D167="",S167="",OR(R167="Contract signed + paid",R167="Closed – No response",R167="Lost"),N(T167)&gt;=Settings!$S$3),"",S167+Settings!$S$2)</f>
        <v/>
      </c>
      <c r="V167" s="40"/>
      <c r="W167" s="41"/>
      <c r="X167" s="17"/>
      <c r="Y167" s="17"/>
      <c r="Z167" s="17"/>
      <c r="AA167" s="46" t="str">
        <f aca="true">IF(OR(D167="",B167=""),"",INT(TODAY()-B167))</f>
        <v/>
      </c>
      <c r="AB167" s="44" t="str">
        <f aca="true">IF(D167="","",IF(OR(COUNTIFS(Clients!$C$2:$C$501,D167,Clients!$S$2:$S$501,"Paid")&gt;0,AND(H167&lt;&gt;"",COUNTIFS(Clients!$E$2:$E$501,H167,Clients!$S$2:$S$501,"Paid")&gt;0)),"⚠ Refunded before – no free video",IF(OR(R167="Contract signed + paid",R167="Closed – No response",R167="Lost"),"",IF(R167="","Set a stage",IF(AND(R167="Proposal sent",SUMIFS(Scoresheet!$N$2:$N$501,Scoresheet!$C$2:$C$501,A167,Scoresheet!$U$2:$U$501,1)&lt;6),"Score this lead – fill the call scoresheet",IF(N(T167)&gt;=Settings!$S$3,"Close – 4 follow-ups sent",IF(U167="",IF(S167="","Make first contact",""),IF(TODAY()&gt;U167,"OVERDUE follow-up",IF(TODAY()=U167,"Follow up today","")))))))))</f>
        <v/>
      </c>
    </row>
    <row r="168" customFormat="false" ht="15" hidden="false" customHeight="false" outlineLevel="0" collapsed="false">
      <c r="A168" s="17"/>
      <c r="B168" s="40"/>
      <c r="C168" s="17"/>
      <c r="D168" s="17"/>
      <c r="E168" s="17"/>
      <c r="F168" s="17"/>
      <c r="G168" s="17"/>
      <c r="H168" s="42"/>
      <c r="I168" s="17"/>
      <c r="J168" s="17"/>
      <c r="K168" s="17"/>
      <c r="L168" s="17"/>
      <c r="M168" s="17"/>
      <c r="N168" s="44" t="str">
        <f aca="false">IF(OR(D168="",A168="",COUNTIFS(Scoresheet!$C$2:$C$501,A168,Scoresheet!$U$2:$U$501,1)=0),"",SUMIFS(Scoresheet!$O$2:$O$501,Scoresheet!$C$2:$C$501,A168,Scoresheet!$U$2:$U$501,1))</f>
        <v/>
      </c>
      <c r="O168" s="44" t="str">
        <f aca="false">IF(D168="","",IF(OR(A168="",COUNTIFS(Scoresheet!$C$2:$C$501,A168,Scoresheet!$U$2:$U$501,1)=0),"No scoresheet yet",IF(SUMIFS(Scoresheet!$N$2:$N$501,Scoresheet!$C$2:$C$501,A168,Scoresheet!$U$2:$U$501,1)&lt;6,"Partly scored ("&amp;SUMIFS(Scoresheet!$N$2:$N$501,Scoresheet!$C$2:$C$501,A168,Scoresheet!$U$2:$U$501,1)&amp;"/6)",IF(N168&gt;=Settings!$S$8,"Hot",IF(N168&gt;=Settings!$S$9,"Warm","Cold")))))</f>
        <v/>
      </c>
      <c r="P168" s="44" t="str">
        <f aca="false">IF(OR(D168="",A168=""),"",IF(AND(COUNTIFS(Scoresheet!$C$2:$C$501,A168,Scoresheet!$U$2:$U$501,1,Scoresheet!$H$2:$H$501,"No")&gt;0,COUNTIFS(Scoresheet!$C$2:$C$501,A168,Scoresheet!$U$2:$U$501,1,Scoresheet!$J$2:$J$501,"No")&gt;0),"🚩 Budget  ·  🚩 No one on camera",IF(COUNTIFS(Scoresheet!$C$2:$C$501,A168,Scoresheet!$U$2:$U$501,1,Scoresheet!$H$2:$H$501,"No")&gt;0,"🚩 Budget under AED 5k",IF(COUNTIFS(Scoresheet!$C$2:$C$501,A168,Scoresheet!$U$2:$U$501,1,Scoresheet!$J$2:$J$501,"No")&gt;0,"🚩 No one on camera",""))))</f>
        <v/>
      </c>
      <c r="Q168" s="17"/>
      <c r="R168" s="17"/>
      <c r="S168" s="40"/>
      <c r="T168" s="17"/>
      <c r="U168" s="45" t="str">
        <f aca="false">IF(OR(D168="",S168="",OR(R168="Contract signed + paid",R168="Closed – No response",R168="Lost"),N(T168)&gt;=Settings!$S$3),"",S168+Settings!$S$2)</f>
        <v/>
      </c>
      <c r="V168" s="40"/>
      <c r="W168" s="41"/>
      <c r="X168" s="17"/>
      <c r="Y168" s="17"/>
      <c r="Z168" s="17"/>
      <c r="AA168" s="46" t="str">
        <f aca="true">IF(OR(D168="",B168=""),"",INT(TODAY()-B168))</f>
        <v/>
      </c>
      <c r="AB168" s="44" t="str">
        <f aca="true">IF(D168="","",IF(OR(COUNTIFS(Clients!$C$2:$C$501,D168,Clients!$S$2:$S$501,"Paid")&gt;0,AND(H168&lt;&gt;"",COUNTIFS(Clients!$E$2:$E$501,H168,Clients!$S$2:$S$501,"Paid")&gt;0)),"⚠ Refunded before – no free video",IF(OR(R168="Contract signed + paid",R168="Closed – No response",R168="Lost"),"",IF(R168="","Set a stage",IF(AND(R168="Proposal sent",SUMIFS(Scoresheet!$N$2:$N$501,Scoresheet!$C$2:$C$501,A168,Scoresheet!$U$2:$U$501,1)&lt;6),"Score this lead – fill the call scoresheet",IF(N(T168)&gt;=Settings!$S$3,"Close – 4 follow-ups sent",IF(U168="",IF(S168="","Make first contact",""),IF(TODAY()&gt;U168,"OVERDUE follow-up",IF(TODAY()=U168,"Follow up today","")))))))))</f>
        <v/>
      </c>
    </row>
    <row r="169" customFormat="false" ht="15" hidden="false" customHeight="false" outlineLevel="0" collapsed="false">
      <c r="A169" s="17"/>
      <c r="B169" s="40"/>
      <c r="C169" s="17"/>
      <c r="D169" s="17"/>
      <c r="E169" s="17"/>
      <c r="F169" s="17"/>
      <c r="G169" s="17"/>
      <c r="H169" s="42"/>
      <c r="I169" s="17"/>
      <c r="J169" s="17"/>
      <c r="K169" s="17"/>
      <c r="L169" s="17"/>
      <c r="M169" s="17"/>
      <c r="N169" s="44" t="str">
        <f aca="false">IF(OR(D169="",A169="",COUNTIFS(Scoresheet!$C$2:$C$501,A169,Scoresheet!$U$2:$U$501,1)=0),"",SUMIFS(Scoresheet!$O$2:$O$501,Scoresheet!$C$2:$C$501,A169,Scoresheet!$U$2:$U$501,1))</f>
        <v/>
      </c>
      <c r="O169" s="44" t="str">
        <f aca="false">IF(D169="","",IF(OR(A169="",COUNTIFS(Scoresheet!$C$2:$C$501,A169,Scoresheet!$U$2:$U$501,1)=0),"No scoresheet yet",IF(SUMIFS(Scoresheet!$N$2:$N$501,Scoresheet!$C$2:$C$501,A169,Scoresheet!$U$2:$U$501,1)&lt;6,"Partly scored ("&amp;SUMIFS(Scoresheet!$N$2:$N$501,Scoresheet!$C$2:$C$501,A169,Scoresheet!$U$2:$U$501,1)&amp;"/6)",IF(N169&gt;=Settings!$S$8,"Hot",IF(N169&gt;=Settings!$S$9,"Warm","Cold")))))</f>
        <v/>
      </c>
      <c r="P169" s="44" t="str">
        <f aca="false">IF(OR(D169="",A169=""),"",IF(AND(COUNTIFS(Scoresheet!$C$2:$C$501,A169,Scoresheet!$U$2:$U$501,1,Scoresheet!$H$2:$H$501,"No")&gt;0,COUNTIFS(Scoresheet!$C$2:$C$501,A169,Scoresheet!$U$2:$U$501,1,Scoresheet!$J$2:$J$501,"No")&gt;0),"🚩 Budget  ·  🚩 No one on camera",IF(COUNTIFS(Scoresheet!$C$2:$C$501,A169,Scoresheet!$U$2:$U$501,1,Scoresheet!$H$2:$H$501,"No")&gt;0,"🚩 Budget under AED 5k",IF(COUNTIFS(Scoresheet!$C$2:$C$501,A169,Scoresheet!$U$2:$U$501,1,Scoresheet!$J$2:$J$501,"No")&gt;0,"🚩 No one on camera",""))))</f>
        <v/>
      </c>
      <c r="Q169" s="17"/>
      <c r="R169" s="17"/>
      <c r="S169" s="40"/>
      <c r="T169" s="17"/>
      <c r="U169" s="45" t="str">
        <f aca="false">IF(OR(D169="",S169="",OR(R169="Contract signed + paid",R169="Closed – No response",R169="Lost"),N(T169)&gt;=Settings!$S$3),"",S169+Settings!$S$2)</f>
        <v/>
      </c>
      <c r="V169" s="40"/>
      <c r="W169" s="41"/>
      <c r="X169" s="17"/>
      <c r="Y169" s="17"/>
      <c r="Z169" s="17"/>
      <c r="AA169" s="46" t="str">
        <f aca="true">IF(OR(D169="",B169=""),"",INT(TODAY()-B169))</f>
        <v/>
      </c>
      <c r="AB169" s="44" t="str">
        <f aca="true">IF(D169="","",IF(OR(COUNTIFS(Clients!$C$2:$C$501,D169,Clients!$S$2:$S$501,"Paid")&gt;0,AND(H169&lt;&gt;"",COUNTIFS(Clients!$E$2:$E$501,H169,Clients!$S$2:$S$501,"Paid")&gt;0)),"⚠ Refunded before – no free video",IF(OR(R169="Contract signed + paid",R169="Closed – No response",R169="Lost"),"",IF(R169="","Set a stage",IF(AND(R169="Proposal sent",SUMIFS(Scoresheet!$N$2:$N$501,Scoresheet!$C$2:$C$501,A169,Scoresheet!$U$2:$U$501,1)&lt;6),"Score this lead – fill the call scoresheet",IF(N(T169)&gt;=Settings!$S$3,"Close – 4 follow-ups sent",IF(U169="",IF(S169="","Make first contact",""),IF(TODAY()&gt;U169,"OVERDUE follow-up",IF(TODAY()=U169,"Follow up today","")))))))))</f>
        <v/>
      </c>
    </row>
    <row r="170" customFormat="false" ht="15" hidden="false" customHeight="false" outlineLevel="0" collapsed="false">
      <c r="A170" s="17"/>
      <c r="B170" s="40"/>
      <c r="C170" s="17"/>
      <c r="D170" s="17"/>
      <c r="E170" s="17"/>
      <c r="F170" s="17"/>
      <c r="G170" s="17"/>
      <c r="H170" s="42"/>
      <c r="I170" s="17"/>
      <c r="J170" s="17"/>
      <c r="K170" s="17"/>
      <c r="L170" s="17"/>
      <c r="M170" s="17"/>
      <c r="N170" s="44" t="str">
        <f aca="false">IF(OR(D170="",A170="",COUNTIFS(Scoresheet!$C$2:$C$501,A170,Scoresheet!$U$2:$U$501,1)=0),"",SUMIFS(Scoresheet!$O$2:$O$501,Scoresheet!$C$2:$C$501,A170,Scoresheet!$U$2:$U$501,1))</f>
        <v/>
      </c>
      <c r="O170" s="44" t="str">
        <f aca="false">IF(D170="","",IF(OR(A170="",COUNTIFS(Scoresheet!$C$2:$C$501,A170,Scoresheet!$U$2:$U$501,1)=0),"No scoresheet yet",IF(SUMIFS(Scoresheet!$N$2:$N$501,Scoresheet!$C$2:$C$501,A170,Scoresheet!$U$2:$U$501,1)&lt;6,"Partly scored ("&amp;SUMIFS(Scoresheet!$N$2:$N$501,Scoresheet!$C$2:$C$501,A170,Scoresheet!$U$2:$U$501,1)&amp;"/6)",IF(N170&gt;=Settings!$S$8,"Hot",IF(N170&gt;=Settings!$S$9,"Warm","Cold")))))</f>
        <v/>
      </c>
      <c r="P170" s="44" t="str">
        <f aca="false">IF(OR(D170="",A170=""),"",IF(AND(COUNTIFS(Scoresheet!$C$2:$C$501,A170,Scoresheet!$U$2:$U$501,1,Scoresheet!$H$2:$H$501,"No")&gt;0,COUNTIFS(Scoresheet!$C$2:$C$501,A170,Scoresheet!$U$2:$U$501,1,Scoresheet!$J$2:$J$501,"No")&gt;0),"🚩 Budget  ·  🚩 No one on camera",IF(COUNTIFS(Scoresheet!$C$2:$C$501,A170,Scoresheet!$U$2:$U$501,1,Scoresheet!$H$2:$H$501,"No")&gt;0,"🚩 Budget under AED 5k",IF(COUNTIFS(Scoresheet!$C$2:$C$501,A170,Scoresheet!$U$2:$U$501,1,Scoresheet!$J$2:$J$501,"No")&gt;0,"🚩 No one on camera",""))))</f>
        <v/>
      </c>
      <c r="Q170" s="17"/>
      <c r="R170" s="17"/>
      <c r="S170" s="40"/>
      <c r="T170" s="17"/>
      <c r="U170" s="45" t="str">
        <f aca="false">IF(OR(D170="",S170="",OR(R170="Contract signed + paid",R170="Closed – No response",R170="Lost"),N(T170)&gt;=Settings!$S$3),"",S170+Settings!$S$2)</f>
        <v/>
      </c>
      <c r="V170" s="40"/>
      <c r="W170" s="41"/>
      <c r="X170" s="17"/>
      <c r="Y170" s="17"/>
      <c r="Z170" s="17"/>
      <c r="AA170" s="46" t="str">
        <f aca="true">IF(OR(D170="",B170=""),"",INT(TODAY()-B170))</f>
        <v/>
      </c>
      <c r="AB170" s="44" t="str">
        <f aca="true">IF(D170="","",IF(OR(COUNTIFS(Clients!$C$2:$C$501,D170,Clients!$S$2:$S$501,"Paid")&gt;0,AND(H170&lt;&gt;"",COUNTIFS(Clients!$E$2:$E$501,H170,Clients!$S$2:$S$501,"Paid")&gt;0)),"⚠ Refunded before – no free video",IF(OR(R170="Contract signed + paid",R170="Closed – No response",R170="Lost"),"",IF(R170="","Set a stage",IF(AND(R170="Proposal sent",SUMIFS(Scoresheet!$N$2:$N$501,Scoresheet!$C$2:$C$501,A170,Scoresheet!$U$2:$U$501,1)&lt;6),"Score this lead – fill the call scoresheet",IF(N(T170)&gt;=Settings!$S$3,"Close – 4 follow-ups sent",IF(U170="",IF(S170="","Make first contact",""),IF(TODAY()&gt;U170,"OVERDUE follow-up",IF(TODAY()=U170,"Follow up today","")))))))))</f>
        <v/>
      </c>
    </row>
    <row r="171" customFormat="false" ht="15" hidden="false" customHeight="false" outlineLevel="0" collapsed="false">
      <c r="A171" s="17"/>
      <c r="B171" s="40"/>
      <c r="C171" s="17"/>
      <c r="D171" s="17"/>
      <c r="E171" s="17"/>
      <c r="F171" s="17"/>
      <c r="G171" s="17"/>
      <c r="H171" s="42"/>
      <c r="I171" s="17"/>
      <c r="J171" s="17"/>
      <c r="K171" s="17"/>
      <c r="L171" s="17"/>
      <c r="M171" s="17"/>
      <c r="N171" s="44" t="str">
        <f aca="false">IF(OR(D171="",A171="",COUNTIFS(Scoresheet!$C$2:$C$501,A171,Scoresheet!$U$2:$U$501,1)=0),"",SUMIFS(Scoresheet!$O$2:$O$501,Scoresheet!$C$2:$C$501,A171,Scoresheet!$U$2:$U$501,1))</f>
        <v/>
      </c>
      <c r="O171" s="44" t="str">
        <f aca="false">IF(D171="","",IF(OR(A171="",COUNTIFS(Scoresheet!$C$2:$C$501,A171,Scoresheet!$U$2:$U$501,1)=0),"No scoresheet yet",IF(SUMIFS(Scoresheet!$N$2:$N$501,Scoresheet!$C$2:$C$501,A171,Scoresheet!$U$2:$U$501,1)&lt;6,"Partly scored ("&amp;SUMIFS(Scoresheet!$N$2:$N$501,Scoresheet!$C$2:$C$501,A171,Scoresheet!$U$2:$U$501,1)&amp;"/6)",IF(N171&gt;=Settings!$S$8,"Hot",IF(N171&gt;=Settings!$S$9,"Warm","Cold")))))</f>
        <v/>
      </c>
      <c r="P171" s="44" t="str">
        <f aca="false">IF(OR(D171="",A171=""),"",IF(AND(COUNTIFS(Scoresheet!$C$2:$C$501,A171,Scoresheet!$U$2:$U$501,1,Scoresheet!$H$2:$H$501,"No")&gt;0,COUNTIFS(Scoresheet!$C$2:$C$501,A171,Scoresheet!$U$2:$U$501,1,Scoresheet!$J$2:$J$501,"No")&gt;0),"🚩 Budget  ·  🚩 No one on camera",IF(COUNTIFS(Scoresheet!$C$2:$C$501,A171,Scoresheet!$U$2:$U$501,1,Scoresheet!$H$2:$H$501,"No")&gt;0,"🚩 Budget under AED 5k",IF(COUNTIFS(Scoresheet!$C$2:$C$501,A171,Scoresheet!$U$2:$U$501,1,Scoresheet!$J$2:$J$501,"No")&gt;0,"🚩 No one on camera",""))))</f>
        <v/>
      </c>
      <c r="Q171" s="17"/>
      <c r="R171" s="17"/>
      <c r="S171" s="40"/>
      <c r="T171" s="17"/>
      <c r="U171" s="45" t="str">
        <f aca="false">IF(OR(D171="",S171="",OR(R171="Contract signed + paid",R171="Closed – No response",R171="Lost"),N(T171)&gt;=Settings!$S$3),"",S171+Settings!$S$2)</f>
        <v/>
      </c>
      <c r="V171" s="40"/>
      <c r="W171" s="41"/>
      <c r="X171" s="17"/>
      <c r="Y171" s="17"/>
      <c r="Z171" s="17"/>
      <c r="AA171" s="46" t="str">
        <f aca="true">IF(OR(D171="",B171=""),"",INT(TODAY()-B171))</f>
        <v/>
      </c>
      <c r="AB171" s="44" t="str">
        <f aca="true">IF(D171="","",IF(OR(COUNTIFS(Clients!$C$2:$C$501,D171,Clients!$S$2:$S$501,"Paid")&gt;0,AND(H171&lt;&gt;"",COUNTIFS(Clients!$E$2:$E$501,H171,Clients!$S$2:$S$501,"Paid")&gt;0)),"⚠ Refunded before – no free video",IF(OR(R171="Contract signed + paid",R171="Closed – No response",R171="Lost"),"",IF(R171="","Set a stage",IF(AND(R171="Proposal sent",SUMIFS(Scoresheet!$N$2:$N$501,Scoresheet!$C$2:$C$501,A171,Scoresheet!$U$2:$U$501,1)&lt;6),"Score this lead – fill the call scoresheet",IF(N(T171)&gt;=Settings!$S$3,"Close – 4 follow-ups sent",IF(U171="",IF(S171="","Make first contact",""),IF(TODAY()&gt;U171,"OVERDUE follow-up",IF(TODAY()=U171,"Follow up today","")))))))))</f>
        <v/>
      </c>
    </row>
    <row r="172" customFormat="false" ht="15" hidden="false" customHeight="false" outlineLevel="0" collapsed="false">
      <c r="A172" s="17"/>
      <c r="B172" s="40"/>
      <c r="C172" s="17"/>
      <c r="D172" s="17"/>
      <c r="E172" s="17"/>
      <c r="F172" s="17"/>
      <c r="G172" s="17"/>
      <c r="H172" s="42"/>
      <c r="I172" s="17"/>
      <c r="J172" s="17"/>
      <c r="K172" s="17"/>
      <c r="L172" s="17"/>
      <c r="M172" s="17"/>
      <c r="N172" s="44" t="str">
        <f aca="false">IF(OR(D172="",A172="",COUNTIFS(Scoresheet!$C$2:$C$501,A172,Scoresheet!$U$2:$U$501,1)=0),"",SUMIFS(Scoresheet!$O$2:$O$501,Scoresheet!$C$2:$C$501,A172,Scoresheet!$U$2:$U$501,1))</f>
        <v/>
      </c>
      <c r="O172" s="44" t="str">
        <f aca="false">IF(D172="","",IF(OR(A172="",COUNTIFS(Scoresheet!$C$2:$C$501,A172,Scoresheet!$U$2:$U$501,1)=0),"No scoresheet yet",IF(SUMIFS(Scoresheet!$N$2:$N$501,Scoresheet!$C$2:$C$501,A172,Scoresheet!$U$2:$U$501,1)&lt;6,"Partly scored ("&amp;SUMIFS(Scoresheet!$N$2:$N$501,Scoresheet!$C$2:$C$501,A172,Scoresheet!$U$2:$U$501,1)&amp;"/6)",IF(N172&gt;=Settings!$S$8,"Hot",IF(N172&gt;=Settings!$S$9,"Warm","Cold")))))</f>
        <v/>
      </c>
      <c r="P172" s="44" t="str">
        <f aca="false">IF(OR(D172="",A172=""),"",IF(AND(COUNTIFS(Scoresheet!$C$2:$C$501,A172,Scoresheet!$U$2:$U$501,1,Scoresheet!$H$2:$H$501,"No")&gt;0,COUNTIFS(Scoresheet!$C$2:$C$501,A172,Scoresheet!$U$2:$U$501,1,Scoresheet!$J$2:$J$501,"No")&gt;0),"🚩 Budget  ·  🚩 No one on camera",IF(COUNTIFS(Scoresheet!$C$2:$C$501,A172,Scoresheet!$U$2:$U$501,1,Scoresheet!$H$2:$H$501,"No")&gt;0,"🚩 Budget under AED 5k",IF(COUNTIFS(Scoresheet!$C$2:$C$501,A172,Scoresheet!$U$2:$U$501,1,Scoresheet!$J$2:$J$501,"No")&gt;0,"🚩 No one on camera",""))))</f>
        <v/>
      </c>
      <c r="Q172" s="17"/>
      <c r="R172" s="17"/>
      <c r="S172" s="40"/>
      <c r="T172" s="17"/>
      <c r="U172" s="45" t="str">
        <f aca="false">IF(OR(D172="",S172="",OR(R172="Contract signed + paid",R172="Closed – No response",R172="Lost"),N(T172)&gt;=Settings!$S$3),"",S172+Settings!$S$2)</f>
        <v/>
      </c>
      <c r="V172" s="40"/>
      <c r="W172" s="41"/>
      <c r="X172" s="17"/>
      <c r="Y172" s="17"/>
      <c r="Z172" s="17"/>
      <c r="AA172" s="46" t="str">
        <f aca="true">IF(OR(D172="",B172=""),"",INT(TODAY()-B172))</f>
        <v/>
      </c>
      <c r="AB172" s="44" t="str">
        <f aca="true">IF(D172="","",IF(OR(COUNTIFS(Clients!$C$2:$C$501,D172,Clients!$S$2:$S$501,"Paid")&gt;0,AND(H172&lt;&gt;"",COUNTIFS(Clients!$E$2:$E$501,H172,Clients!$S$2:$S$501,"Paid")&gt;0)),"⚠ Refunded before – no free video",IF(OR(R172="Contract signed + paid",R172="Closed – No response",R172="Lost"),"",IF(R172="","Set a stage",IF(AND(R172="Proposal sent",SUMIFS(Scoresheet!$N$2:$N$501,Scoresheet!$C$2:$C$501,A172,Scoresheet!$U$2:$U$501,1)&lt;6),"Score this lead – fill the call scoresheet",IF(N(T172)&gt;=Settings!$S$3,"Close – 4 follow-ups sent",IF(U172="",IF(S172="","Make first contact",""),IF(TODAY()&gt;U172,"OVERDUE follow-up",IF(TODAY()=U172,"Follow up today","")))))))))</f>
        <v/>
      </c>
    </row>
    <row r="173" customFormat="false" ht="15" hidden="false" customHeight="false" outlineLevel="0" collapsed="false">
      <c r="A173" s="17"/>
      <c r="B173" s="40"/>
      <c r="C173" s="17"/>
      <c r="D173" s="17"/>
      <c r="E173" s="17"/>
      <c r="F173" s="17"/>
      <c r="G173" s="17"/>
      <c r="H173" s="42"/>
      <c r="I173" s="17"/>
      <c r="J173" s="17"/>
      <c r="K173" s="17"/>
      <c r="L173" s="17"/>
      <c r="M173" s="17"/>
      <c r="N173" s="44" t="str">
        <f aca="false">IF(OR(D173="",A173="",COUNTIFS(Scoresheet!$C$2:$C$501,A173,Scoresheet!$U$2:$U$501,1)=0),"",SUMIFS(Scoresheet!$O$2:$O$501,Scoresheet!$C$2:$C$501,A173,Scoresheet!$U$2:$U$501,1))</f>
        <v/>
      </c>
      <c r="O173" s="44" t="str">
        <f aca="false">IF(D173="","",IF(OR(A173="",COUNTIFS(Scoresheet!$C$2:$C$501,A173,Scoresheet!$U$2:$U$501,1)=0),"No scoresheet yet",IF(SUMIFS(Scoresheet!$N$2:$N$501,Scoresheet!$C$2:$C$501,A173,Scoresheet!$U$2:$U$501,1)&lt;6,"Partly scored ("&amp;SUMIFS(Scoresheet!$N$2:$N$501,Scoresheet!$C$2:$C$501,A173,Scoresheet!$U$2:$U$501,1)&amp;"/6)",IF(N173&gt;=Settings!$S$8,"Hot",IF(N173&gt;=Settings!$S$9,"Warm","Cold")))))</f>
        <v/>
      </c>
      <c r="P173" s="44" t="str">
        <f aca="false">IF(OR(D173="",A173=""),"",IF(AND(COUNTIFS(Scoresheet!$C$2:$C$501,A173,Scoresheet!$U$2:$U$501,1,Scoresheet!$H$2:$H$501,"No")&gt;0,COUNTIFS(Scoresheet!$C$2:$C$501,A173,Scoresheet!$U$2:$U$501,1,Scoresheet!$J$2:$J$501,"No")&gt;0),"🚩 Budget  ·  🚩 No one on camera",IF(COUNTIFS(Scoresheet!$C$2:$C$501,A173,Scoresheet!$U$2:$U$501,1,Scoresheet!$H$2:$H$501,"No")&gt;0,"🚩 Budget under AED 5k",IF(COUNTIFS(Scoresheet!$C$2:$C$501,A173,Scoresheet!$U$2:$U$501,1,Scoresheet!$J$2:$J$501,"No")&gt;0,"🚩 No one on camera",""))))</f>
        <v/>
      </c>
      <c r="Q173" s="17"/>
      <c r="R173" s="17"/>
      <c r="S173" s="40"/>
      <c r="T173" s="17"/>
      <c r="U173" s="45" t="str">
        <f aca="false">IF(OR(D173="",S173="",OR(R173="Contract signed + paid",R173="Closed – No response",R173="Lost"),N(T173)&gt;=Settings!$S$3),"",S173+Settings!$S$2)</f>
        <v/>
      </c>
      <c r="V173" s="40"/>
      <c r="W173" s="41"/>
      <c r="X173" s="17"/>
      <c r="Y173" s="17"/>
      <c r="Z173" s="17"/>
      <c r="AA173" s="46" t="str">
        <f aca="true">IF(OR(D173="",B173=""),"",INT(TODAY()-B173))</f>
        <v/>
      </c>
      <c r="AB173" s="44" t="str">
        <f aca="true">IF(D173="","",IF(OR(COUNTIFS(Clients!$C$2:$C$501,D173,Clients!$S$2:$S$501,"Paid")&gt;0,AND(H173&lt;&gt;"",COUNTIFS(Clients!$E$2:$E$501,H173,Clients!$S$2:$S$501,"Paid")&gt;0)),"⚠ Refunded before – no free video",IF(OR(R173="Contract signed + paid",R173="Closed – No response",R173="Lost"),"",IF(R173="","Set a stage",IF(AND(R173="Proposal sent",SUMIFS(Scoresheet!$N$2:$N$501,Scoresheet!$C$2:$C$501,A173,Scoresheet!$U$2:$U$501,1)&lt;6),"Score this lead – fill the call scoresheet",IF(N(T173)&gt;=Settings!$S$3,"Close – 4 follow-ups sent",IF(U173="",IF(S173="","Make first contact",""),IF(TODAY()&gt;U173,"OVERDUE follow-up",IF(TODAY()=U173,"Follow up today","")))))))))</f>
        <v/>
      </c>
    </row>
    <row r="174" customFormat="false" ht="15" hidden="false" customHeight="false" outlineLevel="0" collapsed="false">
      <c r="A174" s="17"/>
      <c r="B174" s="40"/>
      <c r="C174" s="17"/>
      <c r="D174" s="17"/>
      <c r="E174" s="17"/>
      <c r="F174" s="17"/>
      <c r="G174" s="17"/>
      <c r="H174" s="42"/>
      <c r="I174" s="17"/>
      <c r="J174" s="17"/>
      <c r="K174" s="17"/>
      <c r="L174" s="17"/>
      <c r="M174" s="17"/>
      <c r="N174" s="44" t="str">
        <f aca="false">IF(OR(D174="",A174="",COUNTIFS(Scoresheet!$C$2:$C$501,A174,Scoresheet!$U$2:$U$501,1)=0),"",SUMIFS(Scoresheet!$O$2:$O$501,Scoresheet!$C$2:$C$501,A174,Scoresheet!$U$2:$U$501,1))</f>
        <v/>
      </c>
      <c r="O174" s="44" t="str">
        <f aca="false">IF(D174="","",IF(OR(A174="",COUNTIFS(Scoresheet!$C$2:$C$501,A174,Scoresheet!$U$2:$U$501,1)=0),"No scoresheet yet",IF(SUMIFS(Scoresheet!$N$2:$N$501,Scoresheet!$C$2:$C$501,A174,Scoresheet!$U$2:$U$501,1)&lt;6,"Partly scored ("&amp;SUMIFS(Scoresheet!$N$2:$N$501,Scoresheet!$C$2:$C$501,A174,Scoresheet!$U$2:$U$501,1)&amp;"/6)",IF(N174&gt;=Settings!$S$8,"Hot",IF(N174&gt;=Settings!$S$9,"Warm","Cold")))))</f>
        <v/>
      </c>
      <c r="P174" s="44" t="str">
        <f aca="false">IF(OR(D174="",A174=""),"",IF(AND(COUNTIFS(Scoresheet!$C$2:$C$501,A174,Scoresheet!$U$2:$U$501,1,Scoresheet!$H$2:$H$501,"No")&gt;0,COUNTIFS(Scoresheet!$C$2:$C$501,A174,Scoresheet!$U$2:$U$501,1,Scoresheet!$J$2:$J$501,"No")&gt;0),"🚩 Budget  ·  🚩 No one on camera",IF(COUNTIFS(Scoresheet!$C$2:$C$501,A174,Scoresheet!$U$2:$U$501,1,Scoresheet!$H$2:$H$501,"No")&gt;0,"🚩 Budget under AED 5k",IF(COUNTIFS(Scoresheet!$C$2:$C$501,A174,Scoresheet!$U$2:$U$501,1,Scoresheet!$J$2:$J$501,"No")&gt;0,"🚩 No one on camera",""))))</f>
        <v/>
      </c>
      <c r="Q174" s="17"/>
      <c r="R174" s="17"/>
      <c r="S174" s="40"/>
      <c r="T174" s="17"/>
      <c r="U174" s="45" t="str">
        <f aca="false">IF(OR(D174="",S174="",OR(R174="Contract signed + paid",R174="Closed – No response",R174="Lost"),N(T174)&gt;=Settings!$S$3),"",S174+Settings!$S$2)</f>
        <v/>
      </c>
      <c r="V174" s="40"/>
      <c r="W174" s="41"/>
      <c r="X174" s="17"/>
      <c r="Y174" s="17"/>
      <c r="Z174" s="17"/>
      <c r="AA174" s="46" t="str">
        <f aca="true">IF(OR(D174="",B174=""),"",INT(TODAY()-B174))</f>
        <v/>
      </c>
      <c r="AB174" s="44" t="str">
        <f aca="true">IF(D174="","",IF(OR(COUNTIFS(Clients!$C$2:$C$501,D174,Clients!$S$2:$S$501,"Paid")&gt;0,AND(H174&lt;&gt;"",COUNTIFS(Clients!$E$2:$E$501,H174,Clients!$S$2:$S$501,"Paid")&gt;0)),"⚠ Refunded before – no free video",IF(OR(R174="Contract signed + paid",R174="Closed – No response",R174="Lost"),"",IF(R174="","Set a stage",IF(AND(R174="Proposal sent",SUMIFS(Scoresheet!$N$2:$N$501,Scoresheet!$C$2:$C$501,A174,Scoresheet!$U$2:$U$501,1)&lt;6),"Score this lead – fill the call scoresheet",IF(N(T174)&gt;=Settings!$S$3,"Close – 4 follow-ups sent",IF(U174="",IF(S174="","Make first contact",""),IF(TODAY()&gt;U174,"OVERDUE follow-up",IF(TODAY()=U174,"Follow up today","")))))))))</f>
        <v/>
      </c>
    </row>
    <row r="175" customFormat="false" ht="15" hidden="false" customHeight="false" outlineLevel="0" collapsed="false">
      <c r="A175" s="17"/>
      <c r="B175" s="40"/>
      <c r="C175" s="17"/>
      <c r="D175" s="17"/>
      <c r="E175" s="17"/>
      <c r="F175" s="17"/>
      <c r="G175" s="17"/>
      <c r="H175" s="42"/>
      <c r="I175" s="17"/>
      <c r="J175" s="17"/>
      <c r="K175" s="17"/>
      <c r="L175" s="17"/>
      <c r="M175" s="17"/>
      <c r="N175" s="44" t="str">
        <f aca="false">IF(OR(D175="",A175="",COUNTIFS(Scoresheet!$C$2:$C$501,A175,Scoresheet!$U$2:$U$501,1)=0),"",SUMIFS(Scoresheet!$O$2:$O$501,Scoresheet!$C$2:$C$501,A175,Scoresheet!$U$2:$U$501,1))</f>
        <v/>
      </c>
      <c r="O175" s="44" t="str">
        <f aca="false">IF(D175="","",IF(OR(A175="",COUNTIFS(Scoresheet!$C$2:$C$501,A175,Scoresheet!$U$2:$U$501,1)=0),"No scoresheet yet",IF(SUMIFS(Scoresheet!$N$2:$N$501,Scoresheet!$C$2:$C$501,A175,Scoresheet!$U$2:$U$501,1)&lt;6,"Partly scored ("&amp;SUMIFS(Scoresheet!$N$2:$N$501,Scoresheet!$C$2:$C$501,A175,Scoresheet!$U$2:$U$501,1)&amp;"/6)",IF(N175&gt;=Settings!$S$8,"Hot",IF(N175&gt;=Settings!$S$9,"Warm","Cold")))))</f>
        <v/>
      </c>
      <c r="P175" s="44" t="str">
        <f aca="false">IF(OR(D175="",A175=""),"",IF(AND(COUNTIFS(Scoresheet!$C$2:$C$501,A175,Scoresheet!$U$2:$U$501,1,Scoresheet!$H$2:$H$501,"No")&gt;0,COUNTIFS(Scoresheet!$C$2:$C$501,A175,Scoresheet!$U$2:$U$501,1,Scoresheet!$J$2:$J$501,"No")&gt;0),"🚩 Budget  ·  🚩 No one on camera",IF(COUNTIFS(Scoresheet!$C$2:$C$501,A175,Scoresheet!$U$2:$U$501,1,Scoresheet!$H$2:$H$501,"No")&gt;0,"🚩 Budget under AED 5k",IF(COUNTIFS(Scoresheet!$C$2:$C$501,A175,Scoresheet!$U$2:$U$501,1,Scoresheet!$J$2:$J$501,"No")&gt;0,"🚩 No one on camera",""))))</f>
        <v/>
      </c>
      <c r="Q175" s="17"/>
      <c r="R175" s="17"/>
      <c r="S175" s="40"/>
      <c r="T175" s="17"/>
      <c r="U175" s="45" t="str">
        <f aca="false">IF(OR(D175="",S175="",OR(R175="Contract signed + paid",R175="Closed – No response",R175="Lost"),N(T175)&gt;=Settings!$S$3),"",S175+Settings!$S$2)</f>
        <v/>
      </c>
      <c r="V175" s="40"/>
      <c r="W175" s="41"/>
      <c r="X175" s="17"/>
      <c r="Y175" s="17"/>
      <c r="Z175" s="17"/>
      <c r="AA175" s="46" t="str">
        <f aca="true">IF(OR(D175="",B175=""),"",INT(TODAY()-B175))</f>
        <v/>
      </c>
      <c r="AB175" s="44" t="str">
        <f aca="true">IF(D175="","",IF(OR(COUNTIFS(Clients!$C$2:$C$501,D175,Clients!$S$2:$S$501,"Paid")&gt;0,AND(H175&lt;&gt;"",COUNTIFS(Clients!$E$2:$E$501,H175,Clients!$S$2:$S$501,"Paid")&gt;0)),"⚠ Refunded before – no free video",IF(OR(R175="Contract signed + paid",R175="Closed – No response",R175="Lost"),"",IF(R175="","Set a stage",IF(AND(R175="Proposal sent",SUMIFS(Scoresheet!$N$2:$N$501,Scoresheet!$C$2:$C$501,A175,Scoresheet!$U$2:$U$501,1)&lt;6),"Score this lead – fill the call scoresheet",IF(N(T175)&gt;=Settings!$S$3,"Close – 4 follow-ups sent",IF(U175="",IF(S175="","Make first contact",""),IF(TODAY()&gt;U175,"OVERDUE follow-up",IF(TODAY()=U175,"Follow up today","")))))))))</f>
        <v/>
      </c>
    </row>
    <row r="176" customFormat="false" ht="15" hidden="false" customHeight="false" outlineLevel="0" collapsed="false">
      <c r="A176" s="17"/>
      <c r="B176" s="40"/>
      <c r="C176" s="17"/>
      <c r="D176" s="17"/>
      <c r="E176" s="17"/>
      <c r="F176" s="17"/>
      <c r="G176" s="17"/>
      <c r="H176" s="42"/>
      <c r="I176" s="17"/>
      <c r="J176" s="17"/>
      <c r="K176" s="17"/>
      <c r="L176" s="17"/>
      <c r="M176" s="17"/>
      <c r="N176" s="44" t="str">
        <f aca="false">IF(OR(D176="",A176="",COUNTIFS(Scoresheet!$C$2:$C$501,A176,Scoresheet!$U$2:$U$501,1)=0),"",SUMIFS(Scoresheet!$O$2:$O$501,Scoresheet!$C$2:$C$501,A176,Scoresheet!$U$2:$U$501,1))</f>
        <v/>
      </c>
      <c r="O176" s="44" t="str">
        <f aca="false">IF(D176="","",IF(OR(A176="",COUNTIFS(Scoresheet!$C$2:$C$501,A176,Scoresheet!$U$2:$U$501,1)=0),"No scoresheet yet",IF(SUMIFS(Scoresheet!$N$2:$N$501,Scoresheet!$C$2:$C$501,A176,Scoresheet!$U$2:$U$501,1)&lt;6,"Partly scored ("&amp;SUMIFS(Scoresheet!$N$2:$N$501,Scoresheet!$C$2:$C$501,A176,Scoresheet!$U$2:$U$501,1)&amp;"/6)",IF(N176&gt;=Settings!$S$8,"Hot",IF(N176&gt;=Settings!$S$9,"Warm","Cold")))))</f>
        <v/>
      </c>
      <c r="P176" s="44" t="str">
        <f aca="false">IF(OR(D176="",A176=""),"",IF(AND(COUNTIFS(Scoresheet!$C$2:$C$501,A176,Scoresheet!$U$2:$U$501,1,Scoresheet!$H$2:$H$501,"No")&gt;0,COUNTIFS(Scoresheet!$C$2:$C$501,A176,Scoresheet!$U$2:$U$501,1,Scoresheet!$J$2:$J$501,"No")&gt;0),"🚩 Budget  ·  🚩 No one on camera",IF(COUNTIFS(Scoresheet!$C$2:$C$501,A176,Scoresheet!$U$2:$U$501,1,Scoresheet!$H$2:$H$501,"No")&gt;0,"🚩 Budget under AED 5k",IF(COUNTIFS(Scoresheet!$C$2:$C$501,A176,Scoresheet!$U$2:$U$501,1,Scoresheet!$J$2:$J$501,"No")&gt;0,"🚩 No one on camera",""))))</f>
        <v/>
      </c>
      <c r="Q176" s="17"/>
      <c r="R176" s="17"/>
      <c r="S176" s="40"/>
      <c r="T176" s="17"/>
      <c r="U176" s="45" t="str">
        <f aca="false">IF(OR(D176="",S176="",OR(R176="Contract signed + paid",R176="Closed – No response",R176="Lost"),N(T176)&gt;=Settings!$S$3),"",S176+Settings!$S$2)</f>
        <v/>
      </c>
      <c r="V176" s="40"/>
      <c r="W176" s="41"/>
      <c r="X176" s="17"/>
      <c r="Y176" s="17"/>
      <c r="Z176" s="17"/>
      <c r="AA176" s="46" t="str">
        <f aca="true">IF(OR(D176="",B176=""),"",INT(TODAY()-B176))</f>
        <v/>
      </c>
      <c r="AB176" s="44" t="str">
        <f aca="true">IF(D176="","",IF(OR(COUNTIFS(Clients!$C$2:$C$501,D176,Clients!$S$2:$S$501,"Paid")&gt;0,AND(H176&lt;&gt;"",COUNTIFS(Clients!$E$2:$E$501,H176,Clients!$S$2:$S$501,"Paid")&gt;0)),"⚠ Refunded before – no free video",IF(OR(R176="Contract signed + paid",R176="Closed – No response",R176="Lost"),"",IF(R176="","Set a stage",IF(AND(R176="Proposal sent",SUMIFS(Scoresheet!$N$2:$N$501,Scoresheet!$C$2:$C$501,A176,Scoresheet!$U$2:$U$501,1)&lt;6),"Score this lead – fill the call scoresheet",IF(N(T176)&gt;=Settings!$S$3,"Close – 4 follow-ups sent",IF(U176="",IF(S176="","Make first contact",""),IF(TODAY()&gt;U176,"OVERDUE follow-up",IF(TODAY()=U176,"Follow up today","")))))))))</f>
        <v/>
      </c>
    </row>
    <row r="177" customFormat="false" ht="15" hidden="false" customHeight="false" outlineLevel="0" collapsed="false">
      <c r="A177" s="17"/>
      <c r="B177" s="40"/>
      <c r="C177" s="17"/>
      <c r="D177" s="17"/>
      <c r="E177" s="17"/>
      <c r="F177" s="17"/>
      <c r="G177" s="17"/>
      <c r="H177" s="42"/>
      <c r="I177" s="17"/>
      <c r="J177" s="17"/>
      <c r="K177" s="17"/>
      <c r="L177" s="17"/>
      <c r="M177" s="17"/>
      <c r="N177" s="44" t="str">
        <f aca="false">IF(OR(D177="",A177="",COUNTIFS(Scoresheet!$C$2:$C$501,A177,Scoresheet!$U$2:$U$501,1)=0),"",SUMIFS(Scoresheet!$O$2:$O$501,Scoresheet!$C$2:$C$501,A177,Scoresheet!$U$2:$U$501,1))</f>
        <v/>
      </c>
      <c r="O177" s="44" t="str">
        <f aca="false">IF(D177="","",IF(OR(A177="",COUNTIFS(Scoresheet!$C$2:$C$501,A177,Scoresheet!$U$2:$U$501,1)=0),"No scoresheet yet",IF(SUMIFS(Scoresheet!$N$2:$N$501,Scoresheet!$C$2:$C$501,A177,Scoresheet!$U$2:$U$501,1)&lt;6,"Partly scored ("&amp;SUMIFS(Scoresheet!$N$2:$N$501,Scoresheet!$C$2:$C$501,A177,Scoresheet!$U$2:$U$501,1)&amp;"/6)",IF(N177&gt;=Settings!$S$8,"Hot",IF(N177&gt;=Settings!$S$9,"Warm","Cold")))))</f>
        <v/>
      </c>
      <c r="P177" s="44" t="str">
        <f aca="false">IF(OR(D177="",A177=""),"",IF(AND(COUNTIFS(Scoresheet!$C$2:$C$501,A177,Scoresheet!$U$2:$U$501,1,Scoresheet!$H$2:$H$501,"No")&gt;0,COUNTIFS(Scoresheet!$C$2:$C$501,A177,Scoresheet!$U$2:$U$501,1,Scoresheet!$J$2:$J$501,"No")&gt;0),"🚩 Budget  ·  🚩 No one on camera",IF(COUNTIFS(Scoresheet!$C$2:$C$501,A177,Scoresheet!$U$2:$U$501,1,Scoresheet!$H$2:$H$501,"No")&gt;0,"🚩 Budget under AED 5k",IF(COUNTIFS(Scoresheet!$C$2:$C$501,A177,Scoresheet!$U$2:$U$501,1,Scoresheet!$J$2:$J$501,"No")&gt;0,"🚩 No one on camera",""))))</f>
        <v/>
      </c>
      <c r="Q177" s="17"/>
      <c r="R177" s="17"/>
      <c r="S177" s="40"/>
      <c r="T177" s="17"/>
      <c r="U177" s="45" t="str">
        <f aca="false">IF(OR(D177="",S177="",OR(R177="Contract signed + paid",R177="Closed – No response",R177="Lost"),N(T177)&gt;=Settings!$S$3),"",S177+Settings!$S$2)</f>
        <v/>
      </c>
      <c r="V177" s="40"/>
      <c r="W177" s="41"/>
      <c r="X177" s="17"/>
      <c r="Y177" s="17"/>
      <c r="Z177" s="17"/>
      <c r="AA177" s="46" t="str">
        <f aca="true">IF(OR(D177="",B177=""),"",INT(TODAY()-B177))</f>
        <v/>
      </c>
      <c r="AB177" s="44" t="str">
        <f aca="true">IF(D177="","",IF(OR(COUNTIFS(Clients!$C$2:$C$501,D177,Clients!$S$2:$S$501,"Paid")&gt;0,AND(H177&lt;&gt;"",COUNTIFS(Clients!$E$2:$E$501,H177,Clients!$S$2:$S$501,"Paid")&gt;0)),"⚠ Refunded before – no free video",IF(OR(R177="Contract signed + paid",R177="Closed – No response",R177="Lost"),"",IF(R177="","Set a stage",IF(AND(R177="Proposal sent",SUMIFS(Scoresheet!$N$2:$N$501,Scoresheet!$C$2:$C$501,A177,Scoresheet!$U$2:$U$501,1)&lt;6),"Score this lead – fill the call scoresheet",IF(N(T177)&gt;=Settings!$S$3,"Close – 4 follow-ups sent",IF(U177="",IF(S177="","Make first contact",""),IF(TODAY()&gt;U177,"OVERDUE follow-up",IF(TODAY()=U177,"Follow up today","")))))))))</f>
        <v/>
      </c>
    </row>
    <row r="178" customFormat="false" ht="15" hidden="false" customHeight="false" outlineLevel="0" collapsed="false">
      <c r="A178" s="17"/>
      <c r="B178" s="40"/>
      <c r="C178" s="17"/>
      <c r="D178" s="17"/>
      <c r="E178" s="17"/>
      <c r="F178" s="17"/>
      <c r="G178" s="17"/>
      <c r="H178" s="42"/>
      <c r="I178" s="17"/>
      <c r="J178" s="17"/>
      <c r="K178" s="17"/>
      <c r="L178" s="17"/>
      <c r="M178" s="17"/>
      <c r="N178" s="44" t="str">
        <f aca="false">IF(OR(D178="",A178="",COUNTIFS(Scoresheet!$C$2:$C$501,A178,Scoresheet!$U$2:$U$501,1)=0),"",SUMIFS(Scoresheet!$O$2:$O$501,Scoresheet!$C$2:$C$501,A178,Scoresheet!$U$2:$U$501,1))</f>
        <v/>
      </c>
      <c r="O178" s="44" t="str">
        <f aca="false">IF(D178="","",IF(OR(A178="",COUNTIFS(Scoresheet!$C$2:$C$501,A178,Scoresheet!$U$2:$U$501,1)=0),"No scoresheet yet",IF(SUMIFS(Scoresheet!$N$2:$N$501,Scoresheet!$C$2:$C$501,A178,Scoresheet!$U$2:$U$501,1)&lt;6,"Partly scored ("&amp;SUMIFS(Scoresheet!$N$2:$N$501,Scoresheet!$C$2:$C$501,A178,Scoresheet!$U$2:$U$501,1)&amp;"/6)",IF(N178&gt;=Settings!$S$8,"Hot",IF(N178&gt;=Settings!$S$9,"Warm","Cold")))))</f>
        <v/>
      </c>
      <c r="P178" s="44" t="str">
        <f aca="false">IF(OR(D178="",A178=""),"",IF(AND(COUNTIFS(Scoresheet!$C$2:$C$501,A178,Scoresheet!$U$2:$U$501,1,Scoresheet!$H$2:$H$501,"No")&gt;0,COUNTIFS(Scoresheet!$C$2:$C$501,A178,Scoresheet!$U$2:$U$501,1,Scoresheet!$J$2:$J$501,"No")&gt;0),"🚩 Budget  ·  🚩 No one on camera",IF(COUNTIFS(Scoresheet!$C$2:$C$501,A178,Scoresheet!$U$2:$U$501,1,Scoresheet!$H$2:$H$501,"No")&gt;0,"🚩 Budget under AED 5k",IF(COUNTIFS(Scoresheet!$C$2:$C$501,A178,Scoresheet!$U$2:$U$501,1,Scoresheet!$J$2:$J$501,"No")&gt;0,"🚩 No one on camera",""))))</f>
        <v/>
      </c>
      <c r="Q178" s="17"/>
      <c r="R178" s="17"/>
      <c r="S178" s="40"/>
      <c r="T178" s="17"/>
      <c r="U178" s="45" t="str">
        <f aca="false">IF(OR(D178="",S178="",OR(R178="Contract signed + paid",R178="Closed – No response",R178="Lost"),N(T178)&gt;=Settings!$S$3),"",S178+Settings!$S$2)</f>
        <v/>
      </c>
      <c r="V178" s="40"/>
      <c r="W178" s="41"/>
      <c r="X178" s="17"/>
      <c r="Y178" s="17"/>
      <c r="Z178" s="17"/>
      <c r="AA178" s="46" t="str">
        <f aca="true">IF(OR(D178="",B178=""),"",INT(TODAY()-B178))</f>
        <v/>
      </c>
      <c r="AB178" s="44" t="str">
        <f aca="true">IF(D178="","",IF(OR(COUNTIFS(Clients!$C$2:$C$501,D178,Clients!$S$2:$S$501,"Paid")&gt;0,AND(H178&lt;&gt;"",COUNTIFS(Clients!$E$2:$E$501,H178,Clients!$S$2:$S$501,"Paid")&gt;0)),"⚠ Refunded before – no free video",IF(OR(R178="Contract signed + paid",R178="Closed – No response",R178="Lost"),"",IF(R178="","Set a stage",IF(AND(R178="Proposal sent",SUMIFS(Scoresheet!$N$2:$N$501,Scoresheet!$C$2:$C$501,A178,Scoresheet!$U$2:$U$501,1)&lt;6),"Score this lead – fill the call scoresheet",IF(N(T178)&gt;=Settings!$S$3,"Close – 4 follow-ups sent",IF(U178="",IF(S178="","Make first contact",""),IF(TODAY()&gt;U178,"OVERDUE follow-up",IF(TODAY()=U178,"Follow up today","")))))))))</f>
        <v/>
      </c>
    </row>
    <row r="179" customFormat="false" ht="15" hidden="false" customHeight="false" outlineLevel="0" collapsed="false">
      <c r="A179" s="17"/>
      <c r="B179" s="40"/>
      <c r="C179" s="17"/>
      <c r="D179" s="17"/>
      <c r="E179" s="17"/>
      <c r="F179" s="17"/>
      <c r="G179" s="17"/>
      <c r="H179" s="42"/>
      <c r="I179" s="17"/>
      <c r="J179" s="17"/>
      <c r="K179" s="17"/>
      <c r="L179" s="17"/>
      <c r="M179" s="17"/>
      <c r="N179" s="44" t="str">
        <f aca="false">IF(OR(D179="",A179="",COUNTIFS(Scoresheet!$C$2:$C$501,A179,Scoresheet!$U$2:$U$501,1)=0),"",SUMIFS(Scoresheet!$O$2:$O$501,Scoresheet!$C$2:$C$501,A179,Scoresheet!$U$2:$U$501,1))</f>
        <v/>
      </c>
      <c r="O179" s="44" t="str">
        <f aca="false">IF(D179="","",IF(OR(A179="",COUNTIFS(Scoresheet!$C$2:$C$501,A179,Scoresheet!$U$2:$U$501,1)=0),"No scoresheet yet",IF(SUMIFS(Scoresheet!$N$2:$N$501,Scoresheet!$C$2:$C$501,A179,Scoresheet!$U$2:$U$501,1)&lt;6,"Partly scored ("&amp;SUMIFS(Scoresheet!$N$2:$N$501,Scoresheet!$C$2:$C$501,A179,Scoresheet!$U$2:$U$501,1)&amp;"/6)",IF(N179&gt;=Settings!$S$8,"Hot",IF(N179&gt;=Settings!$S$9,"Warm","Cold")))))</f>
        <v/>
      </c>
      <c r="P179" s="44" t="str">
        <f aca="false">IF(OR(D179="",A179=""),"",IF(AND(COUNTIFS(Scoresheet!$C$2:$C$501,A179,Scoresheet!$U$2:$U$501,1,Scoresheet!$H$2:$H$501,"No")&gt;0,COUNTIFS(Scoresheet!$C$2:$C$501,A179,Scoresheet!$U$2:$U$501,1,Scoresheet!$J$2:$J$501,"No")&gt;0),"🚩 Budget  ·  🚩 No one on camera",IF(COUNTIFS(Scoresheet!$C$2:$C$501,A179,Scoresheet!$U$2:$U$501,1,Scoresheet!$H$2:$H$501,"No")&gt;0,"🚩 Budget under AED 5k",IF(COUNTIFS(Scoresheet!$C$2:$C$501,A179,Scoresheet!$U$2:$U$501,1,Scoresheet!$J$2:$J$501,"No")&gt;0,"🚩 No one on camera",""))))</f>
        <v/>
      </c>
      <c r="Q179" s="17"/>
      <c r="R179" s="17"/>
      <c r="S179" s="40"/>
      <c r="T179" s="17"/>
      <c r="U179" s="45" t="str">
        <f aca="false">IF(OR(D179="",S179="",OR(R179="Contract signed + paid",R179="Closed – No response",R179="Lost"),N(T179)&gt;=Settings!$S$3),"",S179+Settings!$S$2)</f>
        <v/>
      </c>
      <c r="V179" s="40"/>
      <c r="W179" s="41"/>
      <c r="X179" s="17"/>
      <c r="Y179" s="17"/>
      <c r="Z179" s="17"/>
      <c r="AA179" s="46" t="str">
        <f aca="true">IF(OR(D179="",B179=""),"",INT(TODAY()-B179))</f>
        <v/>
      </c>
      <c r="AB179" s="44" t="str">
        <f aca="true">IF(D179="","",IF(OR(COUNTIFS(Clients!$C$2:$C$501,D179,Clients!$S$2:$S$501,"Paid")&gt;0,AND(H179&lt;&gt;"",COUNTIFS(Clients!$E$2:$E$501,H179,Clients!$S$2:$S$501,"Paid")&gt;0)),"⚠ Refunded before – no free video",IF(OR(R179="Contract signed + paid",R179="Closed – No response",R179="Lost"),"",IF(R179="","Set a stage",IF(AND(R179="Proposal sent",SUMIFS(Scoresheet!$N$2:$N$501,Scoresheet!$C$2:$C$501,A179,Scoresheet!$U$2:$U$501,1)&lt;6),"Score this lead – fill the call scoresheet",IF(N(T179)&gt;=Settings!$S$3,"Close – 4 follow-ups sent",IF(U179="",IF(S179="","Make first contact",""),IF(TODAY()&gt;U179,"OVERDUE follow-up",IF(TODAY()=U179,"Follow up today","")))))))))</f>
        <v/>
      </c>
    </row>
    <row r="180" customFormat="false" ht="15" hidden="false" customHeight="false" outlineLevel="0" collapsed="false">
      <c r="A180" s="17"/>
      <c r="B180" s="40"/>
      <c r="C180" s="17"/>
      <c r="D180" s="17"/>
      <c r="E180" s="17"/>
      <c r="F180" s="17"/>
      <c r="G180" s="17"/>
      <c r="H180" s="42"/>
      <c r="I180" s="17"/>
      <c r="J180" s="17"/>
      <c r="K180" s="17"/>
      <c r="L180" s="17"/>
      <c r="M180" s="17"/>
      <c r="N180" s="44" t="str">
        <f aca="false">IF(OR(D180="",A180="",COUNTIFS(Scoresheet!$C$2:$C$501,A180,Scoresheet!$U$2:$U$501,1)=0),"",SUMIFS(Scoresheet!$O$2:$O$501,Scoresheet!$C$2:$C$501,A180,Scoresheet!$U$2:$U$501,1))</f>
        <v/>
      </c>
      <c r="O180" s="44" t="str">
        <f aca="false">IF(D180="","",IF(OR(A180="",COUNTIFS(Scoresheet!$C$2:$C$501,A180,Scoresheet!$U$2:$U$501,1)=0),"No scoresheet yet",IF(SUMIFS(Scoresheet!$N$2:$N$501,Scoresheet!$C$2:$C$501,A180,Scoresheet!$U$2:$U$501,1)&lt;6,"Partly scored ("&amp;SUMIFS(Scoresheet!$N$2:$N$501,Scoresheet!$C$2:$C$501,A180,Scoresheet!$U$2:$U$501,1)&amp;"/6)",IF(N180&gt;=Settings!$S$8,"Hot",IF(N180&gt;=Settings!$S$9,"Warm","Cold")))))</f>
        <v/>
      </c>
      <c r="P180" s="44" t="str">
        <f aca="false">IF(OR(D180="",A180=""),"",IF(AND(COUNTIFS(Scoresheet!$C$2:$C$501,A180,Scoresheet!$U$2:$U$501,1,Scoresheet!$H$2:$H$501,"No")&gt;0,COUNTIFS(Scoresheet!$C$2:$C$501,A180,Scoresheet!$U$2:$U$501,1,Scoresheet!$J$2:$J$501,"No")&gt;0),"🚩 Budget  ·  🚩 No one on camera",IF(COUNTIFS(Scoresheet!$C$2:$C$501,A180,Scoresheet!$U$2:$U$501,1,Scoresheet!$H$2:$H$501,"No")&gt;0,"🚩 Budget under AED 5k",IF(COUNTIFS(Scoresheet!$C$2:$C$501,A180,Scoresheet!$U$2:$U$501,1,Scoresheet!$J$2:$J$501,"No")&gt;0,"🚩 No one on camera",""))))</f>
        <v/>
      </c>
      <c r="Q180" s="17"/>
      <c r="R180" s="17"/>
      <c r="S180" s="40"/>
      <c r="T180" s="17"/>
      <c r="U180" s="45" t="str">
        <f aca="false">IF(OR(D180="",S180="",OR(R180="Contract signed + paid",R180="Closed – No response",R180="Lost"),N(T180)&gt;=Settings!$S$3),"",S180+Settings!$S$2)</f>
        <v/>
      </c>
      <c r="V180" s="40"/>
      <c r="W180" s="41"/>
      <c r="X180" s="17"/>
      <c r="Y180" s="17"/>
      <c r="Z180" s="17"/>
      <c r="AA180" s="46" t="str">
        <f aca="true">IF(OR(D180="",B180=""),"",INT(TODAY()-B180))</f>
        <v/>
      </c>
      <c r="AB180" s="44" t="str">
        <f aca="true">IF(D180="","",IF(OR(COUNTIFS(Clients!$C$2:$C$501,D180,Clients!$S$2:$S$501,"Paid")&gt;0,AND(H180&lt;&gt;"",COUNTIFS(Clients!$E$2:$E$501,H180,Clients!$S$2:$S$501,"Paid")&gt;0)),"⚠ Refunded before – no free video",IF(OR(R180="Contract signed + paid",R180="Closed – No response",R180="Lost"),"",IF(R180="","Set a stage",IF(AND(R180="Proposal sent",SUMIFS(Scoresheet!$N$2:$N$501,Scoresheet!$C$2:$C$501,A180,Scoresheet!$U$2:$U$501,1)&lt;6),"Score this lead – fill the call scoresheet",IF(N(T180)&gt;=Settings!$S$3,"Close – 4 follow-ups sent",IF(U180="",IF(S180="","Make first contact",""),IF(TODAY()&gt;U180,"OVERDUE follow-up",IF(TODAY()=U180,"Follow up today","")))))))))</f>
        <v/>
      </c>
    </row>
    <row r="181" customFormat="false" ht="15" hidden="false" customHeight="false" outlineLevel="0" collapsed="false">
      <c r="A181" s="17"/>
      <c r="B181" s="40"/>
      <c r="C181" s="17"/>
      <c r="D181" s="17"/>
      <c r="E181" s="17"/>
      <c r="F181" s="17"/>
      <c r="G181" s="17"/>
      <c r="H181" s="42"/>
      <c r="I181" s="17"/>
      <c r="J181" s="17"/>
      <c r="K181" s="17"/>
      <c r="L181" s="17"/>
      <c r="M181" s="17"/>
      <c r="N181" s="44" t="str">
        <f aca="false">IF(OR(D181="",A181="",COUNTIFS(Scoresheet!$C$2:$C$501,A181,Scoresheet!$U$2:$U$501,1)=0),"",SUMIFS(Scoresheet!$O$2:$O$501,Scoresheet!$C$2:$C$501,A181,Scoresheet!$U$2:$U$501,1))</f>
        <v/>
      </c>
      <c r="O181" s="44" t="str">
        <f aca="false">IF(D181="","",IF(OR(A181="",COUNTIFS(Scoresheet!$C$2:$C$501,A181,Scoresheet!$U$2:$U$501,1)=0),"No scoresheet yet",IF(SUMIFS(Scoresheet!$N$2:$N$501,Scoresheet!$C$2:$C$501,A181,Scoresheet!$U$2:$U$501,1)&lt;6,"Partly scored ("&amp;SUMIFS(Scoresheet!$N$2:$N$501,Scoresheet!$C$2:$C$501,A181,Scoresheet!$U$2:$U$501,1)&amp;"/6)",IF(N181&gt;=Settings!$S$8,"Hot",IF(N181&gt;=Settings!$S$9,"Warm","Cold")))))</f>
        <v/>
      </c>
      <c r="P181" s="44" t="str">
        <f aca="false">IF(OR(D181="",A181=""),"",IF(AND(COUNTIFS(Scoresheet!$C$2:$C$501,A181,Scoresheet!$U$2:$U$501,1,Scoresheet!$H$2:$H$501,"No")&gt;0,COUNTIFS(Scoresheet!$C$2:$C$501,A181,Scoresheet!$U$2:$U$501,1,Scoresheet!$J$2:$J$501,"No")&gt;0),"🚩 Budget  ·  🚩 No one on camera",IF(COUNTIFS(Scoresheet!$C$2:$C$501,A181,Scoresheet!$U$2:$U$501,1,Scoresheet!$H$2:$H$501,"No")&gt;0,"🚩 Budget under AED 5k",IF(COUNTIFS(Scoresheet!$C$2:$C$501,A181,Scoresheet!$U$2:$U$501,1,Scoresheet!$J$2:$J$501,"No")&gt;0,"🚩 No one on camera",""))))</f>
        <v/>
      </c>
      <c r="Q181" s="17"/>
      <c r="R181" s="17"/>
      <c r="S181" s="40"/>
      <c r="T181" s="17"/>
      <c r="U181" s="45" t="str">
        <f aca="false">IF(OR(D181="",S181="",OR(R181="Contract signed + paid",R181="Closed – No response",R181="Lost"),N(T181)&gt;=Settings!$S$3),"",S181+Settings!$S$2)</f>
        <v/>
      </c>
      <c r="V181" s="40"/>
      <c r="W181" s="41"/>
      <c r="X181" s="17"/>
      <c r="Y181" s="17"/>
      <c r="Z181" s="17"/>
      <c r="AA181" s="46" t="str">
        <f aca="true">IF(OR(D181="",B181=""),"",INT(TODAY()-B181))</f>
        <v/>
      </c>
      <c r="AB181" s="44" t="str">
        <f aca="true">IF(D181="","",IF(OR(COUNTIFS(Clients!$C$2:$C$501,D181,Clients!$S$2:$S$501,"Paid")&gt;0,AND(H181&lt;&gt;"",COUNTIFS(Clients!$E$2:$E$501,H181,Clients!$S$2:$S$501,"Paid")&gt;0)),"⚠ Refunded before – no free video",IF(OR(R181="Contract signed + paid",R181="Closed – No response",R181="Lost"),"",IF(R181="","Set a stage",IF(AND(R181="Proposal sent",SUMIFS(Scoresheet!$N$2:$N$501,Scoresheet!$C$2:$C$501,A181,Scoresheet!$U$2:$U$501,1)&lt;6),"Score this lead – fill the call scoresheet",IF(N(T181)&gt;=Settings!$S$3,"Close – 4 follow-ups sent",IF(U181="",IF(S181="","Make first contact",""),IF(TODAY()&gt;U181,"OVERDUE follow-up",IF(TODAY()=U181,"Follow up today","")))))))))</f>
        <v/>
      </c>
    </row>
    <row r="182" customFormat="false" ht="15" hidden="false" customHeight="false" outlineLevel="0" collapsed="false">
      <c r="A182" s="17"/>
      <c r="B182" s="40"/>
      <c r="C182" s="17"/>
      <c r="D182" s="17"/>
      <c r="E182" s="17"/>
      <c r="F182" s="17"/>
      <c r="G182" s="17"/>
      <c r="H182" s="42"/>
      <c r="I182" s="17"/>
      <c r="J182" s="17"/>
      <c r="K182" s="17"/>
      <c r="L182" s="17"/>
      <c r="M182" s="17"/>
      <c r="N182" s="44" t="str">
        <f aca="false">IF(OR(D182="",A182="",COUNTIFS(Scoresheet!$C$2:$C$501,A182,Scoresheet!$U$2:$U$501,1)=0),"",SUMIFS(Scoresheet!$O$2:$O$501,Scoresheet!$C$2:$C$501,A182,Scoresheet!$U$2:$U$501,1))</f>
        <v/>
      </c>
      <c r="O182" s="44" t="str">
        <f aca="false">IF(D182="","",IF(OR(A182="",COUNTIFS(Scoresheet!$C$2:$C$501,A182,Scoresheet!$U$2:$U$501,1)=0),"No scoresheet yet",IF(SUMIFS(Scoresheet!$N$2:$N$501,Scoresheet!$C$2:$C$501,A182,Scoresheet!$U$2:$U$501,1)&lt;6,"Partly scored ("&amp;SUMIFS(Scoresheet!$N$2:$N$501,Scoresheet!$C$2:$C$501,A182,Scoresheet!$U$2:$U$501,1)&amp;"/6)",IF(N182&gt;=Settings!$S$8,"Hot",IF(N182&gt;=Settings!$S$9,"Warm","Cold")))))</f>
        <v/>
      </c>
      <c r="P182" s="44" t="str">
        <f aca="false">IF(OR(D182="",A182=""),"",IF(AND(COUNTIFS(Scoresheet!$C$2:$C$501,A182,Scoresheet!$U$2:$U$501,1,Scoresheet!$H$2:$H$501,"No")&gt;0,COUNTIFS(Scoresheet!$C$2:$C$501,A182,Scoresheet!$U$2:$U$501,1,Scoresheet!$J$2:$J$501,"No")&gt;0),"🚩 Budget  ·  🚩 No one on camera",IF(COUNTIFS(Scoresheet!$C$2:$C$501,A182,Scoresheet!$U$2:$U$501,1,Scoresheet!$H$2:$H$501,"No")&gt;0,"🚩 Budget under AED 5k",IF(COUNTIFS(Scoresheet!$C$2:$C$501,A182,Scoresheet!$U$2:$U$501,1,Scoresheet!$J$2:$J$501,"No")&gt;0,"🚩 No one on camera",""))))</f>
        <v/>
      </c>
      <c r="Q182" s="17"/>
      <c r="R182" s="17"/>
      <c r="S182" s="40"/>
      <c r="T182" s="17"/>
      <c r="U182" s="45" t="str">
        <f aca="false">IF(OR(D182="",S182="",OR(R182="Contract signed + paid",R182="Closed – No response",R182="Lost"),N(T182)&gt;=Settings!$S$3),"",S182+Settings!$S$2)</f>
        <v/>
      </c>
      <c r="V182" s="40"/>
      <c r="W182" s="41"/>
      <c r="X182" s="17"/>
      <c r="Y182" s="17"/>
      <c r="Z182" s="17"/>
      <c r="AA182" s="46" t="str">
        <f aca="true">IF(OR(D182="",B182=""),"",INT(TODAY()-B182))</f>
        <v/>
      </c>
      <c r="AB182" s="44" t="str">
        <f aca="true">IF(D182="","",IF(OR(COUNTIFS(Clients!$C$2:$C$501,D182,Clients!$S$2:$S$501,"Paid")&gt;0,AND(H182&lt;&gt;"",COUNTIFS(Clients!$E$2:$E$501,H182,Clients!$S$2:$S$501,"Paid")&gt;0)),"⚠ Refunded before – no free video",IF(OR(R182="Contract signed + paid",R182="Closed – No response",R182="Lost"),"",IF(R182="","Set a stage",IF(AND(R182="Proposal sent",SUMIFS(Scoresheet!$N$2:$N$501,Scoresheet!$C$2:$C$501,A182,Scoresheet!$U$2:$U$501,1)&lt;6),"Score this lead – fill the call scoresheet",IF(N(T182)&gt;=Settings!$S$3,"Close – 4 follow-ups sent",IF(U182="",IF(S182="","Make first contact",""),IF(TODAY()&gt;U182,"OVERDUE follow-up",IF(TODAY()=U182,"Follow up today","")))))))))</f>
        <v/>
      </c>
    </row>
    <row r="183" customFormat="false" ht="15" hidden="false" customHeight="false" outlineLevel="0" collapsed="false">
      <c r="A183" s="17"/>
      <c r="B183" s="40"/>
      <c r="C183" s="17"/>
      <c r="D183" s="17"/>
      <c r="E183" s="17"/>
      <c r="F183" s="17"/>
      <c r="G183" s="17"/>
      <c r="H183" s="42"/>
      <c r="I183" s="17"/>
      <c r="J183" s="17"/>
      <c r="K183" s="17"/>
      <c r="L183" s="17"/>
      <c r="M183" s="17"/>
      <c r="N183" s="44" t="str">
        <f aca="false">IF(OR(D183="",A183="",COUNTIFS(Scoresheet!$C$2:$C$501,A183,Scoresheet!$U$2:$U$501,1)=0),"",SUMIFS(Scoresheet!$O$2:$O$501,Scoresheet!$C$2:$C$501,A183,Scoresheet!$U$2:$U$501,1))</f>
        <v/>
      </c>
      <c r="O183" s="44" t="str">
        <f aca="false">IF(D183="","",IF(OR(A183="",COUNTIFS(Scoresheet!$C$2:$C$501,A183,Scoresheet!$U$2:$U$501,1)=0),"No scoresheet yet",IF(SUMIFS(Scoresheet!$N$2:$N$501,Scoresheet!$C$2:$C$501,A183,Scoresheet!$U$2:$U$501,1)&lt;6,"Partly scored ("&amp;SUMIFS(Scoresheet!$N$2:$N$501,Scoresheet!$C$2:$C$501,A183,Scoresheet!$U$2:$U$501,1)&amp;"/6)",IF(N183&gt;=Settings!$S$8,"Hot",IF(N183&gt;=Settings!$S$9,"Warm","Cold")))))</f>
        <v/>
      </c>
      <c r="P183" s="44" t="str">
        <f aca="false">IF(OR(D183="",A183=""),"",IF(AND(COUNTIFS(Scoresheet!$C$2:$C$501,A183,Scoresheet!$U$2:$U$501,1,Scoresheet!$H$2:$H$501,"No")&gt;0,COUNTIFS(Scoresheet!$C$2:$C$501,A183,Scoresheet!$U$2:$U$501,1,Scoresheet!$J$2:$J$501,"No")&gt;0),"🚩 Budget  ·  🚩 No one on camera",IF(COUNTIFS(Scoresheet!$C$2:$C$501,A183,Scoresheet!$U$2:$U$501,1,Scoresheet!$H$2:$H$501,"No")&gt;0,"🚩 Budget under AED 5k",IF(COUNTIFS(Scoresheet!$C$2:$C$501,A183,Scoresheet!$U$2:$U$501,1,Scoresheet!$J$2:$J$501,"No")&gt;0,"🚩 No one on camera",""))))</f>
        <v/>
      </c>
      <c r="Q183" s="17"/>
      <c r="R183" s="17"/>
      <c r="S183" s="40"/>
      <c r="T183" s="17"/>
      <c r="U183" s="45" t="str">
        <f aca="false">IF(OR(D183="",S183="",OR(R183="Contract signed + paid",R183="Closed – No response",R183="Lost"),N(T183)&gt;=Settings!$S$3),"",S183+Settings!$S$2)</f>
        <v/>
      </c>
      <c r="V183" s="40"/>
      <c r="W183" s="41"/>
      <c r="X183" s="17"/>
      <c r="Y183" s="17"/>
      <c r="Z183" s="17"/>
      <c r="AA183" s="46" t="str">
        <f aca="true">IF(OR(D183="",B183=""),"",INT(TODAY()-B183))</f>
        <v/>
      </c>
      <c r="AB183" s="44" t="str">
        <f aca="true">IF(D183="","",IF(OR(COUNTIFS(Clients!$C$2:$C$501,D183,Clients!$S$2:$S$501,"Paid")&gt;0,AND(H183&lt;&gt;"",COUNTIFS(Clients!$E$2:$E$501,H183,Clients!$S$2:$S$501,"Paid")&gt;0)),"⚠ Refunded before – no free video",IF(OR(R183="Contract signed + paid",R183="Closed – No response",R183="Lost"),"",IF(R183="","Set a stage",IF(AND(R183="Proposal sent",SUMIFS(Scoresheet!$N$2:$N$501,Scoresheet!$C$2:$C$501,A183,Scoresheet!$U$2:$U$501,1)&lt;6),"Score this lead – fill the call scoresheet",IF(N(T183)&gt;=Settings!$S$3,"Close – 4 follow-ups sent",IF(U183="",IF(S183="","Make first contact",""),IF(TODAY()&gt;U183,"OVERDUE follow-up",IF(TODAY()=U183,"Follow up today","")))))))))</f>
        <v/>
      </c>
    </row>
    <row r="184" customFormat="false" ht="15" hidden="false" customHeight="false" outlineLevel="0" collapsed="false">
      <c r="A184" s="17"/>
      <c r="B184" s="40"/>
      <c r="C184" s="17"/>
      <c r="D184" s="17"/>
      <c r="E184" s="17"/>
      <c r="F184" s="17"/>
      <c r="G184" s="17"/>
      <c r="H184" s="42"/>
      <c r="I184" s="17"/>
      <c r="J184" s="17"/>
      <c r="K184" s="17"/>
      <c r="L184" s="17"/>
      <c r="M184" s="17"/>
      <c r="N184" s="44" t="str">
        <f aca="false">IF(OR(D184="",A184="",COUNTIFS(Scoresheet!$C$2:$C$501,A184,Scoresheet!$U$2:$U$501,1)=0),"",SUMIFS(Scoresheet!$O$2:$O$501,Scoresheet!$C$2:$C$501,A184,Scoresheet!$U$2:$U$501,1))</f>
        <v/>
      </c>
      <c r="O184" s="44" t="str">
        <f aca="false">IF(D184="","",IF(OR(A184="",COUNTIFS(Scoresheet!$C$2:$C$501,A184,Scoresheet!$U$2:$U$501,1)=0),"No scoresheet yet",IF(SUMIFS(Scoresheet!$N$2:$N$501,Scoresheet!$C$2:$C$501,A184,Scoresheet!$U$2:$U$501,1)&lt;6,"Partly scored ("&amp;SUMIFS(Scoresheet!$N$2:$N$501,Scoresheet!$C$2:$C$501,A184,Scoresheet!$U$2:$U$501,1)&amp;"/6)",IF(N184&gt;=Settings!$S$8,"Hot",IF(N184&gt;=Settings!$S$9,"Warm","Cold")))))</f>
        <v/>
      </c>
      <c r="P184" s="44" t="str">
        <f aca="false">IF(OR(D184="",A184=""),"",IF(AND(COUNTIFS(Scoresheet!$C$2:$C$501,A184,Scoresheet!$U$2:$U$501,1,Scoresheet!$H$2:$H$501,"No")&gt;0,COUNTIFS(Scoresheet!$C$2:$C$501,A184,Scoresheet!$U$2:$U$501,1,Scoresheet!$J$2:$J$501,"No")&gt;0),"🚩 Budget  ·  🚩 No one on camera",IF(COUNTIFS(Scoresheet!$C$2:$C$501,A184,Scoresheet!$U$2:$U$501,1,Scoresheet!$H$2:$H$501,"No")&gt;0,"🚩 Budget under AED 5k",IF(COUNTIFS(Scoresheet!$C$2:$C$501,A184,Scoresheet!$U$2:$U$501,1,Scoresheet!$J$2:$J$501,"No")&gt;0,"🚩 No one on camera",""))))</f>
        <v/>
      </c>
      <c r="Q184" s="17"/>
      <c r="R184" s="17"/>
      <c r="S184" s="40"/>
      <c r="T184" s="17"/>
      <c r="U184" s="45" t="str">
        <f aca="false">IF(OR(D184="",S184="",OR(R184="Contract signed + paid",R184="Closed – No response",R184="Lost"),N(T184)&gt;=Settings!$S$3),"",S184+Settings!$S$2)</f>
        <v/>
      </c>
      <c r="V184" s="40"/>
      <c r="W184" s="41"/>
      <c r="X184" s="17"/>
      <c r="Y184" s="17"/>
      <c r="Z184" s="17"/>
      <c r="AA184" s="46" t="str">
        <f aca="true">IF(OR(D184="",B184=""),"",INT(TODAY()-B184))</f>
        <v/>
      </c>
      <c r="AB184" s="44" t="str">
        <f aca="true">IF(D184="","",IF(OR(COUNTIFS(Clients!$C$2:$C$501,D184,Clients!$S$2:$S$501,"Paid")&gt;0,AND(H184&lt;&gt;"",COUNTIFS(Clients!$E$2:$E$501,H184,Clients!$S$2:$S$501,"Paid")&gt;0)),"⚠ Refunded before – no free video",IF(OR(R184="Contract signed + paid",R184="Closed – No response",R184="Lost"),"",IF(R184="","Set a stage",IF(AND(R184="Proposal sent",SUMIFS(Scoresheet!$N$2:$N$501,Scoresheet!$C$2:$C$501,A184,Scoresheet!$U$2:$U$501,1)&lt;6),"Score this lead – fill the call scoresheet",IF(N(T184)&gt;=Settings!$S$3,"Close – 4 follow-ups sent",IF(U184="",IF(S184="","Make first contact",""),IF(TODAY()&gt;U184,"OVERDUE follow-up",IF(TODAY()=U184,"Follow up today","")))))))))</f>
        <v/>
      </c>
    </row>
    <row r="185" customFormat="false" ht="15" hidden="false" customHeight="false" outlineLevel="0" collapsed="false">
      <c r="A185" s="17"/>
      <c r="B185" s="40"/>
      <c r="C185" s="17"/>
      <c r="D185" s="17"/>
      <c r="E185" s="17"/>
      <c r="F185" s="17"/>
      <c r="G185" s="17"/>
      <c r="H185" s="42"/>
      <c r="I185" s="17"/>
      <c r="J185" s="17"/>
      <c r="K185" s="17"/>
      <c r="L185" s="17"/>
      <c r="M185" s="17"/>
      <c r="N185" s="44" t="str">
        <f aca="false">IF(OR(D185="",A185="",COUNTIFS(Scoresheet!$C$2:$C$501,A185,Scoresheet!$U$2:$U$501,1)=0),"",SUMIFS(Scoresheet!$O$2:$O$501,Scoresheet!$C$2:$C$501,A185,Scoresheet!$U$2:$U$501,1))</f>
        <v/>
      </c>
      <c r="O185" s="44" t="str">
        <f aca="false">IF(D185="","",IF(OR(A185="",COUNTIFS(Scoresheet!$C$2:$C$501,A185,Scoresheet!$U$2:$U$501,1)=0),"No scoresheet yet",IF(SUMIFS(Scoresheet!$N$2:$N$501,Scoresheet!$C$2:$C$501,A185,Scoresheet!$U$2:$U$501,1)&lt;6,"Partly scored ("&amp;SUMIFS(Scoresheet!$N$2:$N$501,Scoresheet!$C$2:$C$501,A185,Scoresheet!$U$2:$U$501,1)&amp;"/6)",IF(N185&gt;=Settings!$S$8,"Hot",IF(N185&gt;=Settings!$S$9,"Warm","Cold")))))</f>
        <v/>
      </c>
      <c r="P185" s="44" t="str">
        <f aca="false">IF(OR(D185="",A185=""),"",IF(AND(COUNTIFS(Scoresheet!$C$2:$C$501,A185,Scoresheet!$U$2:$U$501,1,Scoresheet!$H$2:$H$501,"No")&gt;0,COUNTIFS(Scoresheet!$C$2:$C$501,A185,Scoresheet!$U$2:$U$501,1,Scoresheet!$J$2:$J$501,"No")&gt;0),"🚩 Budget  ·  🚩 No one on camera",IF(COUNTIFS(Scoresheet!$C$2:$C$501,A185,Scoresheet!$U$2:$U$501,1,Scoresheet!$H$2:$H$501,"No")&gt;0,"🚩 Budget under AED 5k",IF(COUNTIFS(Scoresheet!$C$2:$C$501,A185,Scoresheet!$U$2:$U$501,1,Scoresheet!$J$2:$J$501,"No")&gt;0,"🚩 No one on camera",""))))</f>
        <v/>
      </c>
      <c r="Q185" s="17"/>
      <c r="R185" s="17"/>
      <c r="S185" s="40"/>
      <c r="T185" s="17"/>
      <c r="U185" s="45" t="str">
        <f aca="false">IF(OR(D185="",S185="",OR(R185="Contract signed + paid",R185="Closed – No response",R185="Lost"),N(T185)&gt;=Settings!$S$3),"",S185+Settings!$S$2)</f>
        <v/>
      </c>
      <c r="V185" s="40"/>
      <c r="W185" s="41"/>
      <c r="X185" s="17"/>
      <c r="Y185" s="17"/>
      <c r="Z185" s="17"/>
      <c r="AA185" s="46" t="str">
        <f aca="true">IF(OR(D185="",B185=""),"",INT(TODAY()-B185))</f>
        <v/>
      </c>
      <c r="AB185" s="44" t="str">
        <f aca="true">IF(D185="","",IF(OR(COUNTIFS(Clients!$C$2:$C$501,D185,Clients!$S$2:$S$501,"Paid")&gt;0,AND(H185&lt;&gt;"",COUNTIFS(Clients!$E$2:$E$501,H185,Clients!$S$2:$S$501,"Paid")&gt;0)),"⚠ Refunded before – no free video",IF(OR(R185="Contract signed + paid",R185="Closed – No response",R185="Lost"),"",IF(R185="","Set a stage",IF(AND(R185="Proposal sent",SUMIFS(Scoresheet!$N$2:$N$501,Scoresheet!$C$2:$C$501,A185,Scoresheet!$U$2:$U$501,1)&lt;6),"Score this lead – fill the call scoresheet",IF(N(T185)&gt;=Settings!$S$3,"Close – 4 follow-ups sent",IF(U185="",IF(S185="","Make first contact",""),IF(TODAY()&gt;U185,"OVERDUE follow-up",IF(TODAY()=U185,"Follow up today","")))))))))</f>
        <v/>
      </c>
    </row>
    <row r="186" customFormat="false" ht="15" hidden="false" customHeight="false" outlineLevel="0" collapsed="false">
      <c r="A186" s="17"/>
      <c r="B186" s="40"/>
      <c r="C186" s="17"/>
      <c r="D186" s="17"/>
      <c r="E186" s="17"/>
      <c r="F186" s="17"/>
      <c r="G186" s="17"/>
      <c r="H186" s="42"/>
      <c r="I186" s="17"/>
      <c r="J186" s="17"/>
      <c r="K186" s="17"/>
      <c r="L186" s="17"/>
      <c r="M186" s="17"/>
      <c r="N186" s="44" t="str">
        <f aca="false">IF(OR(D186="",A186="",COUNTIFS(Scoresheet!$C$2:$C$501,A186,Scoresheet!$U$2:$U$501,1)=0),"",SUMIFS(Scoresheet!$O$2:$O$501,Scoresheet!$C$2:$C$501,A186,Scoresheet!$U$2:$U$501,1))</f>
        <v/>
      </c>
      <c r="O186" s="44" t="str">
        <f aca="false">IF(D186="","",IF(OR(A186="",COUNTIFS(Scoresheet!$C$2:$C$501,A186,Scoresheet!$U$2:$U$501,1)=0),"No scoresheet yet",IF(SUMIFS(Scoresheet!$N$2:$N$501,Scoresheet!$C$2:$C$501,A186,Scoresheet!$U$2:$U$501,1)&lt;6,"Partly scored ("&amp;SUMIFS(Scoresheet!$N$2:$N$501,Scoresheet!$C$2:$C$501,A186,Scoresheet!$U$2:$U$501,1)&amp;"/6)",IF(N186&gt;=Settings!$S$8,"Hot",IF(N186&gt;=Settings!$S$9,"Warm","Cold")))))</f>
        <v/>
      </c>
      <c r="P186" s="44" t="str">
        <f aca="false">IF(OR(D186="",A186=""),"",IF(AND(COUNTIFS(Scoresheet!$C$2:$C$501,A186,Scoresheet!$U$2:$U$501,1,Scoresheet!$H$2:$H$501,"No")&gt;0,COUNTIFS(Scoresheet!$C$2:$C$501,A186,Scoresheet!$U$2:$U$501,1,Scoresheet!$J$2:$J$501,"No")&gt;0),"🚩 Budget  ·  🚩 No one on camera",IF(COUNTIFS(Scoresheet!$C$2:$C$501,A186,Scoresheet!$U$2:$U$501,1,Scoresheet!$H$2:$H$501,"No")&gt;0,"🚩 Budget under AED 5k",IF(COUNTIFS(Scoresheet!$C$2:$C$501,A186,Scoresheet!$U$2:$U$501,1,Scoresheet!$J$2:$J$501,"No")&gt;0,"🚩 No one on camera",""))))</f>
        <v/>
      </c>
      <c r="Q186" s="17"/>
      <c r="R186" s="17"/>
      <c r="S186" s="40"/>
      <c r="T186" s="17"/>
      <c r="U186" s="45" t="str">
        <f aca="false">IF(OR(D186="",S186="",OR(R186="Contract signed + paid",R186="Closed – No response",R186="Lost"),N(T186)&gt;=Settings!$S$3),"",S186+Settings!$S$2)</f>
        <v/>
      </c>
      <c r="V186" s="40"/>
      <c r="W186" s="41"/>
      <c r="X186" s="17"/>
      <c r="Y186" s="17"/>
      <c r="Z186" s="17"/>
      <c r="AA186" s="46" t="str">
        <f aca="true">IF(OR(D186="",B186=""),"",INT(TODAY()-B186))</f>
        <v/>
      </c>
      <c r="AB186" s="44" t="str">
        <f aca="true">IF(D186="","",IF(OR(COUNTIFS(Clients!$C$2:$C$501,D186,Clients!$S$2:$S$501,"Paid")&gt;0,AND(H186&lt;&gt;"",COUNTIFS(Clients!$E$2:$E$501,H186,Clients!$S$2:$S$501,"Paid")&gt;0)),"⚠ Refunded before – no free video",IF(OR(R186="Contract signed + paid",R186="Closed – No response",R186="Lost"),"",IF(R186="","Set a stage",IF(AND(R186="Proposal sent",SUMIFS(Scoresheet!$N$2:$N$501,Scoresheet!$C$2:$C$501,A186,Scoresheet!$U$2:$U$501,1)&lt;6),"Score this lead – fill the call scoresheet",IF(N(T186)&gt;=Settings!$S$3,"Close – 4 follow-ups sent",IF(U186="",IF(S186="","Make first contact",""),IF(TODAY()&gt;U186,"OVERDUE follow-up",IF(TODAY()=U186,"Follow up today","")))))))))</f>
        <v/>
      </c>
    </row>
    <row r="187" customFormat="false" ht="15" hidden="false" customHeight="false" outlineLevel="0" collapsed="false">
      <c r="A187" s="17"/>
      <c r="B187" s="40"/>
      <c r="C187" s="17"/>
      <c r="D187" s="17"/>
      <c r="E187" s="17"/>
      <c r="F187" s="17"/>
      <c r="G187" s="17"/>
      <c r="H187" s="42"/>
      <c r="I187" s="17"/>
      <c r="J187" s="17"/>
      <c r="K187" s="17"/>
      <c r="L187" s="17"/>
      <c r="M187" s="17"/>
      <c r="N187" s="44" t="str">
        <f aca="false">IF(OR(D187="",A187="",COUNTIFS(Scoresheet!$C$2:$C$501,A187,Scoresheet!$U$2:$U$501,1)=0),"",SUMIFS(Scoresheet!$O$2:$O$501,Scoresheet!$C$2:$C$501,A187,Scoresheet!$U$2:$U$501,1))</f>
        <v/>
      </c>
      <c r="O187" s="44" t="str">
        <f aca="false">IF(D187="","",IF(OR(A187="",COUNTIFS(Scoresheet!$C$2:$C$501,A187,Scoresheet!$U$2:$U$501,1)=0),"No scoresheet yet",IF(SUMIFS(Scoresheet!$N$2:$N$501,Scoresheet!$C$2:$C$501,A187,Scoresheet!$U$2:$U$501,1)&lt;6,"Partly scored ("&amp;SUMIFS(Scoresheet!$N$2:$N$501,Scoresheet!$C$2:$C$501,A187,Scoresheet!$U$2:$U$501,1)&amp;"/6)",IF(N187&gt;=Settings!$S$8,"Hot",IF(N187&gt;=Settings!$S$9,"Warm","Cold")))))</f>
        <v/>
      </c>
      <c r="P187" s="44" t="str">
        <f aca="false">IF(OR(D187="",A187=""),"",IF(AND(COUNTIFS(Scoresheet!$C$2:$C$501,A187,Scoresheet!$U$2:$U$501,1,Scoresheet!$H$2:$H$501,"No")&gt;0,COUNTIFS(Scoresheet!$C$2:$C$501,A187,Scoresheet!$U$2:$U$501,1,Scoresheet!$J$2:$J$501,"No")&gt;0),"🚩 Budget  ·  🚩 No one on camera",IF(COUNTIFS(Scoresheet!$C$2:$C$501,A187,Scoresheet!$U$2:$U$501,1,Scoresheet!$H$2:$H$501,"No")&gt;0,"🚩 Budget under AED 5k",IF(COUNTIFS(Scoresheet!$C$2:$C$501,A187,Scoresheet!$U$2:$U$501,1,Scoresheet!$J$2:$J$501,"No")&gt;0,"🚩 No one on camera",""))))</f>
        <v/>
      </c>
      <c r="Q187" s="17"/>
      <c r="R187" s="17"/>
      <c r="S187" s="40"/>
      <c r="T187" s="17"/>
      <c r="U187" s="45" t="str">
        <f aca="false">IF(OR(D187="",S187="",OR(R187="Contract signed + paid",R187="Closed – No response",R187="Lost"),N(T187)&gt;=Settings!$S$3),"",S187+Settings!$S$2)</f>
        <v/>
      </c>
      <c r="V187" s="40"/>
      <c r="W187" s="41"/>
      <c r="X187" s="17"/>
      <c r="Y187" s="17"/>
      <c r="Z187" s="17"/>
      <c r="AA187" s="46" t="str">
        <f aca="true">IF(OR(D187="",B187=""),"",INT(TODAY()-B187))</f>
        <v/>
      </c>
      <c r="AB187" s="44" t="str">
        <f aca="true">IF(D187="","",IF(OR(COUNTIFS(Clients!$C$2:$C$501,D187,Clients!$S$2:$S$501,"Paid")&gt;0,AND(H187&lt;&gt;"",COUNTIFS(Clients!$E$2:$E$501,H187,Clients!$S$2:$S$501,"Paid")&gt;0)),"⚠ Refunded before – no free video",IF(OR(R187="Contract signed + paid",R187="Closed – No response",R187="Lost"),"",IF(R187="","Set a stage",IF(AND(R187="Proposal sent",SUMIFS(Scoresheet!$N$2:$N$501,Scoresheet!$C$2:$C$501,A187,Scoresheet!$U$2:$U$501,1)&lt;6),"Score this lead – fill the call scoresheet",IF(N(T187)&gt;=Settings!$S$3,"Close – 4 follow-ups sent",IF(U187="",IF(S187="","Make first contact",""),IF(TODAY()&gt;U187,"OVERDUE follow-up",IF(TODAY()=U187,"Follow up today","")))))))))</f>
        <v/>
      </c>
    </row>
    <row r="188" customFormat="false" ht="15" hidden="false" customHeight="false" outlineLevel="0" collapsed="false">
      <c r="A188" s="17"/>
      <c r="B188" s="40"/>
      <c r="C188" s="17"/>
      <c r="D188" s="17"/>
      <c r="E188" s="17"/>
      <c r="F188" s="17"/>
      <c r="G188" s="17"/>
      <c r="H188" s="42"/>
      <c r="I188" s="17"/>
      <c r="J188" s="17"/>
      <c r="K188" s="17"/>
      <c r="L188" s="17"/>
      <c r="M188" s="17"/>
      <c r="N188" s="44" t="str">
        <f aca="false">IF(OR(D188="",A188="",COUNTIFS(Scoresheet!$C$2:$C$501,A188,Scoresheet!$U$2:$U$501,1)=0),"",SUMIFS(Scoresheet!$O$2:$O$501,Scoresheet!$C$2:$C$501,A188,Scoresheet!$U$2:$U$501,1))</f>
        <v/>
      </c>
      <c r="O188" s="44" t="str">
        <f aca="false">IF(D188="","",IF(OR(A188="",COUNTIFS(Scoresheet!$C$2:$C$501,A188,Scoresheet!$U$2:$U$501,1)=0),"No scoresheet yet",IF(SUMIFS(Scoresheet!$N$2:$N$501,Scoresheet!$C$2:$C$501,A188,Scoresheet!$U$2:$U$501,1)&lt;6,"Partly scored ("&amp;SUMIFS(Scoresheet!$N$2:$N$501,Scoresheet!$C$2:$C$501,A188,Scoresheet!$U$2:$U$501,1)&amp;"/6)",IF(N188&gt;=Settings!$S$8,"Hot",IF(N188&gt;=Settings!$S$9,"Warm","Cold")))))</f>
        <v/>
      </c>
      <c r="P188" s="44" t="str">
        <f aca="false">IF(OR(D188="",A188=""),"",IF(AND(COUNTIFS(Scoresheet!$C$2:$C$501,A188,Scoresheet!$U$2:$U$501,1,Scoresheet!$H$2:$H$501,"No")&gt;0,COUNTIFS(Scoresheet!$C$2:$C$501,A188,Scoresheet!$U$2:$U$501,1,Scoresheet!$J$2:$J$501,"No")&gt;0),"🚩 Budget  ·  🚩 No one on camera",IF(COUNTIFS(Scoresheet!$C$2:$C$501,A188,Scoresheet!$U$2:$U$501,1,Scoresheet!$H$2:$H$501,"No")&gt;0,"🚩 Budget under AED 5k",IF(COUNTIFS(Scoresheet!$C$2:$C$501,A188,Scoresheet!$U$2:$U$501,1,Scoresheet!$J$2:$J$501,"No")&gt;0,"🚩 No one on camera",""))))</f>
        <v/>
      </c>
      <c r="Q188" s="17"/>
      <c r="R188" s="17"/>
      <c r="S188" s="40"/>
      <c r="T188" s="17"/>
      <c r="U188" s="45" t="str">
        <f aca="false">IF(OR(D188="",S188="",OR(R188="Contract signed + paid",R188="Closed – No response",R188="Lost"),N(T188)&gt;=Settings!$S$3),"",S188+Settings!$S$2)</f>
        <v/>
      </c>
      <c r="V188" s="40"/>
      <c r="W188" s="41"/>
      <c r="X188" s="17"/>
      <c r="Y188" s="17"/>
      <c r="Z188" s="17"/>
      <c r="AA188" s="46" t="str">
        <f aca="true">IF(OR(D188="",B188=""),"",INT(TODAY()-B188))</f>
        <v/>
      </c>
      <c r="AB188" s="44" t="str">
        <f aca="true">IF(D188="","",IF(OR(COUNTIFS(Clients!$C$2:$C$501,D188,Clients!$S$2:$S$501,"Paid")&gt;0,AND(H188&lt;&gt;"",COUNTIFS(Clients!$E$2:$E$501,H188,Clients!$S$2:$S$501,"Paid")&gt;0)),"⚠ Refunded before – no free video",IF(OR(R188="Contract signed + paid",R188="Closed – No response",R188="Lost"),"",IF(R188="","Set a stage",IF(AND(R188="Proposal sent",SUMIFS(Scoresheet!$N$2:$N$501,Scoresheet!$C$2:$C$501,A188,Scoresheet!$U$2:$U$501,1)&lt;6),"Score this lead – fill the call scoresheet",IF(N(T188)&gt;=Settings!$S$3,"Close – 4 follow-ups sent",IF(U188="",IF(S188="","Make first contact",""),IF(TODAY()&gt;U188,"OVERDUE follow-up",IF(TODAY()=U188,"Follow up today","")))))))))</f>
        <v/>
      </c>
    </row>
    <row r="189" customFormat="false" ht="15" hidden="false" customHeight="false" outlineLevel="0" collapsed="false">
      <c r="A189" s="17"/>
      <c r="B189" s="40"/>
      <c r="C189" s="17"/>
      <c r="D189" s="17"/>
      <c r="E189" s="17"/>
      <c r="F189" s="17"/>
      <c r="G189" s="17"/>
      <c r="H189" s="42"/>
      <c r="I189" s="17"/>
      <c r="J189" s="17"/>
      <c r="K189" s="17"/>
      <c r="L189" s="17"/>
      <c r="M189" s="17"/>
      <c r="N189" s="44" t="str">
        <f aca="false">IF(OR(D189="",A189="",COUNTIFS(Scoresheet!$C$2:$C$501,A189,Scoresheet!$U$2:$U$501,1)=0),"",SUMIFS(Scoresheet!$O$2:$O$501,Scoresheet!$C$2:$C$501,A189,Scoresheet!$U$2:$U$501,1))</f>
        <v/>
      </c>
      <c r="O189" s="44" t="str">
        <f aca="false">IF(D189="","",IF(OR(A189="",COUNTIFS(Scoresheet!$C$2:$C$501,A189,Scoresheet!$U$2:$U$501,1)=0),"No scoresheet yet",IF(SUMIFS(Scoresheet!$N$2:$N$501,Scoresheet!$C$2:$C$501,A189,Scoresheet!$U$2:$U$501,1)&lt;6,"Partly scored ("&amp;SUMIFS(Scoresheet!$N$2:$N$501,Scoresheet!$C$2:$C$501,A189,Scoresheet!$U$2:$U$501,1)&amp;"/6)",IF(N189&gt;=Settings!$S$8,"Hot",IF(N189&gt;=Settings!$S$9,"Warm","Cold")))))</f>
        <v/>
      </c>
      <c r="P189" s="44" t="str">
        <f aca="false">IF(OR(D189="",A189=""),"",IF(AND(COUNTIFS(Scoresheet!$C$2:$C$501,A189,Scoresheet!$U$2:$U$501,1,Scoresheet!$H$2:$H$501,"No")&gt;0,COUNTIFS(Scoresheet!$C$2:$C$501,A189,Scoresheet!$U$2:$U$501,1,Scoresheet!$J$2:$J$501,"No")&gt;0),"🚩 Budget  ·  🚩 No one on camera",IF(COUNTIFS(Scoresheet!$C$2:$C$501,A189,Scoresheet!$U$2:$U$501,1,Scoresheet!$H$2:$H$501,"No")&gt;0,"🚩 Budget under AED 5k",IF(COUNTIFS(Scoresheet!$C$2:$C$501,A189,Scoresheet!$U$2:$U$501,1,Scoresheet!$J$2:$J$501,"No")&gt;0,"🚩 No one on camera",""))))</f>
        <v/>
      </c>
      <c r="Q189" s="17"/>
      <c r="R189" s="17"/>
      <c r="S189" s="40"/>
      <c r="T189" s="17"/>
      <c r="U189" s="45" t="str">
        <f aca="false">IF(OR(D189="",S189="",OR(R189="Contract signed + paid",R189="Closed – No response",R189="Lost"),N(T189)&gt;=Settings!$S$3),"",S189+Settings!$S$2)</f>
        <v/>
      </c>
      <c r="V189" s="40"/>
      <c r="W189" s="41"/>
      <c r="X189" s="17"/>
      <c r="Y189" s="17"/>
      <c r="Z189" s="17"/>
      <c r="AA189" s="46" t="str">
        <f aca="true">IF(OR(D189="",B189=""),"",INT(TODAY()-B189))</f>
        <v/>
      </c>
      <c r="AB189" s="44" t="str">
        <f aca="true">IF(D189="","",IF(OR(COUNTIFS(Clients!$C$2:$C$501,D189,Clients!$S$2:$S$501,"Paid")&gt;0,AND(H189&lt;&gt;"",COUNTIFS(Clients!$E$2:$E$501,H189,Clients!$S$2:$S$501,"Paid")&gt;0)),"⚠ Refunded before – no free video",IF(OR(R189="Contract signed + paid",R189="Closed – No response",R189="Lost"),"",IF(R189="","Set a stage",IF(AND(R189="Proposal sent",SUMIFS(Scoresheet!$N$2:$N$501,Scoresheet!$C$2:$C$501,A189,Scoresheet!$U$2:$U$501,1)&lt;6),"Score this lead – fill the call scoresheet",IF(N(T189)&gt;=Settings!$S$3,"Close – 4 follow-ups sent",IF(U189="",IF(S189="","Make first contact",""),IF(TODAY()&gt;U189,"OVERDUE follow-up",IF(TODAY()=U189,"Follow up today","")))))))))</f>
        <v/>
      </c>
    </row>
    <row r="190" customFormat="false" ht="15" hidden="false" customHeight="false" outlineLevel="0" collapsed="false">
      <c r="A190" s="17"/>
      <c r="B190" s="40"/>
      <c r="C190" s="17"/>
      <c r="D190" s="17"/>
      <c r="E190" s="17"/>
      <c r="F190" s="17"/>
      <c r="G190" s="17"/>
      <c r="H190" s="42"/>
      <c r="I190" s="17"/>
      <c r="J190" s="17"/>
      <c r="K190" s="17"/>
      <c r="L190" s="17"/>
      <c r="M190" s="17"/>
      <c r="N190" s="44" t="str">
        <f aca="false">IF(OR(D190="",A190="",COUNTIFS(Scoresheet!$C$2:$C$501,A190,Scoresheet!$U$2:$U$501,1)=0),"",SUMIFS(Scoresheet!$O$2:$O$501,Scoresheet!$C$2:$C$501,A190,Scoresheet!$U$2:$U$501,1))</f>
        <v/>
      </c>
      <c r="O190" s="44" t="str">
        <f aca="false">IF(D190="","",IF(OR(A190="",COUNTIFS(Scoresheet!$C$2:$C$501,A190,Scoresheet!$U$2:$U$501,1)=0),"No scoresheet yet",IF(SUMIFS(Scoresheet!$N$2:$N$501,Scoresheet!$C$2:$C$501,A190,Scoresheet!$U$2:$U$501,1)&lt;6,"Partly scored ("&amp;SUMIFS(Scoresheet!$N$2:$N$501,Scoresheet!$C$2:$C$501,A190,Scoresheet!$U$2:$U$501,1)&amp;"/6)",IF(N190&gt;=Settings!$S$8,"Hot",IF(N190&gt;=Settings!$S$9,"Warm","Cold")))))</f>
        <v/>
      </c>
      <c r="P190" s="44" t="str">
        <f aca="false">IF(OR(D190="",A190=""),"",IF(AND(COUNTIFS(Scoresheet!$C$2:$C$501,A190,Scoresheet!$U$2:$U$501,1,Scoresheet!$H$2:$H$501,"No")&gt;0,COUNTIFS(Scoresheet!$C$2:$C$501,A190,Scoresheet!$U$2:$U$501,1,Scoresheet!$J$2:$J$501,"No")&gt;0),"🚩 Budget  ·  🚩 No one on camera",IF(COUNTIFS(Scoresheet!$C$2:$C$501,A190,Scoresheet!$U$2:$U$501,1,Scoresheet!$H$2:$H$501,"No")&gt;0,"🚩 Budget under AED 5k",IF(COUNTIFS(Scoresheet!$C$2:$C$501,A190,Scoresheet!$U$2:$U$501,1,Scoresheet!$J$2:$J$501,"No")&gt;0,"🚩 No one on camera",""))))</f>
        <v/>
      </c>
      <c r="Q190" s="17"/>
      <c r="R190" s="17"/>
      <c r="S190" s="40"/>
      <c r="T190" s="17"/>
      <c r="U190" s="45" t="str">
        <f aca="false">IF(OR(D190="",S190="",OR(R190="Contract signed + paid",R190="Closed – No response",R190="Lost"),N(T190)&gt;=Settings!$S$3),"",S190+Settings!$S$2)</f>
        <v/>
      </c>
      <c r="V190" s="40"/>
      <c r="W190" s="41"/>
      <c r="X190" s="17"/>
      <c r="Y190" s="17"/>
      <c r="Z190" s="17"/>
      <c r="AA190" s="46" t="str">
        <f aca="true">IF(OR(D190="",B190=""),"",INT(TODAY()-B190))</f>
        <v/>
      </c>
      <c r="AB190" s="44" t="str">
        <f aca="true">IF(D190="","",IF(OR(COUNTIFS(Clients!$C$2:$C$501,D190,Clients!$S$2:$S$501,"Paid")&gt;0,AND(H190&lt;&gt;"",COUNTIFS(Clients!$E$2:$E$501,H190,Clients!$S$2:$S$501,"Paid")&gt;0)),"⚠ Refunded before – no free video",IF(OR(R190="Contract signed + paid",R190="Closed – No response",R190="Lost"),"",IF(R190="","Set a stage",IF(AND(R190="Proposal sent",SUMIFS(Scoresheet!$N$2:$N$501,Scoresheet!$C$2:$C$501,A190,Scoresheet!$U$2:$U$501,1)&lt;6),"Score this lead – fill the call scoresheet",IF(N(T190)&gt;=Settings!$S$3,"Close – 4 follow-ups sent",IF(U190="",IF(S190="","Make first contact",""),IF(TODAY()&gt;U190,"OVERDUE follow-up",IF(TODAY()=U190,"Follow up today","")))))))))</f>
        <v/>
      </c>
    </row>
    <row r="191" customFormat="false" ht="15" hidden="false" customHeight="false" outlineLevel="0" collapsed="false">
      <c r="A191" s="17"/>
      <c r="B191" s="40"/>
      <c r="C191" s="17"/>
      <c r="D191" s="17"/>
      <c r="E191" s="17"/>
      <c r="F191" s="17"/>
      <c r="G191" s="17"/>
      <c r="H191" s="42"/>
      <c r="I191" s="17"/>
      <c r="J191" s="17"/>
      <c r="K191" s="17"/>
      <c r="L191" s="17"/>
      <c r="M191" s="17"/>
      <c r="N191" s="44" t="str">
        <f aca="false">IF(OR(D191="",A191="",COUNTIFS(Scoresheet!$C$2:$C$501,A191,Scoresheet!$U$2:$U$501,1)=0),"",SUMIFS(Scoresheet!$O$2:$O$501,Scoresheet!$C$2:$C$501,A191,Scoresheet!$U$2:$U$501,1))</f>
        <v/>
      </c>
      <c r="O191" s="44" t="str">
        <f aca="false">IF(D191="","",IF(OR(A191="",COUNTIFS(Scoresheet!$C$2:$C$501,A191,Scoresheet!$U$2:$U$501,1)=0),"No scoresheet yet",IF(SUMIFS(Scoresheet!$N$2:$N$501,Scoresheet!$C$2:$C$501,A191,Scoresheet!$U$2:$U$501,1)&lt;6,"Partly scored ("&amp;SUMIFS(Scoresheet!$N$2:$N$501,Scoresheet!$C$2:$C$501,A191,Scoresheet!$U$2:$U$501,1)&amp;"/6)",IF(N191&gt;=Settings!$S$8,"Hot",IF(N191&gt;=Settings!$S$9,"Warm","Cold")))))</f>
        <v/>
      </c>
      <c r="P191" s="44" t="str">
        <f aca="false">IF(OR(D191="",A191=""),"",IF(AND(COUNTIFS(Scoresheet!$C$2:$C$501,A191,Scoresheet!$U$2:$U$501,1,Scoresheet!$H$2:$H$501,"No")&gt;0,COUNTIFS(Scoresheet!$C$2:$C$501,A191,Scoresheet!$U$2:$U$501,1,Scoresheet!$J$2:$J$501,"No")&gt;0),"🚩 Budget  ·  🚩 No one on camera",IF(COUNTIFS(Scoresheet!$C$2:$C$501,A191,Scoresheet!$U$2:$U$501,1,Scoresheet!$H$2:$H$501,"No")&gt;0,"🚩 Budget under AED 5k",IF(COUNTIFS(Scoresheet!$C$2:$C$501,A191,Scoresheet!$U$2:$U$501,1,Scoresheet!$J$2:$J$501,"No")&gt;0,"🚩 No one on camera",""))))</f>
        <v/>
      </c>
      <c r="Q191" s="17"/>
      <c r="R191" s="17"/>
      <c r="S191" s="40"/>
      <c r="T191" s="17"/>
      <c r="U191" s="45" t="str">
        <f aca="false">IF(OR(D191="",S191="",OR(R191="Contract signed + paid",R191="Closed – No response",R191="Lost"),N(T191)&gt;=Settings!$S$3),"",S191+Settings!$S$2)</f>
        <v/>
      </c>
      <c r="V191" s="40"/>
      <c r="W191" s="41"/>
      <c r="X191" s="17"/>
      <c r="Y191" s="17"/>
      <c r="Z191" s="17"/>
      <c r="AA191" s="46" t="str">
        <f aca="true">IF(OR(D191="",B191=""),"",INT(TODAY()-B191))</f>
        <v/>
      </c>
      <c r="AB191" s="44" t="str">
        <f aca="true">IF(D191="","",IF(OR(COUNTIFS(Clients!$C$2:$C$501,D191,Clients!$S$2:$S$501,"Paid")&gt;0,AND(H191&lt;&gt;"",COUNTIFS(Clients!$E$2:$E$501,H191,Clients!$S$2:$S$501,"Paid")&gt;0)),"⚠ Refunded before – no free video",IF(OR(R191="Contract signed + paid",R191="Closed – No response",R191="Lost"),"",IF(R191="","Set a stage",IF(AND(R191="Proposal sent",SUMIFS(Scoresheet!$N$2:$N$501,Scoresheet!$C$2:$C$501,A191,Scoresheet!$U$2:$U$501,1)&lt;6),"Score this lead – fill the call scoresheet",IF(N(T191)&gt;=Settings!$S$3,"Close – 4 follow-ups sent",IF(U191="",IF(S191="","Make first contact",""),IF(TODAY()&gt;U191,"OVERDUE follow-up",IF(TODAY()=U191,"Follow up today","")))))))))</f>
        <v/>
      </c>
    </row>
    <row r="192" customFormat="false" ht="15" hidden="false" customHeight="false" outlineLevel="0" collapsed="false">
      <c r="A192" s="17"/>
      <c r="B192" s="40"/>
      <c r="C192" s="17"/>
      <c r="D192" s="17"/>
      <c r="E192" s="17"/>
      <c r="F192" s="17"/>
      <c r="G192" s="17"/>
      <c r="H192" s="42"/>
      <c r="I192" s="17"/>
      <c r="J192" s="17"/>
      <c r="K192" s="17"/>
      <c r="L192" s="17"/>
      <c r="M192" s="17"/>
      <c r="N192" s="44" t="str">
        <f aca="false">IF(OR(D192="",A192="",COUNTIFS(Scoresheet!$C$2:$C$501,A192,Scoresheet!$U$2:$U$501,1)=0),"",SUMIFS(Scoresheet!$O$2:$O$501,Scoresheet!$C$2:$C$501,A192,Scoresheet!$U$2:$U$501,1))</f>
        <v/>
      </c>
      <c r="O192" s="44" t="str">
        <f aca="false">IF(D192="","",IF(OR(A192="",COUNTIFS(Scoresheet!$C$2:$C$501,A192,Scoresheet!$U$2:$U$501,1)=0),"No scoresheet yet",IF(SUMIFS(Scoresheet!$N$2:$N$501,Scoresheet!$C$2:$C$501,A192,Scoresheet!$U$2:$U$501,1)&lt;6,"Partly scored ("&amp;SUMIFS(Scoresheet!$N$2:$N$501,Scoresheet!$C$2:$C$501,A192,Scoresheet!$U$2:$U$501,1)&amp;"/6)",IF(N192&gt;=Settings!$S$8,"Hot",IF(N192&gt;=Settings!$S$9,"Warm","Cold")))))</f>
        <v/>
      </c>
      <c r="P192" s="44" t="str">
        <f aca="false">IF(OR(D192="",A192=""),"",IF(AND(COUNTIFS(Scoresheet!$C$2:$C$501,A192,Scoresheet!$U$2:$U$501,1,Scoresheet!$H$2:$H$501,"No")&gt;0,COUNTIFS(Scoresheet!$C$2:$C$501,A192,Scoresheet!$U$2:$U$501,1,Scoresheet!$J$2:$J$501,"No")&gt;0),"🚩 Budget  ·  🚩 No one on camera",IF(COUNTIFS(Scoresheet!$C$2:$C$501,A192,Scoresheet!$U$2:$U$501,1,Scoresheet!$H$2:$H$501,"No")&gt;0,"🚩 Budget under AED 5k",IF(COUNTIFS(Scoresheet!$C$2:$C$501,A192,Scoresheet!$U$2:$U$501,1,Scoresheet!$J$2:$J$501,"No")&gt;0,"🚩 No one on camera",""))))</f>
        <v/>
      </c>
      <c r="Q192" s="17"/>
      <c r="R192" s="17"/>
      <c r="S192" s="40"/>
      <c r="T192" s="17"/>
      <c r="U192" s="45" t="str">
        <f aca="false">IF(OR(D192="",S192="",OR(R192="Contract signed + paid",R192="Closed – No response",R192="Lost"),N(T192)&gt;=Settings!$S$3),"",S192+Settings!$S$2)</f>
        <v/>
      </c>
      <c r="V192" s="40"/>
      <c r="W192" s="41"/>
      <c r="X192" s="17"/>
      <c r="Y192" s="17"/>
      <c r="Z192" s="17"/>
      <c r="AA192" s="46" t="str">
        <f aca="true">IF(OR(D192="",B192=""),"",INT(TODAY()-B192))</f>
        <v/>
      </c>
      <c r="AB192" s="44" t="str">
        <f aca="true">IF(D192="","",IF(OR(COUNTIFS(Clients!$C$2:$C$501,D192,Clients!$S$2:$S$501,"Paid")&gt;0,AND(H192&lt;&gt;"",COUNTIFS(Clients!$E$2:$E$501,H192,Clients!$S$2:$S$501,"Paid")&gt;0)),"⚠ Refunded before – no free video",IF(OR(R192="Contract signed + paid",R192="Closed – No response",R192="Lost"),"",IF(R192="","Set a stage",IF(AND(R192="Proposal sent",SUMIFS(Scoresheet!$N$2:$N$501,Scoresheet!$C$2:$C$501,A192,Scoresheet!$U$2:$U$501,1)&lt;6),"Score this lead – fill the call scoresheet",IF(N(T192)&gt;=Settings!$S$3,"Close – 4 follow-ups sent",IF(U192="",IF(S192="","Make first contact",""),IF(TODAY()&gt;U192,"OVERDUE follow-up",IF(TODAY()=U192,"Follow up today","")))))))))</f>
        <v/>
      </c>
    </row>
    <row r="193" customFormat="false" ht="15" hidden="false" customHeight="false" outlineLevel="0" collapsed="false">
      <c r="A193" s="17"/>
      <c r="B193" s="40"/>
      <c r="C193" s="17"/>
      <c r="D193" s="17"/>
      <c r="E193" s="17"/>
      <c r="F193" s="17"/>
      <c r="G193" s="17"/>
      <c r="H193" s="42"/>
      <c r="I193" s="17"/>
      <c r="J193" s="17"/>
      <c r="K193" s="17"/>
      <c r="L193" s="17"/>
      <c r="M193" s="17"/>
      <c r="N193" s="44" t="str">
        <f aca="false">IF(OR(D193="",A193="",COUNTIFS(Scoresheet!$C$2:$C$501,A193,Scoresheet!$U$2:$U$501,1)=0),"",SUMIFS(Scoresheet!$O$2:$O$501,Scoresheet!$C$2:$C$501,A193,Scoresheet!$U$2:$U$501,1))</f>
        <v/>
      </c>
      <c r="O193" s="44" t="str">
        <f aca="false">IF(D193="","",IF(OR(A193="",COUNTIFS(Scoresheet!$C$2:$C$501,A193,Scoresheet!$U$2:$U$501,1)=0),"No scoresheet yet",IF(SUMIFS(Scoresheet!$N$2:$N$501,Scoresheet!$C$2:$C$501,A193,Scoresheet!$U$2:$U$501,1)&lt;6,"Partly scored ("&amp;SUMIFS(Scoresheet!$N$2:$N$501,Scoresheet!$C$2:$C$501,A193,Scoresheet!$U$2:$U$501,1)&amp;"/6)",IF(N193&gt;=Settings!$S$8,"Hot",IF(N193&gt;=Settings!$S$9,"Warm","Cold")))))</f>
        <v/>
      </c>
      <c r="P193" s="44" t="str">
        <f aca="false">IF(OR(D193="",A193=""),"",IF(AND(COUNTIFS(Scoresheet!$C$2:$C$501,A193,Scoresheet!$U$2:$U$501,1,Scoresheet!$H$2:$H$501,"No")&gt;0,COUNTIFS(Scoresheet!$C$2:$C$501,A193,Scoresheet!$U$2:$U$501,1,Scoresheet!$J$2:$J$501,"No")&gt;0),"🚩 Budget  ·  🚩 No one on camera",IF(COUNTIFS(Scoresheet!$C$2:$C$501,A193,Scoresheet!$U$2:$U$501,1,Scoresheet!$H$2:$H$501,"No")&gt;0,"🚩 Budget under AED 5k",IF(COUNTIFS(Scoresheet!$C$2:$C$501,A193,Scoresheet!$U$2:$U$501,1,Scoresheet!$J$2:$J$501,"No")&gt;0,"🚩 No one on camera",""))))</f>
        <v/>
      </c>
      <c r="Q193" s="17"/>
      <c r="R193" s="17"/>
      <c r="S193" s="40"/>
      <c r="T193" s="17"/>
      <c r="U193" s="45" t="str">
        <f aca="false">IF(OR(D193="",S193="",OR(R193="Contract signed + paid",R193="Closed – No response",R193="Lost"),N(T193)&gt;=Settings!$S$3),"",S193+Settings!$S$2)</f>
        <v/>
      </c>
      <c r="V193" s="40"/>
      <c r="W193" s="41"/>
      <c r="X193" s="17"/>
      <c r="Y193" s="17"/>
      <c r="Z193" s="17"/>
      <c r="AA193" s="46" t="str">
        <f aca="true">IF(OR(D193="",B193=""),"",INT(TODAY()-B193))</f>
        <v/>
      </c>
      <c r="AB193" s="44" t="str">
        <f aca="true">IF(D193="","",IF(OR(COUNTIFS(Clients!$C$2:$C$501,D193,Clients!$S$2:$S$501,"Paid")&gt;0,AND(H193&lt;&gt;"",COUNTIFS(Clients!$E$2:$E$501,H193,Clients!$S$2:$S$501,"Paid")&gt;0)),"⚠ Refunded before – no free video",IF(OR(R193="Contract signed + paid",R193="Closed – No response",R193="Lost"),"",IF(R193="","Set a stage",IF(AND(R193="Proposal sent",SUMIFS(Scoresheet!$N$2:$N$501,Scoresheet!$C$2:$C$501,A193,Scoresheet!$U$2:$U$501,1)&lt;6),"Score this lead – fill the call scoresheet",IF(N(T193)&gt;=Settings!$S$3,"Close – 4 follow-ups sent",IF(U193="",IF(S193="","Make first contact",""),IF(TODAY()&gt;U193,"OVERDUE follow-up",IF(TODAY()=U193,"Follow up today","")))))))))</f>
        <v/>
      </c>
    </row>
    <row r="194" customFormat="false" ht="15" hidden="false" customHeight="false" outlineLevel="0" collapsed="false">
      <c r="A194" s="17"/>
      <c r="B194" s="40"/>
      <c r="C194" s="17"/>
      <c r="D194" s="17"/>
      <c r="E194" s="17"/>
      <c r="F194" s="17"/>
      <c r="G194" s="17"/>
      <c r="H194" s="42"/>
      <c r="I194" s="17"/>
      <c r="J194" s="17"/>
      <c r="K194" s="17"/>
      <c r="L194" s="17"/>
      <c r="M194" s="17"/>
      <c r="N194" s="44" t="str">
        <f aca="false">IF(OR(D194="",A194="",COUNTIFS(Scoresheet!$C$2:$C$501,A194,Scoresheet!$U$2:$U$501,1)=0),"",SUMIFS(Scoresheet!$O$2:$O$501,Scoresheet!$C$2:$C$501,A194,Scoresheet!$U$2:$U$501,1))</f>
        <v/>
      </c>
      <c r="O194" s="44" t="str">
        <f aca="false">IF(D194="","",IF(OR(A194="",COUNTIFS(Scoresheet!$C$2:$C$501,A194,Scoresheet!$U$2:$U$501,1)=0),"No scoresheet yet",IF(SUMIFS(Scoresheet!$N$2:$N$501,Scoresheet!$C$2:$C$501,A194,Scoresheet!$U$2:$U$501,1)&lt;6,"Partly scored ("&amp;SUMIFS(Scoresheet!$N$2:$N$501,Scoresheet!$C$2:$C$501,A194,Scoresheet!$U$2:$U$501,1)&amp;"/6)",IF(N194&gt;=Settings!$S$8,"Hot",IF(N194&gt;=Settings!$S$9,"Warm","Cold")))))</f>
        <v/>
      </c>
      <c r="P194" s="44" t="str">
        <f aca="false">IF(OR(D194="",A194=""),"",IF(AND(COUNTIFS(Scoresheet!$C$2:$C$501,A194,Scoresheet!$U$2:$U$501,1,Scoresheet!$H$2:$H$501,"No")&gt;0,COUNTIFS(Scoresheet!$C$2:$C$501,A194,Scoresheet!$U$2:$U$501,1,Scoresheet!$J$2:$J$501,"No")&gt;0),"🚩 Budget  ·  🚩 No one on camera",IF(COUNTIFS(Scoresheet!$C$2:$C$501,A194,Scoresheet!$U$2:$U$501,1,Scoresheet!$H$2:$H$501,"No")&gt;0,"🚩 Budget under AED 5k",IF(COUNTIFS(Scoresheet!$C$2:$C$501,A194,Scoresheet!$U$2:$U$501,1,Scoresheet!$J$2:$J$501,"No")&gt;0,"🚩 No one on camera",""))))</f>
        <v/>
      </c>
      <c r="Q194" s="17"/>
      <c r="R194" s="17"/>
      <c r="S194" s="40"/>
      <c r="T194" s="17"/>
      <c r="U194" s="45" t="str">
        <f aca="false">IF(OR(D194="",S194="",OR(R194="Contract signed + paid",R194="Closed – No response",R194="Lost"),N(T194)&gt;=Settings!$S$3),"",S194+Settings!$S$2)</f>
        <v/>
      </c>
      <c r="V194" s="40"/>
      <c r="W194" s="41"/>
      <c r="X194" s="17"/>
      <c r="Y194" s="17"/>
      <c r="Z194" s="17"/>
      <c r="AA194" s="46" t="str">
        <f aca="true">IF(OR(D194="",B194=""),"",INT(TODAY()-B194))</f>
        <v/>
      </c>
      <c r="AB194" s="44" t="str">
        <f aca="true">IF(D194="","",IF(OR(COUNTIFS(Clients!$C$2:$C$501,D194,Clients!$S$2:$S$501,"Paid")&gt;0,AND(H194&lt;&gt;"",COUNTIFS(Clients!$E$2:$E$501,H194,Clients!$S$2:$S$501,"Paid")&gt;0)),"⚠ Refunded before – no free video",IF(OR(R194="Contract signed + paid",R194="Closed – No response",R194="Lost"),"",IF(R194="","Set a stage",IF(AND(R194="Proposal sent",SUMIFS(Scoresheet!$N$2:$N$501,Scoresheet!$C$2:$C$501,A194,Scoresheet!$U$2:$U$501,1)&lt;6),"Score this lead – fill the call scoresheet",IF(N(T194)&gt;=Settings!$S$3,"Close – 4 follow-ups sent",IF(U194="",IF(S194="","Make first contact",""),IF(TODAY()&gt;U194,"OVERDUE follow-up",IF(TODAY()=U194,"Follow up today","")))))))))</f>
        <v/>
      </c>
    </row>
    <row r="195" customFormat="false" ht="15" hidden="false" customHeight="false" outlineLevel="0" collapsed="false">
      <c r="A195" s="17"/>
      <c r="B195" s="40"/>
      <c r="C195" s="17"/>
      <c r="D195" s="17"/>
      <c r="E195" s="17"/>
      <c r="F195" s="17"/>
      <c r="G195" s="17"/>
      <c r="H195" s="42"/>
      <c r="I195" s="17"/>
      <c r="J195" s="17"/>
      <c r="K195" s="17"/>
      <c r="L195" s="17"/>
      <c r="M195" s="17"/>
      <c r="N195" s="44" t="str">
        <f aca="false">IF(OR(D195="",A195="",COUNTIFS(Scoresheet!$C$2:$C$501,A195,Scoresheet!$U$2:$U$501,1)=0),"",SUMIFS(Scoresheet!$O$2:$O$501,Scoresheet!$C$2:$C$501,A195,Scoresheet!$U$2:$U$501,1))</f>
        <v/>
      </c>
      <c r="O195" s="44" t="str">
        <f aca="false">IF(D195="","",IF(OR(A195="",COUNTIFS(Scoresheet!$C$2:$C$501,A195,Scoresheet!$U$2:$U$501,1)=0),"No scoresheet yet",IF(SUMIFS(Scoresheet!$N$2:$N$501,Scoresheet!$C$2:$C$501,A195,Scoresheet!$U$2:$U$501,1)&lt;6,"Partly scored ("&amp;SUMIFS(Scoresheet!$N$2:$N$501,Scoresheet!$C$2:$C$501,A195,Scoresheet!$U$2:$U$501,1)&amp;"/6)",IF(N195&gt;=Settings!$S$8,"Hot",IF(N195&gt;=Settings!$S$9,"Warm","Cold")))))</f>
        <v/>
      </c>
      <c r="P195" s="44" t="str">
        <f aca="false">IF(OR(D195="",A195=""),"",IF(AND(COUNTIFS(Scoresheet!$C$2:$C$501,A195,Scoresheet!$U$2:$U$501,1,Scoresheet!$H$2:$H$501,"No")&gt;0,COUNTIFS(Scoresheet!$C$2:$C$501,A195,Scoresheet!$U$2:$U$501,1,Scoresheet!$J$2:$J$501,"No")&gt;0),"🚩 Budget  ·  🚩 No one on camera",IF(COUNTIFS(Scoresheet!$C$2:$C$501,A195,Scoresheet!$U$2:$U$501,1,Scoresheet!$H$2:$H$501,"No")&gt;0,"🚩 Budget under AED 5k",IF(COUNTIFS(Scoresheet!$C$2:$C$501,A195,Scoresheet!$U$2:$U$501,1,Scoresheet!$J$2:$J$501,"No")&gt;0,"🚩 No one on camera",""))))</f>
        <v/>
      </c>
      <c r="Q195" s="17"/>
      <c r="R195" s="17"/>
      <c r="S195" s="40"/>
      <c r="T195" s="17"/>
      <c r="U195" s="45" t="str">
        <f aca="false">IF(OR(D195="",S195="",OR(R195="Contract signed + paid",R195="Closed – No response",R195="Lost"),N(T195)&gt;=Settings!$S$3),"",S195+Settings!$S$2)</f>
        <v/>
      </c>
      <c r="V195" s="40"/>
      <c r="W195" s="41"/>
      <c r="X195" s="17"/>
      <c r="Y195" s="17"/>
      <c r="Z195" s="17"/>
      <c r="AA195" s="46" t="str">
        <f aca="true">IF(OR(D195="",B195=""),"",INT(TODAY()-B195))</f>
        <v/>
      </c>
      <c r="AB195" s="44" t="str">
        <f aca="true">IF(D195="","",IF(OR(COUNTIFS(Clients!$C$2:$C$501,D195,Clients!$S$2:$S$501,"Paid")&gt;0,AND(H195&lt;&gt;"",COUNTIFS(Clients!$E$2:$E$501,H195,Clients!$S$2:$S$501,"Paid")&gt;0)),"⚠ Refunded before – no free video",IF(OR(R195="Contract signed + paid",R195="Closed – No response",R195="Lost"),"",IF(R195="","Set a stage",IF(AND(R195="Proposal sent",SUMIFS(Scoresheet!$N$2:$N$501,Scoresheet!$C$2:$C$501,A195,Scoresheet!$U$2:$U$501,1)&lt;6),"Score this lead – fill the call scoresheet",IF(N(T195)&gt;=Settings!$S$3,"Close – 4 follow-ups sent",IF(U195="",IF(S195="","Make first contact",""),IF(TODAY()&gt;U195,"OVERDUE follow-up",IF(TODAY()=U195,"Follow up today","")))))))))</f>
        <v/>
      </c>
    </row>
    <row r="196" customFormat="false" ht="15" hidden="false" customHeight="false" outlineLevel="0" collapsed="false">
      <c r="A196" s="17"/>
      <c r="B196" s="40"/>
      <c r="C196" s="17"/>
      <c r="D196" s="17"/>
      <c r="E196" s="17"/>
      <c r="F196" s="17"/>
      <c r="G196" s="17"/>
      <c r="H196" s="42"/>
      <c r="I196" s="17"/>
      <c r="J196" s="17"/>
      <c r="K196" s="17"/>
      <c r="L196" s="17"/>
      <c r="M196" s="17"/>
      <c r="N196" s="44" t="str">
        <f aca="false">IF(OR(D196="",A196="",COUNTIFS(Scoresheet!$C$2:$C$501,A196,Scoresheet!$U$2:$U$501,1)=0),"",SUMIFS(Scoresheet!$O$2:$O$501,Scoresheet!$C$2:$C$501,A196,Scoresheet!$U$2:$U$501,1))</f>
        <v/>
      </c>
      <c r="O196" s="44" t="str">
        <f aca="false">IF(D196="","",IF(OR(A196="",COUNTIFS(Scoresheet!$C$2:$C$501,A196,Scoresheet!$U$2:$U$501,1)=0),"No scoresheet yet",IF(SUMIFS(Scoresheet!$N$2:$N$501,Scoresheet!$C$2:$C$501,A196,Scoresheet!$U$2:$U$501,1)&lt;6,"Partly scored ("&amp;SUMIFS(Scoresheet!$N$2:$N$501,Scoresheet!$C$2:$C$501,A196,Scoresheet!$U$2:$U$501,1)&amp;"/6)",IF(N196&gt;=Settings!$S$8,"Hot",IF(N196&gt;=Settings!$S$9,"Warm","Cold")))))</f>
        <v/>
      </c>
      <c r="P196" s="44" t="str">
        <f aca="false">IF(OR(D196="",A196=""),"",IF(AND(COUNTIFS(Scoresheet!$C$2:$C$501,A196,Scoresheet!$U$2:$U$501,1,Scoresheet!$H$2:$H$501,"No")&gt;0,COUNTIFS(Scoresheet!$C$2:$C$501,A196,Scoresheet!$U$2:$U$501,1,Scoresheet!$J$2:$J$501,"No")&gt;0),"🚩 Budget  ·  🚩 No one on camera",IF(COUNTIFS(Scoresheet!$C$2:$C$501,A196,Scoresheet!$U$2:$U$501,1,Scoresheet!$H$2:$H$501,"No")&gt;0,"🚩 Budget under AED 5k",IF(COUNTIFS(Scoresheet!$C$2:$C$501,A196,Scoresheet!$U$2:$U$501,1,Scoresheet!$J$2:$J$501,"No")&gt;0,"🚩 No one on camera",""))))</f>
        <v/>
      </c>
      <c r="Q196" s="17"/>
      <c r="R196" s="17"/>
      <c r="S196" s="40"/>
      <c r="T196" s="17"/>
      <c r="U196" s="45" t="str">
        <f aca="false">IF(OR(D196="",S196="",OR(R196="Contract signed + paid",R196="Closed – No response",R196="Lost"),N(T196)&gt;=Settings!$S$3),"",S196+Settings!$S$2)</f>
        <v/>
      </c>
      <c r="V196" s="40"/>
      <c r="W196" s="41"/>
      <c r="X196" s="17"/>
      <c r="Y196" s="17"/>
      <c r="Z196" s="17"/>
      <c r="AA196" s="46" t="str">
        <f aca="true">IF(OR(D196="",B196=""),"",INT(TODAY()-B196))</f>
        <v/>
      </c>
      <c r="AB196" s="44" t="str">
        <f aca="true">IF(D196="","",IF(OR(COUNTIFS(Clients!$C$2:$C$501,D196,Clients!$S$2:$S$501,"Paid")&gt;0,AND(H196&lt;&gt;"",COUNTIFS(Clients!$E$2:$E$501,H196,Clients!$S$2:$S$501,"Paid")&gt;0)),"⚠ Refunded before – no free video",IF(OR(R196="Contract signed + paid",R196="Closed – No response",R196="Lost"),"",IF(R196="","Set a stage",IF(AND(R196="Proposal sent",SUMIFS(Scoresheet!$N$2:$N$501,Scoresheet!$C$2:$C$501,A196,Scoresheet!$U$2:$U$501,1)&lt;6),"Score this lead – fill the call scoresheet",IF(N(T196)&gt;=Settings!$S$3,"Close – 4 follow-ups sent",IF(U196="",IF(S196="","Make first contact",""),IF(TODAY()&gt;U196,"OVERDUE follow-up",IF(TODAY()=U196,"Follow up today","")))))))))</f>
        <v/>
      </c>
    </row>
    <row r="197" customFormat="false" ht="15" hidden="false" customHeight="false" outlineLevel="0" collapsed="false">
      <c r="A197" s="17"/>
      <c r="B197" s="40"/>
      <c r="C197" s="17"/>
      <c r="D197" s="17"/>
      <c r="E197" s="17"/>
      <c r="F197" s="17"/>
      <c r="G197" s="17"/>
      <c r="H197" s="42"/>
      <c r="I197" s="17"/>
      <c r="J197" s="17"/>
      <c r="K197" s="17"/>
      <c r="L197" s="17"/>
      <c r="M197" s="17"/>
      <c r="N197" s="44" t="str">
        <f aca="false">IF(OR(D197="",A197="",COUNTIFS(Scoresheet!$C$2:$C$501,A197,Scoresheet!$U$2:$U$501,1)=0),"",SUMIFS(Scoresheet!$O$2:$O$501,Scoresheet!$C$2:$C$501,A197,Scoresheet!$U$2:$U$501,1))</f>
        <v/>
      </c>
      <c r="O197" s="44" t="str">
        <f aca="false">IF(D197="","",IF(OR(A197="",COUNTIFS(Scoresheet!$C$2:$C$501,A197,Scoresheet!$U$2:$U$501,1)=0),"No scoresheet yet",IF(SUMIFS(Scoresheet!$N$2:$N$501,Scoresheet!$C$2:$C$501,A197,Scoresheet!$U$2:$U$501,1)&lt;6,"Partly scored ("&amp;SUMIFS(Scoresheet!$N$2:$N$501,Scoresheet!$C$2:$C$501,A197,Scoresheet!$U$2:$U$501,1)&amp;"/6)",IF(N197&gt;=Settings!$S$8,"Hot",IF(N197&gt;=Settings!$S$9,"Warm","Cold")))))</f>
        <v/>
      </c>
      <c r="P197" s="44" t="str">
        <f aca="false">IF(OR(D197="",A197=""),"",IF(AND(COUNTIFS(Scoresheet!$C$2:$C$501,A197,Scoresheet!$U$2:$U$501,1,Scoresheet!$H$2:$H$501,"No")&gt;0,COUNTIFS(Scoresheet!$C$2:$C$501,A197,Scoresheet!$U$2:$U$501,1,Scoresheet!$J$2:$J$501,"No")&gt;0),"🚩 Budget  ·  🚩 No one on camera",IF(COUNTIFS(Scoresheet!$C$2:$C$501,A197,Scoresheet!$U$2:$U$501,1,Scoresheet!$H$2:$H$501,"No")&gt;0,"🚩 Budget under AED 5k",IF(COUNTIFS(Scoresheet!$C$2:$C$501,A197,Scoresheet!$U$2:$U$501,1,Scoresheet!$J$2:$J$501,"No")&gt;0,"🚩 No one on camera",""))))</f>
        <v/>
      </c>
      <c r="Q197" s="17"/>
      <c r="R197" s="17"/>
      <c r="S197" s="40"/>
      <c r="T197" s="17"/>
      <c r="U197" s="45" t="str">
        <f aca="false">IF(OR(D197="",S197="",OR(R197="Contract signed + paid",R197="Closed – No response",R197="Lost"),N(T197)&gt;=Settings!$S$3),"",S197+Settings!$S$2)</f>
        <v/>
      </c>
      <c r="V197" s="40"/>
      <c r="W197" s="41"/>
      <c r="X197" s="17"/>
      <c r="Y197" s="17"/>
      <c r="Z197" s="17"/>
      <c r="AA197" s="46" t="str">
        <f aca="true">IF(OR(D197="",B197=""),"",INT(TODAY()-B197))</f>
        <v/>
      </c>
      <c r="AB197" s="44" t="str">
        <f aca="true">IF(D197="","",IF(OR(COUNTIFS(Clients!$C$2:$C$501,D197,Clients!$S$2:$S$501,"Paid")&gt;0,AND(H197&lt;&gt;"",COUNTIFS(Clients!$E$2:$E$501,H197,Clients!$S$2:$S$501,"Paid")&gt;0)),"⚠ Refunded before – no free video",IF(OR(R197="Contract signed + paid",R197="Closed – No response",R197="Lost"),"",IF(R197="","Set a stage",IF(AND(R197="Proposal sent",SUMIFS(Scoresheet!$N$2:$N$501,Scoresheet!$C$2:$C$501,A197,Scoresheet!$U$2:$U$501,1)&lt;6),"Score this lead – fill the call scoresheet",IF(N(T197)&gt;=Settings!$S$3,"Close – 4 follow-ups sent",IF(U197="",IF(S197="","Make first contact",""),IF(TODAY()&gt;U197,"OVERDUE follow-up",IF(TODAY()=U197,"Follow up today","")))))))))</f>
        <v/>
      </c>
    </row>
    <row r="198" customFormat="false" ht="15" hidden="false" customHeight="false" outlineLevel="0" collapsed="false">
      <c r="A198" s="17"/>
      <c r="B198" s="40"/>
      <c r="C198" s="17"/>
      <c r="D198" s="17"/>
      <c r="E198" s="17"/>
      <c r="F198" s="17"/>
      <c r="G198" s="17"/>
      <c r="H198" s="42"/>
      <c r="I198" s="17"/>
      <c r="J198" s="17"/>
      <c r="K198" s="17"/>
      <c r="L198" s="17"/>
      <c r="M198" s="17"/>
      <c r="N198" s="44" t="str">
        <f aca="false">IF(OR(D198="",A198="",COUNTIFS(Scoresheet!$C$2:$C$501,A198,Scoresheet!$U$2:$U$501,1)=0),"",SUMIFS(Scoresheet!$O$2:$O$501,Scoresheet!$C$2:$C$501,A198,Scoresheet!$U$2:$U$501,1))</f>
        <v/>
      </c>
      <c r="O198" s="44" t="str">
        <f aca="false">IF(D198="","",IF(OR(A198="",COUNTIFS(Scoresheet!$C$2:$C$501,A198,Scoresheet!$U$2:$U$501,1)=0),"No scoresheet yet",IF(SUMIFS(Scoresheet!$N$2:$N$501,Scoresheet!$C$2:$C$501,A198,Scoresheet!$U$2:$U$501,1)&lt;6,"Partly scored ("&amp;SUMIFS(Scoresheet!$N$2:$N$501,Scoresheet!$C$2:$C$501,A198,Scoresheet!$U$2:$U$501,1)&amp;"/6)",IF(N198&gt;=Settings!$S$8,"Hot",IF(N198&gt;=Settings!$S$9,"Warm","Cold")))))</f>
        <v/>
      </c>
      <c r="P198" s="44" t="str">
        <f aca="false">IF(OR(D198="",A198=""),"",IF(AND(COUNTIFS(Scoresheet!$C$2:$C$501,A198,Scoresheet!$U$2:$U$501,1,Scoresheet!$H$2:$H$501,"No")&gt;0,COUNTIFS(Scoresheet!$C$2:$C$501,A198,Scoresheet!$U$2:$U$501,1,Scoresheet!$J$2:$J$501,"No")&gt;0),"🚩 Budget  ·  🚩 No one on camera",IF(COUNTIFS(Scoresheet!$C$2:$C$501,A198,Scoresheet!$U$2:$U$501,1,Scoresheet!$H$2:$H$501,"No")&gt;0,"🚩 Budget under AED 5k",IF(COUNTIFS(Scoresheet!$C$2:$C$501,A198,Scoresheet!$U$2:$U$501,1,Scoresheet!$J$2:$J$501,"No")&gt;0,"🚩 No one on camera",""))))</f>
        <v/>
      </c>
      <c r="Q198" s="17"/>
      <c r="R198" s="17"/>
      <c r="S198" s="40"/>
      <c r="T198" s="17"/>
      <c r="U198" s="45" t="str">
        <f aca="false">IF(OR(D198="",S198="",OR(R198="Contract signed + paid",R198="Closed – No response",R198="Lost"),N(T198)&gt;=Settings!$S$3),"",S198+Settings!$S$2)</f>
        <v/>
      </c>
      <c r="V198" s="40"/>
      <c r="W198" s="41"/>
      <c r="X198" s="17"/>
      <c r="Y198" s="17"/>
      <c r="Z198" s="17"/>
      <c r="AA198" s="46" t="str">
        <f aca="true">IF(OR(D198="",B198=""),"",INT(TODAY()-B198))</f>
        <v/>
      </c>
      <c r="AB198" s="44" t="str">
        <f aca="true">IF(D198="","",IF(OR(COUNTIFS(Clients!$C$2:$C$501,D198,Clients!$S$2:$S$501,"Paid")&gt;0,AND(H198&lt;&gt;"",COUNTIFS(Clients!$E$2:$E$501,H198,Clients!$S$2:$S$501,"Paid")&gt;0)),"⚠ Refunded before – no free video",IF(OR(R198="Contract signed + paid",R198="Closed – No response",R198="Lost"),"",IF(R198="","Set a stage",IF(AND(R198="Proposal sent",SUMIFS(Scoresheet!$N$2:$N$501,Scoresheet!$C$2:$C$501,A198,Scoresheet!$U$2:$U$501,1)&lt;6),"Score this lead – fill the call scoresheet",IF(N(T198)&gt;=Settings!$S$3,"Close – 4 follow-ups sent",IF(U198="",IF(S198="","Make first contact",""),IF(TODAY()&gt;U198,"OVERDUE follow-up",IF(TODAY()=U198,"Follow up today","")))))))))</f>
        <v/>
      </c>
    </row>
    <row r="199" customFormat="false" ht="15" hidden="false" customHeight="false" outlineLevel="0" collapsed="false">
      <c r="A199" s="17"/>
      <c r="B199" s="40"/>
      <c r="C199" s="17"/>
      <c r="D199" s="17"/>
      <c r="E199" s="17"/>
      <c r="F199" s="17"/>
      <c r="G199" s="17"/>
      <c r="H199" s="42"/>
      <c r="I199" s="17"/>
      <c r="J199" s="17"/>
      <c r="K199" s="17"/>
      <c r="L199" s="17"/>
      <c r="M199" s="17"/>
      <c r="N199" s="44" t="str">
        <f aca="false">IF(OR(D199="",A199="",COUNTIFS(Scoresheet!$C$2:$C$501,A199,Scoresheet!$U$2:$U$501,1)=0),"",SUMIFS(Scoresheet!$O$2:$O$501,Scoresheet!$C$2:$C$501,A199,Scoresheet!$U$2:$U$501,1))</f>
        <v/>
      </c>
      <c r="O199" s="44" t="str">
        <f aca="false">IF(D199="","",IF(OR(A199="",COUNTIFS(Scoresheet!$C$2:$C$501,A199,Scoresheet!$U$2:$U$501,1)=0),"No scoresheet yet",IF(SUMIFS(Scoresheet!$N$2:$N$501,Scoresheet!$C$2:$C$501,A199,Scoresheet!$U$2:$U$501,1)&lt;6,"Partly scored ("&amp;SUMIFS(Scoresheet!$N$2:$N$501,Scoresheet!$C$2:$C$501,A199,Scoresheet!$U$2:$U$501,1)&amp;"/6)",IF(N199&gt;=Settings!$S$8,"Hot",IF(N199&gt;=Settings!$S$9,"Warm","Cold")))))</f>
        <v/>
      </c>
      <c r="P199" s="44" t="str">
        <f aca="false">IF(OR(D199="",A199=""),"",IF(AND(COUNTIFS(Scoresheet!$C$2:$C$501,A199,Scoresheet!$U$2:$U$501,1,Scoresheet!$H$2:$H$501,"No")&gt;0,COUNTIFS(Scoresheet!$C$2:$C$501,A199,Scoresheet!$U$2:$U$501,1,Scoresheet!$J$2:$J$501,"No")&gt;0),"🚩 Budget  ·  🚩 No one on camera",IF(COUNTIFS(Scoresheet!$C$2:$C$501,A199,Scoresheet!$U$2:$U$501,1,Scoresheet!$H$2:$H$501,"No")&gt;0,"🚩 Budget under AED 5k",IF(COUNTIFS(Scoresheet!$C$2:$C$501,A199,Scoresheet!$U$2:$U$501,1,Scoresheet!$J$2:$J$501,"No")&gt;0,"🚩 No one on camera",""))))</f>
        <v/>
      </c>
      <c r="Q199" s="17"/>
      <c r="R199" s="17"/>
      <c r="S199" s="40"/>
      <c r="T199" s="17"/>
      <c r="U199" s="45" t="str">
        <f aca="false">IF(OR(D199="",S199="",OR(R199="Contract signed + paid",R199="Closed – No response",R199="Lost"),N(T199)&gt;=Settings!$S$3),"",S199+Settings!$S$2)</f>
        <v/>
      </c>
      <c r="V199" s="40"/>
      <c r="W199" s="41"/>
      <c r="X199" s="17"/>
      <c r="Y199" s="17"/>
      <c r="Z199" s="17"/>
      <c r="AA199" s="46" t="str">
        <f aca="true">IF(OR(D199="",B199=""),"",INT(TODAY()-B199))</f>
        <v/>
      </c>
      <c r="AB199" s="44" t="str">
        <f aca="true">IF(D199="","",IF(OR(COUNTIFS(Clients!$C$2:$C$501,D199,Clients!$S$2:$S$501,"Paid")&gt;0,AND(H199&lt;&gt;"",COUNTIFS(Clients!$E$2:$E$501,H199,Clients!$S$2:$S$501,"Paid")&gt;0)),"⚠ Refunded before – no free video",IF(OR(R199="Contract signed + paid",R199="Closed – No response",R199="Lost"),"",IF(R199="","Set a stage",IF(AND(R199="Proposal sent",SUMIFS(Scoresheet!$N$2:$N$501,Scoresheet!$C$2:$C$501,A199,Scoresheet!$U$2:$U$501,1)&lt;6),"Score this lead – fill the call scoresheet",IF(N(T199)&gt;=Settings!$S$3,"Close – 4 follow-ups sent",IF(U199="",IF(S199="","Make first contact",""),IF(TODAY()&gt;U199,"OVERDUE follow-up",IF(TODAY()=U199,"Follow up today","")))))))))</f>
        <v/>
      </c>
    </row>
    <row r="200" customFormat="false" ht="15" hidden="false" customHeight="false" outlineLevel="0" collapsed="false">
      <c r="A200" s="17"/>
      <c r="B200" s="40"/>
      <c r="C200" s="17"/>
      <c r="D200" s="17"/>
      <c r="E200" s="17"/>
      <c r="F200" s="17"/>
      <c r="G200" s="17"/>
      <c r="H200" s="42"/>
      <c r="I200" s="17"/>
      <c r="J200" s="17"/>
      <c r="K200" s="17"/>
      <c r="L200" s="17"/>
      <c r="M200" s="17"/>
      <c r="N200" s="44" t="str">
        <f aca="false">IF(OR(D200="",A200="",COUNTIFS(Scoresheet!$C$2:$C$501,A200,Scoresheet!$U$2:$U$501,1)=0),"",SUMIFS(Scoresheet!$O$2:$O$501,Scoresheet!$C$2:$C$501,A200,Scoresheet!$U$2:$U$501,1))</f>
        <v/>
      </c>
      <c r="O200" s="44" t="str">
        <f aca="false">IF(D200="","",IF(OR(A200="",COUNTIFS(Scoresheet!$C$2:$C$501,A200,Scoresheet!$U$2:$U$501,1)=0),"No scoresheet yet",IF(SUMIFS(Scoresheet!$N$2:$N$501,Scoresheet!$C$2:$C$501,A200,Scoresheet!$U$2:$U$501,1)&lt;6,"Partly scored ("&amp;SUMIFS(Scoresheet!$N$2:$N$501,Scoresheet!$C$2:$C$501,A200,Scoresheet!$U$2:$U$501,1)&amp;"/6)",IF(N200&gt;=Settings!$S$8,"Hot",IF(N200&gt;=Settings!$S$9,"Warm","Cold")))))</f>
        <v/>
      </c>
      <c r="P200" s="44" t="str">
        <f aca="false">IF(OR(D200="",A200=""),"",IF(AND(COUNTIFS(Scoresheet!$C$2:$C$501,A200,Scoresheet!$U$2:$U$501,1,Scoresheet!$H$2:$H$501,"No")&gt;0,COUNTIFS(Scoresheet!$C$2:$C$501,A200,Scoresheet!$U$2:$U$501,1,Scoresheet!$J$2:$J$501,"No")&gt;0),"🚩 Budget  ·  🚩 No one on camera",IF(COUNTIFS(Scoresheet!$C$2:$C$501,A200,Scoresheet!$U$2:$U$501,1,Scoresheet!$H$2:$H$501,"No")&gt;0,"🚩 Budget under AED 5k",IF(COUNTIFS(Scoresheet!$C$2:$C$501,A200,Scoresheet!$U$2:$U$501,1,Scoresheet!$J$2:$J$501,"No")&gt;0,"🚩 No one on camera",""))))</f>
        <v/>
      </c>
      <c r="Q200" s="17"/>
      <c r="R200" s="17"/>
      <c r="S200" s="40"/>
      <c r="T200" s="17"/>
      <c r="U200" s="45" t="str">
        <f aca="false">IF(OR(D200="",S200="",OR(R200="Contract signed + paid",R200="Closed – No response",R200="Lost"),N(T200)&gt;=Settings!$S$3),"",S200+Settings!$S$2)</f>
        <v/>
      </c>
      <c r="V200" s="40"/>
      <c r="W200" s="41"/>
      <c r="X200" s="17"/>
      <c r="Y200" s="17"/>
      <c r="Z200" s="17"/>
      <c r="AA200" s="46" t="str">
        <f aca="true">IF(OR(D200="",B200=""),"",INT(TODAY()-B200))</f>
        <v/>
      </c>
      <c r="AB200" s="44" t="str">
        <f aca="true">IF(D200="","",IF(OR(COUNTIFS(Clients!$C$2:$C$501,D200,Clients!$S$2:$S$501,"Paid")&gt;0,AND(H200&lt;&gt;"",COUNTIFS(Clients!$E$2:$E$501,H200,Clients!$S$2:$S$501,"Paid")&gt;0)),"⚠ Refunded before – no free video",IF(OR(R200="Contract signed + paid",R200="Closed – No response",R200="Lost"),"",IF(R200="","Set a stage",IF(AND(R200="Proposal sent",SUMIFS(Scoresheet!$N$2:$N$501,Scoresheet!$C$2:$C$501,A200,Scoresheet!$U$2:$U$501,1)&lt;6),"Score this lead – fill the call scoresheet",IF(N(T200)&gt;=Settings!$S$3,"Close – 4 follow-ups sent",IF(U200="",IF(S200="","Make first contact",""),IF(TODAY()&gt;U200,"OVERDUE follow-up",IF(TODAY()=U200,"Follow up today","")))))))))</f>
        <v/>
      </c>
    </row>
    <row r="201" customFormat="false" ht="15" hidden="false" customHeight="false" outlineLevel="0" collapsed="false">
      <c r="A201" s="17"/>
      <c r="B201" s="40"/>
      <c r="C201" s="17"/>
      <c r="D201" s="17"/>
      <c r="E201" s="17"/>
      <c r="F201" s="17"/>
      <c r="G201" s="17"/>
      <c r="H201" s="42"/>
      <c r="I201" s="17"/>
      <c r="J201" s="17"/>
      <c r="K201" s="17"/>
      <c r="L201" s="17"/>
      <c r="M201" s="17"/>
      <c r="N201" s="44" t="str">
        <f aca="false">IF(OR(D201="",A201="",COUNTIFS(Scoresheet!$C$2:$C$501,A201,Scoresheet!$U$2:$U$501,1)=0),"",SUMIFS(Scoresheet!$O$2:$O$501,Scoresheet!$C$2:$C$501,A201,Scoresheet!$U$2:$U$501,1))</f>
        <v/>
      </c>
      <c r="O201" s="44" t="str">
        <f aca="false">IF(D201="","",IF(OR(A201="",COUNTIFS(Scoresheet!$C$2:$C$501,A201,Scoresheet!$U$2:$U$501,1)=0),"No scoresheet yet",IF(SUMIFS(Scoresheet!$N$2:$N$501,Scoresheet!$C$2:$C$501,A201,Scoresheet!$U$2:$U$501,1)&lt;6,"Partly scored ("&amp;SUMIFS(Scoresheet!$N$2:$N$501,Scoresheet!$C$2:$C$501,A201,Scoresheet!$U$2:$U$501,1)&amp;"/6)",IF(N201&gt;=Settings!$S$8,"Hot",IF(N201&gt;=Settings!$S$9,"Warm","Cold")))))</f>
        <v/>
      </c>
      <c r="P201" s="44" t="str">
        <f aca="false">IF(OR(D201="",A201=""),"",IF(AND(COUNTIFS(Scoresheet!$C$2:$C$501,A201,Scoresheet!$U$2:$U$501,1,Scoresheet!$H$2:$H$501,"No")&gt;0,COUNTIFS(Scoresheet!$C$2:$C$501,A201,Scoresheet!$U$2:$U$501,1,Scoresheet!$J$2:$J$501,"No")&gt;0),"🚩 Budget  ·  🚩 No one on camera",IF(COUNTIFS(Scoresheet!$C$2:$C$501,A201,Scoresheet!$U$2:$U$501,1,Scoresheet!$H$2:$H$501,"No")&gt;0,"🚩 Budget under AED 5k",IF(COUNTIFS(Scoresheet!$C$2:$C$501,A201,Scoresheet!$U$2:$U$501,1,Scoresheet!$J$2:$J$501,"No")&gt;0,"🚩 No one on camera",""))))</f>
        <v/>
      </c>
      <c r="Q201" s="17"/>
      <c r="R201" s="17"/>
      <c r="S201" s="40"/>
      <c r="T201" s="17"/>
      <c r="U201" s="45" t="str">
        <f aca="false">IF(OR(D201="",S201="",OR(R201="Contract signed + paid",R201="Closed – No response",R201="Lost"),N(T201)&gt;=Settings!$S$3),"",S201+Settings!$S$2)</f>
        <v/>
      </c>
      <c r="V201" s="40"/>
      <c r="W201" s="41"/>
      <c r="X201" s="17"/>
      <c r="Y201" s="17"/>
      <c r="Z201" s="17"/>
      <c r="AA201" s="46" t="str">
        <f aca="true">IF(OR(D201="",B201=""),"",INT(TODAY()-B201))</f>
        <v/>
      </c>
      <c r="AB201" s="44" t="str">
        <f aca="true">IF(D201="","",IF(OR(COUNTIFS(Clients!$C$2:$C$501,D201,Clients!$S$2:$S$501,"Paid")&gt;0,AND(H201&lt;&gt;"",COUNTIFS(Clients!$E$2:$E$501,H201,Clients!$S$2:$S$501,"Paid")&gt;0)),"⚠ Refunded before – no free video",IF(OR(R201="Contract signed + paid",R201="Closed – No response",R201="Lost"),"",IF(R201="","Set a stage",IF(AND(R201="Proposal sent",SUMIFS(Scoresheet!$N$2:$N$501,Scoresheet!$C$2:$C$501,A201,Scoresheet!$U$2:$U$501,1)&lt;6),"Score this lead – fill the call scoresheet",IF(N(T201)&gt;=Settings!$S$3,"Close – 4 follow-ups sent",IF(U201="",IF(S201="","Make first contact",""),IF(TODAY()&gt;U201,"OVERDUE follow-up",IF(TODAY()=U201,"Follow up today","")))))))))</f>
        <v/>
      </c>
    </row>
    <row r="202" customFormat="false" ht="15" hidden="false" customHeight="false" outlineLevel="0" collapsed="false">
      <c r="A202" s="17"/>
      <c r="B202" s="40"/>
      <c r="C202" s="17"/>
      <c r="D202" s="17"/>
      <c r="E202" s="17"/>
      <c r="F202" s="17"/>
      <c r="G202" s="17"/>
      <c r="H202" s="42"/>
      <c r="I202" s="17"/>
      <c r="J202" s="17"/>
      <c r="K202" s="17"/>
      <c r="L202" s="17"/>
      <c r="M202" s="17"/>
      <c r="N202" s="44" t="str">
        <f aca="false">IF(OR(D202="",A202="",COUNTIFS(Scoresheet!$C$2:$C$501,A202,Scoresheet!$U$2:$U$501,1)=0),"",SUMIFS(Scoresheet!$O$2:$O$501,Scoresheet!$C$2:$C$501,A202,Scoresheet!$U$2:$U$501,1))</f>
        <v/>
      </c>
      <c r="O202" s="44" t="str">
        <f aca="false">IF(D202="","",IF(OR(A202="",COUNTIFS(Scoresheet!$C$2:$C$501,A202,Scoresheet!$U$2:$U$501,1)=0),"No scoresheet yet",IF(SUMIFS(Scoresheet!$N$2:$N$501,Scoresheet!$C$2:$C$501,A202,Scoresheet!$U$2:$U$501,1)&lt;6,"Partly scored ("&amp;SUMIFS(Scoresheet!$N$2:$N$501,Scoresheet!$C$2:$C$501,A202,Scoresheet!$U$2:$U$501,1)&amp;"/6)",IF(N202&gt;=Settings!$S$8,"Hot",IF(N202&gt;=Settings!$S$9,"Warm","Cold")))))</f>
        <v/>
      </c>
      <c r="P202" s="44" t="str">
        <f aca="false">IF(OR(D202="",A202=""),"",IF(AND(COUNTIFS(Scoresheet!$C$2:$C$501,A202,Scoresheet!$U$2:$U$501,1,Scoresheet!$H$2:$H$501,"No")&gt;0,COUNTIFS(Scoresheet!$C$2:$C$501,A202,Scoresheet!$U$2:$U$501,1,Scoresheet!$J$2:$J$501,"No")&gt;0),"🚩 Budget  ·  🚩 No one on camera",IF(COUNTIFS(Scoresheet!$C$2:$C$501,A202,Scoresheet!$U$2:$U$501,1,Scoresheet!$H$2:$H$501,"No")&gt;0,"🚩 Budget under AED 5k",IF(COUNTIFS(Scoresheet!$C$2:$C$501,A202,Scoresheet!$U$2:$U$501,1,Scoresheet!$J$2:$J$501,"No")&gt;0,"🚩 No one on camera",""))))</f>
        <v/>
      </c>
      <c r="Q202" s="17"/>
      <c r="R202" s="17"/>
      <c r="S202" s="40"/>
      <c r="T202" s="17"/>
      <c r="U202" s="45" t="str">
        <f aca="false">IF(OR(D202="",S202="",OR(R202="Contract signed + paid",R202="Closed – No response",R202="Lost"),N(T202)&gt;=Settings!$S$3),"",S202+Settings!$S$2)</f>
        <v/>
      </c>
      <c r="V202" s="40"/>
      <c r="W202" s="41"/>
      <c r="X202" s="17"/>
      <c r="Y202" s="17"/>
      <c r="Z202" s="17"/>
      <c r="AA202" s="46" t="str">
        <f aca="true">IF(OR(D202="",B202=""),"",INT(TODAY()-B202))</f>
        <v/>
      </c>
      <c r="AB202" s="44" t="str">
        <f aca="true">IF(D202="","",IF(OR(COUNTIFS(Clients!$C$2:$C$501,D202,Clients!$S$2:$S$501,"Paid")&gt;0,AND(H202&lt;&gt;"",COUNTIFS(Clients!$E$2:$E$501,H202,Clients!$S$2:$S$501,"Paid")&gt;0)),"⚠ Refunded before – no free video",IF(OR(R202="Contract signed + paid",R202="Closed – No response",R202="Lost"),"",IF(R202="","Set a stage",IF(AND(R202="Proposal sent",SUMIFS(Scoresheet!$N$2:$N$501,Scoresheet!$C$2:$C$501,A202,Scoresheet!$U$2:$U$501,1)&lt;6),"Score this lead – fill the call scoresheet",IF(N(T202)&gt;=Settings!$S$3,"Close – 4 follow-ups sent",IF(U202="",IF(S202="","Make first contact",""),IF(TODAY()&gt;U202,"OVERDUE follow-up",IF(TODAY()=U202,"Follow up today","")))))))))</f>
        <v/>
      </c>
    </row>
    <row r="203" customFormat="false" ht="15" hidden="false" customHeight="false" outlineLevel="0" collapsed="false">
      <c r="A203" s="17"/>
      <c r="B203" s="40"/>
      <c r="C203" s="17"/>
      <c r="D203" s="17"/>
      <c r="E203" s="17"/>
      <c r="F203" s="17"/>
      <c r="G203" s="17"/>
      <c r="H203" s="42"/>
      <c r="I203" s="17"/>
      <c r="J203" s="17"/>
      <c r="K203" s="17"/>
      <c r="L203" s="17"/>
      <c r="M203" s="17"/>
      <c r="N203" s="44" t="str">
        <f aca="false">IF(OR(D203="",A203="",COUNTIFS(Scoresheet!$C$2:$C$501,A203,Scoresheet!$U$2:$U$501,1)=0),"",SUMIFS(Scoresheet!$O$2:$O$501,Scoresheet!$C$2:$C$501,A203,Scoresheet!$U$2:$U$501,1))</f>
        <v/>
      </c>
      <c r="O203" s="44" t="str">
        <f aca="false">IF(D203="","",IF(OR(A203="",COUNTIFS(Scoresheet!$C$2:$C$501,A203,Scoresheet!$U$2:$U$501,1)=0),"No scoresheet yet",IF(SUMIFS(Scoresheet!$N$2:$N$501,Scoresheet!$C$2:$C$501,A203,Scoresheet!$U$2:$U$501,1)&lt;6,"Partly scored ("&amp;SUMIFS(Scoresheet!$N$2:$N$501,Scoresheet!$C$2:$C$501,A203,Scoresheet!$U$2:$U$501,1)&amp;"/6)",IF(N203&gt;=Settings!$S$8,"Hot",IF(N203&gt;=Settings!$S$9,"Warm","Cold")))))</f>
        <v/>
      </c>
      <c r="P203" s="44" t="str">
        <f aca="false">IF(OR(D203="",A203=""),"",IF(AND(COUNTIFS(Scoresheet!$C$2:$C$501,A203,Scoresheet!$U$2:$U$501,1,Scoresheet!$H$2:$H$501,"No")&gt;0,COUNTIFS(Scoresheet!$C$2:$C$501,A203,Scoresheet!$U$2:$U$501,1,Scoresheet!$J$2:$J$501,"No")&gt;0),"🚩 Budget  ·  🚩 No one on camera",IF(COUNTIFS(Scoresheet!$C$2:$C$501,A203,Scoresheet!$U$2:$U$501,1,Scoresheet!$H$2:$H$501,"No")&gt;0,"🚩 Budget under AED 5k",IF(COUNTIFS(Scoresheet!$C$2:$C$501,A203,Scoresheet!$U$2:$U$501,1,Scoresheet!$J$2:$J$501,"No")&gt;0,"🚩 No one on camera",""))))</f>
        <v/>
      </c>
      <c r="Q203" s="17"/>
      <c r="R203" s="17"/>
      <c r="S203" s="40"/>
      <c r="T203" s="17"/>
      <c r="U203" s="45" t="str">
        <f aca="false">IF(OR(D203="",S203="",OR(R203="Contract signed + paid",R203="Closed – No response",R203="Lost"),N(T203)&gt;=Settings!$S$3),"",S203+Settings!$S$2)</f>
        <v/>
      </c>
      <c r="V203" s="40"/>
      <c r="W203" s="41"/>
      <c r="X203" s="17"/>
      <c r="Y203" s="17"/>
      <c r="Z203" s="17"/>
      <c r="AA203" s="46" t="str">
        <f aca="true">IF(OR(D203="",B203=""),"",INT(TODAY()-B203))</f>
        <v/>
      </c>
      <c r="AB203" s="44" t="str">
        <f aca="true">IF(D203="","",IF(OR(COUNTIFS(Clients!$C$2:$C$501,D203,Clients!$S$2:$S$501,"Paid")&gt;0,AND(H203&lt;&gt;"",COUNTIFS(Clients!$E$2:$E$501,H203,Clients!$S$2:$S$501,"Paid")&gt;0)),"⚠ Refunded before – no free video",IF(OR(R203="Contract signed + paid",R203="Closed – No response",R203="Lost"),"",IF(R203="","Set a stage",IF(AND(R203="Proposal sent",SUMIFS(Scoresheet!$N$2:$N$501,Scoresheet!$C$2:$C$501,A203,Scoresheet!$U$2:$U$501,1)&lt;6),"Score this lead – fill the call scoresheet",IF(N(T203)&gt;=Settings!$S$3,"Close – 4 follow-ups sent",IF(U203="",IF(S203="","Make first contact",""),IF(TODAY()&gt;U203,"OVERDUE follow-up",IF(TODAY()=U203,"Follow up today","")))))))))</f>
        <v/>
      </c>
    </row>
    <row r="204" customFormat="false" ht="15" hidden="false" customHeight="false" outlineLevel="0" collapsed="false">
      <c r="A204" s="17"/>
      <c r="B204" s="40"/>
      <c r="C204" s="17"/>
      <c r="D204" s="17"/>
      <c r="E204" s="17"/>
      <c r="F204" s="17"/>
      <c r="G204" s="17"/>
      <c r="H204" s="42"/>
      <c r="I204" s="17"/>
      <c r="J204" s="17"/>
      <c r="K204" s="17"/>
      <c r="L204" s="17"/>
      <c r="M204" s="17"/>
      <c r="N204" s="44" t="str">
        <f aca="false">IF(OR(D204="",A204="",COUNTIFS(Scoresheet!$C$2:$C$501,A204,Scoresheet!$U$2:$U$501,1)=0),"",SUMIFS(Scoresheet!$O$2:$O$501,Scoresheet!$C$2:$C$501,A204,Scoresheet!$U$2:$U$501,1))</f>
        <v/>
      </c>
      <c r="O204" s="44" t="str">
        <f aca="false">IF(D204="","",IF(OR(A204="",COUNTIFS(Scoresheet!$C$2:$C$501,A204,Scoresheet!$U$2:$U$501,1)=0),"No scoresheet yet",IF(SUMIFS(Scoresheet!$N$2:$N$501,Scoresheet!$C$2:$C$501,A204,Scoresheet!$U$2:$U$501,1)&lt;6,"Partly scored ("&amp;SUMIFS(Scoresheet!$N$2:$N$501,Scoresheet!$C$2:$C$501,A204,Scoresheet!$U$2:$U$501,1)&amp;"/6)",IF(N204&gt;=Settings!$S$8,"Hot",IF(N204&gt;=Settings!$S$9,"Warm","Cold")))))</f>
        <v/>
      </c>
      <c r="P204" s="44" t="str">
        <f aca="false">IF(OR(D204="",A204=""),"",IF(AND(COUNTIFS(Scoresheet!$C$2:$C$501,A204,Scoresheet!$U$2:$U$501,1,Scoresheet!$H$2:$H$501,"No")&gt;0,COUNTIFS(Scoresheet!$C$2:$C$501,A204,Scoresheet!$U$2:$U$501,1,Scoresheet!$J$2:$J$501,"No")&gt;0),"🚩 Budget  ·  🚩 No one on camera",IF(COUNTIFS(Scoresheet!$C$2:$C$501,A204,Scoresheet!$U$2:$U$501,1,Scoresheet!$H$2:$H$501,"No")&gt;0,"🚩 Budget under AED 5k",IF(COUNTIFS(Scoresheet!$C$2:$C$501,A204,Scoresheet!$U$2:$U$501,1,Scoresheet!$J$2:$J$501,"No")&gt;0,"🚩 No one on camera",""))))</f>
        <v/>
      </c>
      <c r="Q204" s="17"/>
      <c r="R204" s="17"/>
      <c r="S204" s="40"/>
      <c r="T204" s="17"/>
      <c r="U204" s="45" t="str">
        <f aca="false">IF(OR(D204="",S204="",OR(R204="Contract signed + paid",R204="Closed – No response",R204="Lost"),N(T204)&gt;=Settings!$S$3),"",S204+Settings!$S$2)</f>
        <v/>
      </c>
      <c r="V204" s="40"/>
      <c r="W204" s="41"/>
      <c r="X204" s="17"/>
      <c r="Y204" s="17"/>
      <c r="Z204" s="17"/>
      <c r="AA204" s="46" t="str">
        <f aca="true">IF(OR(D204="",B204=""),"",INT(TODAY()-B204))</f>
        <v/>
      </c>
      <c r="AB204" s="44" t="str">
        <f aca="true">IF(D204="","",IF(OR(COUNTIFS(Clients!$C$2:$C$501,D204,Clients!$S$2:$S$501,"Paid")&gt;0,AND(H204&lt;&gt;"",COUNTIFS(Clients!$E$2:$E$501,H204,Clients!$S$2:$S$501,"Paid")&gt;0)),"⚠ Refunded before – no free video",IF(OR(R204="Contract signed + paid",R204="Closed – No response",R204="Lost"),"",IF(R204="","Set a stage",IF(AND(R204="Proposal sent",SUMIFS(Scoresheet!$N$2:$N$501,Scoresheet!$C$2:$C$501,A204,Scoresheet!$U$2:$U$501,1)&lt;6),"Score this lead – fill the call scoresheet",IF(N(T204)&gt;=Settings!$S$3,"Close – 4 follow-ups sent",IF(U204="",IF(S204="","Make first contact",""),IF(TODAY()&gt;U204,"OVERDUE follow-up",IF(TODAY()=U204,"Follow up today","")))))))))</f>
        <v/>
      </c>
    </row>
    <row r="205" customFormat="false" ht="15" hidden="false" customHeight="false" outlineLevel="0" collapsed="false">
      <c r="A205" s="17"/>
      <c r="B205" s="40"/>
      <c r="C205" s="17"/>
      <c r="D205" s="17"/>
      <c r="E205" s="17"/>
      <c r="F205" s="17"/>
      <c r="G205" s="17"/>
      <c r="H205" s="42"/>
      <c r="I205" s="17"/>
      <c r="J205" s="17"/>
      <c r="K205" s="17"/>
      <c r="L205" s="17"/>
      <c r="M205" s="17"/>
      <c r="N205" s="44" t="str">
        <f aca="false">IF(OR(D205="",A205="",COUNTIFS(Scoresheet!$C$2:$C$501,A205,Scoresheet!$U$2:$U$501,1)=0),"",SUMIFS(Scoresheet!$O$2:$O$501,Scoresheet!$C$2:$C$501,A205,Scoresheet!$U$2:$U$501,1))</f>
        <v/>
      </c>
      <c r="O205" s="44" t="str">
        <f aca="false">IF(D205="","",IF(OR(A205="",COUNTIFS(Scoresheet!$C$2:$C$501,A205,Scoresheet!$U$2:$U$501,1)=0),"No scoresheet yet",IF(SUMIFS(Scoresheet!$N$2:$N$501,Scoresheet!$C$2:$C$501,A205,Scoresheet!$U$2:$U$501,1)&lt;6,"Partly scored ("&amp;SUMIFS(Scoresheet!$N$2:$N$501,Scoresheet!$C$2:$C$501,A205,Scoresheet!$U$2:$U$501,1)&amp;"/6)",IF(N205&gt;=Settings!$S$8,"Hot",IF(N205&gt;=Settings!$S$9,"Warm","Cold")))))</f>
        <v/>
      </c>
      <c r="P205" s="44" t="str">
        <f aca="false">IF(OR(D205="",A205=""),"",IF(AND(COUNTIFS(Scoresheet!$C$2:$C$501,A205,Scoresheet!$U$2:$U$501,1,Scoresheet!$H$2:$H$501,"No")&gt;0,COUNTIFS(Scoresheet!$C$2:$C$501,A205,Scoresheet!$U$2:$U$501,1,Scoresheet!$J$2:$J$501,"No")&gt;0),"🚩 Budget  ·  🚩 No one on camera",IF(COUNTIFS(Scoresheet!$C$2:$C$501,A205,Scoresheet!$U$2:$U$501,1,Scoresheet!$H$2:$H$501,"No")&gt;0,"🚩 Budget under AED 5k",IF(COUNTIFS(Scoresheet!$C$2:$C$501,A205,Scoresheet!$U$2:$U$501,1,Scoresheet!$J$2:$J$501,"No")&gt;0,"🚩 No one on camera",""))))</f>
        <v/>
      </c>
      <c r="Q205" s="17"/>
      <c r="R205" s="17"/>
      <c r="S205" s="40"/>
      <c r="T205" s="17"/>
      <c r="U205" s="45" t="str">
        <f aca="false">IF(OR(D205="",S205="",OR(R205="Contract signed + paid",R205="Closed – No response",R205="Lost"),N(T205)&gt;=Settings!$S$3),"",S205+Settings!$S$2)</f>
        <v/>
      </c>
      <c r="V205" s="40"/>
      <c r="W205" s="41"/>
      <c r="X205" s="17"/>
      <c r="Y205" s="17"/>
      <c r="Z205" s="17"/>
      <c r="AA205" s="46" t="str">
        <f aca="true">IF(OR(D205="",B205=""),"",INT(TODAY()-B205))</f>
        <v/>
      </c>
      <c r="AB205" s="44" t="str">
        <f aca="true">IF(D205="","",IF(OR(COUNTIFS(Clients!$C$2:$C$501,D205,Clients!$S$2:$S$501,"Paid")&gt;0,AND(H205&lt;&gt;"",COUNTIFS(Clients!$E$2:$E$501,H205,Clients!$S$2:$S$501,"Paid")&gt;0)),"⚠ Refunded before – no free video",IF(OR(R205="Contract signed + paid",R205="Closed – No response",R205="Lost"),"",IF(R205="","Set a stage",IF(AND(R205="Proposal sent",SUMIFS(Scoresheet!$N$2:$N$501,Scoresheet!$C$2:$C$501,A205,Scoresheet!$U$2:$U$501,1)&lt;6),"Score this lead – fill the call scoresheet",IF(N(T205)&gt;=Settings!$S$3,"Close – 4 follow-ups sent",IF(U205="",IF(S205="","Make first contact",""),IF(TODAY()&gt;U205,"OVERDUE follow-up",IF(TODAY()=U205,"Follow up today","")))))))))</f>
        <v/>
      </c>
    </row>
    <row r="206" customFormat="false" ht="15" hidden="false" customHeight="false" outlineLevel="0" collapsed="false">
      <c r="A206" s="17"/>
      <c r="B206" s="40"/>
      <c r="C206" s="17"/>
      <c r="D206" s="17"/>
      <c r="E206" s="17"/>
      <c r="F206" s="17"/>
      <c r="G206" s="17"/>
      <c r="H206" s="42"/>
      <c r="I206" s="17"/>
      <c r="J206" s="17"/>
      <c r="K206" s="17"/>
      <c r="L206" s="17"/>
      <c r="M206" s="17"/>
      <c r="N206" s="44" t="str">
        <f aca="false">IF(OR(D206="",A206="",COUNTIFS(Scoresheet!$C$2:$C$501,A206,Scoresheet!$U$2:$U$501,1)=0),"",SUMIFS(Scoresheet!$O$2:$O$501,Scoresheet!$C$2:$C$501,A206,Scoresheet!$U$2:$U$501,1))</f>
        <v/>
      </c>
      <c r="O206" s="44" t="str">
        <f aca="false">IF(D206="","",IF(OR(A206="",COUNTIFS(Scoresheet!$C$2:$C$501,A206,Scoresheet!$U$2:$U$501,1)=0),"No scoresheet yet",IF(SUMIFS(Scoresheet!$N$2:$N$501,Scoresheet!$C$2:$C$501,A206,Scoresheet!$U$2:$U$501,1)&lt;6,"Partly scored ("&amp;SUMIFS(Scoresheet!$N$2:$N$501,Scoresheet!$C$2:$C$501,A206,Scoresheet!$U$2:$U$501,1)&amp;"/6)",IF(N206&gt;=Settings!$S$8,"Hot",IF(N206&gt;=Settings!$S$9,"Warm","Cold")))))</f>
        <v/>
      </c>
      <c r="P206" s="44" t="str">
        <f aca="false">IF(OR(D206="",A206=""),"",IF(AND(COUNTIFS(Scoresheet!$C$2:$C$501,A206,Scoresheet!$U$2:$U$501,1,Scoresheet!$H$2:$H$501,"No")&gt;0,COUNTIFS(Scoresheet!$C$2:$C$501,A206,Scoresheet!$U$2:$U$501,1,Scoresheet!$J$2:$J$501,"No")&gt;0),"🚩 Budget  ·  🚩 No one on camera",IF(COUNTIFS(Scoresheet!$C$2:$C$501,A206,Scoresheet!$U$2:$U$501,1,Scoresheet!$H$2:$H$501,"No")&gt;0,"🚩 Budget under AED 5k",IF(COUNTIFS(Scoresheet!$C$2:$C$501,A206,Scoresheet!$U$2:$U$501,1,Scoresheet!$J$2:$J$501,"No")&gt;0,"🚩 No one on camera",""))))</f>
        <v/>
      </c>
      <c r="Q206" s="17"/>
      <c r="R206" s="17"/>
      <c r="S206" s="40"/>
      <c r="T206" s="17"/>
      <c r="U206" s="45" t="str">
        <f aca="false">IF(OR(D206="",S206="",OR(R206="Contract signed + paid",R206="Closed – No response",R206="Lost"),N(T206)&gt;=Settings!$S$3),"",S206+Settings!$S$2)</f>
        <v/>
      </c>
      <c r="V206" s="40"/>
      <c r="W206" s="41"/>
      <c r="X206" s="17"/>
      <c r="Y206" s="17"/>
      <c r="Z206" s="17"/>
      <c r="AA206" s="46" t="str">
        <f aca="true">IF(OR(D206="",B206=""),"",INT(TODAY()-B206))</f>
        <v/>
      </c>
      <c r="AB206" s="44" t="str">
        <f aca="true">IF(D206="","",IF(OR(COUNTIFS(Clients!$C$2:$C$501,D206,Clients!$S$2:$S$501,"Paid")&gt;0,AND(H206&lt;&gt;"",COUNTIFS(Clients!$E$2:$E$501,H206,Clients!$S$2:$S$501,"Paid")&gt;0)),"⚠ Refunded before – no free video",IF(OR(R206="Contract signed + paid",R206="Closed – No response",R206="Lost"),"",IF(R206="","Set a stage",IF(AND(R206="Proposal sent",SUMIFS(Scoresheet!$N$2:$N$501,Scoresheet!$C$2:$C$501,A206,Scoresheet!$U$2:$U$501,1)&lt;6),"Score this lead – fill the call scoresheet",IF(N(T206)&gt;=Settings!$S$3,"Close – 4 follow-ups sent",IF(U206="",IF(S206="","Make first contact",""),IF(TODAY()&gt;U206,"OVERDUE follow-up",IF(TODAY()=U206,"Follow up today","")))))))))</f>
        <v/>
      </c>
    </row>
    <row r="207" customFormat="false" ht="15" hidden="false" customHeight="false" outlineLevel="0" collapsed="false">
      <c r="A207" s="17"/>
      <c r="B207" s="40"/>
      <c r="C207" s="17"/>
      <c r="D207" s="17"/>
      <c r="E207" s="17"/>
      <c r="F207" s="17"/>
      <c r="G207" s="17"/>
      <c r="H207" s="42"/>
      <c r="I207" s="17"/>
      <c r="J207" s="17"/>
      <c r="K207" s="17"/>
      <c r="L207" s="17"/>
      <c r="M207" s="17"/>
      <c r="N207" s="44" t="str">
        <f aca="false">IF(OR(D207="",A207="",COUNTIFS(Scoresheet!$C$2:$C$501,A207,Scoresheet!$U$2:$U$501,1)=0),"",SUMIFS(Scoresheet!$O$2:$O$501,Scoresheet!$C$2:$C$501,A207,Scoresheet!$U$2:$U$501,1))</f>
        <v/>
      </c>
      <c r="O207" s="44" t="str">
        <f aca="false">IF(D207="","",IF(OR(A207="",COUNTIFS(Scoresheet!$C$2:$C$501,A207,Scoresheet!$U$2:$U$501,1)=0),"No scoresheet yet",IF(SUMIFS(Scoresheet!$N$2:$N$501,Scoresheet!$C$2:$C$501,A207,Scoresheet!$U$2:$U$501,1)&lt;6,"Partly scored ("&amp;SUMIFS(Scoresheet!$N$2:$N$501,Scoresheet!$C$2:$C$501,A207,Scoresheet!$U$2:$U$501,1)&amp;"/6)",IF(N207&gt;=Settings!$S$8,"Hot",IF(N207&gt;=Settings!$S$9,"Warm","Cold")))))</f>
        <v/>
      </c>
      <c r="P207" s="44" t="str">
        <f aca="false">IF(OR(D207="",A207=""),"",IF(AND(COUNTIFS(Scoresheet!$C$2:$C$501,A207,Scoresheet!$U$2:$U$501,1,Scoresheet!$H$2:$H$501,"No")&gt;0,COUNTIFS(Scoresheet!$C$2:$C$501,A207,Scoresheet!$U$2:$U$501,1,Scoresheet!$J$2:$J$501,"No")&gt;0),"🚩 Budget  ·  🚩 No one on camera",IF(COUNTIFS(Scoresheet!$C$2:$C$501,A207,Scoresheet!$U$2:$U$501,1,Scoresheet!$H$2:$H$501,"No")&gt;0,"🚩 Budget under AED 5k",IF(COUNTIFS(Scoresheet!$C$2:$C$501,A207,Scoresheet!$U$2:$U$501,1,Scoresheet!$J$2:$J$501,"No")&gt;0,"🚩 No one on camera",""))))</f>
        <v/>
      </c>
      <c r="Q207" s="17"/>
      <c r="R207" s="17"/>
      <c r="S207" s="40"/>
      <c r="T207" s="17"/>
      <c r="U207" s="45" t="str">
        <f aca="false">IF(OR(D207="",S207="",OR(R207="Contract signed + paid",R207="Closed – No response",R207="Lost"),N(T207)&gt;=Settings!$S$3),"",S207+Settings!$S$2)</f>
        <v/>
      </c>
      <c r="V207" s="40"/>
      <c r="W207" s="41"/>
      <c r="X207" s="17"/>
      <c r="Y207" s="17"/>
      <c r="Z207" s="17"/>
      <c r="AA207" s="46" t="str">
        <f aca="true">IF(OR(D207="",B207=""),"",INT(TODAY()-B207))</f>
        <v/>
      </c>
      <c r="AB207" s="44" t="str">
        <f aca="true">IF(D207="","",IF(OR(COUNTIFS(Clients!$C$2:$C$501,D207,Clients!$S$2:$S$501,"Paid")&gt;0,AND(H207&lt;&gt;"",COUNTIFS(Clients!$E$2:$E$501,H207,Clients!$S$2:$S$501,"Paid")&gt;0)),"⚠ Refunded before – no free video",IF(OR(R207="Contract signed + paid",R207="Closed – No response",R207="Lost"),"",IF(R207="","Set a stage",IF(AND(R207="Proposal sent",SUMIFS(Scoresheet!$N$2:$N$501,Scoresheet!$C$2:$C$501,A207,Scoresheet!$U$2:$U$501,1)&lt;6),"Score this lead – fill the call scoresheet",IF(N(T207)&gt;=Settings!$S$3,"Close – 4 follow-ups sent",IF(U207="",IF(S207="","Make first contact",""),IF(TODAY()&gt;U207,"OVERDUE follow-up",IF(TODAY()=U207,"Follow up today","")))))))))</f>
        <v/>
      </c>
    </row>
    <row r="208" customFormat="false" ht="15" hidden="false" customHeight="false" outlineLevel="0" collapsed="false">
      <c r="A208" s="17"/>
      <c r="B208" s="40"/>
      <c r="C208" s="17"/>
      <c r="D208" s="17"/>
      <c r="E208" s="17"/>
      <c r="F208" s="17"/>
      <c r="G208" s="17"/>
      <c r="H208" s="42"/>
      <c r="I208" s="17"/>
      <c r="J208" s="17"/>
      <c r="K208" s="17"/>
      <c r="L208" s="17"/>
      <c r="M208" s="17"/>
      <c r="N208" s="44" t="str">
        <f aca="false">IF(OR(D208="",A208="",COUNTIFS(Scoresheet!$C$2:$C$501,A208,Scoresheet!$U$2:$U$501,1)=0),"",SUMIFS(Scoresheet!$O$2:$O$501,Scoresheet!$C$2:$C$501,A208,Scoresheet!$U$2:$U$501,1))</f>
        <v/>
      </c>
      <c r="O208" s="44" t="str">
        <f aca="false">IF(D208="","",IF(OR(A208="",COUNTIFS(Scoresheet!$C$2:$C$501,A208,Scoresheet!$U$2:$U$501,1)=0),"No scoresheet yet",IF(SUMIFS(Scoresheet!$N$2:$N$501,Scoresheet!$C$2:$C$501,A208,Scoresheet!$U$2:$U$501,1)&lt;6,"Partly scored ("&amp;SUMIFS(Scoresheet!$N$2:$N$501,Scoresheet!$C$2:$C$501,A208,Scoresheet!$U$2:$U$501,1)&amp;"/6)",IF(N208&gt;=Settings!$S$8,"Hot",IF(N208&gt;=Settings!$S$9,"Warm","Cold")))))</f>
        <v/>
      </c>
      <c r="P208" s="44" t="str">
        <f aca="false">IF(OR(D208="",A208=""),"",IF(AND(COUNTIFS(Scoresheet!$C$2:$C$501,A208,Scoresheet!$U$2:$U$501,1,Scoresheet!$H$2:$H$501,"No")&gt;0,COUNTIFS(Scoresheet!$C$2:$C$501,A208,Scoresheet!$U$2:$U$501,1,Scoresheet!$J$2:$J$501,"No")&gt;0),"🚩 Budget  ·  🚩 No one on camera",IF(COUNTIFS(Scoresheet!$C$2:$C$501,A208,Scoresheet!$U$2:$U$501,1,Scoresheet!$H$2:$H$501,"No")&gt;0,"🚩 Budget under AED 5k",IF(COUNTIFS(Scoresheet!$C$2:$C$501,A208,Scoresheet!$U$2:$U$501,1,Scoresheet!$J$2:$J$501,"No")&gt;0,"🚩 No one on camera",""))))</f>
        <v/>
      </c>
      <c r="Q208" s="17"/>
      <c r="R208" s="17"/>
      <c r="S208" s="40"/>
      <c r="T208" s="17"/>
      <c r="U208" s="45" t="str">
        <f aca="false">IF(OR(D208="",S208="",OR(R208="Contract signed + paid",R208="Closed – No response",R208="Lost"),N(T208)&gt;=Settings!$S$3),"",S208+Settings!$S$2)</f>
        <v/>
      </c>
      <c r="V208" s="40"/>
      <c r="W208" s="41"/>
      <c r="X208" s="17"/>
      <c r="Y208" s="17"/>
      <c r="Z208" s="17"/>
      <c r="AA208" s="46" t="str">
        <f aca="true">IF(OR(D208="",B208=""),"",INT(TODAY()-B208))</f>
        <v/>
      </c>
      <c r="AB208" s="44" t="str">
        <f aca="true">IF(D208="","",IF(OR(COUNTIFS(Clients!$C$2:$C$501,D208,Clients!$S$2:$S$501,"Paid")&gt;0,AND(H208&lt;&gt;"",COUNTIFS(Clients!$E$2:$E$501,H208,Clients!$S$2:$S$501,"Paid")&gt;0)),"⚠ Refunded before – no free video",IF(OR(R208="Contract signed + paid",R208="Closed – No response",R208="Lost"),"",IF(R208="","Set a stage",IF(AND(R208="Proposal sent",SUMIFS(Scoresheet!$N$2:$N$501,Scoresheet!$C$2:$C$501,A208,Scoresheet!$U$2:$U$501,1)&lt;6),"Score this lead – fill the call scoresheet",IF(N(T208)&gt;=Settings!$S$3,"Close – 4 follow-ups sent",IF(U208="",IF(S208="","Make first contact",""),IF(TODAY()&gt;U208,"OVERDUE follow-up",IF(TODAY()=U208,"Follow up today","")))))))))</f>
        <v/>
      </c>
    </row>
    <row r="209" customFormat="false" ht="15" hidden="false" customHeight="false" outlineLevel="0" collapsed="false">
      <c r="A209" s="17"/>
      <c r="B209" s="40"/>
      <c r="C209" s="17"/>
      <c r="D209" s="17"/>
      <c r="E209" s="17"/>
      <c r="F209" s="17"/>
      <c r="G209" s="17"/>
      <c r="H209" s="42"/>
      <c r="I209" s="17"/>
      <c r="J209" s="17"/>
      <c r="K209" s="17"/>
      <c r="L209" s="17"/>
      <c r="M209" s="17"/>
      <c r="N209" s="44" t="str">
        <f aca="false">IF(OR(D209="",A209="",COUNTIFS(Scoresheet!$C$2:$C$501,A209,Scoresheet!$U$2:$U$501,1)=0),"",SUMIFS(Scoresheet!$O$2:$O$501,Scoresheet!$C$2:$C$501,A209,Scoresheet!$U$2:$U$501,1))</f>
        <v/>
      </c>
      <c r="O209" s="44" t="str">
        <f aca="false">IF(D209="","",IF(OR(A209="",COUNTIFS(Scoresheet!$C$2:$C$501,A209,Scoresheet!$U$2:$U$501,1)=0),"No scoresheet yet",IF(SUMIFS(Scoresheet!$N$2:$N$501,Scoresheet!$C$2:$C$501,A209,Scoresheet!$U$2:$U$501,1)&lt;6,"Partly scored ("&amp;SUMIFS(Scoresheet!$N$2:$N$501,Scoresheet!$C$2:$C$501,A209,Scoresheet!$U$2:$U$501,1)&amp;"/6)",IF(N209&gt;=Settings!$S$8,"Hot",IF(N209&gt;=Settings!$S$9,"Warm","Cold")))))</f>
        <v/>
      </c>
      <c r="P209" s="44" t="str">
        <f aca="false">IF(OR(D209="",A209=""),"",IF(AND(COUNTIFS(Scoresheet!$C$2:$C$501,A209,Scoresheet!$U$2:$U$501,1,Scoresheet!$H$2:$H$501,"No")&gt;0,COUNTIFS(Scoresheet!$C$2:$C$501,A209,Scoresheet!$U$2:$U$501,1,Scoresheet!$J$2:$J$501,"No")&gt;0),"🚩 Budget  ·  🚩 No one on camera",IF(COUNTIFS(Scoresheet!$C$2:$C$501,A209,Scoresheet!$U$2:$U$501,1,Scoresheet!$H$2:$H$501,"No")&gt;0,"🚩 Budget under AED 5k",IF(COUNTIFS(Scoresheet!$C$2:$C$501,A209,Scoresheet!$U$2:$U$501,1,Scoresheet!$J$2:$J$501,"No")&gt;0,"🚩 No one on camera",""))))</f>
        <v/>
      </c>
      <c r="Q209" s="17"/>
      <c r="R209" s="17"/>
      <c r="S209" s="40"/>
      <c r="T209" s="17"/>
      <c r="U209" s="45" t="str">
        <f aca="false">IF(OR(D209="",S209="",OR(R209="Contract signed + paid",R209="Closed – No response",R209="Lost"),N(T209)&gt;=Settings!$S$3),"",S209+Settings!$S$2)</f>
        <v/>
      </c>
      <c r="V209" s="40"/>
      <c r="W209" s="41"/>
      <c r="X209" s="17"/>
      <c r="Y209" s="17"/>
      <c r="Z209" s="17"/>
      <c r="AA209" s="46" t="str">
        <f aca="true">IF(OR(D209="",B209=""),"",INT(TODAY()-B209))</f>
        <v/>
      </c>
      <c r="AB209" s="44" t="str">
        <f aca="true">IF(D209="","",IF(OR(COUNTIFS(Clients!$C$2:$C$501,D209,Clients!$S$2:$S$501,"Paid")&gt;0,AND(H209&lt;&gt;"",COUNTIFS(Clients!$E$2:$E$501,H209,Clients!$S$2:$S$501,"Paid")&gt;0)),"⚠ Refunded before – no free video",IF(OR(R209="Contract signed + paid",R209="Closed – No response",R209="Lost"),"",IF(R209="","Set a stage",IF(AND(R209="Proposal sent",SUMIFS(Scoresheet!$N$2:$N$501,Scoresheet!$C$2:$C$501,A209,Scoresheet!$U$2:$U$501,1)&lt;6),"Score this lead – fill the call scoresheet",IF(N(T209)&gt;=Settings!$S$3,"Close – 4 follow-ups sent",IF(U209="",IF(S209="","Make first contact",""),IF(TODAY()&gt;U209,"OVERDUE follow-up",IF(TODAY()=U209,"Follow up today","")))))))))</f>
        <v/>
      </c>
    </row>
    <row r="210" customFormat="false" ht="15" hidden="false" customHeight="false" outlineLevel="0" collapsed="false">
      <c r="A210" s="17"/>
      <c r="B210" s="40"/>
      <c r="C210" s="17"/>
      <c r="D210" s="17"/>
      <c r="E210" s="17"/>
      <c r="F210" s="17"/>
      <c r="G210" s="17"/>
      <c r="H210" s="42"/>
      <c r="I210" s="17"/>
      <c r="J210" s="17"/>
      <c r="K210" s="17"/>
      <c r="L210" s="17"/>
      <c r="M210" s="17"/>
      <c r="N210" s="44" t="str">
        <f aca="false">IF(OR(D210="",A210="",COUNTIFS(Scoresheet!$C$2:$C$501,A210,Scoresheet!$U$2:$U$501,1)=0),"",SUMIFS(Scoresheet!$O$2:$O$501,Scoresheet!$C$2:$C$501,A210,Scoresheet!$U$2:$U$501,1))</f>
        <v/>
      </c>
      <c r="O210" s="44" t="str">
        <f aca="false">IF(D210="","",IF(OR(A210="",COUNTIFS(Scoresheet!$C$2:$C$501,A210,Scoresheet!$U$2:$U$501,1)=0),"No scoresheet yet",IF(SUMIFS(Scoresheet!$N$2:$N$501,Scoresheet!$C$2:$C$501,A210,Scoresheet!$U$2:$U$501,1)&lt;6,"Partly scored ("&amp;SUMIFS(Scoresheet!$N$2:$N$501,Scoresheet!$C$2:$C$501,A210,Scoresheet!$U$2:$U$501,1)&amp;"/6)",IF(N210&gt;=Settings!$S$8,"Hot",IF(N210&gt;=Settings!$S$9,"Warm","Cold")))))</f>
        <v/>
      </c>
      <c r="P210" s="44" t="str">
        <f aca="false">IF(OR(D210="",A210=""),"",IF(AND(COUNTIFS(Scoresheet!$C$2:$C$501,A210,Scoresheet!$U$2:$U$501,1,Scoresheet!$H$2:$H$501,"No")&gt;0,COUNTIFS(Scoresheet!$C$2:$C$501,A210,Scoresheet!$U$2:$U$501,1,Scoresheet!$J$2:$J$501,"No")&gt;0),"🚩 Budget  ·  🚩 No one on camera",IF(COUNTIFS(Scoresheet!$C$2:$C$501,A210,Scoresheet!$U$2:$U$501,1,Scoresheet!$H$2:$H$501,"No")&gt;0,"🚩 Budget under AED 5k",IF(COUNTIFS(Scoresheet!$C$2:$C$501,A210,Scoresheet!$U$2:$U$501,1,Scoresheet!$J$2:$J$501,"No")&gt;0,"🚩 No one on camera",""))))</f>
        <v/>
      </c>
      <c r="Q210" s="17"/>
      <c r="R210" s="17"/>
      <c r="S210" s="40"/>
      <c r="T210" s="17"/>
      <c r="U210" s="45" t="str">
        <f aca="false">IF(OR(D210="",S210="",OR(R210="Contract signed + paid",R210="Closed – No response",R210="Lost"),N(T210)&gt;=Settings!$S$3),"",S210+Settings!$S$2)</f>
        <v/>
      </c>
      <c r="V210" s="40"/>
      <c r="W210" s="41"/>
      <c r="X210" s="17"/>
      <c r="Y210" s="17"/>
      <c r="Z210" s="17"/>
      <c r="AA210" s="46" t="str">
        <f aca="true">IF(OR(D210="",B210=""),"",INT(TODAY()-B210))</f>
        <v/>
      </c>
      <c r="AB210" s="44" t="str">
        <f aca="true">IF(D210="","",IF(OR(COUNTIFS(Clients!$C$2:$C$501,D210,Clients!$S$2:$S$501,"Paid")&gt;0,AND(H210&lt;&gt;"",COUNTIFS(Clients!$E$2:$E$501,H210,Clients!$S$2:$S$501,"Paid")&gt;0)),"⚠ Refunded before – no free video",IF(OR(R210="Contract signed + paid",R210="Closed – No response",R210="Lost"),"",IF(R210="","Set a stage",IF(AND(R210="Proposal sent",SUMIFS(Scoresheet!$N$2:$N$501,Scoresheet!$C$2:$C$501,A210,Scoresheet!$U$2:$U$501,1)&lt;6),"Score this lead – fill the call scoresheet",IF(N(T210)&gt;=Settings!$S$3,"Close – 4 follow-ups sent",IF(U210="",IF(S210="","Make first contact",""),IF(TODAY()&gt;U210,"OVERDUE follow-up",IF(TODAY()=U210,"Follow up today","")))))))))</f>
        <v/>
      </c>
    </row>
    <row r="211" customFormat="false" ht="15" hidden="false" customHeight="false" outlineLevel="0" collapsed="false">
      <c r="A211" s="17"/>
      <c r="B211" s="40"/>
      <c r="C211" s="17"/>
      <c r="D211" s="17"/>
      <c r="E211" s="17"/>
      <c r="F211" s="17"/>
      <c r="G211" s="17"/>
      <c r="H211" s="42"/>
      <c r="I211" s="17"/>
      <c r="J211" s="17"/>
      <c r="K211" s="17"/>
      <c r="L211" s="17"/>
      <c r="M211" s="17"/>
      <c r="N211" s="44" t="str">
        <f aca="false">IF(OR(D211="",A211="",COUNTIFS(Scoresheet!$C$2:$C$501,A211,Scoresheet!$U$2:$U$501,1)=0),"",SUMIFS(Scoresheet!$O$2:$O$501,Scoresheet!$C$2:$C$501,A211,Scoresheet!$U$2:$U$501,1))</f>
        <v/>
      </c>
      <c r="O211" s="44" t="str">
        <f aca="false">IF(D211="","",IF(OR(A211="",COUNTIFS(Scoresheet!$C$2:$C$501,A211,Scoresheet!$U$2:$U$501,1)=0),"No scoresheet yet",IF(SUMIFS(Scoresheet!$N$2:$N$501,Scoresheet!$C$2:$C$501,A211,Scoresheet!$U$2:$U$501,1)&lt;6,"Partly scored ("&amp;SUMIFS(Scoresheet!$N$2:$N$501,Scoresheet!$C$2:$C$501,A211,Scoresheet!$U$2:$U$501,1)&amp;"/6)",IF(N211&gt;=Settings!$S$8,"Hot",IF(N211&gt;=Settings!$S$9,"Warm","Cold")))))</f>
        <v/>
      </c>
      <c r="P211" s="44" t="str">
        <f aca="false">IF(OR(D211="",A211=""),"",IF(AND(COUNTIFS(Scoresheet!$C$2:$C$501,A211,Scoresheet!$U$2:$U$501,1,Scoresheet!$H$2:$H$501,"No")&gt;0,COUNTIFS(Scoresheet!$C$2:$C$501,A211,Scoresheet!$U$2:$U$501,1,Scoresheet!$J$2:$J$501,"No")&gt;0),"🚩 Budget  ·  🚩 No one on camera",IF(COUNTIFS(Scoresheet!$C$2:$C$501,A211,Scoresheet!$U$2:$U$501,1,Scoresheet!$H$2:$H$501,"No")&gt;0,"🚩 Budget under AED 5k",IF(COUNTIFS(Scoresheet!$C$2:$C$501,A211,Scoresheet!$U$2:$U$501,1,Scoresheet!$J$2:$J$501,"No")&gt;0,"🚩 No one on camera",""))))</f>
        <v/>
      </c>
      <c r="Q211" s="17"/>
      <c r="R211" s="17"/>
      <c r="S211" s="40"/>
      <c r="T211" s="17"/>
      <c r="U211" s="45" t="str">
        <f aca="false">IF(OR(D211="",S211="",OR(R211="Contract signed + paid",R211="Closed – No response",R211="Lost"),N(T211)&gt;=Settings!$S$3),"",S211+Settings!$S$2)</f>
        <v/>
      </c>
      <c r="V211" s="40"/>
      <c r="W211" s="41"/>
      <c r="X211" s="17"/>
      <c r="Y211" s="17"/>
      <c r="Z211" s="17"/>
      <c r="AA211" s="46" t="str">
        <f aca="true">IF(OR(D211="",B211=""),"",INT(TODAY()-B211))</f>
        <v/>
      </c>
      <c r="AB211" s="44" t="str">
        <f aca="true">IF(D211="","",IF(OR(COUNTIFS(Clients!$C$2:$C$501,D211,Clients!$S$2:$S$501,"Paid")&gt;0,AND(H211&lt;&gt;"",COUNTIFS(Clients!$E$2:$E$501,H211,Clients!$S$2:$S$501,"Paid")&gt;0)),"⚠ Refunded before – no free video",IF(OR(R211="Contract signed + paid",R211="Closed – No response",R211="Lost"),"",IF(R211="","Set a stage",IF(AND(R211="Proposal sent",SUMIFS(Scoresheet!$N$2:$N$501,Scoresheet!$C$2:$C$501,A211,Scoresheet!$U$2:$U$501,1)&lt;6),"Score this lead – fill the call scoresheet",IF(N(T211)&gt;=Settings!$S$3,"Close – 4 follow-ups sent",IF(U211="",IF(S211="","Make first contact",""),IF(TODAY()&gt;U211,"OVERDUE follow-up",IF(TODAY()=U211,"Follow up today","")))))))))</f>
        <v/>
      </c>
    </row>
    <row r="212" customFormat="false" ht="15" hidden="false" customHeight="false" outlineLevel="0" collapsed="false">
      <c r="A212" s="17"/>
      <c r="B212" s="40"/>
      <c r="C212" s="17"/>
      <c r="D212" s="17"/>
      <c r="E212" s="17"/>
      <c r="F212" s="17"/>
      <c r="G212" s="17"/>
      <c r="H212" s="42"/>
      <c r="I212" s="17"/>
      <c r="J212" s="17"/>
      <c r="K212" s="17"/>
      <c r="L212" s="17"/>
      <c r="M212" s="17"/>
      <c r="N212" s="44" t="str">
        <f aca="false">IF(OR(D212="",A212="",COUNTIFS(Scoresheet!$C$2:$C$501,A212,Scoresheet!$U$2:$U$501,1)=0),"",SUMIFS(Scoresheet!$O$2:$O$501,Scoresheet!$C$2:$C$501,A212,Scoresheet!$U$2:$U$501,1))</f>
        <v/>
      </c>
      <c r="O212" s="44" t="str">
        <f aca="false">IF(D212="","",IF(OR(A212="",COUNTIFS(Scoresheet!$C$2:$C$501,A212,Scoresheet!$U$2:$U$501,1)=0),"No scoresheet yet",IF(SUMIFS(Scoresheet!$N$2:$N$501,Scoresheet!$C$2:$C$501,A212,Scoresheet!$U$2:$U$501,1)&lt;6,"Partly scored ("&amp;SUMIFS(Scoresheet!$N$2:$N$501,Scoresheet!$C$2:$C$501,A212,Scoresheet!$U$2:$U$501,1)&amp;"/6)",IF(N212&gt;=Settings!$S$8,"Hot",IF(N212&gt;=Settings!$S$9,"Warm","Cold")))))</f>
        <v/>
      </c>
      <c r="P212" s="44" t="str">
        <f aca="false">IF(OR(D212="",A212=""),"",IF(AND(COUNTIFS(Scoresheet!$C$2:$C$501,A212,Scoresheet!$U$2:$U$501,1,Scoresheet!$H$2:$H$501,"No")&gt;0,COUNTIFS(Scoresheet!$C$2:$C$501,A212,Scoresheet!$U$2:$U$501,1,Scoresheet!$J$2:$J$501,"No")&gt;0),"🚩 Budget  ·  🚩 No one on camera",IF(COUNTIFS(Scoresheet!$C$2:$C$501,A212,Scoresheet!$U$2:$U$501,1,Scoresheet!$H$2:$H$501,"No")&gt;0,"🚩 Budget under AED 5k",IF(COUNTIFS(Scoresheet!$C$2:$C$501,A212,Scoresheet!$U$2:$U$501,1,Scoresheet!$J$2:$J$501,"No")&gt;0,"🚩 No one on camera",""))))</f>
        <v/>
      </c>
      <c r="Q212" s="17"/>
      <c r="R212" s="17"/>
      <c r="S212" s="40"/>
      <c r="T212" s="17"/>
      <c r="U212" s="45" t="str">
        <f aca="false">IF(OR(D212="",S212="",OR(R212="Contract signed + paid",R212="Closed – No response",R212="Lost"),N(T212)&gt;=Settings!$S$3),"",S212+Settings!$S$2)</f>
        <v/>
      </c>
      <c r="V212" s="40"/>
      <c r="W212" s="41"/>
      <c r="X212" s="17"/>
      <c r="Y212" s="17"/>
      <c r="Z212" s="17"/>
      <c r="AA212" s="46" t="str">
        <f aca="true">IF(OR(D212="",B212=""),"",INT(TODAY()-B212))</f>
        <v/>
      </c>
      <c r="AB212" s="44" t="str">
        <f aca="true">IF(D212="","",IF(OR(COUNTIFS(Clients!$C$2:$C$501,D212,Clients!$S$2:$S$501,"Paid")&gt;0,AND(H212&lt;&gt;"",COUNTIFS(Clients!$E$2:$E$501,H212,Clients!$S$2:$S$501,"Paid")&gt;0)),"⚠ Refunded before – no free video",IF(OR(R212="Contract signed + paid",R212="Closed – No response",R212="Lost"),"",IF(R212="","Set a stage",IF(AND(R212="Proposal sent",SUMIFS(Scoresheet!$N$2:$N$501,Scoresheet!$C$2:$C$501,A212,Scoresheet!$U$2:$U$501,1)&lt;6),"Score this lead – fill the call scoresheet",IF(N(T212)&gt;=Settings!$S$3,"Close – 4 follow-ups sent",IF(U212="",IF(S212="","Make first contact",""),IF(TODAY()&gt;U212,"OVERDUE follow-up",IF(TODAY()=U212,"Follow up today","")))))))))</f>
        <v/>
      </c>
    </row>
    <row r="213" customFormat="false" ht="15" hidden="false" customHeight="false" outlineLevel="0" collapsed="false">
      <c r="A213" s="17"/>
      <c r="B213" s="40"/>
      <c r="C213" s="17"/>
      <c r="D213" s="17"/>
      <c r="E213" s="17"/>
      <c r="F213" s="17"/>
      <c r="G213" s="17"/>
      <c r="H213" s="42"/>
      <c r="I213" s="17"/>
      <c r="J213" s="17"/>
      <c r="K213" s="17"/>
      <c r="L213" s="17"/>
      <c r="M213" s="17"/>
      <c r="N213" s="44" t="str">
        <f aca="false">IF(OR(D213="",A213="",COUNTIFS(Scoresheet!$C$2:$C$501,A213,Scoresheet!$U$2:$U$501,1)=0),"",SUMIFS(Scoresheet!$O$2:$O$501,Scoresheet!$C$2:$C$501,A213,Scoresheet!$U$2:$U$501,1))</f>
        <v/>
      </c>
      <c r="O213" s="44" t="str">
        <f aca="false">IF(D213="","",IF(OR(A213="",COUNTIFS(Scoresheet!$C$2:$C$501,A213,Scoresheet!$U$2:$U$501,1)=0),"No scoresheet yet",IF(SUMIFS(Scoresheet!$N$2:$N$501,Scoresheet!$C$2:$C$501,A213,Scoresheet!$U$2:$U$501,1)&lt;6,"Partly scored ("&amp;SUMIFS(Scoresheet!$N$2:$N$501,Scoresheet!$C$2:$C$501,A213,Scoresheet!$U$2:$U$501,1)&amp;"/6)",IF(N213&gt;=Settings!$S$8,"Hot",IF(N213&gt;=Settings!$S$9,"Warm","Cold")))))</f>
        <v/>
      </c>
      <c r="P213" s="44" t="str">
        <f aca="false">IF(OR(D213="",A213=""),"",IF(AND(COUNTIFS(Scoresheet!$C$2:$C$501,A213,Scoresheet!$U$2:$U$501,1,Scoresheet!$H$2:$H$501,"No")&gt;0,COUNTIFS(Scoresheet!$C$2:$C$501,A213,Scoresheet!$U$2:$U$501,1,Scoresheet!$J$2:$J$501,"No")&gt;0),"🚩 Budget  ·  🚩 No one on camera",IF(COUNTIFS(Scoresheet!$C$2:$C$501,A213,Scoresheet!$U$2:$U$501,1,Scoresheet!$H$2:$H$501,"No")&gt;0,"🚩 Budget under AED 5k",IF(COUNTIFS(Scoresheet!$C$2:$C$501,A213,Scoresheet!$U$2:$U$501,1,Scoresheet!$J$2:$J$501,"No")&gt;0,"🚩 No one on camera",""))))</f>
        <v/>
      </c>
      <c r="Q213" s="17"/>
      <c r="R213" s="17"/>
      <c r="S213" s="40"/>
      <c r="T213" s="17"/>
      <c r="U213" s="45" t="str">
        <f aca="false">IF(OR(D213="",S213="",OR(R213="Contract signed + paid",R213="Closed – No response",R213="Lost"),N(T213)&gt;=Settings!$S$3),"",S213+Settings!$S$2)</f>
        <v/>
      </c>
      <c r="V213" s="40"/>
      <c r="W213" s="41"/>
      <c r="X213" s="17"/>
      <c r="Y213" s="17"/>
      <c r="Z213" s="17"/>
      <c r="AA213" s="46" t="str">
        <f aca="true">IF(OR(D213="",B213=""),"",INT(TODAY()-B213))</f>
        <v/>
      </c>
      <c r="AB213" s="44" t="str">
        <f aca="true">IF(D213="","",IF(OR(COUNTIFS(Clients!$C$2:$C$501,D213,Clients!$S$2:$S$501,"Paid")&gt;0,AND(H213&lt;&gt;"",COUNTIFS(Clients!$E$2:$E$501,H213,Clients!$S$2:$S$501,"Paid")&gt;0)),"⚠ Refunded before – no free video",IF(OR(R213="Contract signed + paid",R213="Closed – No response",R213="Lost"),"",IF(R213="","Set a stage",IF(AND(R213="Proposal sent",SUMIFS(Scoresheet!$N$2:$N$501,Scoresheet!$C$2:$C$501,A213,Scoresheet!$U$2:$U$501,1)&lt;6),"Score this lead – fill the call scoresheet",IF(N(T213)&gt;=Settings!$S$3,"Close – 4 follow-ups sent",IF(U213="",IF(S213="","Make first contact",""),IF(TODAY()&gt;U213,"OVERDUE follow-up",IF(TODAY()=U213,"Follow up today","")))))))))</f>
        <v/>
      </c>
    </row>
    <row r="214" customFormat="false" ht="15" hidden="false" customHeight="false" outlineLevel="0" collapsed="false">
      <c r="A214" s="17"/>
      <c r="B214" s="40"/>
      <c r="C214" s="17"/>
      <c r="D214" s="17"/>
      <c r="E214" s="17"/>
      <c r="F214" s="17"/>
      <c r="G214" s="17"/>
      <c r="H214" s="42"/>
      <c r="I214" s="17"/>
      <c r="J214" s="17"/>
      <c r="K214" s="17"/>
      <c r="L214" s="17"/>
      <c r="M214" s="17"/>
      <c r="N214" s="44" t="str">
        <f aca="false">IF(OR(D214="",A214="",COUNTIFS(Scoresheet!$C$2:$C$501,A214,Scoresheet!$U$2:$U$501,1)=0),"",SUMIFS(Scoresheet!$O$2:$O$501,Scoresheet!$C$2:$C$501,A214,Scoresheet!$U$2:$U$501,1))</f>
        <v/>
      </c>
      <c r="O214" s="44" t="str">
        <f aca="false">IF(D214="","",IF(OR(A214="",COUNTIFS(Scoresheet!$C$2:$C$501,A214,Scoresheet!$U$2:$U$501,1)=0),"No scoresheet yet",IF(SUMIFS(Scoresheet!$N$2:$N$501,Scoresheet!$C$2:$C$501,A214,Scoresheet!$U$2:$U$501,1)&lt;6,"Partly scored ("&amp;SUMIFS(Scoresheet!$N$2:$N$501,Scoresheet!$C$2:$C$501,A214,Scoresheet!$U$2:$U$501,1)&amp;"/6)",IF(N214&gt;=Settings!$S$8,"Hot",IF(N214&gt;=Settings!$S$9,"Warm","Cold")))))</f>
        <v/>
      </c>
      <c r="P214" s="44" t="str">
        <f aca="false">IF(OR(D214="",A214=""),"",IF(AND(COUNTIFS(Scoresheet!$C$2:$C$501,A214,Scoresheet!$U$2:$U$501,1,Scoresheet!$H$2:$H$501,"No")&gt;0,COUNTIFS(Scoresheet!$C$2:$C$501,A214,Scoresheet!$U$2:$U$501,1,Scoresheet!$J$2:$J$501,"No")&gt;0),"🚩 Budget  ·  🚩 No one on camera",IF(COUNTIFS(Scoresheet!$C$2:$C$501,A214,Scoresheet!$U$2:$U$501,1,Scoresheet!$H$2:$H$501,"No")&gt;0,"🚩 Budget under AED 5k",IF(COUNTIFS(Scoresheet!$C$2:$C$501,A214,Scoresheet!$U$2:$U$501,1,Scoresheet!$J$2:$J$501,"No")&gt;0,"🚩 No one on camera",""))))</f>
        <v/>
      </c>
      <c r="Q214" s="17"/>
      <c r="R214" s="17"/>
      <c r="S214" s="40"/>
      <c r="T214" s="17"/>
      <c r="U214" s="45" t="str">
        <f aca="false">IF(OR(D214="",S214="",OR(R214="Contract signed + paid",R214="Closed – No response",R214="Lost"),N(T214)&gt;=Settings!$S$3),"",S214+Settings!$S$2)</f>
        <v/>
      </c>
      <c r="V214" s="40"/>
      <c r="W214" s="41"/>
      <c r="X214" s="17"/>
      <c r="Y214" s="17"/>
      <c r="Z214" s="17"/>
      <c r="AA214" s="46" t="str">
        <f aca="true">IF(OR(D214="",B214=""),"",INT(TODAY()-B214))</f>
        <v/>
      </c>
      <c r="AB214" s="44" t="str">
        <f aca="true">IF(D214="","",IF(OR(COUNTIFS(Clients!$C$2:$C$501,D214,Clients!$S$2:$S$501,"Paid")&gt;0,AND(H214&lt;&gt;"",COUNTIFS(Clients!$E$2:$E$501,H214,Clients!$S$2:$S$501,"Paid")&gt;0)),"⚠ Refunded before – no free video",IF(OR(R214="Contract signed + paid",R214="Closed – No response",R214="Lost"),"",IF(R214="","Set a stage",IF(AND(R214="Proposal sent",SUMIFS(Scoresheet!$N$2:$N$501,Scoresheet!$C$2:$C$501,A214,Scoresheet!$U$2:$U$501,1)&lt;6),"Score this lead – fill the call scoresheet",IF(N(T214)&gt;=Settings!$S$3,"Close – 4 follow-ups sent",IF(U214="",IF(S214="","Make first contact",""),IF(TODAY()&gt;U214,"OVERDUE follow-up",IF(TODAY()=U214,"Follow up today","")))))))))</f>
        <v/>
      </c>
    </row>
    <row r="215" customFormat="false" ht="15" hidden="false" customHeight="false" outlineLevel="0" collapsed="false">
      <c r="A215" s="17"/>
      <c r="B215" s="40"/>
      <c r="C215" s="17"/>
      <c r="D215" s="17"/>
      <c r="E215" s="17"/>
      <c r="F215" s="17"/>
      <c r="G215" s="17"/>
      <c r="H215" s="42"/>
      <c r="I215" s="17"/>
      <c r="J215" s="17"/>
      <c r="K215" s="17"/>
      <c r="L215" s="17"/>
      <c r="M215" s="17"/>
      <c r="N215" s="44" t="str">
        <f aca="false">IF(OR(D215="",A215="",COUNTIFS(Scoresheet!$C$2:$C$501,A215,Scoresheet!$U$2:$U$501,1)=0),"",SUMIFS(Scoresheet!$O$2:$O$501,Scoresheet!$C$2:$C$501,A215,Scoresheet!$U$2:$U$501,1))</f>
        <v/>
      </c>
      <c r="O215" s="44" t="str">
        <f aca="false">IF(D215="","",IF(OR(A215="",COUNTIFS(Scoresheet!$C$2:$C$501,A215,Scoresheet!$U$2:$U$501,1)=0),"No scoresheet yet",IF(SUMIFS(Scoresheet!$N$2:$N$501,Scoresheet!$C$2:$C$501,A215,Scoresheet!$U$2:$U$501,1)&lt;6,"Partly scored ("&amp;SUMIFS(Scoresheet!$N$2:$N$501,Scoresheet!$C$2:$C$501,A215,Scoresheet!$U$2:$U$501,1)&amp;"/6)",IF(N215&gt;=Settings!$S$8,"Hot",IF(N215&gt;=Settings!$S$9,"Warm","Cold")))))</f>
        <v/>
      </c>
      <c r="P215" s="44" t="str">
        <f aca="false">IF(OR(D215="",A215=""),"",IF(AND(COUNTIFS(Scoresheet!$C$2:$C$501,A215,Scoresheet!$U$2:$U$501,1,Scoresheet!$H$2:$H$501,"No")&gt;0,COUNTIFS(Scoresheet!$C$2:$C$501,A215,Scoresheet!$U$2:$U$501,1,Scoresheet!$J$2:$J$501,"No")&gt;0),"🚩 Budget  ·  🚩 No one on camera",IF(COUNTIFS(Scoresheet!$C$2:$C$501,A215,Scoresheet!$U$2:$U$501,1,Scoresheet!$H$2:$H$501,"No")&gt;0,"🚩 Budget under AED 5k",IF(COUNTIFS(Scoresheet!$C$2:$C$501,A215,Scoresheet!$U$2:$U$501,1,Scoresheet!$J$2:$J$501,"No")&gt;0,"🚩 No one on camera",""))))</f>
        <v/>
      </c>
      <c r="Q215" s="17"/>
      <c r="R215" s="17"/>
      <c r="S215" s="40"/>
      <c r="T215" s="17"/>
      <c r="U215" s="45" t="str">
        <f aca="false">IF(OR(D215="",S215="",OR(R215="Contract signed + paid",R215="Closed – No response",R215="Lost"),N(T215)&gt;=Settings!$S$3),"",S215+Settings!$S$2)</f>
        <v/>
      </c>
      <c r="V215" s="40"/>
      <c r="W215" s="41"/>
      <c r="X215" s="17"/>
      <c r="Y215" s="17"/>
      <c r="Z215" s="17"/>
      <c r="AA215" s="46" t="str">
        <f aca="true">IF(OR(D215="",B215=""),"",INT(TODAY()-B215))</f>
        <v/>
      </c>
      <c r="AB215" s="44" t="str">
        <f aca="true">IF(D215="","",IF(OR(COUNTIFS(Clients!$C$2:$C$501,D215,Clients!$S$2:$S$501,"Paid")&gt;0,AND(H215&lt;&gt;"",COUNTIFS(Clients!$E$2:$E$501,H215,Clients!$S$2:$S$501,"Paid")&gt;0)),"⚠ Refunded before – no free video",IF(OR(R215="Contract signed + paid",R215="Closed – No response",R215="Lost"),"",IF(R215="","Set a stage",IF(AND(R215="Proposal sent",SUMIFS(Scoresheet!$N$2:$N$501,Scoresheet!$C$2:$C$501,A215,Scoresheet!$U$2:$U$501,1)&lt;6),"Score this lead – fill the call scoresheet",IF(N(T215)&gt;=Settings!$S$3,"Close – 4 follow-ups sent",IF(U215="",IF(S215="","Make first contact",""),IF(TODAY()&gt;U215,"OVERDUE follow-up",IF(TODAY()=U215,"Follow up today","")))))))))</f>
        <v/>
      </c>
    </row>
    <row r="216" customFormat="false" ht="15" hidden="false" customHeight="false" outlineLevel="0" collapsed="false">
      <c r="A216" s="17"/>
      <c r="B216" s="40"/>
      <c r="C216" s="17"/>
      <c r="D216" s="17"/>
      <c r="E216" s="17"/>
      <c r="F216" s="17"/>
      <c r="G216" s="17"/>
      <c r="H216" s="42"/>
      <c r="I216" s="17"/>
      <c r="J216" s="17"/>
      <c r="K216" s="17"/>
      <c r="L216" s="17"/>
      <c r="M216" s="17"/>
      <c r="N216" s="44" t="str">
        <f aca="false">IF(OR(D216="",A216="",COUNTIFS(Scoresheet!$C$2:$C$501,A216,Scoresheet!$U$2:$U$501,1)=0),"",SUMIFS(Scoresheet!$O$2:$O$501,Scoresheet!$C$2:$C$501,A216,Scoresheet!$U$2:$U$501,1))</f>
        <v/>
      </c>
      <c r="O216" s="44" t="str">
        <f aca="false">IF(D216="","",IF(OR(A216="",COUNTIFS(Scoresheet!$C$2:$C$501,A216,Scoresheet!$U$2:$U$501,1)=0),"No scoresheet yet",IF(SUMIFS(Scoresheet!$N$2:$N$501,Scoresheet!$C$2:$C$501,A216,Scoresheet!$U$2:$U$501,1)&lt;6,"Partly scored ("&amp;SUMIFS(Scoresheet!$N$2:$N$501,Scoresheet!$C$2:$C$501,A216,Scoresheet!$U$2:$U$501,1)&amp;"/6)",IF(N216&gt;=Settings!$S$8,"Hot",IF(N216&gt;=Settings!$S$9,"Warm","Cold")))))</f>
        <v/>
      </c>
      <c r="P216" s="44" t="str">
        <f aca="false">IF(OR(D216="",A216=""),"",IF(AND(COUNTIFS(Scoresheet!$C$2:$C$501,A216,Scoresheet!$U$2:$U$501,1,Scoresheet!$H$2:$H$501,"No")&gt;0,COUNTIFS(Scoresheet!$C$2:$C$501,A216,Scoresheet!$U$2:$U$501,1,Scoresheet!$J$2:$J$501,"No")&gt;0),"🚩 Budget  ·  🚩 No one on camera",IF(COUNTIFS(Scoresheet!$C$2:$C$501,A216,Scoresheet!$U$2:$U$501,1,Scoresheet!$H$2:$H$501,"No")&gt;0,"🚩 Budget under AED 5k",IF(COUNTIFS(Scoresheet!$C$2:$C$501,A216,Scoresheet!$U$2:$U$501,1,Scoresheet!$J$2:$J$501,"No")&gt;0,"🚩 No one on camera",""))))</f>
        <v/>
      </c>
      <c r="Q216" s="17"/>
      <c r="R216" s="17"/>
      <c r="S216" s="40"/>
      <c r="T216" s="17"/>
      <c r="U216" s="45" t="str">
        <f aca="false">IF(OR(D216="",S216="",OR(R216="Contract signed + paid",R216="Closed – No response",R216="Lost"),N(T216)&gt;=Settings!$S$3),"",S216+Settings!$S$2)</f>
        <v/>
      </c>
      <c r="V216" s="40"/>
      <c r="W216" s="41"/>
      <c r="X216" s="17"/>
      <c r="Y216" s="17"/>
      <c r="Z216" s="17"/>
      <c r="AA216" s="46" t="str">
        <f aca="true">IF(OR(D216="",B216=""),"",INT(TODAY()-B216))</f>
        <v/>
      </c>
      <c r="AB216" s="44" t="str">
        <f aca="true">IF(D216="","",IF(OR(COUNTIFS(Clients!$C$2:$C$501,D216,Clients!$S$2:$S$501,"Paid")&gt;0,AND(H216&lt;&gt;"",COUNTIFS(Clients!$E$2:$E$501,H216,Clients!$S$2:$S$501,"Paid")&gt;0)),"⚠ Refunded before – no free video",IF(OR(R216="Contract signed + paid",R216="Closed – No response",R216="Lost"),"",IF(R216="","Set a stage",IF(AND(R216="Proposal sent",SUMIFS(Scoresheet!$N$2:$N$501,Scoresheet!$C$2:$C$501,A216,Scoresheet!$U$2:$U$501,1)&lt;6),"Score this lead – fill the call scoresheet",IF(N(T216)&gt;=Settings!$S$3,"Close – 4 follow-ups sent",IF(U216="",IF(S216="","Make first contact",""),IF(TODAY()&gt;U216,"OVERDUE follow-up",IF(TODAY()=U216,"Follow up today","")))))))))</f>
        <v/>
      </c>
    </row>
    <row r="217" customFormat="false" ht="15" hidden="false" customHeight="false" outlineLevel="0" collapsed="false">
      <c r="A217" s="17"/>
      <c r="B217" s="40"/>
      <c r="C217" s="17"/>
      <c r="D217" s="17"/>
      <c r="E217" s="17"/>
      <c r="F217" s="17"/>
      <c r="G217" s="17"/>
      <c r="H217" s="42"/>
      <c r="I217" s="17"/>
      <c r="J217" s="17"/>
      <c r="K217" s="17"/>
      <c r="L217" s="17"/>
      <c r="M217" s="17"/>
      <c r="N217" s="44" t="str">
        <f aca="false">IF(OR(D217="",A217="",COUNTIFS(Scoresheet!$C$2:$C$501,A217,Scoresheet!$U$2:$U$501,1)=0),"",SUMIFS(Scoresheet!$O$2:$O$501,Scoresheet!$C$2:$C$501,A217,Scoresheet!$U$2:$U$501,1))</f>
        <v/>
      </c>
      <c r="O217" s="44" t="str">
        <f aca="false">IF(D217="","",IF(OR(A217="",COUNTIFS(Scoresheet!$C$2:$C$501,A217,Scoresheet!$U$2:$U$501,1)=0),"No scoresheet yet",IF(SUMIFS(Scoresheet!$N$2:$N$501,Scoresheet!$C$2:$C$501,A217,Scoresheet!$U$2:$U$501,1)&lt;6,"Partly scored ("&amp;SUMIFS(Scoresheet!$N$2:$N$501,Scoresheet!$C$2:$C$501,A217,Scoresheet!$U$2:$U$501,1)&amp;"/6)",IF(N217&gt;=Settings!$S$8,"Hot",IF(N217&gt;=Settings!$S$9,"Warm","Cold")))))</f>
        <v/>
      </c>
      <c r="P217" s="44" t="str">
        <f aca="false">IF(OR(D217="",A217=""),"",IF(AND(COUNTIFS(Scoresheet!$C$2:$C$501,A217,Scoresheet!$U$2:$U$501,1,Scoresheet!$H$2:$H$501,"No")&gt;0,COUNTIFS(Scoresheet!$C$2:$C$501,A217,Scoresheet!$U$2:$U$501,1,Scoresheet!$J$2:$J$501,"No")&gt;0),"🚩 Budget  ·  🚩 No one on camera",IF(COUNTIFS(Scoresheet!$C$2:$C$501,A217,Scoresheet!$U$2:$U$501,1,Scoresheet!$H$2:$H$501,"No")&gt;0,"🚩 Budget under AED 5k",IF(COUNTIFS(Scoresheet!$C$2:$C$501,A217,Scoresheet!$U$2:$U$501,1,Scoresheet!$J$2:$J$501,"No")&gt;0,"🚩 No one on camera",""))))</f>
        <v/>
      </c>
      <c r="Q217" s="17"/>
      <c r="R217" s="17"/>
      <c r="S217" s="40"/>
      <c r="T217" s="17"/>
      <c r="U217" s="45" t="str">
        <f aca="false">IF(OR(D217="",S217="",OR(R217="Contract signed + paid",R217="Closed – No response",R217="Lost"),N(T217)&gt;=Settings!$S$3),"",S217+Settings!$S$2)</f>
        <v/>
      </c>
      <c r="V217" s="40"/>
      <c r="W217" s="41"/>
      <c r="X217" s="17"/>
      <c r="Y217" s="17"/>
      <c r="Z217" s="17"/>
      <c r="AA217" s="46" t="str">
        <f aca="true">IF(OR(D217="",B217=""),"",INT(TODAY()-B217))</f>
        <v/>
      </c>
      <c r="AB217" s="44" t="str">
        <f aca="true">IF(D217="","",IF(OR(COUNTIFS(Clients!$C$2:$C$501,D217,Clients!$S$2:$S$501,"Paid")&gt;0,AND(H217&lt;&gt;"",COUNTIFS(Clients!$E$2:$E$501,H217,Clients!$S$2:$S$501,"Paid")&gt;0)),"⚠ Refunded before – no free video",IF(OR(R217="Contract signed + paid",R217="Closed – No response",R217="Lost"),"",IF(R217="","Set a stage",IF(AND(R217="Proposal sent",SUMIFS(Scoresheet!$N$2:$N$501,Scoresheet!$C$2:$C$501,A217,Scoresheet!$U$2:$U$501,1)&lt;6),"Score this lead – fill the call scoresheet",IF(N(T217)&gt;=Settings!$S$3,"Close – 4 follow-ups sent",IF(U217="",IF(S217="","Make first contact",""),IF(TODAY()&gt;U217,"OVERDUE follow-up",IF(TODAY()=U217,"Follow up today","")))))))))</f>
        <v/>
      </c>
    </row>
    <row r="218" customFormat="false" ht="15" hidden="false" customHeight="false" outlineLevel="0" collapsed="false">
      <c r="A218" s="17"/>
      <c r="B218" s="40"/>
      <c r="C218" s="17"/>
      <c r="D218" s="17"/>
      <c r="E218" s="17"/>
      <c r="F218" s="17"/>
      <c r="G218" s="17"/>
      <c r="H218" s="42"/>
      <c r="I218" s="17"/>
      <c r="J218" s="17"/>
      <c r="K218" s="17"/>
      <c r="L218" s="17"/>
      <c r="M218" s="17"/>
      <c r="N218" s="44" t="str">
        <f aca="false">IF(OR(D218="",A218="",COUNTIFS(Scoresheet!$C$2:$C$501,A218,Scoresheet!$U$2:$U$501,1)=0),"",SUMIFS(Scoresheet!$O$2:$O$501,Scoresheet!$C$2:$C$501,A218,Scoresheet!$U$2:$U$501,1))</f>
        <v/>
      </c>
      <c r="O218" s="44" t="str">
        <f aca="false">IF(D218="","",IF(OR(A218="",COUNTIFS(Scoresheet!$C$2:$C$501,A218,Scoresheet!$U$2:$U$501,1)=0),"No scoresheet yet",IF(SUMIFS(Scoresheet!$N$2:$N$501,Scoresheet!$C$2:$C$501,A218,Scoresheet!$U$2:$U$501,1)&lt;6,"Partly scored ("&amp;SUMIFS(Scoresheet!$N$2:$N$501,Scoresheet!$C$2:$C$501,A218,Scoresheet!$U$2:$U$501,1)&amp;"/6)",IF(N218&gt;=Settings!$S$8,"Hot",IF(N218&gt;=Settings!$S$9,"Warm","Cold")))))</f>
        <v/>
      </c>
      <c r="P218" s="44" t="str">
        <f aca="false">IF(OR(D218="",A218=""),"",IF(AND(COUNTIFS(Scoresheet!$C$2:$C$501,A218,Scoresheet!$U$2:$U$501,1,Scoresheet!$H$2:$H$501,"No")&gt;0,COUNTIFS(Scoresheet!$C$2:$C$501,A218,Scoresheet!$U$2:$U$501,1,Scoresheet!$J$2:$J$501,"No")&gt;0),"🚩 Budget  ·  🚩 No one on camera",IF(COUNTIFS(Scoresheet!$C$2:$C$501,A218,Scoresheet!$U$2:$U$501,1,Scoresheet!$H$2:$H$501,"No")&gt;0,"🚩 Budget under AED 5k",IF(COUNTIFS(Scoresheet!$C$2:$C$501,A218,Scoresheet!$U$2:$U$501,1,Scoresheet!$J$2:$J$501,"No")&gt;0,"🚩 No one on camera",""))))</f>
        <v/>
      </c>
      <c r="Q218" s="17"/>
      <c r="R218" s="17"/>
      <c r="S218" s="40"/>
      <c r="T218" s="17"/>
      <c r="U218" s="45" t="str">
        <f aca="false">IF(OR(D218="",S218="",OR(R218="Contract signed + paid",R218="Closed – No response",R218="Lost"),N(T218)&gt;=Settings!$S$3),"",S218+Settings!$S$2)</f>
        <v/>
      </c>
      <c r="V218" s="40"/>
      <c r="W218" s="41"/>
      <c r="X218" s="17"/>
      <c r="Y218" s="17"/>
      <c r="Z218" s="17"/>
      <c r="AA218" s="46" t="str">
        <f aca="true">IF(OR(D218="",B218=""),"",INT(TODAY()-B218))</f>
        <v/>
      </c>
      <c r="AB218" s="44" t="str">
        <f aca="true">IF(D218="","",IF(OR(COUNTIFS(Clients!$C$2:$C$501,D218,Clients!$S$2:$S$501,"Paid")&gt;0,AND(H218&lt;&gt;"",COUNTIFS(Clients!$E$2:$E$501,H218,Clients!$S$2:$S$501,"Paid")&gt;0)),"⚠ Refunded before – no free video",IF(OR(R218="Contract signed + paid",R218="Closed – No response",R218="Lost"),"",IF(R218="","Set a stage",IF(AND(R218="Proposal sent",SUMIFS(Scoresheet!$N$2:$N$501,Scoresheet!$C$2:$C$501,A218,Scoresheet!$U$2:$U$501,1)&lt;6),"Score this lead – fill the call scoresheet",IF(N(T218)&gt;=Settings!$S$3,"Close – 4 follow-ups sent",IF(U218="",IF(S218="","Make first contact",""),IF(TODAY()&gt;U218,"OVERDUE follow-up",IF(TODAY()=U218,"Follow up today","")))))))))</f>
        <v/>
      </c>
    </row>
    <row r="219" customFormat="false" ht="15" hidden="false" customHeight="false" outlineLevel="0" collapsed="false">
      <c r="A219" s="17"/>
      <c r="B219" s="40"/>
      <c r="C219" s="17"/>
      <c r="D219" s="17"/>
      <c r="E219" s="17"/>
      <c r="F219" s="17"/>
      <c r="G219" s="17"/>
      <c r="H219" s="42"/>
      <c r="I219" s="17"/>
      <c r="J219" s="17"/>
      <c r="K219" s="17"/>
      <c r="L219" s="17"/>
      <c r="M219" s="17"/>
      <c r="N219" s="44" t="str">
        <f aca="false">IF(OR(D219="",A219="",COUNTIFS(Scoresheet!$C$2:$C$501,A219,Scoresheet!$U$2:$U$501,1)=0),"",SUMIFS(Scoresheet!$O$2:$O$501,Scoresheet!$C$2:$C$501,A219,Scoresheet!$U$2:$U$501,1))</f>
        <v/>
      </c>
      <c r="O219" s="44" t="str">
        <f aca="false">IF(D219="","",IF(OR(A219="",COUNTIFS(Scoresheet!$C$2:$C$501,A219,Scoresheet!$U$2:$U$501,1)=0),"No scoresheet yet",IF(SUMIFS(Scoresheet!$N$2:$N$501,Scoresheet!$C$2:$C$501,A219,Scoresheet!$U$2:$U$501,1)&lt;6,"Partly scored ("&amp;SUMIFS(Scoresheet!$N$2:$N$501,Scoresheet!$C$2:$C$501,A219,Scoresheet!$U$2:$U$501,1)&amp;"/6)",IF(N219&gt;=Settings!$S$8,"Hot",IF(N219&gt;=Settings!$S$9,"Warm","Cold")))))</f>
        <v/>
      </c>
      <c r="P219" s="44" t="str">
        <f aca="false">IF(OR(D219="",A219=""),"",IF(AND(COUNTIFS(Scoresheet!$C$2:$C$501,A219,Scoresheet!$U$2:$U$501,1,Scoresheet!$H$2:$H$501,"No")&gt;0,COUNTIFS(Scoresheet!$C$2:$C$501,A219,Scoresheet!$U$2:$U$501,1,Scoresheet!$J$2:$J$501,"No")&gt;0),"🚩 Budget  ·  🚩 No one on camera",IF(COUNTIFS(Scoresheet!$C$2:$C$501,A219,Scoresheet!$U$2:$U$501,1,Scoresheet!$H$2:$H$501,"No")&gt;0,"🚩 Budget under AED 5k",IF(COUNTIFS(Scoresheet!$C$2:$C$501,A219,Scoresheet!$U$2:$U$501,1,Scoresheet!$J$2:$J$501,"No")&gt;0,"🚩 No one on camera",""))))</f>
        <v/>
      </c>
      <c r="Q219" s="17"/>
      <c r="R219" s="17"/>
      <c r="S219" s="40"/>
      <c r="T219" s="17"/>
      <c r="U219" s="45" t="str">
        <f aca="false">IF(OR(D219="",S219="",OR(R219="Contract signed + paid",R219="Closed – No response",R219="Lost"),N(T219)&gt;=Settings!$S$3),"",S219+Settings!$S$2)</f>
        <v/>
      </c>
      <c r="V219" s="40"/>
      <c r="W219" s="41"/>
      <c r="X219" s="17"/>
      <c r="Y219" s="17"/>
      <c r="Z219" s="17"/>
      <c r="AA219" s="46" t="str">
        <f aca="true">IF(OR(D219="",B219=""),"",INT(TODAY()-B219))</f>
        <v/>
      </c>
      <c r="AB219" s="44" t="str">
        <f aca="true">IF(D219="","",IF(OR(COUNTIFS(Clients!$C$2:$C$501,D219,Clients!$S$2:$S$501,"Paid")&gt;0,AND(H219&lt;&gt;"",COUNTIFS(Clients!$E$2:$E$501,H219,Clients!$S$2:$S$501,"Paid")&gt;0)),"⚠ Refunded before – no free video",IF(OR(R219="Contract signed + paid",R219="Closed – No response",R219="Lost"),"",IF(R219="","Set a stage",IF(AND(R219="Proposal sent",SUMIFS(Scoresheet!$N$2:$N$501,Scoresheet!$C$2:$C$501,A219,Scoresheet!$U$2:$U$501,1)&lt;6),"Score this lead – fill the call scoresheet",IF(N(T219)&gt;=Settings!$S$3,"Close – 4 follow-ups sent",IF(U219="",IF(S219="","Make first contact",""),IF(TODAY()&gt;U219,"OVERDUE follow-up",IF(TODAY()=U219,"Follow up today","")))))))))</f>
        <v/>
      </c>
    </row>
    <row r="220" customFormat="false" ht="15" hidden="false" customHeight="false" outlineLevel="0" collapsed="false">
      <c r="A220" s="17"/>
      <c r="B220" s="40"/>
      <c r="C220" s="17"/>
      <c r="D220" s="17"/>
      <c r="E220" s="17"/>
      <c r="F220" s="17"/>
      <c r="G220" s="17"/>
      <c r="H220" s="42"/>
      <c r="I220" s="17"/>
      <c r="J220" s="17"/>
      <c r="K220" s="17"/>
      <c r="L220" s="17"/>
      <c r="M220" s="17"/>
      <c r="N220" s="44" t="str">
        <f aca="false">IF(OR(D220="",A220="",COUNTIFS(Scoresheet!$C$2:$C$501,A220,Scoresheet!$U$2:$U$501,1)=0),"",SUMIFS(Scoresheet!$O$2:$O$501,Scoresheet!$C$2:$C$501,A220,Scoresheet!$U$2:$U$501,1))</f>
        <v/>
      </c>
      <c r="O220" s="44" t="str">
        <f aca="false">IF(D220="","",IF(OR(A220="",COUNTIFS(Scoresheet!$C$2:$C$501,A220,Scoresheet!$U$2:$U$501,1)=0),"No scoresheet yet",IF(SUMIFS(Scoresheet!$N$2:$N$501,Scoresheet!$C$2:$C$501,A220,Scoresheet!$U$2:$U$501,1)&lt;6,"Partly scored ("&amp;SUMIFS(Scoresheet!$N$2:$N$501,Scoresheet!$C$2:$C$501,A220,Scoresheet!$U$2:$U$501,1)&amp;"/6)",IF(N220&gt;=Settings!$S$8,"Hot",IF(N220&gt;=Settings!$S$9,"Warm","Cold")))))</f>
        <v/>
      </c>
      <c r="P220" s="44" t="str">
        <f aca="false">IF(OR(D220="",A220=""),"",IF(AND(COUNTIFS(Scoresheet!$C$2:$C$501,A220,Scoresheet!$U$2:$U$501,1,Scoresheet!$H$2:$H$501,"No")&gt;0,COUNTIFS(Scoresheet!$C$2:$C$501,A220,Scoresheet!$U$2:$U$501,1,Scoresheet!$J$2:$J$501,"No")&gt;0),"🚩 Budget  ·  🚩 No one on camera",IF(COUNTIFS(Scoresheet!$C$2:$C$501,A220,Scoresheet!$U$2:$U$501,1,Scoresheet!$H$2:$H$501,"No")&gt;0,"🚩 Budget under AED 5k",IF(COUNTIFS(Scoresheet!$C$2:$C$501,A220,Scoresheet!$U$2:$U$501,1,Scoresheet!$J$2:$J$501,"No")&gt;0,"🚩 No one on camera",""))))</f>
        <v/>
      </c>
      <c r="Q220" s="17"/>
      <c r="R220" s="17"/>
      <c r="S220" s="40"/>
      <c r="T220" s="17"/>
      <c r="U220" s="45" t="str">
        <f aca="false">IF(OR(D220="",S220="",OR(R220="Contract signed + paid",R220="Closed – No response",R220="Lost"),N(T220)&gt;=Settings!$S$3),"",S220+Settings!$S$2)</f>
        <v/>
      </c>
      <c r="V220" s="40"/>
      <c r="W220" s="41"/>
      <c r="X220" s="17"/>
      <c r="Y220" s="17"/>
      <c r="Z220" s="17"/>
      <c r="AA220" s="46" t="str">
        <f aca="true">IF(OR(D220="",B220=""),"",INT(TODAY()-B220))</f>
        <v/>
      </c>
      <c r="AB220" s="44" t="str">
        <f aca="true">IF(D220="","",IF(OR(COUNTIFS(Clients!$C$2:$C$501,D220,Clients!$S$2:$S$501,"Paid")&gt;0,AND(H220&lt;&gt;"",COUNTIFS(Clients!$E$2:$E$501,H220,Clients!$S$2:$S$501,"Paid")&gt;0)),"⚠ Refunded before – no free video",IF(OR(R220="Contract signed + paid",R220="Closed – No response",R220="Lost"),"",IF(R220="","Set a stage",IF(AND(R220="Proposal sent",SUMIFS(Scoresheet!$N$2:$N$501,Scoresheet!$C$2:$C$501,A220,Scoresheet!$U$2:$U$501,1)&lt;6),"Score this lead – fill the call scoresheet",IF(N(T220)&gt;=Settings!$S$3,"Close – 4 follow-ups sent",IF(U220="",IF(S220="","Make first contact",""),IF(TODAY()&gt;U220,"OVERDUE follow-up",IF(TODAY()=U220,"Follow up today","")))))))))</f>
        <v/>
      </c>
    </row>
    <row r="221" customFormat="false" ht="15" hidden="false" customHeight="false" outlineLevel="0" collapsed="false">
      <c r="A221" s="17"/>
      <c r="B221" s="40"/>
      <c r="C221" s="17"/>
      <c r="D221" s="17"/>
      <c r="E221" s="17"/>
      <c r="F221" s="17"/>
      <c r="G221" s="17"/>
      <c r="H221" s="42"/>
      <c r="I221" s="17"/>
      <c r="J221" s="17"/>
      <c r="K221" s="17"/>
      <c r="L221" s="17"/>
      <c r="M221" s="17"/>
      <c r="N221" s="44" t="str">
        <f aca="false">IF(OR(D221="",A221="",COUNTIFS(Scoresheet!$C$2:$C$501,A221,Scoresheet!$U$2:$U$501,1)=0),"",SUMIFS(Scoresheet!$O$2:$O$501,Scoresheet!$C$2:$C$501,A221,Scoresheet!$U$2:$U$501,1))</f>
        <v/>
      </c>
      <c r="O221" s="44" t="str">
        <f aca="false">IF(D221="","",IF(OR(A221="",COUNTIFS(Scoresheet!$C$2:$C$501,A221,Scoresheet!$U$2:$U$501,1)=0),"No scoresheet yet",IF(SUMIFS(Scoresheet!$N$2:$N$501,Scoresheet!$C$2:$C$501,A221,Scoresheet!$U$2:$U$501,1)&lt;6,"Partly scored ("&amp;SUMIFS(Scoresheet!$N$2:$N$501,Scoresheet!$C$2:$C$501,A221,Scoresheet!$U$2:$U$501,1)&amp;"/6)",IF(N221&gt;=Settings!$S$8,"Hot",IF(N221&gt;=Settings!$S$9,"Warm","Cold")))))</f>
        <v/>
      </c>
      <c r="P221" s="44" t="str">
        <f aca="false">IF(OR(D221="",A221=""),"",IF(AND(COUNTIFS(Scoresheet!$C$2:$C$501,A221,Scoresheet!$U$2:$U$501,1,Scoresheet!$H$2:$H$501,"No")&gt;0,COUNTIFS(Scoresheet!$C$2:$C$501,A221,Scoresheet!$U$2:$U$501,1,Scoresheet!$J$2:$J$501,"No")&gt;0),"🚩 Budget  ·  🚩 No one on camera",IF(COUNTIFS(Scoresheet!$C$2:$C$501,A221,Scoresheet!$U$2:$U$501,1,Scoresheet!$H$2:$H$501,"No")&gt;0,"🚩 Budget under AED 5k",IF(COUNTIFS(Scoresheet!$C$2:$C$501,A221,Scoresheet!$U$2:$U$501,1,Scoresheet!$J$2:$J$501,"No")&gt;0,"🚩 No one on camera",""))))</f>
        <v/>
      </c>
      <c r="Q221" s="17"/>
      <c r="R221" s="17"/>
      <c r="S221" s="40"/>
      <c r="T221" s="17"/>
      <c r="U221" s="45" t="str">
        <f aca="false">IF(OR(D221="",S221="",OR(R221="Contract signed + paid",R221="Closed – No response",R221="Lost"),N(T221)&gt;=Settings!$S$3),"",S221+Settings!$S$2)</f>
        <v/>
      </c>
      <c r="V221" s="40"/>
      <c r="W221" s="41"/>
      <c r="X221" s="17"/>
      <c r="Y221" s="17"/>
      <c r="Z221" s="17"/>
      <c r="AA221" s="46" t="str">
        <f aca="true">IF(OR(D221="",B221=""),"",INT(TODAY()-B221))</f>
        <v/>
      </c>
      <c r="AB221" s="44" t="str">
        <f aca="true">IF(D221="","",IF(OR(COUNTIFS(Clients!$C$2:$C$501,D221,Clients!$S$2:$S$501,"Paid")&gt;0,AND(H221&lt;&gt;"",COUNTIFS(Clients!$E$2:$E$501,H221,Clients!$S$2:$S$501,"Paid")&gt;0)),"⚠ Refunded before – no free video",IF(OR(R221="Contract signed + paid",R221="Closed – No response",R221="Lost"),"",IF(R221="","Set a stage",IF(AND(R221="Proposal sent",SUMIFS(Scoresheet!$N$2:$N$501,Scoresheet!$C$2:$C$501,A221,Scoresheet!$U$2:$U$501,1)&lt;6),"Score this lead – fill the call scoresheet",IF(N(T221)&gt;=Settings!$S$3,"Close – 4 follow-ups sent",IF(U221="",IF(S221="","Make first contact",""),IF(TODAY()&gt;U221,"OVERDUE follow-up",IF(TODAY()=U221,"Follow up today","")))))))))</f>
        <v/>
      </c>
    </row>
    <row r="222" customFormat="false" ht="15" hidden="false" customHeight="false" outlineLevel="0" collapsed="false">
      <c r="A222" s="17"/>
      <c r="B222" s="40"/>
      <c r="C222" s="17"/>
      <c r="D222" s="17"/>
      <c r="E222" s="17"/>
      <c r="F222" s="17"/>
      <c r="G222" s="17"/>
      <c r="H222" s="42"/>
      <c r="I222" s="17"/>
      <c r="J222" s="17"/>
      <c r="K222" s="17"/>
      <c r="L222" s="17"/>
      <c r="M222" s="17"/>
      <c r="N222" s="44" t="str">
        <f aca="false">IF(OR(D222="",A222="",COUNTIFS(Scoresheet!$C$2:$C$501,A222,Scoresheet!$U$2:$U$501,1)=0),"",SUMIFS(Scoresheet!$O$2:$O$501,Scoresheet!$C$2:$C$501,A222,Scoresheet!$U$2:$U$501,1))</f>
        <v/>
      </c>
      <c r="O222" s="44" t="str">
        <f aca="false">IF(D222="","",IF(OR(A222="",COUNTIFS(Scoresheet!$C$2:$C$501,A222,Scoresheet!$U$2:$U$501,1)=0),"No scoresheet yet",IF(SUMIFS(Scoresheet!$N$2:$N$501,Scoresheet!$C$2:$C$501,A222,Scoresheet!$U$2:$U$501,1)&lt;6,"Partly scored ("&amp;SUMIFS(Scoresheet!$N$2:$N$501,Scoresheet!$C$2:$C$501,A222,Scoresheet!$U$2:$U$501,1)&amp;"/6)",IF(N222&gt;=Settings!$S$8,"Hot",IF(N222&gt;=Settings!$S$9,"Warm","Cold")))))</f>
        <v/>
      </c>
      <c r="P222" s="44" t="str">
        <f aca="false">IF(OR(D222="",A222=""),"",IF(AND(COUNTIFS(Scoresheet!$C$2:$C$501,A222,Scoresheet!$U$2:$U$501,1,Scoresheet!$H$2:$H$501,"No")&gt;0,COUNTIFS(Scoresheet!$C$2:$C$501,A222,Scoresheet!$U$2:$U$501,1,Scoresheet!$J$2:$J$501,"No")&gt;0),"🚩 Budget  ·  🚩 No one on camera",IF(COUNTIFS(Scoresheet!$C$2:$C$501,A222,Scoresheet!$U$2:$U$501,1,Scoresheet!$H$2:$H$501,"No")&gt;0,"🚩 Budget under AED 5k",IF(COUNTIFS(Scoresheet!$C$2:$C$501,A222,Scoresheet!$U$2:$U$501,1,Scoresheet!$J$2:$J$501,"No")&gt;0,"🚩 No one on camera",""))))</f>
        <v/>
      </c>
      <c r="Q222" s="17"/>
      <c r="R222" s="17"/>
      <c r="S222" s="40"/>
      <c r="T222" s="17"/>
      <c r="U222" s="45" t="str">
        <f aca="false">IF(OR(D222="",S222="",OR(R222="Contract signed + paid",R222="Closed – No response",R222="Lost"),N(T222)&gt;=Settings!$S$3),"",S222+Settings!$S$2)</f>
        <v/>
      </c>
      <c r="V222" s="40"/>
      <c r="W222" s="41"/>
      <c r="X222" s="17"/>
      <c r="Y222" s="17"/>
      <c r="Z222" s="17"/>
      <c r="AA222" s="46" t="str">
        <f aca="true">IF(OR(D222="",B222=""),"",INT(TODAY()-B222))</f>
        <v/>
      </c>
      <c r="AB222" s="44" t="str">
        <f aca="true">IF(D222="","",IF(OR(COUNTIFS(Clients!$C$2:$C$501,D222,Clients!$S$2:$S$501,"Paid")&gt;0,AND(H222&lt;&gt;"",COUNTIFS(Clients!$E$2:$E$501,H222,Clients!$S$2:$S$501,"Paid")&gt;0)),"⚠ Refunded before – no free video",IF(OR(R222="Contract signed + paid",R222="Closed – No response",R222="Lost"),"",IF(R222="","Set a stage",IF(AND(R222="Proposal sent",SUMIFS(Scoresheet!$N$2:$N$501,Scoresheet!$C$2:$C$501,A222,Scoresheet!$U$2:$U$501,1)&lt;6),"Score this lead – fill the call scoresheet",IF(N(T222)&gt;=Settings!$S$3,"Close – 4 follow-ups sent",IF(U222="",IF(S222="","Make first contact",""),IF(TODAY()&gt;U222,"OVERDUE follow-up",IF(TODAY()=U222,"Follow up today","")))))))))</f>
        <v/>
      </c>
    </row>
    <row r="223" customFormat="false" ht="15" hidden="false" customHeight="false" outlineLevel="0" collapsed="false">
      <c r="A223" s="17"/>
      <c r="B223" s="40"/>
      <c r="C223" s="17"/>
      <c r="D223" s="17"/>
      <c r="E223" s="17"/>
      <c r="F223" s="17"/>
      <c r="G223" s="17"/>
      <c r="H223" s="42"/>
      <c r="I223" s="17"/>
      <c r="J223" s="17"/>
      <c r="K223" s="17"/>
      <c r="L223" s="17"/>
      <c r="M223" s="17"/>
      <c r="N223" s="44" t="str">
        <f aca="false">IF(OR(D223="",A223="",COUNTIFS(Scoresheet!$C$2:$C$501,A223,Scoresheet!$U$2:$U$501,1)=0),"",SUMIFS(Scoresheet!$O$2:$O$501,Scoresheet!$C$2:$C$501,A223,Scoresheet!$U$2:$U$501,1))</f>
        <v/>
      </c>
      <c r="O223" s="44" t="str">
        <f aca="false">IF(D223="","",IF(OR(A223="",COUNTIFS(Scoresheet!$C$2:$C$501,A223,Scoresheet!$U$2:$U$501,1)=0),"No scoresheet yet",IF(SUMIFS(Scoresheet!$N$2:$N$501,Scoresheet!$C$2:$C$501,A223,Scoresheet!$U$2:$U$501,1)&lt;6,"Partly scored ("&amp;SUMIFS(Scoresheet!$N$2:$N$501,Scoresheet!$C$2:$C$501,A223,Scoresheet!$U$2:$U$501,1)&amp;"/6)",IF(N223&gt;=Settings!$S$8,"Hot",IF(N223&gt;=Settings!$S$9,"Warm","Cold")))))</f>
        <v/>
      </c>
      <c r="P223" s="44" t="str">
        <f aca="false">IF(OR(D223="",A223=""),"",IF(AND(COUNTIFS(Scoresheet!$C$2:$C$501,A223,Scoresheet!$U$2:$U$501,1,Scoresheet!$H$2:$H$501,"No")&gt;0,COUNTIFS(Scoresheet!$C$2:$C$501,A223,Scoresheet!$U$2:$U$501,1,Scoresheet!$J$2:$J$501,"No")&gt;0),"🚩 Budget  ·  🚩 No one on camera",IF(COUNTIFS(Scoresheet!$C$2:$C$501,A223,Scoresheet!$U$2:$U$501,1,Scoresheet!$H$2:$H$501,"No")&gt;0,"🚩 Budget under AED 5k",IF(COUNTIFS(Scoresheet!$C$2:$C$501,A223,Scoresheet!$U$2:$U$501,1,Scoresheet!$J$2:$J$501,"No")&gt;0,"🚩 No one on camera",""))))</f>
        <v/>
      </c>
      <c r="Q223" s="17"/>
      <c r="R223" s="17"/>
      <c r="S223" s="40"/>
      <c r="T223" s="17"/>
      <c r="U223" s="45" t="str">
        <f aca="false">IF(OR(D223="",S223="",OR(R223="Contract signed + paid",R223="Closed – No response",R223="Lost"),N(T223)&gt;=Settings!$S$3),"",S223+Settings!$S$2)</f>
        <v/>
      </c>
      <c r="V223" s="40"/>
      <c r="W223" s="41"/>
      <c r="X223" s="17"/>
      <c r="Y223" s="17"/>
      <c r="Z223" s="17"/>
      <c r="AA223" s="46" t="str">
        <f aca="true">IF(OR(D223="",B223=""),"",INT(TODAY()-B223))</f>
        <v/>
      </c>
      <c r="AB223" s="44" t="str">
        <f aca="true">IF(D223="","",IF(OR(COUNTIFS(Clients!$C$2:$C$501,D223,Clients!$S$2:$S$501,"Paid")&gt;0,AND(H223&lt;&gt;"",COUNTIFS(Clients!$E$2:$E$501,H223,Clients!$S$2:$S$501,"Paid")&gt;0)),"⚠ Refunded before – no free video",IF(OR(R223="Contract signed + paid",R223="Closed – No response",R223="Lost"),"",IF(R223="","Set a stage",IF(AND(R223="Proposal sent",SUMIFS(Scoresheet!$N$2:$N$501,Scoresheet!$C$2:$C$501,A223,Scoresheet!$U$2:$U$501,1)&lt;6),"Score this lead – fill the call scoresheet",IF(N(T223)&gt;=Settings!$S$3,"Close – 4 follow-ups sent",IF(U223="",IF(S223="","Make first contact",""),IF(TODAY()&gt;U223,"OVERDUE follow-up",IF(TODAY()=U223,"Follow up today","")))))))))</f>
        <v/>
      </c>
    </row>
    <row r="224" customFormat="false" ht="15" hidden="false" customHeight="false" outlineLevel="0" collapsed="false">
      <c r="A224" s="17"/>
      <c r="B224" s="40"/>
      <c r="C224" s="17"/>
      <c r="D224" s="17"/>
      <c r="E224" s="17"/>
      <c r="F224" s="17"/>
      <c r="G224" s="17"/>
      <c r="H224" s="42"/>
      <c r="I224" s="17"/>
      <c r="J224" s="17"/>
      <c r="K224" s="17"/>
      <c r="L224" s="17"/>
      <c r="M224" s="17"/>
      <c r="N224" s="44" t="str">
        <f aca="false">IF(OR(D224="",A224="",COUNTIFS(Scoresheet!$C$2:$C$501,A224,Scoresheet!$U$2:$U$501,1)=0),"",SUMIFS(Scoresheet!$O$2:$O$501,Scoresheet!$C$2:$C$501,A224,Scoresheet!$U$2:$U$501,1))</f>
        <v/>
      </c>
      <c r="O224" s="44" t="str">
        <f aca="false">IF(D224="","",IF(OR(A224="",COUNTIFS(Scoresheet!$C$2:$C$501,A224,Scoresheet!$U$2:$U$501,1)=0),"No scoresheet yet",IF(SUMIFS(Scoresheet!$N$2:$N$501,Scoresheet!$C$2:$C$501,A224,Scoresheet!$U$2:$U$501,1)&lt;6,"Partly scored ("&amp;SUMIFS(Scoresheet!$N$2:$N$501,Scoresheet!$C$2:$C$501,A224,Scoresheet!$U$2:$U$501,1)&amp;"/6)",IF(N224&gt;=Settings!$S$8,"Hot",IF(N224&gt;=Settings!$S$9,"Warm","Cold")))))</f>
        <v/>
      </c>
      <c r="P224" s="44" t="str">
        <f aca="false">IF(OR(D224="",A224=""),"",IF(AND(COUNTIFS(Scoresheet!$C$2:$C$501,A224,Scoresheet!$U$2:$U$501,1,Scoresheet!$H$2:$H$501,"No")&gt;0,COUNTIFS(Scoresheet!$C$2:$C$501,A224,Scoresheet!$U$2:$U$501,1,Scoresheet!$J$2:$J$501,"No")&gt;0),"🚩 Budget  ·  🚩 No one on camera",IF(COUNTIFS(Scoresheet!$C$2:$C$501,A224,Scoresheet!$U$2:$U$501,1,Scoresheet!$H$2:$H$501,"No")&gt;0,"🚩 Budget under AED 5k",IF(COUNTIFS(Scoresheet!$C$2:$C$501,A224,Scoresheet!$U$2:$U$501,1,Scoresheet!$J$2:$J$501,"No")&gt;0,"🚩 No one on camera",""))))</f>
        <v/>
      </c>
      <c r="Q224" s="17"/>
      <c r="R224" s="17"/>
      <c r="S224" s="40"/>
      <c r="T224" s="17"/>
      <c r="U224" s="45" t="str">
        <f aca="false">IF(OR(D224="",S224="",OR(R224="Contract signed + paid",R224="Closed – No response",R224="Lost"),N(T224)&gt;=Settings!$S$3),"",S224+Settings!$S$2)</f>
        <v/>
      </c>
      <c r="V224" s="40"/>
      <c r="W224" s="41"/>
      <c r="X224" s="17"/>
      <c r="Y224" s="17"/>
      <c r="Z224" s="17"/>
      <c r="AA224" s="46" t="str">
        <f aca="true">IF(OR(D224="",B224=""),"",INT(TODAY()-B224))</f>
        <v/>
      </c>
      <c r="AB224" s="44" t="str">
        <f aca="true">IF(D224="","",IF(OR(COUNTIFS(Clients!$C$2:$C$501,D224,Clients!$S$2:$S$501,"Paid")&gt;0,AND(H224&lt;&gt;"",COUNTIFS(Clients!$E$2:$E$501,H224,Clients!$S$2:$S$501,"Paid")&gt;0)),"⚠ Refunded before – no free video",IF(OR(R224="Contract signed + paid",R224="Closed – No response",R224="Lost"),"",IF(R224="","Set a stage",IF(AND(R224="Proposal sent",SUMIFS(Scoresheet!$N$2:$N$501,Scoresheet!$C$2:$C$501,A224,Scoresheet!$U$2:$U$501,1)&lt;6),"Score this lead – fill the call scoresheet",IF(N(T224)&gt;=Settings!$S$3,"Close – 4 follow-ups sent",IF(U224="",IF(S224="","Make first contact",""),IF(TODAY()&gt;U224,"OVERDUE follow-up",IF(TODAY()=U224,"Follow up today","")))))))))</f>
        <v/>
      </c>
    </row>
    <row r="225" customFormat="false" ht="15" hidden="false" customHeight="false" outlineLevel="0" collapsed="false">
      <c r="A225" s="17"/>
      <c r="B225" s="40"/>
      <c r="C225" s="17"/>
      <c r="D225" s="17"/>
      <c r="E225" s="17"/>
      <c r="F225" s="17"/>
      <c r="G225" s="17"/>
      <c r="H225" s="42"/>
      <c r="I225" s="17"/>
      <c r="J225" s="17"/>
      <c r="K225" s="17"/>
      <c r="L225" s="17"/>
      <c r="M225" s="17"/>
      <c r="N225" s="44" t="str">
        <f aca="false">IF(OR(D225="",A225="",COUNTIFS(Scoresheet!$C$2:$C$501,A225,Scoresheet!$U$2:$U$501,1)=0),"",SUMIFS(Scoresheet!$O$2:$O$501,Scoresheet!$C$2:$C$501,A225,Scoresheet!$U$2:$U$501,1))</f>
        <v/>
      </c>
      <c r="O225" s="44" t="str">
        <f aca="false">IF(D225="","",IF(OR(A225="",COUNTIFS(Scoresheet!$C$2:$C$501,A225,Scoresheet!$U$2:$U$501,1)=0),"No scoresheet yet",IF(SUMIFS(Scoresheet!$N$2:$N$501,Scoresheet!$C$2:$C$501,A225,Scoresheet!$U$2:$U$501,1)&lt;6,"Partly scored ("&amp;SUMIFS(Scoresheet!$N$2:$N$501,Scoresheet!$C$2:$C$501,A225,Scoresheet!$U$2:$U$501,1)&amp;"/6)",IF(N225&gt;=Settings!$S$8,"Hot",IF(N225&gt;=Settings!$S$9,"Warm","Cold")))))</f>
        <v/>
      </c>
      <c r="P225" s="44" t="str">
        <f aca="false">IF(OR(D225="",A225=""),"",IF(AND(COUNTIFS(Scoresheet!$C$2:$C$501,A225,Scoresheet!$U$2:$U$501,1,Scoresheet!$H$2:$H$501,"No")&gt;0,COUNTIFS(Scoresheet!$C$2:$C$501,A225,Scoresheet!$U$2:$U$501,1,Scoresheet!$J$2:$J$501,"No")&gt;0),"🚩 Budget  ·  🚩 No one on camera",IF(COUNTIFS(Scoresheet!$C$2:$C$501,A225,Scoresheet!$U$2:$U$501,1,Scoresheet!$H$2:$H$501,"No")&gt;0,"🚩 Budget under AED 5k",IF(COUNTIFS(Scoresheet!$C$2:$C$501,A225,Scoresheet!$U$2:$U$501,1,Scoresheet!$J$2:$J$501,"No")&gt;0,"🚩 No one on camera",""))))</f>
        <v/>
      </c>
      <c r="Q225" s="17"/>
      <c r="R225" s="17"/>
      <c r="S225" s="40"/>
      <c r="T225" s="17"/>
      <c r="U225" s="45" t="str">
        <f aca="false">IF(OR(D225="",S225="",OR(R225="Contract signed + paid",R225="Closed – No response",R225="Lost"),N(T225)&gt;=Settings!$S$3),"",S225+Settings!$S$2)</f>
        <v/>
      </c>
      <c r="V225" s="40"/>
      <c r="W225" s="41"/>
      <c r="X225" s="17"/>
      <c r="Y225" s="17"/>
      <c r="Z225" s="17"/>
      <c r="AA225" s="46" t="str">
        <f aca="true">IF(OR(D225="",B225=""),"",INT(TODAY()-B225))</f>
        <v/>
      </c>
      <c r="AB225" s="44" t="str">
        <f aca="true">IF(D225="","",IF(OR(COUNTIFS(Clients!$C$2:$C$501,D225,Clients!$S$2:$S$501,"Paid")&gt;0,AND(H225&lt;&gt;"",COUNTIFS(Clients!$E$2:$E$501,H225,Clients!$S$2:$S$501,"Paid")&gt;0)),"⚠ Refunded before – no free video",IF(OR(R225="Contract signed + paid",R225="Closed – No response",R225="Lost"),"",IF(R225="","Set a stage",IF(AND(R225="Proposal sent",SUMIFS(Scoresheet!$N$2:$N$501,Scoresheet!$C$2:$C$501,A225,Scoresheet!$U$2:$U$501,1)&lt;6),"Score this lead – fill the call scoresheet",IF(N(T225)&gt;=Settings!$S$3,"Close – 4 follow-ups sent",IF(U225="",IF(S225="","Make first contact",""),IF(TODAY()&gt;U225,"OVERDUE follow-up",IF(TODAY()=U225,"Follow up today","")))))))))</f>
        <v/>
      </c>
    </row>
    <row r="226" customFormat="false" ht="15" hidden="false" customHeight="false" outlineLevel="0" collapsed="false">
      <c r="A226" s="17"/>
      <c r="B226" s="40"/>
      <c r="C226" s="17"/>
      <c r="D226" s="17"/>
      <c r="E226" s="17"/>
      <c r="F226" s="17"/>
      <c r="G226" s="17"/>
      <c r="H226" s="42"/>
      <c r="I226" s="17"/>
      <c r="J226" s="17"/>
      <c r="K226" s="17"/>
      <c r="L226" s="17"/>
      <c r="M226" s="17"/>
      <c r="N226" s="44" t="str">
        <f aca="false">IF(OR(D226="",A226="",COUNTIFS(Scoresheet!$C$2:$C$501,A226,Scoresheet!$U$2:$U$501,1)=0),"",SUMIFS(Scoresheet!$O$2:$O$501,Scoresheet!$C$2:$C$501,A226,Scoresheet!$U$2:$U$501,1))</f>
        <v/>
      </c>
      <c r="O226" s="44" t="str">
        <f aca="false">IF(D226="","",IF(OR(A226="",COUNTIFS(Scoresheet!$C$2:$C$501,A226,Scoresheet!$U$2:$U$501,1)=0),"No scoresheet yet",IF(SUMIFS(Scoresheet!$N$2:$N$501,Scoresheet!$C$2:$C$501,A226,Scoresheet!$U$2:$U$501,1)&lt;6,"Partly scored ("&amp;SUMIFS(Scoresheet!$N$2:$N$501,Scoresheet!$C$2:$C$501,A226,Scoresheet!$U$2:$U$501,1)&amp;"/6)",IF(N226&gt;=Settings!$S$8,"Hot",IF(N226&gt;=Settings!$S$9,"Warm","Cold")))))</f>
        <v/>
      </c>
      <c r="P226" s="44" t="str">
        <f aca="false">IF(OR(D226="",A226=""),"",IF(AND(COUNTIFS(Scoresheet!$C$2:$C$501,A226,Scoresheet!$U$2:$U$501,1,Scoresheet!$H$2:$H$501,"No")&gt;0,COUNTIFS(Scoresheet!$C$2:$C$501,A226,Scoresheet!$U$2:$U$501,1,Scoresheet!$J$2:$J$501,"No")&gt;0),"🚩 Budget  ·  🚩 No one on camera",IF(COUNTIFS(Scoresheet!$C$2:$C$501,A226,Scoresheet!$U$2:$U$501,1,Scoresheet!$H$2:$H$501,"No")&gt;0,"🚩 Budget under AED 5k",IF(COUNTIFS(Scoresheet!$C$2:$C$501,A226,Scoresheet!$U$2:$U$501,1,Scoresheet!$J$2:$J$501,"No")&gt;0,"🚩 No one on camera",""))))</f>
        <v/>
      </c>
      <c r="Q226" s="17"/>
      <c r="R226" s="17"/>
      <c r="S226" s="40"/>
      <c r="T226" s="17"/>
      <c r="U226" s="45" t="str">
        <f aca="false">IF(OR(D226="",S226="",OR(R226="Contract signed + paid",R226="Closed – No response",R226="Lost"),N(T226)&gt;=Settings!$S$3),"",S226+Settings!$S$2)</f>
        <v/>
      </c>
      <c r="V226" s="40"/>
      <c r="W226" s="41"/>
      <c r="X226" s="17"/>
      <c r="Y226" s="17"/>
      <c r="Z226" s="17"/>
      <c r="AA226" s="46" t="str">
        <f aca="true">IF(OR(D226="",B226=""),"",INT(TODAY()-B226))</f>
        <v/>
      </c>
      <c r="AB226" s="44" t="str">
        <f aca="true">IF(D226="","",IF(OR(COUNTIFS(Clients!$C$2:$C$501,D226,Clients!$S$2:$S$501,"Paid")&gt;0,AND(H226&lt;&gt;"",COUNTIFS(Clients!$E$2:$E$501,H226,Clients!$S$2:$S$501,"Paid")&gt;0)),"⚠ Refunded before – no free video",IF(OR(R226="Contract signed + paid",R226="Closed – No response",R226="Lost"),"",IF(R226="","Set a stage",IF(AND(R226="Proposal sent",SUMIFS(Scoresheet!$N$2:$N$501,Scoresheet!$C$2:$C$501,A226,Scoresheet!$U$2:$U$501,1)&lt;6),"Score this lead – fill the call scoresheet",IF(N(T226)&gt;=Settings!$S$3,"Close – 4 follow-ups sent",IF(U226="",IF(S226="","Make first contact",""),IF(TODAY()&gt;U226,"OVERDUE follow-up",IF(TODAY()=U226,"Follow up today","")))))))))</f>
        <v/>
      </c>
    </row>
    <row r="227" customFormat="false" ht="15" hidden="false" customHeight="false" outlineLevel="0" collapsed="false">
      <c r="A227" s="17"/>
      <c r="B227" s="40"/>
      <c r="C227" s="17"/>
      <c r="D227" s="17"/>
      <c r="E227" s="17"/>
      <c r="F227" s="17"/>
      <c r="G227" s="17"/>
      <c r="H227" s="42"/>
      <c r="I227" s="17"/>
      <c r="J227" s="17"/>
      <c r="K227" s="17"/>
      <c r="L227" s="17"/>
      <c r="M227" s="17"/>
      <c r="N227" s="44" t="str">
        <f aca="false">IF(OR(D227="",A227="",COUNTIFS(Scoresheet!$C$2:$C$501,A227,Scoresheet!$U$2:$U$501,1)=0),"",SUMIFS(Scoresheet!$O$2:$O$501,Scoresheet!$C$2:$C$501,A227,Scoresheet!$U$2:$U$501,1))</f>
        <v/>
      </c>
      <c r="O227" s="44" t="str">
        <f aca="false">IF(D227="","",IF(OR(A227="",COUNTIFS(Scoresheet!$C$2:$C$501,A227,Scoresheet!$U$2:$U$501,1)=0),"No scoresheet yet",IF(SUMIFS(Scoresheet!$N$2:$N$501,Scoresheet!$C$2:$C$501,A227,Scoresheet!$U$2:$U$501,1)&lt;6,"Partly scored ("&amp;SUMIFS(Scoresheet!$N$2:$N$501,Scoresheet!$C$2:$C$501,A227,Scoresheet!$U$2:$U$501,1)&amp;"/6)",IF(N227&gt;=Settings!$S$8,"Hot",IF(N227&gt;=Settings!$S$9,"Warm","Cold")))))</f>
        <v/>
      </c>
      <c r="P227" s="44" t="str">
        <f aca="false">IF(OR(D227="",A227=""),"",IF(AND(COUNTIFS(Scoresheet!$C$2:$C$501,A227,Scoresheet!$U$2:$U$501,1,Scoresheet!$H$2:$H$501,"No")&gt;0,COUNTIFS(Scoresheet!$C$2:$C$501,A227,Scoresheet!$U$2:$U$501,1,Scoresheet!$J$2:$J$501,"No")&gt;0),"🚩 Budget  ·  🚩 No one on camera",IF(COUNTIFS(Scoresheet!$C$2:$C$501,A227,Scoresheet!$U$2:$U$501,1,Scoresheet!$H$2:$H$501,"No")&gt;0,"🚩 Budget under AED 5k",IF(COUNTIFS(Scoresheet!$C$2:$C$501,A227,Scoresheet!$U$2:$U$501,1,Scoresheet!$J$2:$J$501,"No")&gt;0,"🚩 No one on camera",""))))</f>
        <v/>
      </c>
      <c r="Q227" s="17"/>
      <c r="R227" s="17"/>
      <c r="S227" s="40"/>
      <c r="T227" s="17"/>
      <c r="U227" s="45" t="str">
        <f aca="false">IF(OR(D227="",S227="",OR(R227="Contract signed + paid",R227="Closed – No response",R227="Lost"),N(T227)&gt;=Settings!$S$3),"",S227+Settings!$S$2)</f>
        <v/>
      </c>
      <c r="V227" s="40"/>
      <c r="W227" s="41"/>
      <c r="X227" s="17"/>
      <c r="Y227" s="17"/>
      <c r="Z227" s="17"/>
      <c r="AA227" s="46" t="str">
        <f aca="true">IF(OR(D227="",B227=""),"",INT(TODAY()-B227))</f>
        <v/>
      </c>
      <c r="AB227" s="44" t="str">
        <f aca="true">IF(D227="","",IF(OR(COUNTIFS(Clients!$C$2:$C$501,D227,Clients!$S$2:$S$501,"Paid")&gt;0,AND(H227&lt;&gt;"",COUNTIFS(Clients!$E$2:$E$501,H227,Clients!$S$2:$S$501,"Paid")&gt;0)),"⚠ Refunded before – no free video",IF(OR(R227="Contract signed + paid",R227="Closed – No response",R227="Lost"),"",IF(R227="","Set a stage",IF(AND(R227="Proposal sent",SUMIFS(Scoresheet!$N$2:$N$501,Scoresheet!$C$2:$C$501,A227,Scoresheet!$U$2:$U$501,1)&lt;6),"Score this lead – fill the call scoresheet",IF(N(T227)&gt;=Settings!$S$3,"Close – 4 follow-ups sent",IF(U227="",IF(S227="","Make first contact",""),IF(TODAY()&gt;U227,"OVERDUE follow-up",IF(TODAY()=U227,"Follow up today","")))))))))</f>
        <v/>
      </c>
    </row>
    <row r="228" customFormat="false" ht="15" hidden="false" customHeight="false" outlineLevel="0" collapsed="false">
      <c r="A228" s="17"/>
      <c r="B228" s="40"/>
      <c r="C228" s="17"/>
      <c r="D228" s="17"/>
      <c r="E228" s="17"/>
      <c r="F228" s="17"/>
      <c r="G228" s="17"/>
      <c r="H228" s="42"/>
      <c r="I228" s="17"/>
      <c r="J228" s="17"/>
      <c r="K228" s="17"/>
      <c r="L228" s="17"/>
      <c r="M228" s="17"/>
      <c r="N228" s="44" t="str">
        <f aca="false">IF(OR(D228="",A228="",COUNTIFS(Scoresheet!$C$2:$C$501,A228,Scoresheet!$U$2:$U$501,1)=0),"",SUMIFS(Scoresheet!$O$2:$O$501,Scoresheet!$C$2:$C$501,A228,Scoresheet!$U$2:$U$501,1))</f>
        <v/>
      </c>
      <c r="O228" s="44" t="str">
        <f aca="false">IF(D228="","",IF(OR(A228="",COUNTIFS(Scoresheet!$C$2:$C$501,A228,Scoresheet!$U$2:$U$501,1)=0),"No scoresheet yet",IF(SUMIFS(Scoresheet!$N$2:$N$501,Scoresheet!$C$2:$C$501,A228,Scoresheet!$U$2:$U$501,1)&lt;6,"Partly scored ("&amp;SUMIFS(Scoresheet!$N$2:$N$501,Scoresheet!$C$2:$C$501,A228,Scoresheet!$U$2:$U$501,1)&amp;"/6)",IF(N228&gt;=Settings!$S$8,"Hot",IF(N228&gt;=Settings!$S$9,"Warm","Cold")))))</f>
        <v/>
      </c>
      <c r="P228" s="44" t="str">
        <f aca="false">IF(OR(D228="",A228=""),"",IF(AND(COUNTIFS(Scoresheet!$C$2:$C$501,A228,Scoresheet!$U$2:$U$501,1,Scoresheet!$H$2:$H$501,"No")&gt;0,COUNTIFS(Scoresheet!$C$2:$C$501,A228,Scoresheet!$U$2:$U$501,1,Scoresheet!$J$2:$J$501,"No")&gt;0),"🚩 Budget  ·  🚩 No one on camera",IF(COUNTIFS(Scoresheet!$C$2:$C$501,A228,Scoresheet!$U$2:$U$501,1,Scoresheet!$H$2:$H$501,"No")&gt;0,"🚩 Budget under AED 5k",IF(COUNTIFS(Scoresheet!$C$2:$C$501,A228,Scoresheet!$U$2:$U$501,1,Scoresheet!$J$2:$J$501,"No")&gt;0,"🚩 No one on camera",""))))</f>
        <v/>
      </c>
      <c r="Q228" s="17"/>
      <c r="R228" s="17"/>
      <c r="S228" s="40"/>
      <c r="T228" s="17"/>
      <c r="U228" s="45" t="str">
        <f aca="false">IF(OR(D228="",S228="",OR(R228="Contract signed + paid",R228="Closed – No response",R228="Lost"),N(T228)&gt;=Settings!$S$3),"",S228+Settings!$S$2)</f>
        <v/>
      </c>
      <c r="V228" s="40"/>
      <c r="W228" s="41"/>
      <c r="X228" s="17"/>
      <c r="Y228" s="17"/>
      <c r="Z228" s="17"/>
      <c r="AA228" s="46" t="str">
        <f aca="true">IF(OR(D228="",B228=""),"",INT(TODAY()-B228))</f>
        <v/>
      </c>
      <c r="AB228" s="44" t="str">
        <f aca="true">IF(D228="","",IF(OR(COUNTIFS(Clients!$C$2:$C$501,D228,Clients!$S$2:$S$501,"Paid")&gt;0,AND(H228&lt;&gt;"",COUNTIFS(Clients!$E$2:$E$501,H228,Clients!$S$2:$S$501,"Paid")&gt;0)),"⚠ Refunded before – no free video",IF(OR(R228="Contract signed + paid",R228="Closed – No response",R228="Lost"),"",IF(R228="","Set a stage",IF(AND(R228="Proposal sent",SUMIFS(Scoresheet!$N$2:$N$501,Scoresheet!$C$2:$C$501,A228,Scoresheet!$U$2:$U$501,1)&lt;6),"Score this lead – fill the call scoresheet",IF(N(T228)&gt;=Settings!$S$3,"Close – 4 follow-ups sent",IF(U228="",IF(S228="","Make first contact",""),IF(TODAY()&gt;U228,"OVERDUE follow-up",IF(TODAY()=U228,"Follow up today","")))))))))</f>
        <v/>
      </c>
    </row>
    <row r="229" customFormat="false" ht="15" hidden="false" customHeight="false" outlineLevel="0" collapsed="false">
      <c r="A229" s="17"/>
      <c r="B229" s="40"/>
      <c r="C229" s="17"/>
      <c r="D229" s="17"/>
      <c r="E229" s="17"/>
      <c r="F229" s="17"/>
      <c r="G229" s="17"/>
      <c r="H229" s="42"/>
      <c r="I229" s="17"/>
      <c r="J229" s="17"/>
      <c r="K229" s="17"/>
      <c r="L229" s="17"/>
      <c r="M229" s="17"/>
      <c r="N229" s="44" t="str">
        <f aca="false">IF(OR(D229="",A229="",COUNTIFS(Scoresheet!$C$2:$C$501,A229,Scoresheet!$U$2:$U$501,1)=0),"",SUMIFS(Scoresheet!$O$2:$O$501,Scoresheet!$C$2:$C$501,A229,Scoresheet!$U$2:$U$501,1))</f>
        <v/>
      </c>
      <c r="O229" s="44" t="str">
        <f aca="false">IF(D229="","",IF(OR(A229="",COUNTIFS(Scoresheet!$C$2:$C$501,A229,Scoresheet!$U$2:$U$501,1)=0),"No scoresheet yet",IF(SUMIFS(Scoresheet!$N$2:$N$501,Scoresheet!$C$2:$C$501,A229,Scoresheet!$U$2:$U$501,1)&lt;6,"Partly scored ("&amp;SUMIFS(Scoresheet!$N$2:$N$501,Scoresheet!$C$2:$C$501,A229,Scoresheet!$U$2:$U$501,1)&amp;"/6)",IF(N229&gt;=Settings!$S$8,"Hot",IF(N229&gt;=Settings!$S$9,"Warm","Cold")))))</f>
        <v/>
      </c>
      <c r="P229" s="44" t="str">
        <f aca="false">IF(OR(D229="",A229=""),"",IF(AND(COUNTIFS(Scoresheet!$C$2:$C$501,A229,Scoresheet!$U$2:$U$501,1,Scoresheet!$H$2:$H$501,"No")&gt;0,COUNTIFS(Scoresheet!$C$2:$C$501,A229,Scoresheet!$U$2:$U$501,1,Scoresheet!$J$2:$J$501,"No")&gt;0),"🚩 Budget  ·  🚩 No one on camera",IF(COUNTIFS(Scoresheet!$C$2:$C$501,A229,Scoresheet!$U$2:$U$501,1,Scoresheet!$H$2:$H$501,"No")&gt;0,"🚩 Budget under AED 5k",IF(COUNTIFS(Scoresheet!$C$2:$C$501,A229,Scoresheet!$U$2:$U$501,1,Scoresheet!$J$2:$J$501,"No")&gt;0,"🚩 No one on camera",""))))</f>
        <v/>
      </c>
      <c r="Q229" s="17"/>
      <c r="R229" s="17"/>
      <c r="S229" s="40"/>
      <c r="T229" s="17"/>
      <c r="U229" s="45" t="str">
        <f aca="false">IF(OR(D229="",S229="",OR(R229="Contract signed + paid",R229="Closed – No response",R229="Lost"),N(T229)&gt;=Settings!$S$3),"",S229+Settings!$S$2)</f>
        <v/>
      </c>
      <c r="V229" s="40"/>
      <c r="W229" s="41"/>
      <c r="X229" s="17"/>
      <c r="Y229" s="17"/>
      <c r="Z229" s="17"/>
      <c r="AA229" s="46" t="str">
        <f aca="true">IF(OR(D229="",B229=""),"",INT(TODAY()-B229))</f>
        <v/>
      </c>
      <c r="AB229" s="44" t="str">
        <f aca="true">IF(D229="","",IF(OR(COUNTIFS(Clients!$C$2:$C$501,D229,Clients!$S$2:$S$501,"Paid")&gt;0,AND(H229&lt;&gt;"",COUNTIFS(Clients!$E$2:$E$501,H229,Clients!$S$2:$S$501,"Paid")&gt;0)),"⚠ Refunded before – no free video",IF(OR(R229="Contract signed + paid",R229="Closed – No response",R229="Lost"),"",IF(R229="","Set a stage",IF(AND(R229="Proposal sent",SUMIFS(Scoresheet!$N$2:$N$501,Scoresheet!$C$2:$C$501,A229,Scoresheet!$U$2:$U$501,1)&lt;6),"Score this lead – fill the call scoresheet",IF(N(T229)&gt;=Settings!$S$3,"Close – 4 follow-ups sent",IF(U229="",IF(S229="","Make first contact",""),IF(TODAY()&gt;U229,"OVERDUE follow-up",IF(TODAY()=U229,"Follow up today","")))))))))</f>
        <v/>
      </c>
    </row>
    <row r="230" customFormat="false" ht="15" hidden="false" customHeight="false" outlineLevel="0" collapsed="false">
      <c r="A230" s="17"/>
      <c r="B230" s="40"/>
      <c r="C230" s="17"/>
      <c r="D230" s="17"/>
      <c r="E230" s="17"/>
      <c r="F230" s="17"/>
      <c r="G230" s="17"/>
      <c r="H230" s="42"/>
      <c r="I230" s="17"/>
      <c r="J230" s="17"/>
      <c r="K230" s="17"/>
      <c r="L230" s="17"/>
      <c r="M230" s="17"/>
      <c r="N230" s="44" t="str">
        <f aca="false">IF(OR(D230="",A230="",COUNTIFS(Scoresheet!$C$2:$C$501,A230,Scoresheet!$U$2:$U$501,1)=0),"",SUMIFS(Scoresheet!$O$2:$O$501,Scoresheet!$C$2:$C$501,A230,Scoresheet!$U$2:$U$501,1))</f>
        <v/>
      </c>
      <c r="O230" s="44" t="str">
        <f aca="false">IF(D230="","",IF(OR(A230="",COUNTIFS(Scoresheet!$C$2:$C$501,A230,Scoresheet!$U$2:$U$501,1)=0),"No scoresheet yet",IF(SUMIFS(Scoresheet!$N$2:$N$501,Scoresheet!$C$2:$C$501,A230,Scoresheet!$U$2:$U$501,1)&lt;6,"Partly scored ("&amp;SUMIFS(Scoresheet!$N$2:$N$501,Scoresheet!$C$2:$C$501,A230,Scoresheet!$U$2:$U$501,1)&amp;"/6)",IF(N230&gt;=Settings!$S$8,"Hot",IF(N230&gt;=Settings!$S$9,"Warm","Cold")))))</f>
        <v/>
      </c>
      <c r="P230" s="44" t="str">
        <f aca="false">IF(OR(D230="",A230=""),"",IF(AND(COUNTIFS(Scoresheet!$C$2:$C$501,A230,Scoresheet!$U$2:$U$501,1,Scoresheet!$H$2:$H$501,"No")&gt;0,COUNTIFS(Scoresheet!$C$2:$C$501,A230,Scoresheet!$U$2:$U$501,1,Scoresheet!$J$2:$J$501,"No")&gt;0),"🚩 Budget  ·  🚩 No one on camera",IF(COUNTIFS(Scoresheet!$C$2:$C$501,A230,Scoresheet!$U$2:$U$501,1,Scoresheet!$H$2:$H$501,"No")&gt;0,"🚩 Budget under AED 5k",IF(COUNTIFS(Scoresheet!$C$2:$C$501,A230,Scoresheet!$U$2:$U$501,1,Scoresheet!$J$2:$J$501,"No")&gt;0,"🚩 No one on camera",""))))</f>
        <v/>
      </c>
      <c r="Q230" s="17"/>
      <c r="R230" s="17"/>
      <c r="S230" s="40"/>
      <c r="T230" s="17"/>
      <c r="U230" s="45" t="str">
        <f aca="false">IF(OR(D230="",S230="",OR(R230="Contract signed + paid",R230="Closed – No response",R230="Lost"),N(T230)&gt;=Settings!$S$3),"",S230+Settings!$S$2)</f>
        <v/>
      </c>
      <c r="V230" s="40"/>
      <c r="W230" s="41"/>
      <c r="X230" s="17"/>
      <c r="Y230" s="17"/>
      <c r="Z230" s="17"/>
      <c r="AA230" s="46" t="str">
        <f aca="true">IF(OR(D230="",B230=""),"",INT(TODAY()-B230))</f>
        <v/>
      </c>
      <c r="AB230" s="44" t="str">
        <f aca="true">IF(D230="","",IF(OR(COUNTIFS(Clients!$C$2:$C$501,D230,Clients!$S$2:$S$501,"Paid")&gt;0,AND(H230&lt;&gt;"",COUNTIFS(Clients!$E$2:$E$501,H230,Clients!$S$2:$S$501,"Paid")&gt;0)),"⚠ Refunded before – no free video",IF(OR(R230="Contract signed + paid",R230="Closed – No response",R230="Lost"),"",IF(R230="","Set a stage",IF(AND(R230="Proposal sent",SUMIFS(Scoresheet!$N$2:$N$501,Scoresheet!$C$2:$C$501,A230,Scoresheet!$U$2:$U$501,1)&lt;6),"Score this lead – fill the call scoresheet",IF(N(T230)&gt;=Settings!$S$3,"Close – 4 follow-ups sent",IF(U230="",IF(S230="","Make first contact",""),IF(TODAY()&gt;U230,"OVERDUE follow-up",IF(TODAY()=U230,"Follow up today","")))))))))</f>
        <v/>
      </c>
    </row>
    <row r="231" customFormat="false" ht="15" hidden="false" customHeight="false" outlineLevel="0" collapsed="false">
      <c r="A231" s="17"/>
      <c r="B231" s="40"/>
      <c r="C231" s="17"/>
      <c r="D231" s="17"/>
      <c r="E231" s="17"/>
      <c r="F231" s="17"/>
      <c r="G231" s="17"/>
      <c r="H231" s="42"/>
      <c r="I231" s="17"/>
      <c r="J231" s="17"/>
      <c r="K231" s="17"/>
      <c r="L231" s="17"/>
      <c r="M231" s="17"/>
      <c r="N231" s="44" t="str">
        <f aca="false">IF(OR(D231="",A231="",COUNTIFS(Scoresheet!$C$2:$C$501,A231,Scoresheet!$U$2:$U$501,1)=0),"",SUMIFS(Scoresheet!$O$2:$O$501,Scoresheet!$C$2:$C$501,A231,Scoresheet!$U$2:$U$501,1))</f>
        <v/>
      </c>
      <c r="O231" s="44" t="str">
        <f aca="false">IF(D231="","",IF(OR(A231="",COUNTIFS(Scoresheet!$C$2:$C$501,A231,Scoresheet!$U$2:$U$501,1)=0),"No scoresheet yet",IF(SUMIFS(Scoresheet!$N$2:$N$501,Scoresheet!$C$2:$C$501,A231,Scoresheet!$U$2:$U$501,1)&lt;6,"Partly scored ("&amp;SUMIFS(Scoresheet!$N$2:$N$501,Scoresheet!$C$2:$C$501,A231,Scoresheet!$U$2:$U$501,1)&amp;"/6)",IF(N231&gt;=Settings!$S$8,"Hot",IF(N231&gt;=Settings!$S$9,"Warm","Cold")))))</f>
        <v/>
      </c>
      <c r="P231" s="44" t="str">
        <f aca="false">IF(OR(D231="",A231=""),"",IF(AND(COUNTIFS(Scoresheet!$C$2:$C$501,A231,Scoresheet!$U$2:$U$501,1,Scoresheet!$H$2:$H$501,"No")&gt;0,COUNTIFS(Scoresheet!$C$2:$C$501,A231,Scoresheet!$U$2:$U$501,1,Scoresheet!$J$2:$J$501,"No")&gt;0),"🚩 Budget  ·  🚩 No one on camera",IF(COUNTIFS(Scoresheet!$C$2:$C$501,A231,Scoresheet!$U$2:$U$501,1,Scoresheet!$H$2:$H$501,"No")&gt;0,"🚩 Budget under AED 5k",IF(COUNTIFS(Scoresheet!$C$2:$C$501,A231,Scoresheet!$U$2:$U$501,1,Scoresheet!$J$2:$J$501,"No")&gt;0,"🚩 No one on camera",""))))</f>
        <v/>
      </c>
      <c r="Q231" s="17"/>
      <c r="R231" s="17"/>
      <c r="S231" s="40"/>
      <c r="T231" s="17"/>
      <c r="U231" s="45" t="str">
        <f aca="false">IF(OR(D231="",S231="",OR(R231="Contract signed + paid",R231="Closed – No response",R231="Lost"),N(T231)&gt;=Settings!$S$3),"",S231+Settings!$S$2)</f>
        <v/>
      </c>
      <c r="V231" s="40"/>
      <c r="W231" s="41"/>
      <c r="X231" s="17"/>
      <c r="Y231" s="17"/>
      <c r="Z231" s="17"/>
      <c r="AA231" s="46" t="str">
        <f aca="true">IF(OR(D231="",B231=""),"",INT(TODAY()-B231))</f>
        <v/>
      </c>
      <c r="AB231" s="44" t="str">
        <f aca="true">IF(D231="","",IF(OR(COUNTIFS(Clients!$C$2:$C$501,D231,Clients!$S$2:$S$501,"Paid")&gt;0,AND(H231&lt;&gt;"",COUNTIFS(Clients!$E$2:$E$501,H231,Clients!$S$2:$S$501,"Paid")&gt;0)),"⚠ Refunded before – no free video",IF(OR(R231="Contract signed + paid",R231="Closed – No response",R231="Lost"),"",IF(R231="","Set a stage",IF(AND(R231="Proposal sent",SUMIFS(Scoresheet!$N$2:$N$501,Scoresheet!$C$2:$C$501,A231,Scoresheet!$U$2:$U$501,1)&lt;6),"Score this lead – fill the call scoresheet",IF(N(T231)&gt;=Settings!$S$3,"Close – 4 follow-ups sent",IF(U231="",IF(S231="","Make first contact",""),IF(TODAY()&gt;U231,"OVERDUE follow-up",IF(TODAY()=U231,"Follow up today","")))))))))</f>
        <v/>
      </c>
    </row>
    <row r="232" customFormat="false" ht="15" hidden="false" customHeight="false" outlineLevel="0" collapsed="false">
      <c r="A232" s="17"/>
      <c r="B232" s="40"/>
      <c r="C232" s="17"/>
      <c r="D232" s="17"/>
      <c r="E232" s="17"/>
      <c r="F232" s="17"/>
      <c r="G232" s="17"/>
      <c r="H232" s="42"/>
      <c r="I232" s="17"/>
      <c r="J232" s="17"/>
      <c r="K232" s="17"/>
      <c r="L232" s="17"/>
      <c r="M232" s="17"/>
      <c r="N232" s="44" t="str">
        <f aca="false">IF(OR(D232="",A232="",COUNTIFS(Scoresheet!$C$2:$C$501,A232,Scoresheet!$U$2:$U$501,1)=0),"",SUMIFS(Scoresheet!$O$2:$O$501,Scoresheet!$C$2:$C$501,A232,Scoresheet!$U$2:$U$501,1))</f>
        <v/>
      </c>
      <c r="O232" s="44" t="str">
        <f aca="false">IF(D232="","",IF(OR(A232="",COUNTIFS(Scoresheet!$C$2:$C$501,A232,Scoresheet!$U$2:$U$501,1)=0),"No scoresheet yet",IF(SUMIFS(Scoresheet!$N$2:$N$501,Scoresheet!$C$2:$C$501,A232,Scoresheet!$U$2:$U$501,1)&lt;6,"Partly scored ("&amp;SUMIFS(Scoresheet!$N$2:$N$501,Scoresheet!$C$2:$C$501,A232,Scoresheet!$U$2:$U$501,1)&amp;"/6)",IF(N232&gt;=Settings!$S$8,"Hot",IF(N232&gt;=Settings!$S$9,"Warm","Cold")))))</f>
        <v/>
      </c>
      <c r="P232" s="44" t="str">
        <f aca="false">IF(OR(D232="",A232=""),"",IF(AND(COUNTIFS(Scoresheet!$C$2:$C$501,A232,Scoresheet!$U$2:$U$501,1,Scoresheet!$H$2:$H$501,"No")&gt;0,COUNTIFS(Scoresheet!$C$2:$C$501,A232,Scoresheet!$U$2:$U$501,1,Scoresheet!$J$2:$J$501,"No")&gt;0),"🚩 Budget  ·  🚩 No one on camera",IF(COUNTIFS(Scoresheet!$C$2:$C$501,A232,Scoresheet!$U$2:$U$501,1,Scoresheet!$H$2:$H$501,"No")&gt;0,"🚩 Budget under AED 5k",IF(COUNTIFS(Scoresheet!$C$2:$C$501,A232,Scoresheet!$U$2:$U$501,1,Scoresheet!$J$2:$J$501,"No")&gt;0,"🚩 No one on camera",""))))</f>
        <v/>
      </c>
      <c r="Q232" s="17"/>
      <c r="R232" s="17"/>
      <c r="S232" s="40"/>
      <c r="T232" s="17"/>
      <c r="U232" s="45" t="str">
        <f aca="false">IF(OR(D232="",S232="",OR(R232="Contract signed + paid",R232="Closed – No response",R232="Lost"),N(T232)&gt;=Settings!$S$3),"",S232+Settings!$S$2)</f>
        <v/>
      </c>
      <c r="V232" s="40"/>
      <c r="W232" s="41"/>
      <c r="X232" s="17"/>
      <c r="Y232" s="17"/>
      <c r="Z232" s="17"/>
      <c r="AA232" s="46" t="str">
        <f aca="true">IF(OR(D232="",B232=""),"",INT(TODAY()-B232))</f>
        <v/>
      </c>
      <c r="AB232" s="44" t="str">
        <f aca="true">IF(D232="","",IF(OR(COUNTIFS(Clients!$C$2:$C$501,D232,Clients!$S$2:$S$501,"Paid")&gt;0,AND(H232&lt;&gt;"",COUNTIFS(Clients!$E$2:$E$501,H232,Clients!$S$2:$S$501,"Paid")&gt;0)),"⚠ Refunded before – no free video",IF(OR(R232="Contract signed + paid",R232="Closed – No response",R232="Lost"),"",IF(R232="","Set a stage",IF(AND(R232="Proposal sent",SUMIFS(Scoresheet!$N$2:$N$501,Scoresheet!$C$2:$C$501,A232,Scoresheet!$U$2:$U$501,1)&lt;6),"Score this lead – fill the call scoresheet",IF(N(T232)&gt;=Settings!$S$3,"Close – 4 follow-ups sent",IF(U232="",IF(S232="","Make first contact",""),IF(TODAY()&gt;U232,"OVERDUE follow-up",IF(TODAY()=U232,"Follow up today","")))))))))</f>
        <v/>
      </c>
    </row>
    <row r="233" customFormat="false" ht="15" hidden="false" customHeight="false" outlineLevel="0" collapsed="false">
      <c r="A233" s="17"/>
      <c r="B233" s="40"/>
      <c r="C233" s="17"/>
      <c r="D233" s="17"/>
      <c r="E233" s="17"/>
      <c r="F233" s="17"/>
      <c r="G233" s="17"/>
      <c r="H233" s="42"/>
      <c r="I233" s="17"/>
      <c r="J233" s="17"/>
      <c r="K233" s="17"/>
      <c r="L233" s="17"/>
      <c r="M233" s="17"/>
      <c r="N233" s="44" t="str">
        <f aca="false">IF(OR(D233="",A233="",COUNTIFS(Scoresheet!$C$2:$C$501,A233,Scoresheet!$U$2:$U$501,1)=0),"",SUMIFS(Scoresheet!$O$2:$O$501,Scoresheet!$C$2:$C$501,A233,Scoresheet!$U$2:$U$501,1))</f>
        <v/>
      </c>
      <c r="O233" s="44" t="str">
        <f aca="false">IF(D233="","",IF(OR(A233="",COUNTIFS(Scoresheet!$C$2:$C$501,A233,Scoresheet!$U$2:$U$501,1)=0),"No scoresheet yet",IF(SUMIFS(Scoresheet!$N$2:$N$501,Scoresheet!$C$2:$C$501,A233,Scoresheet!$U$2:$U$501,1)&lt;6,"Partly scored ("&amp;SUMIFS(Scoresheet!$N$2:$N$501,Scoresheet!$C$2:$C$501,A233,Scoresheet!$U$2:$U$501,1)&amp;"/6)",IF(N233&gt;=Settings!$S$8,"Hot",IF(N233&gt;=Settings!$S$9,"Warm","Cold")))))</f>
        <v/>
      </c>
      <c r="P233" s="44" t="str">
        <f aca="false">IF(OR(D233="",A233=""),"",IF(AND(COUNTIFS(Scoresheet!$C$2:$C$501,A233,Scoresheet!$U$2:$U$501,1,Scoresheet!$H$2:$H$501,"No")&gt;0,COUNTIFS(Scoresheet!$C$2:$C$501,A233,Scoresheet!$U$2:$U$501,1,Scoresheet!$J$2:$J$501,"No")&gt;0),"🚩 Budget  ·  🚩 No one on camera",IF(COUNTIFS(Scoresheet!$C$2:$C$501,A233,Scoresheet!$U$2:$U$501,1,Scoresheet!$H$2:$H$501,"No")&gt;0,"🚩 Budget under AED 5k",IF(COUNTIFS(Scoresheet!$C$2:$C$501,A233,Scoresheet!$U$2:$U$501,1,Scoresheet!$J$2:$J$501,"No")&gt;0,"🚩 No one on camera",""))))</f>
        <v/>
      </c>
      <c r="Q233" s="17"/>
      <c r="R233" s="17"/>
      <c r="S233" s="40"/>
      <c r="T233" s="17"/>
      <c r="U233" s="45" t="str">
        <f aca="false">IF(OR(D233="",S233="",OR(R233="Contract signed + paid",R233="Closed – No response",R233="Lost"),N(T233)&gt;=Settings!$S$3),"",S233+Settings!$S$2)</f>
        <v/>
      </c>
      <c r="V233" s="40"/>
      <c r="W233" s="41"/>
      <c r="X233" s="17"/>
      <c r="Y233" s="17"/>
      <c r="Z233" s="17"/>
      <c r="AA233" s="46" t="str">
        <f aca="true">IF(OR(D233="",B233=""),"",INT(TODAY()-B233))</f>
        <v/>
      </c>
      <c r="AB233" s="44" t="str">
        <f aca="true">IF(D233="","",IF(OR(COUNTIFS(Clients!$C$2:$C$501,D233,Clients!$S$2:$S$501,"Paid")&gt;0,AND(H233&lt;&gt;"",COUNTIFS(Clients!$E$2:$E$501,H233,Clients!$S$2:$S$501,"Paid")&gt;0)),"⚠ Refunded before – no free video",IF(OR(R233="Contract signed + paid",R233="Closed – No response",R233="Lost"),"",IF(R233="","Set a stage",IF(AND(R233="Proposal sent",SUMIFS(Scoresheet!$N$2:$N$501,Scoresheet!$C$2:$C$501,A233,Scoresheet!$U$2:$U$501,1)&lt;6),"Score this lead – fill the call scoresheet",IF(N(T233)&gt;=Settings!$S$3,"Close – 4 follow-ups sent",IF(U233="",IF(S233="","Make first contact",""),IF(TODAY()&gt;U233,"OVERDUE follow-up",IF(TODAY()=U233,"Follow up today","")))))))))</f>
        <v/>
      </c>
    </row>
    <row r="234" customFormat="false" ht="15" hidden="false" customHeight="false" outlineLevel="0" collapsed="false">
      <c r="A234" s="17"/>
      <c r="B234" s="40"/>
      <c r="C234" s="17"/>
      <c r="D234" s="17"/>
      <c r="E234" s="17"/>
      <c r="F234" s="17"/>
      <c r="G234" s="17"/>
      <c r="H234" s="42"/>
      <c r="I234" s="17"/>
      <c r="J234" s="17"/>
      <c r="K234" s="17"/>
      <c r="L234" s="17"/>
      <c r="M234" s="17"/>
      <c r="N234" s="44" t="str">
        <f aca="false">IF(OR(D234="",A234="",COUNTIFS(Scoresheet!$C$2:$C$501,A234,Scoresheet!$U$2:$U$501,1)=0),"",SUMIFS(Scoresheet!$O$2:$O$501,Scoresheet!$C$2:$C$501,A234,Scoresheet!$U$2:$U$501,1))</f>
        <v/>
      </c>
      <c r="O234" s="44" t="str">
        <f aca="false">IF(D234="","",IF(OR(A234="",COUNTIFS(Scoresheet!$C$2:$C$501,A234,Scoresheet!$U$2:$U$501,1)=0),"No scoresheet yet",IF(SUMIFS(Scoresheet!$N$2:$N$501,Scoresheet!$C$2:$C$501,A234,Scoresheet!$U$2:$U$501,1)&lt;6,"Partly scored ("&amp;SUMIFS(Scoresheet!$N$2:$N$501,Scoresheet!$C$2:$C$501,A234,Scoresheet!$U$2:$U$501,1)&amp;"/6)",IF(N234&gt;=Settings!$S$8,"Hot",IF(N234&gt;=Settings!$S$9,"Warm","Cold")))))</f>
        <v/>
      </c>
      <c r="P234" s="44" t="str">
        <f aca="false">IF(OR(D234="",A234=""),"",IF(AND(COUNTIFS(Scoresheet!$C$2:$C$501,A234,Scoresheet!$U$2:$U$501,1,Scoresheet!$H$2:$H$501,"No")&gt;0,COUNTIFS(Scoresheet!$C$2:$C$501,A234,Scoresheet!$U$2:$U$501,1,Scoresheet!$J$2:$J$501,"No")&gt;0),"🚩 Budget  ·  🚩 No one on camera",IF(COUNTIFS(Scoresheet!$C$2:$C$501,A234,Scoresheet!$U$2:$U$501,1,Scoresheet!$H$2:$H$501,"No")&gt;0,"🚩 Budget under AED 5k",IF(COUNTIFS(Scoresheet!$C$2:$C$501,A234,Scoresheet!$U$2:$U$501,1,Scoresheet!$J$2:$J$501,"No")&gt;0,"🚩 No one on camera",""))))</f>
        <v/>
      </c>
      <c r="Q234" s="17"/>
      <c r="R234" s="17"/>
      <c r="S234" s="40"/>
      <c r="T234" s="17"/>
      <c r="U234" s="45" t="str">
        <f aca="false">IF(OR(D234="",S234="",OR(R234="Contract signed + paid",R234="Closed – No response",R234="Lost"),N(T234)&gt;=Settings!$S$3),"",S234+Settings!$S$2)</f>
        <v/>
      </c>
      <c r="V234" s="40"/>
      <c r="W234" s="41"/>
      <c r="X234" s="17"/>
      <c r="Y234" s="17"/>
      <c r="Z234" s="17"/>
      <c r="AA234" s="46" t="str">
        <f aca="true">IF(OR(D234="",B234=""),"",INT(TODAY()-B234))</f>
        <v/>
      </c>
      <c r="AB234" s="44" t="str">
        <f aca="true">IF(D234="","",IF(OR(COUNTIFS(Clients!$C$2:$C$501,D234,Clients!$S$2:$S$501,"Paid")&gt;0,AND(H234&lt;&gt;"",COUNTIFS(Clients!$E$2:$E$501,H234,Clients!$S$2:$S$501,"Paid")&gt;0)),"⚠ Refunded before – no free video",IF(OR(R234="Contract signed + paid",R234="Closed – No response",R234="Lost"),"",IF(R234="","Set a stage",IF(AND(R234="Proposal sent",SUMIFS(Scoresheet!$N$2:$N$501,Scoresheet!$C$2:$C$501,A234,Scoresheet!$U$2:$U$501,1)&lt;6),"Score this lead – fill the call scoresheet",IF(N(T234)&gt;=Settings!$S$3,"Close – 4 follow-ups sent",IF(U234="",IF(S234="","Make first contact",""),IF(TODAY()&gt;U234,"OVERDUE follow-up",IF(TODAY()=U234,"Follow up today","")))))))))</f>
        <v/>
      </c>
    </row>
    <row r="235" customFormat="false" ht="15" hidden="false" customHeight="false" outlineLevel="0" collapsed="false">
      <c r="A235" s="17"/>
      <c r="B235" s="40"/>
      <c r="C235" s="17"/>
      <c r="D235" s="17"/>
      <c r="E235" s="17"/>
      <c r="F235" s="17"/>
      <c r="G235" s="17"/>
      <c r="H235" s="42"/>
      <c r="I235" s="17"/>
      <c r="J235" s="17"/>
      <c r="K235" s="17"/>
      <c r="L235" s="17"/>
      <c r="M235" s="17"/>
      <c r="N235" s="44" t="str">
        <f aca="false">IF(OR(D235="",A235="",COUNTIFS(Scoresheet!$C$2:$C$501,A235,Scoresheet!$U$2:$U$501,1)=0),"",SUMIFS(Scoresheet!$O$2:$O$501,Scoresheet!$C$2:$C$501,A235,Scoresheet!$U$2:$U$501,1))</f>
        <v/>
      </c>
      <c r="O235" s="44" t="str">
        <f aca="false">IF(D235="","",IF(OR(A235="",COUNTIFS(Scoresheet!$C$2:$C$501,A235,Scoresheet!$U$2:$U$501,1)=0),"No scoresheet yet",IF(SUMIFS(Scoresheet!$N$2:$N$501,Scoresheet!$C$2:$C$501,A235,Scoresheet!$U$2:$U$501,1)&lt;6,"Partly scored ("&amp;SUMIFS(Scoresheet!$N$2:$N$501,Scoresheet!$C$2:$C$501,A235,Scoresheet!$U$2:$U$501,1)&amp;"/6)",IF(N235&gt;=Settings!$S$8,"Hot",IF(N235&gt;=Settings!$S$9,"Warm","Cold")))))</f>
        <v/>
      </c>
      <c r="P235" s="44" t="str">
        <f aca="false">IF(OR(D235="",A235=""),"",IF(AND(COUNTIFS(Scoresheet!$C$2:$C$501,A235,Scoresheet!$U$2:$U$501,1,Scoresheet!$H$2:$H$501,"No")&gt;0,COUNTIFS(Scoresheet!$C$2:$C$501,A235,Scoresheet!$U$2:$U$501,1,Scoresheet!$J$2:$J$501,"No")&gt;0),"🚩 Budget  ·  🚩 No one on camera",IF(COUNTIFS(Scoresheet!$C$2:$C$501,A235,Scoresheet!$U$2:$U$501,1,Scoresheet!$H$2:$H$501,"No")&gt;0,"🚩 Budget under AED 5k",IF(COUNTIFS(Scoresheet!$C$2:$C$501,A235,Scoresheet!$U$2:$U$501,1,Scoresheet!$J$2:$J$501,"No")&gt;0,"🚩 No one on camera",""))))</f>
        <v/>
      </c>
      <c r="Q235" s="17"/>
      <c r="R235" s="17"/>
      <c r="S235" s="40"/>
      <c r="T235" s="17"/>
      <c r="U235" s="45" t="str">
        <f aca="false">IF(OR(D235="",S235="",OR(R235="Contract signed + paid",R235="Closed – No response",R235="Lost"),N(T235)&gt;=Settings!$S$3),"",S235+Settings!$S$2)</f>
        <v/>
      </c>
      <c r="V235" s="40"/>
      <c r="W235" s="41"/>
      <c r="X235" s="17"/>
      <c r="Y235" s="17"/>
      <c r="Z235" s="17"/>
      <c r="AA235" s="46" t="str">
        <f aca="true">IF(OR(D235="",B235=""),"",INT(TODAY()-B235))</f>
        <v/>
      </c>
      <c r="AB235" s="44" t="str">
        <f aca="true">IF(D235="","",IF(OR(COUNTIFS(Clients!$C$2:$C$501,D235,Clients!$S$2:$S$501,"Paid")&gt;0,AND(H235&lt;&gt;"",COUNTIFS(Clients!$E$2:$E$501,H235,Clients!$S$2:$S$501,"Paid")&gt;0)),"⚠ Refunded before – no free video",IF(OR(R235="Contract signed + paid",R235="Closed – No response",R235="Lost"),"",IF(R235="","Set a stage",IF(AND(R235="Proposal sent",SUMIFS(Scoresheet!$N$2:$N$501,Scoresheet!$C$2:$C$501,A235,Scoresheet!$U$2:$U$501,1)&lt;6),"Score this lead – fill the call scoresheet",IF(N(T235)&gt;=Settings!$S$3,"Close – 4 follow-ups sent",IF(U235="",IF(S235="","Make first contact",""),IF(TODAY()&gt;U235,"OVERDUE follow-up",IF(TODAY()=U235,"Follow up today","")))))))))</f>
        <v/>
      </c>
    </row>
    <row r="236" customFormat="false" ht="15" hidden="false" customHeight="false" outlineLevel="0" collapsed="false">
      <c r="A236" s="17"/>
      <c r="B236" s="40"/>
      <c r="C236" s="17"/>
      <c r="D236" s="17"/>
      <c r="E236" s="17"/>
      <c r="F236" s="17"/>
      <c r="G236" s="17"/>
      <c r="H236" s="42"/>
      <c r="I236" s="17"/>
      <c r="J236" s="17"/>
      <c r="K236" s="17"/>
      <c r="L236" s="17"/>
      <c r="M236" s="17"/>
      <c r="N236" s="44" t="str">
        <f aca="false">IF(OR(D236="",A236="",COUNTIFS(Scoresheet!$C$2:$C$501,A236,Scoresheet!$U$2:$U$501,1)=0),"",SUMIFS(Scoresheet!$O$2:$O$501,Scoresheet!$C$2:$C$501,A236,Scoresheet!$U$2:$U$501,1))</f>
        <v/>
      </c>
      <c r="O236" s="44" t="str">
        <f aca="false">IF(D236="","",IF(OR(A236="",COUNTIFS(Scoresheet!$C$2:$C$501,A236,Scoresheet!$U$2:$U$501,1)=0),"No scoresheet yet",IF(SUMIFS(Scoresheet!$N$2:$N$501,Scoresheet!$C$2:$C$501,A236,Scoresheet!$U$2:$U$501,1)&lt;6,"Partly scored ("&amp;SUMIFS(Scoresheet!$N$2:$N$501,Scoresheet!$C$2:$C$501,A236,Scoresheet!$U$2:$U$501,1)&amp;"/6)",IF(N236&gt;=Settings!$S$8,"Hot",IF(N236&gt;=Settings!$S$9,"Warm","Cold")))))</f>
        <v/>
      </c>
      <c r="P236" s="44" t="str">
        <f aca="false">IF(OR(D236="",A236=""),"",IF(AND(COUNTIFS(Scoresheet!$C$2:$C$501,A236,Scoresheet!$U$2:$U$501,1,Scoresheet!$H$2:$H$501,"No")&gt;0,COUNTIFS(Scoresheet!$C$2:$C$501,A236,Scoresheet!$U$2:$U$501,1,Scoresheet!$J$2:$J$501,"No")&gt;0),"🚩 Budget  ·  🚩 No one on camera",IF(COUNTIFS(Scoresheet!$C$2:$C$501,A236,Scoresheet!$U$2:$U$501,1,Scoresheet!$H$2:$H$501,"No")&gt;0,"🚩 Budget under AED 5k",IF(COUNTIFS(Scoresheet!$C$2:$C$501,A236,Scoresheet!$U$2:$U$501,1,Scoresheet!$J$2:$J$501,"No")&gt;0,"🚩 No one on camera",""))))</f>
        <v/>
      </c>
      <c r="Q236" s="17"/>
      <c r="R236" s="17"/>
      <c r="S236" s="40"/>
      <c r="T236" s="17"/>
      <c r="U236" s="45" t="str">
        <f aca="false">IF(OR(D236="",S236="",OR(R236="Contract signed + paid",R236="Closed – No response",R236="Lost"),N(T236)&gt;=Settings!$S$3),"",S236+Settings!$S$2)</f>
        <v/>
      </c>
      <c r="V236" s="40"/>
      <c r="W236" s="41"/>
      <c r="X236" s="17"/>
      <c r="Y236" s="17"/>
      <c r="Z236" s="17"/>
      <c r="AA236" s="46" t="str">
        <f aca="true">IF(OR(D236="",B236=""),"",INT(TODAY()-B236))</f>
        <v/>
      </c>
      <c r="AB236" s="44" t="str">
        <f aca="true">IF(D236="","",IF(OR(COUNTIFS(Clients!$C$2:$C$501,D236,Clients!$S$2:$S$501,"Paid")&gt;0,AND(H236&lt;&gt;"",COUNTIFS(Clients!$E$2:$E$501,H236,Clients!$S$2:$S$501,"Paid")&gt;0)),"⚠ Refunded before – no free video",IF(OR(R236="Contract signed + paid",R236="Closed – No response",R236="Lost"),"",IF(R236="","Set a stage",IF(AND(R236="Proposal sent",SUMIFS(Scoresheet!$N$2:$N$501,Scoresheet!$C$2:$C$501,A236,Scoresheet!$U$2:$U$501,1)&lt;6),"Score this lead – fill the call scoresheet",IF(N(T236)&gt;=Settings!$S$3,"Close – 4 follow-ups sent",IF(U236="",IF(S236="","Make first contact",""),IF(TODAY()&gt;U236,"OVERDUE follow-up",IF(TODAY()=U236,"Follow up today","")))))))))</f>
        <v/>
      </c>
    </row>
    <row r="237" customFormat="false" ht="15" hidden="false" customHeight="false" outlineLevel="0" collapsed="false">
      <c r="A237" s="17"/>
      <c r="B237" s="40"/>
      <c r="C237" s="17"/>
      <c r="D237" s="17"/>
      <c r="E237" s="17"/>
      <c r="F237" s="17"/>
      <c r="G237" s="17"/>
      <c r="H237" s="42"/>
      <c r="I237" s="17"/>
      <c r="J237" s="17"/>
      <c r="K237" s="17"/>
      <c r="L237" s="17"/>
      <c r="M237" s="17"/>
      <c r="N237" s="44" t="str">
        <f aca="false">IF(OR(D237="",A237="",COUNTIFS(Scoresheet!$C$2:$C$501,A237,Scoresheet!$U$2:$U$501,1)=0),"",SUMIFS(Scoresheet!$O$2:$O$501,Scoresheet!$C$2:$C$501,A237,Scoresheet!$U$2:$U$501,1))</f>
        <v/>
      </c>
      <c r="O237" s="44" t="str">
        <f aca="false">IF(D237="","",IF(OR(A237="",COUNTIFS(Scoresheet!$C$2:$C$501,A237,Scoresheet!$U$2:$U$501,1)=0),"No scoresheet yet",IF(SUMIFS(Scoresheet!$N$2:$N$501,Scoresheet!$C$2:$C$501,A237,Scoresheet!$U$2:$U$501,1)&lt;6,"Partly scored ("&amp;SUMIFS(Scoresheet!$N$2:$N$501,Scoresheet!$C$2:$C$501,A237,Scoresheet!$U$2:$U$501,1)&amp;"/6)",IF(N237&gt;=Settings!$S$8,"Hot",IF(N237&gt;=Settings!$S$9,"Warm","Cold")))))</f>
        <v/>
      </c>
      <c r="P237" s="44" t="str">
        <f aca="false">IF(OR(D237="",A237=""),"",IF(AND(COUNTIFS(Scoresheet!$C$2:$C$501,A237,Scoresheet!$U$2:$U$501,1,Scoresheet!$H$2:$H$501,"No")&gt;0,COUNTIFS(Scoresheet!$C$2:$C$501,A237,Scoresheet!$U$2:$U$501,1,Scoresheet!$J$2:$J$501,"No")&gt;0),"🚩 Budget  ·  🚩 No one on camera",IF(COUNTIFS(Scoresheet!$C$2:$C$501,A237,Scoresheet!$U$2:$U$501,1,Scoresheet!$H$2:$H$501,"No")&gt;0,"🚩 Budget under AED 5k",IF(COUNTIFS(Scoresheet!$C$2:$C$501,A237,Scoresheet!$U$2:$U$501,1,Scoresheet!$J$2:$J$501,"No")&gt;0,"🚩 No one on camera",""))))</f>
        <v/>
      </c>
      <c r="Q237" s="17"/>
      <c r="R237" s="17"/>
      <c r="S237" s="40"/>
      <c r="T237" s="17"/>
      <c r="U237" s="45" t="str">
        <f aca="false">IF(OR(D237="",S237="",OR(R237="Contract signed + paid",R237="Closed – No response",R237="Lost"),N(T237)&gt;=Settings!$S$3),"",S237+Settings!$S$2)</f>
        <v/>
      </c>
      <c r="V237" s="40"/>
      <c r="W237" s="41"/>
      <c r="X237" s="17"/>
      <c r="Y237" s="17"/>
      <c r="Z237" s="17"/>
      <c r="AA237" s="46" t="str">
        <f aca="true">IF(OR(D237="",B237=""),"",INT(TODAY()-B237))</f>
        <v/>
      </c>
      <c r="AB237" s="44" t="str">
        <f aca="true">IF(D237="","",IF(OR(COUNTIFS(Clients!$C$2:$C$501,D237,Clients!$S$2:$S$501,"Paid")&gt;0,AND(H237&lt;&gt;"",COUNTIFS(Clients!$E$2:$E$501,H237,Clients!$S$2:$S$501,"Paid")&gt;0)),"⚠ Refunded before – no free video",IF(OR(R237="Contract signed + paid",R237="Closed – No response",R237="Lost"),"",IF(R237="","Set a stage",IF(AND(R237="Proposal sent",SUMIFS(Scoresheet!$N$2:$N$501,Scoresheet!$C$2:$C$501,A237,Scoresheet!$U$2:$U$501,1)&lt;6),"Score this lead – fill the call scoresheet",IF(N(T237)&gt;=Settings!$S$3,"Close – 4 follow-ups sent",IF(U237="",IF(S237="","Make first contact",""),IF(TODAY()&gt;U237,"OVERDUE follow-up",IF(TODAY()=U237,"Follow up today","")))))))))</f>
        <v/>
      </c>
    </row>
    <row r="238" customFormat="false" ht="15" hidden="false" customHeight="false" outlineLevel="0" collapsed="false">
      <c r="A238" s="17"/>
      <c r="B238" s="40"/>
      <c r="C238" s="17"/>
      <c r="D238" s="17"/>
      <c r="E238" s="17"/>
      <c r="F238" s="17"/>
      <c r="G238" s="17"/>
      <c r="H238" s="42"/>
      <c r="I238" s="17"/>
      <c r="J238" s="17"/>
      <c r="K238" s="17"/>
      <c r="L238" s="17"/>
      <c r="M238" s="17"/>
      <c r="N238" s="44" t="str">
        <f aca="false">IF(OR(D238="",A238="",COUNTIFS(Scoresheet!$C$2:$C$501,A238,Scoresheet!$U$2:$U$501,1)=0),"",SUMIFS(Scoresheet!$O$2:$O$501,Scoresheet!$C$2:$C$501,A238,Scoresheet!$U$2:$U$501,1))</f>
        <v/>
      </c>
      <c r="O238" s="44" t="str">
        <f aca="false">IF(D238="","",IF(OR(A238="",COUNTIFS(Scoresheet!$C$2:$C$501,A238,Scoresheet!$U$2:$U$501,1)=0),"No scoresheet yet",IF(SUMIFS(Scoresheet!$N$2:$N$501,Scoresheet!$C$2:$C$501,A238,Scoresheet!$U$2:$U$501,1)&lt;6,"Partly scored ("&amp;SUMIFS(Scoresheet!$N$2:$N$501,Scoresheet!$C$2:$C$501,A238,Scoresheet!$U$2:$U$501,1)&amp;"/6)",IF(N238&gt;=Settings!$S$8,"Hot",IF(N238&gt;=Settings!$S$9,"Warm","Cold")))))</f>
        <v/>
      </c>
      <c r="P238" s="44" t="str">
        <f aca="false">IF(OR(D238="",A238=""),"",IF(AND(COUNTIFS(Scoresheet!$C$2:$C$501,A238,Scoresheet!$U$2:$U$501,1,Scoresheet!$H$2:$H$501,"No")&gt;0,COUNTIFS(Scoresheet!$C$2:$C$501,A238,Scoresheet!$U$2:$U$501,1,Scoresheet!$J$2:$J$501,"No")&gt;0),"🚩 Budget  ·  🚩 No one on camera",IF(COUNTIFS(Scoresheet!$C$2:$C$501,A238,Scoresheet!$U$2:$U$501,1,Scoresheet!$H$2:$H$501,"No")&gt;0,"🚩 Budget under AED 5k",IF(COUNTIFS(Scoresheet!$C$2:$C$501,A238,Scoresheet!$U$2:$U$501,1,Scoresheet!$J$2:$J$501,"No")&gt;0,"🚩 No one on camera",""))))</f>
        <v/>
      </c>
      <c r="Q238" s="17"/>
      <c r="R238" s="17"/>
      <c r="S238" s="40"/>
      <c r="T238" s="17"/>
      <c r="U238" s="45" t="str">
        <f aca="false">IF(OR(D238="",S238="",OR(R238="Contract signed + paid",R238="Closed – No response",R238="Lost"),N(T238)&gt;=Settings!$S$3),"",S238+Settings!$S$2)</f>
        <v/>
      </c>
      <c r="V238" s="40"/>
      <c r="W238" s="41"/>
      <c r="X238" s="17"/>
      <c r="Y238" s="17"/>
      <c r="Z238" s="17"/>
      <c r="AA238" s="46" t="str">
        <f aca="true">IF(OR(D238="",B238=""),"",INT(TODAY()-B238))</f>
        <v/>
      </c>
      <c r="AB238" s="44" t="str">
        <f aca="true">IF(D238="","",IF(OR(COUNTIFS(Clients!$C$2:$C$501,D238,Clients!$S$2:$S$501,"Paid")&gt;0,AND(H238&lt;&gt;"",COUNTIFS(Clients!$E$2:$E$501,H238,Clients!$S$2:$S$501,"Paid")&gt;0)),"⚠ Refunded before – no free video",IF(OR(R238="Contract signed + paid",R238="Closed – No response",R238="Lost"),"",IF(R238="","Set a stage",IF(AND(R238="Proposal sent",SUMIFS(Scoresheet!$N$2:$N$501,Scoresheet!$C$2:$C$501,A238,Scoresheet!$U$2:$U$501,1)&lt;6),"Score this lead – fill the call scoresheet",IF(N(T238)&gt;=Settings!$S$3,"Close – 4 follow-ups sent",IF(U238="",IF(S238="","Make first contact",""),IF(TODAY()&gt;U238,"OVERDUE follow-up",IF(TODAY()=U238,"Follow up today","")))))))))</f>
        <v/>
      </c>
    </row>
    <row r="239" customFormat="false" ht="15" hidden="false" customHeight="false" outlineLevel="0" collapsed="false">
      <c r="A239" s="17"/>
      <c r="B239" s="40"/>
      <c r="C239" s="17"/>
      <c r="D239" s="17"/>
      <c r="E239" s="17"/>
      <c r="F239" s="17"/>
      <c r="G239" s="17"/>
      <c r="H239" s="42"/>
      <c r="I239" s="17"/>
      <c r="J239" s="17"/>
      <c r="K239" s="17"/>
      <c r="L239" s="17"/>
      <c r="M239" s="17"/>
      <c r="N239" s="44" t="str">
        <f aca="false">IF(OR(D239="",A239="",COUNTIFS(Scoresheet!$C$2:$C$501,A239,Scoresheet!$U$2:$U$501,1)=0),"",SUMIFS(Scoresheet!$O$2:$O$501,Scoresheet!$C$2:$C$501,A239,Scoresheet!$U$2:$U$501,1))</f>
        <v/>
      </c>
      <c r="O239" s="44" t="str">
        <f aca="false">IF(D239="","",IF(OR(A239="",COUNTIFS(Scoresheet!$C$2:$C$501,A239,Scoresheet!$U$2:$U$501,1)=0),"No scoresheet yet",IF(SUMIFS(Scoresheet!$N$2:$N$501,Scoresheet!$C$2:$C$501,A239,Scoresheet!$U$2:$U$501,1)&lt;6,"Partly scored ("&amp;SUMIFS(Scoresheet!$N$2:$N$501,Scoresheet!$C$2:$C$501,A239,Scoresheet!$U$2:$U$501,1)&amp;"/6)",IF(N239&gt;=Settings!$S$8,"Hot",IF(N239&gt;=Settings!$S$9,"Warm","Cold")))))</f>
        <v/>
      </c>
      <c r="P239" s="44" t="str">
        <f aca="false">IF(OR(D239="",A239=""),"",IF(AND(COUNTIFS(Scoresheet!$C$2:$C$501,A239,Scoresheet!$U$2:$U$501,1,Scoresheet!$H$2:$H$501,"No")&gt;0,COUNTIFS(Scoresheet!$C$2:$C$501,A239,Scoresheet!$U$2:$U$501,1,Scoresheet!$J$2:$J$501,"No")&gt;0),"🚩 Budget  ·  🚩 No one on camera",IF(COUNTIFS(Scoresheet!$C$2:$C$501,A239,Scoresheet!$U$2:$U$501,1,Scoresheet!$H$2:$H$501,"No")&gt;0,"🚩 Budget under AED 5k",IF(COUNTIFS(Scoresheet!$C$2:$C$501,A239,Scoresheet!$U$2:$U$501,1,Scoresheet!$J$2:$J$501,"No")&gt;0,"🚩 No one on camera",""))))</f>
        <v/>
      </c>
      <c r="Q239" s="17"/>
      <c r="R239" s="17"/>
      <c r="S239" s="40"/>
      <c r="T239" s="17"/>
      <c r="U239" s="45" t="str">
        <f aca="false">IF(OR(D239="",S239="",OR(R239="Contract signed + paid",R239="Closed – No response",R239="Lost"),N(T239)&gt;=Settings!$S$3),"",S239+Settings!$S$2)</f>
        <v/>
      </c>
      <c r="V239" s="40"/>
      <c r="W239" s="41"/>
      <c r="X239" s="17"/>
      <c r="Y239" s="17"/>
      <c r="Z239" s="17"/>
      <c r="AA239" s="46" t="str">
        <f aca="true">IF(OR(D239="",B239=""),"",INT(TODAY()-B239))</f>
        <v/>
      </c>
      <c r="AB239" s="44" t="str">
        <f aca="true">IF(D239="","",IF(OR(COUNTIFS(Clients!$C$2:$C$501,D239,Clients!$S$2:$S$501,"Paid")&gt;0,AND(H239&lt;&gt;"",COUNTIFS(Clients!$E$2:$E$501,H239,Clients!$S$2:$S$501,"Paid")&gt;0)),"⚠ Refunded before – no free video",IF(OR(R239="Contract signed + paid",R239="Closed – No response",R239="Lost"),"",IF(R239="","Set a stage",IF(AND(R239="Proposal sent",SUMIFS(Scoresheet!$N$2:$N$501,Scoresheet!$C$2:$C$501,A239,Scoresheet!$U$2:$U$501,1)&lt;6),"Score this lead – fill the call scoresheet",IF(N(T239)&gt;=Settings!$S$3,"Close – 4 follow-ups sent",IF(U239="",IF(S239="","Make first contact",""),IF(TODAY()&gt;U239,"OVERDUE follow-up",IF(TODAY()=U239,"Follow up today","")))))))))</f>
        <v/>
      </c>
    </row>
    <row r="240" customFormat="false" ht="15" hidden="false" customHeight="false" outlineLevel="0" collapsed="false">
      <c r="A240" s="17"/>
      <c r="B240" s="40"/>
      <c r="C240" s="17"/>
      <c r="D240" s="17"/>
      <c r="E240" s="17"/>
      <c r="F240" s="17"/>
      <c r="G240" s="17"/>
      <c r="H240" s="42"/>
      <c r="I240" s="17"/>
      <c r="J240" s="17"/>
      <c r="K240" s="17"/>
      <c r="L240" s="17"/>
      <c r="M240" s="17"/>
      <c r="N240" s="44" t="str">
        <f aca="false">IF(OR(D240="",A240="",COUNTIFS(Scoresheet!$C$2:$C$501,A240,Scoresheet!$U$2:$U$501,1)=0),"",SUMIFS(Scoresheet!$O$2:$O$501,Scoresheet!$C$2:$C$501,A240,Scoresheet!$U$2:$U$501,1))</f>
        <v/>
      </c>
      <c r="O240" s="44" t="str">
        <f aca="false">IF(D240="","",IF(OR(A240="",COUNTIFS(Scoresheet!$C$2:$C$501,A240,Scoresheet!$U$2:$U$501,1)=0),"No scoresheet yet",IF(SUMIFS(Scoresheet!$N$2:$N$501,Scoresheet!$C$2:$C$501,A240,Scoresheet!$U$2:$U$501,1)&lt;6,"Partly scored ("&amp;SUMIFS(Scoresheet!$N$2:$N$501,Scoresheet!$C$2:$C$501,A240,Scoresheet!$U$2:$U$501,1)&amp;"/6)",IF(N240&gt;=Settings!$S$8,"Hot",IF(N240&gt;=Settings!$S$9,"Warm","Cold")))))</f>
        <v/>
      </c>
      <c r="P240" s="44" t="str">
        <f aca="false">IF(OR(D240="",A240=""),"",IF(AND(COUNTIFS(Scoresheet!$C$2:$C$501,A240,Scoresheet!$U$2:$U$501,1,Scoresheet!$H$2:$H$501,"No")&gt;0,COUNTIFS(Scoresheet!$C$2:$C$501,A240,Scoresheet!$U$2:$U$501,1,Scoresheet!$J$2:$J$501,"No")&gt;0),"🚩 Budget  ·  🚩 No one on camera",IF(COUNTIFS(Scoresheet!$C$2:$C$501,A240,Scoresheet!$U$2:$U$501,1,Scoresheet!$H$2:$H$501,"No")&gt;0,"🚩 Budget under AED 5k",IF(COUNTIFS(Scoresheet!$C$2:$C$501,A240,Scoresheet!$U$2:$U$501,1,Scoresheet!$J$2:$J$501,"No")&gt;0,"🚩 No one on camera",""))))</f>
        <v/>
      </c>
      <c r="Q240" s="17"/>
      <c r="R240" s="17"/>
      <c r="S240" s="40"/>
      <c r="T240" s="17"/>
      <c r="U240" s="45" t="str">
        <f aca="false">IF(OR(D240="",S240="",OR(R240="Contract signed + paid",R240="Closed – No response",R240="Lost"),N(T240)&gt;=Settings!$S$3),"",S240+Settings!$S$2)</f>
        <v/>
      </c>
      <c r="V240" s="40"/>
      <c r="W240" s="41"/>
      <c r="X240" s="17"/>
      <c r="Y240" s="17"/>
      <c r="Z240" s="17"/>
      <c r="AA240" s="46" t="str">
        <f aca="true">IF(OR(D240="",B240=""),"",INT(TODAY()-B240))</f>
        <v/>
      </c>
      <c r="AB240" s="44" t="str">
        <f aca="true">IF(D240="","",IF(OR(COUNTIFS(Clients!$C$2:$C$501,D240,Clients!$S$2:$S$501,"Paid")&gt;0,AND(H240&lt;&gt;"",COUNTIFS(Clients!$E$2:$E$501,H240,Clients!$S$2:$S$501,"Paid")&gt;0)),"⚠ Refunded before – no free video",IF(OR(R240="Contract signed + paid",R240="Closed – No response",R240="Lost"),"",IF(R240="","Set a stage",IF(AND(R240="Proposal sent",SUMIFS(Scoresheet!$N$2:$N$501,Scoresheet!$C$2:$C$501,A240,Scoresheet!$U$2:$U$501,1)&lt;6),"Score this lead – fill the call scoresheet",IF(N(T240)&gt;=Settings!$S$3,"Close – 4 follow-ups sent",IF(U240="",IF(S240="","Make first contact",""),IF(TODAY()&gt;U240,"OVERDUE follow-up",IF(TODAY()=U240,"Follow up today","")))))))))</f>
        <v/>
      </c>
    </row>
    <row r="241" customFormat="false" ht="15" hidden="false" customHeight="false" outlineLevel="0" collapsed="false">
      <c r="A241" s="17"/>
      <c r="B241" s="40"/>
      <c r="C241" s="17"/>
      <c r="D241" s="17"/>
      <c r="E241" s="17"/>
      <c r="F241" s="17"/>
      <c r="G241" s="17"/>
      <c r="H241" s="42"/>
      <c r="I241" s="17"/>
      <c r="J241" s="17"/>
      <c r="K241" s="17"/>
      <c r="L241" s="17"/>
      <c r="M241" s="17"/>
      <c r="N241" s="44" t="str">
        <f aca="false">IF(OR(D241="",A241="",COUNTIFS(Scoresheet!$C$2:$C$501,A241,Scoresheet!$U$2:$U$501,1)=0),"",SUMIFS(Scoresheet!$O$2:$O$501,Scoresheet!$C$2:$C$501,A241,Scoresheet!$U$2:$U$501,1))</f>
        <v/>
      </c>
      <c r="O241" s="44" t="str">
        <f aca="false">IF(D241="","",IF(OR(A241="",COUNTIFS(Scoresheet!$C$2:$C$501,A241,Scoresheet!$U$2:$U$501,1)=0),"No scoresheet yet",IF(SUMIFS(Scoresheet!$N$2:$N$501,Scoresheet!$C$2:$C$501,A241,Scoresheet!$U$2:$U$501,1)&lt;6,"Partly scored ("&amp;SUMIFS(Scoresheet!$N$2:$N$501,Scoresheet!$C$2:$C$501,A241,Scoresheet!$U$2:$U$501,1)&amp;"/6)",IF(N241&gt;=Settings!$S$8,"Hot",IF(N241&gt;=Settings!$S$9,"Warm","Cold")))))</f>
        <v/>
      </c>
      <c r="P241" s="44" t="str">
        <f aca="false">IF(OR(D241="",A241=""),"",IF(AND(COUNTIFS(Scoresheet!$C$2:$C$501,A241,Scoresheet!$U$2:$U$501,1,Scoresheet!$H$2:$H$501,"No")&gt;0,COUNTIFS(Scoresheet!$C$2:$C$501,A241,Scoresheet!$U$2:$U$501,1,Scoresheet!$J$2:$J$501,"No")&gt;0),"🚩 Budget  ·  🚩 No one on camera",IF(COUNTIFS(Scoresheet!$C$2:$C$501,A241,Scoresheet!$U$2:$U$501,1,Scoresheet!$H$2:$H$501,"No")&gt;0,"🚩 Budget under AED 5k",IF(COUNTIFS(Scoresheet!$C$2:$C$501,A241,Scoresheet!$U$2:$U$501,1,Scoresheet!$J$2:$J$501,"No")&gt;0,"🚩 No one on camera",""))))</f>
        <v/>
      </c>
      <c r="Q241" s="17"/>
      <c r="R241" s="17"/>
      <c r="S241" s="40"/>
      <c r="T241" s="17"/>
      <c r="U241" s="45" t="str">
        <f aca="false">IF(OR(D241="",S241="",OR(R241="Contract signed + paid",R241="Closed – No response",R241="Lost"),N(T241)&gt;=Settings!$S$3),"",S241+Settings!$S$2)</f>
        <v/>
      </c>
      <c r="V241" s="40"/>
      <c r="W241" s="41"/>
      <c r="X241" s="17"/>
      <c r="Y241" s="17"/>
      <c r="Z241" s="17"/>
      <c r="AA241" s="46" t="str">
        <f aca="true">IF(OR(D241="",B241=""),"",INT(TODAY()-B241))</f>
        <v/>
      </c>
      <c r="AB241" s="44" t="str">
        <f aca="true">IF(D241="","",IF(OR(COUNTIFS(Clients!$C$2:$C$501,D241,Clients!$S$2:$S$501,"Paid")&gt;0,AND(H241&lt;&gt;"",COUNTIFS(Clients!$E$2:$E$501,H241,Clients!$S$2:$S$501,"Paid")&gt;0)),"⚠ Refunded before – no free video",IF(OR(R241="Contract signed + paid",R241="Closed – No response",R241="Lost"),"",IF(R241="","Set a stage",IF(AND(R241="Proposal sent",SUMIFS(Scoresheet!$N$2:$N$501,Scoresheet!$C$2:$C$501,A241,Scoresheet!$U$2:$U$501,1)&lt;6),"Score this lead – fill the call scoresheet",IF(N(T241)&gt;=Settings!$S$3,"Close – 4 follow-ups sent",IF(U241="",IF(S241="","Make first contact",""),IF(TODAY()&gt;U241,"OVERDUE follow-up",IF(TODAY()=U241,"Follow up today","")))))))))</f>
        <v/>
      </c>
    </row>
    <row r="242" customFormat="false" ht="15" hidden="false" customHeight="false" outlineLevel="0" collapsed="false">
      <c r="A242" s="17"/>
      <c r="B242" s="40"/>
      <c r="C242" s="17"/>
      <c r="D242" s="17"/>
      <c r="E242" s="17"/>
      <c r="F242" s="17"/>
      <c r="G242" s="17"/>
      <c r="H242" s="42"/>
      <c r="I242" s="17"/>
      <c r="J242" s="17"/>
      <c r="K242" s="17"/>
      <c r="L242" s="17"/>
      <c r="M242" s="17"/>
      <c r="N242" s="44" t="str">
        <f aca="false">IF(OR(D242="",A242="",COUNTIFS(Scoresheet!$C$2:$C$501,A242,Scoresheet!$U$2:$U$501,1)=0),"",SUMIFS(Scoresheet!$O$2:$O$501,Scoresheet!$C$2:$C$501,A242,Scoresheet!$U$2:$U$501,1))</f>
        <v/>
      </c>
      <c r="O242" s="44" t="str">
        <f aca="false">IF(D242="","",IF(OR(A242="",COUNTIFS(Scoresheet!$C$2:$C$501,A242,Scoresheet!$U$2:$U$501,1)=0),"No scoresheet yet",IF(SUMIFS(Scoresheet!$N$2:$N$501,Scoresheet!$C$2:$C$501,A242,Scoresheet!$U$2:$U$501,1)&lt;6,"Partly scored ("&amp;SUMIFS(Scoresheet!$N$2:$N$501,Scoresheet!$C$2:$C$501,A242,Scoresheet!$U$2:$U$501,1)&amp;"/6)",IF(N242&gt;=Settings!$S$8,"Hot",IF(N242&gt;=Settings!$S$9,"Warm","Cold")))))</f>
        <v/>
      </c>
      <c r="P242" s="44" t="str">
        <f aca="false">IF(OR(D242="",A242=""),"",IF(AND(COUNTIFS(Scoresheet!$C$2:$C$501,A242,Scoresheet!$U$2:$U$501,1,Scoresheet!$H$2:$H$501,"No")&gt;0,COUNTIFS(Scoresheet!$C$2:$C$501,A242,Scoresheet!$U$2:$U$501,1,Scoresheet!$J$2:$J$501,"No")&gt;0),"🚩 Budget  ·  🚩 No one on camera",IF(COUNTIFS(Scoresheet!$C$2:$C$501,A242,Scoresheet!$U$2:$U$501,1,Scoresheet!$H$2:$H$501,"No")&gt;0,"🚩 Budget under AED 5k",IF(COUNTIFS(Scoresheet!$C$2:$C$501,A242,Scoresheet!$U$2:$U$501,1,Scoresheet!$J$2:$J$501,"No")&gt;0,"🚩 No one on camera",""))))</f>
        <v/>
      </c>
      <c r="Q242" s="17"/>
      <c r="R242" s="17"/>
      <c r="S242" s="40"/>
      <c r="T242" s="17"/>
      <c r="U242" s="45" t="str">
        <f aca="false">IF(OR(D242="",S242="",OR(R242="Contract signed + paid",R242="Closed – No response",R242="Lost"),N(T242)&gt;=Settings!$S$3),"",S242+Settings!$S$2)</f>
        <v/>
      </c>
      <c r="V242" s="40"/>
      <c r="W242" s="41"/>
      <c r="X242" s="17"/>
      <c r="Y242" s="17"/>
      <c r="Z242" s="17"/>
      <c r="AA242" s="46" t="str">
        <f aca="true">IF(OR(D242="",B242=""),"",INT(TODAY()-B242))</f>
        <v/>
      </c>
      <c r="AB242" s="44" t="str">
        <f aca="true">IF(D242="","",IF(OR(COUNTIFS(Clients!$C$2:$C$501,D242,Clients!$S$2:$S$501,"Paid")&gt;0,AND(H242&lt;&gt;"",COUNTIFS(Clients!$E$2:$E$501,H242,Clients!$S$2:$S$501,"Paid")&gt;0)),"⚠ Refunded before – no free video",IF(OR(R242="Contract signed + paid",R242="Closed – No response",R242="Lost"),"",IF(R242="","Set a stage",IF(AND(R242="Proposal sent",SUMIFS(Scoresheet!$N$2:$N$501,Scoresheet!$C$2:$C$501,A242,Scoresheet!$U$2:$U$501,1)&lt;6),"Score this lead – fill the call scoresheet",IF(N(T242)&gt;=Settings!$S$3,"Close – 4 follow-ups sent",IF(U242="",IF(S242="","Make first contact",""),IF(TODAY()&gt;U242,"OVERDUE follow-up",IF(TODAY()=U242,"Follow up today","")))))))))</f>
        <v/>
      </c>
    </row>
    <row r="243" customFormat="false" ht="15" hidden="false" customHeight="false" outlineLevel="0" collapsed="false">
      <c r="A243" s="17"/>
      <c r="B243" s="40"/>
      <c r="C243" s="17"/>
      <c r="D243" s="17"/>
      <c r="E243" s="17"/>
      <c r="F243" s="17"/>
      <c r="G243" s="17"/>
      <c r="H243" s="42"/>
      <c r="I243" s="17"/>
      <c r="J243" s="17"/>
      <c r="K243" s="17"/>
      <c r="L243" s="17"/>
      <c r="M243" s="17"/>
      <c r="N243" s="44" t="str">
        <f aca="false">IF(OR(D243="",A243="",COUNTIFS(Scoresheet!$C$2:$C$501,A243,Scoresheet!$U$2:$U$501,1)=0),"",SUMIFS(Scoresheet!$O$2:$O$501,Scoresheet!$C$2:$C$501,A243,Scoresheet!$U$2:$U$501,1))</f>
        <v/>
      </c>
      <c r="O243" s="44" t="str">
        <f aca="false">IF(D243="","",IF(OR(A243="",COUNTIFS(Scoresheet!$C$2:$C$501,A243,Scoresheet!$U$2:$U$501,1)=0),"No scoresheet yet",IF(SUMIFS(Scoresheet!$N$2:$N$501,Scoresheet!$C$2:$C$501,A243,Scoresheet!$U$2:$U$501,1)&lt;6,"Partly scored ("&amp;SUMIFS(Scoresheet!$N$2:$N$501,Scoresheet!$C$2:$C$501,A243,Scoresheet!$U$2:$U$501,1)&amp;"/6)",IF(N243&gt;=Settings!$S$8,"Hot",IF(N243&gt;=Settings!$S$9,"Warm","Cold")))))</f>
        <v/>
      </c>
      <c r="P243" s="44" t="str">
        <f aca="false">IF(OR(D243="",A243=""),"",IF(AND(COUNTIFS(Scoresheet!$C$2:$C$501,A243,Scoresheet!$U$2:$U$501,1,Scoresheet!$H$2:$H$501,"No")&gt;0,COUNTIFS(Scoresheet!$C$2:$C$501,A243,Scoresheet!$U$2:$U$501,1,Scoresheet!$J$2:$J$501,"No")&gt;0),"🚩 Budget  ·  🚩 No one on camera",IF(COUNTIFS(Scoresheet!$C$2:$C$501,A243,Scoresheet!$U$2:$U$501,1,Scoresheet!$H$2:$H$501,"No")&gt;0,"🚩 Budget under AED 5k",IF(COUNTIFS(Scoresheet!$C$2:$C$501,A243,Scoresheet!$U$2:$U$501,1,Scoresheet!$J$2:$J$501,"No")&gt;0,"🚩 No one on camera",""))))</f>
        <v/>
      </c>
      <c r="Q243" s="17"/>
      <c r="R243" s="17"/>
      <c r="S243" s="40"/>
      <c r="T243" s="17"/>
      <c r="U243" s="45" t="str">
        <f aca="false">IF(OR(D243="",S243="",OR(R243="Contract signed + paid",R243="Closed – No response",R243="Lost"),N(T243)&gt;=Settings!$S$3),"",S243+Settings!$S$2)</f>
        <v/>
      </c>
      <c r="V243" s="40"/>
      <c r="W243" s="41"/>
      <c r="X243" s="17"/>
      <c r="Y243" s="17"/>
      <c r="Z243" s="17"/>
      <c r="AA243" s="46" t="str">
        <f aca="true">IF(OR(D243="",B243=""),"",INT(TODAY()-B243))</f>
        <v/>
      </c>
      <c r="AB243" s="44" t="str">
        <f aca="true">IF(D243="","",IF(OR(COUNTIFS(Clients!$C$2:$C$501,D243,Clients!$S$2:$S$501,"Paid")&gt;0,AND(H243&lt;&gt;"",COUNTIFS(Clients!$E$2:$E$501,H243,Clients!$S$2:$S$501,"Paid")&gt;0)),"⚠ Refunded before – no free video",IF(OR(R243="Contract signed + paid",R243="Closed – No response",R243="Lost"),"",IF(R243="","Set a stage",IF(AND(R243="Proposal sent",SUMIFS(Scoresheet!$N$2:$N$501,Scoresheet!$C$2:$C$501,A243,Scoresheet!$U$2:$U$501,1)&lt;6),"Score this lead – fill the call scoresheet",IF(N(T243)&gt;=Settings!$S$3,"Close – 4 follow-ups sent",IF(U243="",IF(S243="","Make first contact",""),IF(TODAY()&gt;U243,"OVERDUE follow-up",IF(TODAY()=U243,"Follow up today","")))))))))</f>
        <v/>
      </c>
    </row>
    <row r="244" customFormat="false" ht="15" hidden="false" customHeight="false" outlineLevel="0" collapsed="false">
      <c r="A244" s="17"/>
      <c r="B244" s="40"/>
      <c r="C244" s="17"/>
      <c r="D244" s="17"/>
      <c r="E244" s="17"/>
      <c r="F244" s="17"/>
      <c r="G244" s="17"/>
      <c r="H244" s="42"/>
      <c r="I244" s="17"/>
      <c r="J244" s="17"/>
      <c r="K244" s="17"/>
      <c r="L244" s="17"/>
      <c r="M244" s="17"/>
      <c r="N244" s="44" t="str">
        <f aca="false">IF(OR(D244="",A244="",COUNTIFS(Scoresheet!$C$2:$C$501,A244,Scoresheet!$U$2:$U$501,1)=0),"",SUMIFS(Scoresheet!$O$2:$O$501,Scoresheet!$C$2:$C$501,A244,Scoresheet!$U$2:$U$501,1))</f>
        <v/>
      </c>
      <c r="O244" s="44" t="str">
        <f aca="false">IF(D244="","",IF(OR(A244="",COUNTIFS(Scoresheet!$C$2:$C$501,A244,Scoresheet!$U$2:$U$501,1)=0),"No scoresheet yet",IF(SUMIFS(Scoresheet!$N$2:$N$501,Scoresheet!$C$2:$C$501,A244,Scoresheet!$U$2:$U$501,1)&lt;6,"Partly scored ("&amp;SUMIFS(Scoresheet!$N$2:$N$501,Scoresheet!$C$2:$C$501,A244,Scoresheet!$U$2:$U$501,1)&amp;"/6)",IF(N244&gt;=Settings!$S$8,"Hot",IF(N244&gt;=Settings!$S$9,"Warm","Cold")))))</f>
        <v/>
      </c>
      <c r="P244" s="44" t="str">
        <f aca="false">IF(OR(D244="",A244=""),"",IF(AND(COUNTIFS(Scoresheet!$C$2:$C$501,A244,Scoresheet!$U$2:$U$501,1,Scoresheet!$H$2:$H$501,"No")&gt;0,COUNTIFS(Scoresheet!$C$2:$C$501,A244,Scoresheet!$U$2:$U$501,1,Scoresheet!$J$2:$J$501,"No")&gt;0),"🚩 Budget  ·  🚩 No one on camera",IF(COUNTIFS(Scoresheet!$C$2:$C$501,A244,Scoresheet!$U$2:$U$501,1,Scoresheet!$H$2:$H$501,"No")&gt;0,"🚩 Budget under AED 5k",IF(COUNTIFS(Scoresheet!$C$2:$C$501,A244,Scoresheet!$U$2:$U$501,1,Scoresheet!$J$2:$J$501,"No")&gt;0,"🚩 No one on camera",""))))</f>
        <v/>
      </c>
      <c r="Q244" s="17"/>
      <c r="R244" s="17"/>
      <c r="S244" s="40"/>
      <c r="T244" s="17"/>
      <c r="U244" s="45" t="str">
        <f aca="false">IF(OR(D244="",S244="",OR(R244="Contract signed + paid",R244="Closed – No response",R244="Lost"),N(T244)&gt;=Settings!$S$3),"",S244+Settings!$S$2)</f>
        <v/>
      </c>
      <c r="V244" s="40"/>
      <c r="W244" s="41"/>
      <c r="X244" s="17"/>
      <c r="Y244" s="17"/>
      <c r="Z244" s="17"/>
      <c r="AA244" s="46" t="str">
        <f aca="true">IF(OR(D244="",B244=""),"",INT(TODAY()-B244))</f>
        <v/>
      </c>
      <c r="AB244" s="44" t="str">
        <f aca="true">IF(D244="","",IF(OR(COUNTIFS(Clients!$C$2:$C$501,D244,Clients!$S$2:$S$501,"Paid")&gt;0,AND(H244&lt;&gt;"",COUNTIFS(Clients!$E$2:$E$501,H244,Clients!$S$2:$S$501,"Paid")&gt;0)),"⚠ Refunded before – no free video",IF(OR(R244="Contract signed + paid",R244="Closed – No response",R244="Lost"),"",IF(R244="","Set a stage",IF(AND(R244="Proposal sent",SUMIFS(Scoresheet!$N$2:$N$501,Scoresheet!$C$2:$C$501,A244,Scoresheet!$U$2:$U$501,1)&lt;6),"Score this lead – fill the call scoresheet",IF(N(T244)&gt;=Settings!$S$3,"Close – 4 follow-ups sent",IF(U244="",IF(S244="","Make first contact",""),IF(TODAY()&gt;U244,"OVERDUE follow-up",IF(TODAY()=U244,"Follow up today","")))))))))</f>
        <v/>
      </c>
    </row>
    <row r="245" customFormat="false" ht="15" hidden="false" customHeight="false" outlineLevel="0" collapsed="false">
      <c r="A245" s="17"/>
      <c r="B245" s="40"/>
      <c r="C245" s="17"/>
      <c r="D245" s="17"/>
      <c r="E245" s="17"/>
      <c r="F245" s="17"/>
      <c r="G245" s="17"/>
      <c r="H245" s="42"/>
      <c r="I245" s="17"/>
      <c r="J245" s="17"/>
      <c r="K245" s="17"/>
      <c r="L245" s="17"/>
      <c r="M245" s="17"/>
      <c r="N245" s="44" t="str">
        <f aca="false">IF(OR(D245="",A245="",COUNTIFS(Scoresheet!$C$2:$C$501,A245,Scoresheet!$U$2:$U$501,1)=0),"",SUMIFS(Scoresheet!$O$2:$O$501,Scoresheet!$C$2:$C$501,A245,Scoresheet!$U$2:$U$501,1))</f>
        <v/>
      </c>
      <c r="O245" s="44" t="str">
        <f aca="false">IF(D245="","",IF(OR(A245="",COUNTIFS(Scoresheet!$C$2:$C$501,A245,Scoresheet!$U$2:$U$501,1)=0),"No scoresheet yet",IF(SUMIFS(Scoresheet!$N$2:$N$501,Scoresheet!$C$2:$C$501,A245,Scoresheet!$U$2:$U$501,1)&lt;6,"Partly scored ("&amp;SUMIFS(Scoresheet!$N$2:$N$501,Scoresheet!$C$2:$C$501,A245,Scoresheet!$U$2:$U$501,1)&amp;"/6)",IF(N245&gt;=Settings!$S$8,"Hot",IF(N245&gt;=Settings!$S$9,"Warm","Cold")))))</f>
        <v/>
      </c>
      <c r="P245" s="44" t="str">
        <f aca="false">IF(OR(D245="",A245=""),"",IF(AND(COUNTIFS(Scoresheet!$C$2:$C$501,A245,Scoresheet!$U$2:$U$501,1,Scoresheet!$H$2:$H$501,"No")&gt;0,COUNTIFS(Scoresheet!$C$2:$C$501,A245,Scoresheet!$U$2:$U$501,1,Scoresheet!$J$2:$J$501,"No")&gt;0),"🚩 Budget  ·  🚩 No one on camera",IF(COUNTIFS(Scoresheet!$C$2:$C$501,A245,Scoresheet!$U$2:$U$501,1,Scoresheet!$H$2:$H$501,"No")&gt;0,"🚩 Budget under AED 5k",IF(COUNTIFS(Scoresheet!$C$2:$C$501,A245,Scoresheet!$U$2:$U$501,1,Scoresheet!$J$2:$J$501,"No")&gt;0,"🚩 No one on camera",""))))</f>
        <v/>
      </c>
      <c r="Q245" s="17"/>
      <c r="R245" s="17"/>
      <c r="S245" s="40"/>
      <c r="T245" s="17"/>
      <c r="U245" s="45" t="str">
        <f aca="false">IF(OR(D245="",S245="",OR(R245="Contract signed + paid",R245="Closed – No response",R245="Lost"),N(T245)&gt;=Settings!$S$3),"",S245+Settings!$S$2)</f>
        <v/>
      </c>
      <c r="V245" s="40"/>
      <c r="W245" s="41"/>
      <c r="X245" s="17"/>
      <c r="Y245" s="17"/>
      <c r="Z245" s="17"/>
      <c r="AA245" s="46" t="str">
        <f aca="true">IF(OR(D245="",B245=""),"",INT(TODAY()-B245))</f>
        <v/>
      </c>
      <c r="AB245" s="44" t="str">
        <f aca="true">IF(D245="","",IF(OR(COUNTIFS(Clients!$C$2:$C$501,D245,Clients!$S$2:$S$501,"Paid")&gt;0,AND(H245&lt;&gt;"",COUNTIFS(Clients!$E$2:$E$501,H245,Clients!$S$2:$S$501,"Paid")&gt;0)),"⚠ Refunded before – no free video",IF(OR(R245="Contract signed + paid",R245="Closed – No response",R245="Lost"),"",IF(R245="","Set a stage",IF(AND(R245="Proposal sent",SUMIFS(Scoresheet!$N$2:$N$501,Scoresheet!$C$2:$C$501,A245,Scoresheet!$U$2:$U$501,1)&lt;6),"Score this lead – fill the call scoresheet",IF(N(T245)&gt;=Settings!$S$3,"Close – 4 follow-ups sent",IF(U245="",IF(S245="","Make first contact",""),IF(TODAY()&gt;U245,"OVERDUE follow-up",IF(TODAY()=U245,"Follow up today","")))))))))</f>
        <v/>
      </c>
    </row>
    <row r="246" customFormat="false" ht="15" hidden="false" customHeight="false" outlineLevel="0" collapsed="false">
      <c r="A246" s="17"/>
      <c r="B246" s="40"/>
      <c r="C246" s="17"/>
      <c r="D246" s="17"/>
      <c r="E246" s="17"/>
      <c r="F246" s="17"/>
      <c r="G246" s="17"/>
      <c r="H246" s="42"/>
      <c r="I246" s="17"/>
      <c r="J246" s="17"/>
      <c r="K246" s="17"/>
      <c r="L246" s="17"/>
      <c r="M246" s="17"/>
      <c r="N246" s="44" t="str">
        <f aca="false">IF(OR(D246="",A246="",COUNTIFS(Scoresheet!$C$2:$C$501,A246,Scoresheet!$U$2:$U$501,1)=0),"",SUMIFS(Scoresheet!$O$2:$O$501,Scoresheet!$C$2:$C$501,A246,Scoresheet!$U$2:$U$501,1))</f>
        <v/>
      </c>
      <c r="O246" s="44" t="str">
        <f aca="false">IF(D246="","",IF(OR(A246="",COUNTIFS(Scoresheet!$C$2:$C$501,A246,Scoresheet!$U$2:$U$501,1)=0),"No scoresheet yet",IF(SUMIFS(Scoresheet!$N$2:$N$501,Scoresheet!$C$2:$C$501,A246,Scoresheet!$U$2:$U$501,1)&lt;6,"Partly scored ("&amp;SUMIFS(Scoresheet!$N$2:$N$501,Scoresheet!$C$2:$C$501,A246,Scoresheet!$U$2:$U$501,1)&amp;"/6)",IF(N246&gt;=Settings!$S$8,"Hot",IF(N246&gt;=Settings!$S$9,"Warm","Cold")))))</f>
        <v/>
      </c>
      <c r="P246" s="44" t="str">
        <f aca="false">IF(OR(D246="",A246=""),"",IF(AND(COUNTIFS(Scoresheet!$C$2:$C$501,A246,Scoresheet!$U$2:$U$501,1,Scoresheet!$H$2:$H$501,"No")&gt;0,COUNTIFS(Scoresheet!$C$2:$C$501,A246,Scoresheet!$U$2:$U$501,1,Scoresheet!$J$2:$J$501,"No")&gt;0),"🚩 Budget  ·  🚩 No one on camera",IF(COUNTIFS(Scoresheet!$C$2:$C$501,A246,Scoresheet!$U$2:$U$501,1,Scoresheet!$H$2:$H$501,"No")&gt;0,"🚩 Budget under AED 5k",IF(COUNTIFS(Scoresheet!$C$2:$C$501,A246,Scoresheet!$U$2:$U$501,1,Scoresheet!$J$2:$J$501,"No")&gt;0,"🚩 No one on camera",""))))</f>
        <v/>
      </c>
      <c r="Q246" s="17"/>
      <c r="R246" s="17"/>
      <c r="S246" s="40"/>
      <c r="T246" s="17"/>
      <c r="U246" s="45" t="str">
        <f aca="false">IF(OR(D246="",S246="",OR(R246="Contract signed + paid",R246="Closed – No response",R246="Lost"),N(T246)&gt;=Settings!$S$3),"",S246+Settings!$S$2)</f>
        <v/>
      </c>
      <c r="V246" s="40"/>
      <c r="W246" s="41"/>
      <c r="X246" s="17"/>
      <c r="Y246" s="17"/>
      <c r="Z246" s="17"/>
      <c r="AA246" s="46" t="str">
        <f aca="true">IF(OR(D246="",B246=""),"",INT(TODAY()-B246))</f>
        <v/>
      </c>
      <c r="AB246" s="44" t="str">
        <f aca="true">IF(D246="","",IF(OR(COUNTIFS(Clients!$C$2:$C$501,D246,Clients!$S$2:$S$501,"Paid")&gt;0,AND(H246&lt;&gt;"",COUNTIFS(Clients!$E$2:$E$501,H246,Clients!$S$2:$S$501,"Paid")&gt;0)),"⚠ Refunded before – no free video",IF(OR(R246="Contract signed + paid",R246="Closed – No response",R246="Lost"),"",IF(R246="","Set a stage",IF(AND(R246="Proposal sent",SUMIFS(Scoresheet!$N$2:$N$501,Scoresheet!$C$2:$C$501,A246,Scoresheet!$U$2:$U$501,1)&lt;6),"Score this lead – fill the call scoresheet",IF(N(T246)&gt;=Settings!$S$3,"Close – 4 follow-ups sent",IF(U246="",IF(S246="","Make first contact",""),IF(TODAY()&gt;U246,"OVERDUE follow-up",IF(TODAY()=U246,"Follow up today","")))))))))</f>
        <v/>
      </c>
    </row>
    <row r="247" customFormat="false" ht="15" hidden="false" customHeight="false" outlineLevel="0" collapsed="false">
      <c r="A247" s="17"/>
      <c r="B247" s="40"/>
      <c r="C247" s="17"/>
      <c r="D247" s="17"/>
      <c r="E247" s="17"/>
      <c r="F247" s="17"/>
      <c r="G247" s="17"/>
      <c r="H247" s="42"/>
      <c r="I247" s="17"/>
      <c r="J247" s="17"/>
      <c r="K247" s="17"/>
      <c r="L247" s="17"/>
      <c r="M247" s="17"/>
      <c r="N247" s="44" t="str">
        <f aca="false">IF(OR(D247="",A247="",COUNTIFS(Scoresheet!$C$2:$C$501,A247,Scoresheet!$U$2:$U$501,1)=0),"",SUMIFS(Scoresheet!$O$2:$O$501,Scoresheet!$C$2:$C$501,A247,Scoresheet!$U$2:$U$501,1))</f>
        <v/>
      </c>
      <c r="O247" s="44" t="str">
        <f aca="false">IF(D247="","",IF(OR(A247="",COUNTIFS(Scoresheet!$C$2:$C$501,A247,Scoresheet!$U$2:$U$501,1)=0),"No scoresheet yet",IF(SUMIFS(Scoresheet!$N$2:$N$501,Scoresheet!$C$2:$C$501,A247,Scoresheet!$U$2:$U$501,1)&lt;6,"Partly scored ("&amp;SUMIFS(Scoresheet!$N$2:$N$501,Scoresheet!$C$2:$C$501,A247,Scoresheet!$U$2:$U$501,1)&amp;"/6)",IF(N247&gt;=Settings!$S$8,"Hot",IF(N247&gt;=Settings!$S$9,"Warm","Cold")))))</f>
        <v/>
      </c>
      <c r="P247" s="44" t="str">
        <f aca="false">IF(OR(D247="",A247=""),"",IF(AND(COUNTIFS(Scoresheet!$C$2:$C$501,A247,Scoresheet!$U$2:$U$501,1,Scoresheet!$H$2:$H$501,"No")&gt;0,COUNTIFS(Scoresheet!$C$2:$C$501,A247,Scoresheet!$U$2:$U$501,1,Scoresheet!$J$2:$J$501,"No")&gt;0),"🚩 Budget  ·  🚩 No one on camera",IF(COUNTIFS(Scoresheet!$C$2:$C$501,A247,Scoresheet!$U$2:$U$501,1,Scoresheet!$H$2:$H$501,"No")&gt;0,"🚩 Budget under AED 5k",IF(COUNTIFS(Scoresheet!$C$2:$C$501,A247,Scoresheet!$U$2:$U$501,1,Scoresheet!$J$2:$J$501,"No")&gt;0,"🚩 No one on camera",""))))</f>
        <v/>
      </c>
      <c r="Q247" s="17"/>
      <c r="R247" s="17"/>
      <c r="S247" s="40"/>
      <c r="T247" s="17"/>
      <c r="U247" s="45" t="str">
        <f aca="false">IF(OR(D247="",S247="",OR(R247="Contract signed + paid",R247="Closed – No response",R247="Lost"),N(T247)&gt;=Settings!$S$3),"",S247+Settings!$S$2)</f>
        <v/>
      </c>
      <c r="V247" s="40"/>
      <c r="W247" s="41"/>
      <c r="X247" s="17"/>
      <c r="Y247" s="17"/>
      <c r="Z247" s="17"/>
      <c r="AA247" s="46" t="str">
        <f aca="true">IF(OR(D247="",B247=""),"",INT(TODAY()-B247))</f>
        <v/>
      </c>
      <c r="AB247" s="44" t="str">
        <f aca="true">IF(D247="","",IF(OR(COUNTIFS(Clients!$C$2:$C$501,D247,Clients!$S$2:$S$501,"Paid")&gt;0,AND(H247&lt;&gt;"",COUNTIFS(Clients!$E$2:$E$501,H247,Clients!$S$2:$S$501,"Paid")&gt;0)),"⚠ Refunded before – no free video",IF(OR(R247="Contract signed + paid",R247="Closed – No response",R247="Lost"),"",IF(R247="","Set a stage",IF(AND(R247="Proposal sent",SUMIFS(Scoresheet!$N$2:$N$501,Scoresheet!$C$2:$C$501,A247,Scoresheet!$U$2:$U$501,1)&lt;6),"Score this lead – fill the call scoresheet",IF(N(T247)&gt;=Settings!$S$3,"Close – 4 follow-ups sent",IF(U247="",IF(S247="","Make first contact",""),IF(TODAY()&gt;U247,"OVERDUE follow-up",IF(TODAY()=U247,"Follow up today","")))))))))</f>
        <v/>
      </c>
    </row>
    <row r="248" customFormat="false" ht="15" hidden="false" customHeight="false" outlineLevel="0" collapsed="false">
      <c r="A248" s="17"/>
      <c r="B248" s="40"/>
      <c r="C248" s="17"/>
      <c r="D248" s="17"/>
      <c r="E248" s="17"/>
      <c r="F248" s="17"/>
      <c r="G248" s="17"/>
      <c r="H248" s="42"/>
      <c r="I248" s="17"/>
      <c r="J248" s="17"/>
      <c r="K248" s="17"/>
      <c r="L248" s="17"/>
      <c r="M248" s="17"/>
      <c r="N248" s="44" t="str">
        <f aca="false">IF(OR(D248="",A248="",COUNTIFS(Scoresheet!$C$2:$C$501,A248,Scoresheet!$U$2:$U$501,1)=0),"",SUMIFS(Scoresheet!$O$2:$O$501,Scoresheet!$C$2:$C$501,A248,Scoresheet!$U$2:$U$501,1))</f>
        <v/>
      </c>
      <c r="O248" s="44" t="str">
        <f aca="false">IF(D248="","",IF(OR(A248="",COUNTIFS(Scoresheet!$C$2:$C$501,A248,Scoresheet!$U$2:$U$501,1)=0),"No scoresheet yet",IF(SUMIFS(Scoresheet!$N$2:$N$501,Scoresheet!$C$2:$C$501,A248,Scoresheet!$U$2:$U$501,1)&lt;6,"Partly scored ("&amp;SUMIFS(Scoresheet!$N$2:$N$501,Scoresheet!$C$2:$C$501,A248,Scoresheet!$U$2:$U$501,1)&amp;"/6)",IF(N248&gt;=Settings!$S$8,"Hot",IF(N248&gt;=Settings!$S$9,"Warm","Cold")))))</f>
        <v/>
      </c>
      <c r="P248" s="44" t="str">
        <f aca="false">IF(OR(D248="",A248=""),"",IF(AND(COUNTIFS(Scoresheet!$C$2:$C$501,A248,Scoresheet!$U$2:$U$501,1,Scoresheet!$H$2:$H$501,"No")&gt;0,COUNTIFS(Scoresheet!$C$2:$C$501,A248,Scoresheet!$U$2:$U$501,1,Scoresheet!$J$2:$J$501,"No")&gt;0),"🚩 Budget  ·  🚩 No one on camera",IF(COUNTIFS(Scoresheet!$C$2:$C$501,A248,Scoresheet!$U$2:$U$501,1,Scoresheet!$H$2:$H$501,"No")&gt;0,"🚩 Budget under AED 5k",IF(COUNTIFS(Scoresheet!$C$2:$C$501,A248,Scoresheet!$U$2:$U$501,1,Scoresheet!$J$2:$J$501,"No")&gt;0,"🚩 No one on camera",""))))</f>
        <v/>
      </c>
      <c r="Q248" s="17"/>
      <c r="R248" s="17"/>
      <c r="S248" s="40"/>
      <c r="T248" s="17"/>
      <c r="U248" s="45" t="str">
        <f aca="false">IF(OR(D248="",S248="",OR(R248="Contract signed + paid",R248="Closed – No response",R248="Lost"),N(T248)&gt;=Settings!$S$3),"",S248+Settings!$S$2)</f>
        <v/>
      </c>
      <c r="V248" s="40"/>
      <c r="W248" s="41"/>
      <c r="X248" s="17"/>
      <c r="Y248" s="17"/>
      <c r="Z248" s="17"/>
      <c r="AA248" s="46" t="str">
        <f aca="true">IF(OR(D248="",B248=""),"",INT(TODAY()-B248))</f>
        <v/>
      </c>
      <c r="AB248" s="44" t="str">
        <f aca="true">IF(D248="","",IF(OR(COUNTIFS(Clients!$C$2:$C$501,D248,Clients!$S$2:$S$501,"Paid")&gt;0,AND(H248&lt;&gt;"",COUNTIFS(Clients!$E$2:$E$501,H248,Clients!$S$2:$S$501,"Paid")&gt;0)),"⚠ Refunded before – no free video",IF(OR(R248="Contract signed + paid",R248="Closed – No response",R248="Lost"),"",IF(R248="","Set a stage",IF(AND(R248="Proposal sent",SUMIFS(Scoresheet!$N$2:$N$501,Scoresheet!$C$2:$C$501,A248,Scoresheet!$U$2:$U$501,1)&lt;6),"Score this lead – fill the call scoresheet",IF(N(T248)&gt;=Settings!$S$3,"Close – 4 follow-ups sent",IF(U248="",IF(S248="","Make first contact",""),IF(TODAY()&gt;U248,"OVERDUE follow-up",IF(TODAY()=U248,"Follow up today","")))))))))</f>
        <v/>
      </c>
    </row>
    <row r="249" customFormat="false" ht="15" hidden="false" customHeight="false" outlineLevel="0" collapsed="false">
      <c r="A249" s="17"/>
      <c r="B249" s="40"/>
      <c r="C249" s="17"/>
      <c r="D249" s="17"/>
      <c r="E249" s="17"/>
      <c r="F249" s="17"/>
      <c r="G249" s="17"/>
      <c r="H249" s="42"/>
      <c r="I249" s="17"/>
      <c r="J249" s="17"/>
      <c r="K249" s="17"/>
      <c r="L249" s="17"/>
      <c r="M249" s="17"/>
      <c r="N249" s="44" t="str">
        <f aca="false">IF(OR(D249="",A249="",COUNTIFS(Scoresheet!$C$2:$C$501,A249,Scoresheet!$U$2:$U$501,1)=0),"",SUMIFS(Scoresheet!$O$2:$O$501,Scoresheet!$C$2:$C$501,A249,Scoresheet!$U$2:$U$501,1))</f>
        <v/>
      </c>
      <c r="O249" s="44" t="str">
        <f aca="false">IF(D249="","",IF(OR(A249="",COUNTIFS(Scoresheet!$C$2:$C$501,A249,Scoresheet!$U$2:$U$501,1)=0),"No scoresheet yet",IF(SUMIFS(Scoresheet!$N$2:$N$501,Scoresheet!$C$2:$C$501,A249,Scoresheet!$U$2:$U$501,1)&lt;6,"Partly scored ("&amp;SUMIFS(Scoresheet!$N$2:$N$501,Scoresheet!$C$2:$C$501,A249,Scoresheet!$U$2:$U$501,1)&amp;"/6)",IF(N249&gt;=Settings!$S$8,"Hot",IF(N249&gt;=Settings!$S$9,"Warm","Cold")))))</f>
        <v/>
      </c>
      <c r="P249" s="44" t="str">
        <f aca="false">IF(OR(D249="",A249=""),"",IF(AND(COUNTIFS(Scoresheet!$C$2:$C$501,A249,Scoresheet!$U$2:$U$501,1,Scoresheet!$H$2:$H$501,"No")&gt;0,COUNTIFS(Scoresheet!$C$2:$C$501,A249,Scoresheet!$U$2:$U$501,1,Scoresheet!$J$2:$J$501,"No")&gt;0),"🚩 Budget  ·  🚩 No one on camera",IF(COUNTIFS(Scoresheet!$C$2:$C$501,A249,Scoresheet!$U$2:$U$501,1,Scoresheet!$H$2:$H$501,"No")&gt;0,"🚩 Budget under AED 5k",IF(COUNTIFS(Scoresheet!$C$2:$C$501,A249,Scoresheet!$U$2:$U$501,1,Scoresheet!$J$2:$J$501,"No")&gt;0,"🚩 No one on camera",""))))</f>
        <v/>
      </c>
      <c r="Q249" s="17"/>
      <c r="R249" s="17"/>
      <c r="S249" s="40"/>
      <c r="T249" s="17"/>
      <c r="U249" s="45" t="str">
        <f aca="false">IF(OR(D249="",S249="",OR(R249="Contract signed + paid",R249="Closed – No response",R249="Lost"),N(T249)&gt;=Settings!$S$3),"",S249+Settings!$S$2)</f>
        <v/>
      </c>
      <c r="V249" s="40"/>
      <c r="W249" s="41"/>
      <c r="X249" s="17"/>
      <c r="Y249" s="17"/>
      <c r="Z249" s="17"/>
      <c r="AA249" s="46" t="str">
        <f aca="true">IF(OR(D249="",B249=""),"",INT(TODAY()-B249))</f>
        <v/>
      </c>
      <c r="AB249" s="44" t="str">
        <f aca="true">IF(D249="","",IF(OR(COUNTIFS(Clients!$C$2:$C$501,D249,Clients!$S$2:$S$501,"Paid")&gt;0,AND(H249&lt;&gt;"",COUNTIFS(Clients!$E$2:$E$501,H249,Clients!$S$2:$S$501,"Paid")&gt;0)),"⚠ Refunded before – no free video",IF(OR(R249="Contract signed + paid",R249="Closed – No response",R249="Lost"),"",IF(R249="","Set a stage",IF(AND(R249="Proposal sent",SUMIFS(Scoresheet!$N$2:$N$501,Scoresheet!$C$2:$C$501,A249,Scoresheet!$U$2:$U$501,1)&lt;6),"Score this lead – fill the call scoresheet",IF(N(T249)&gt;=Settings!$S$3,"Close – 4 follow-ups sent",IF(U249="",IF(S249="","Make first contact",""),IF(TODAY()&gt;U249,"OVERDUE follow-up",IF(TODAY()=U249,"Follow up today","")))))))))</f>
        <v/>
      </c>
    </row>
    <row r="250" customFormat="false" ht="15" hidden="false" customHeight="false" outlineLevel="0" collapsed="false">
      <c r="A250" s="17"/>
      <c r="B250" s="40"/>
      <c r="C250" s="17"/>
      <c r="D250" s="17"/>
      <c r="E250" s="17"/>
      <c r="F250" s="17"/>
      <c r="G250" s="17"/>
      <c r="H250" s="42"/>
      <c r="I250" s="17"/>
      <c r="J250" s="17"/>
      <c r="K250" s="17"/>
      <c r="L250" s="17"/>
      <c r="M250" s="17"/>
      <c r="N250" s="44" t="str">
        <f aca="false">IF(OR(D250="",A250="",COUNTIFS(Scoresheet!$C$2:$C$501,A250,Scoresheet!$U$2:$U$501,1)=0),"",SUMIFS(Scoresheet!$O$2:$O$501,Scoresheet!$C$2:$C$501,A250,Scoresheet!$U$2:$U$501,1))</f>
        <v/>
      </c>
      <c r="O250" s="44" t="str">
        <f aca="false">IF(D250="","",IF(OR(A250="",COUNTIFS(Scoresheet!$C$2:$C$501,A250,Scoresheet!$U$2:$U$501,1)=0),"No scoresheet yet",IF(SUMIFS(Scoresheet!$N$2:$N$501,Scoresheet!$C$2:$C$501,A250,Scoresheet!$U$2:$U$501,1)&lt;6,"Partly scored ("&amp;SUMIFS(Scoresheet!$N$2:$N$501,Scoresheet!$C$2:$C$501,A250,Scoresheet!$U$2:$U$501,1)&amp;"/6)",IF(N250&gt;=Settings!$S$8,"Hot",IF(N250&gt;=Settings!$S$9,"Warm","Cold")))))</f>
        <v/>
      </c>
      <c r="P250" s="44" t="str">
        <f aca="false">IF(OR(D250="",A250=""),"",IF(AND(COUNTIFS(Scoresheet!$C$2:$C$501,A250,Scoresheet!$U$2:$U$501,1,Scoresheet!$H$2:$H$501,"No")&gt;0,COUNTIFS(Scoresheet!$C$2:$C$501,A250,Scoresheet!$U$2:$U$501,1,Scoresheet!$J$2:$J$501,"No")&gt;0),"🚩 Budget  ·  🚩 No one on camera",IF(COUNTIFS(Scoresheet!$C$2:$C$501,A250,Scoresheet!$U$2:$U$501,1,Scoresheet!$H$2:$H$501,"No")&gt;0,"🚩 Budget under AED 5k",IF(COUNTIFS(Scoresheet!$C$2:$C$501,A250,Scoresheet!$U$2:$U$501,1,Scoresheet!$J$2:$J$501,"No")&gt;0,"🚩 No one on camera",""))))</f>
        <v/>
      </c>
      <c r="Q250" s="17"/>
      <c r="R250" s="17"/>
      <c r="S250" s="40"/>
      <c r="T250" s="17"/>
      <c r="U250" s="45" t="str">
        <f aca="false">IF(OR(D250="",S250="",OR(R250="Contract signed + paid",R250="Closed – No response",R250="Lost"),N(T250)&gt;=Settings!$S$3),"",S250+Settings!$S$2)</f>
        <v/>
      </c>
      <c r="V250" s="40"/>
      <c r="W250" s="41"/>
      <c r="X250" s="17"/>
      <c r="Y250" s="17"/>
      <c r="Z250" s="17"/>
      <c r="AA250" s="46" t="str">
        <f aca="true">IF(OR(D250="",B250=""),"",INT(TODAY()-B250))</f>
        <v/>
      </c>
      <c r="AB250" s="44" t="str">
        <f aca="true">IF(D250="","",IF(OR(COUNTIFS(Clients!$C$2:$C$501,D250,Clients!$S$2:$S$501,"Paid")&gt;0,AND(H250&lt;&gt;"",COUNTIFS(Clients!$E$2:$E$501,H250,Clients!$S$2:$S$501,"Paid")&gt;0)),"⚠ Refunded before – no free video",IF(OR(R250="Contract signed + paid",R250="Closed – No response",R250="Lost"),"",IF(R250="","Set a stage",IF(AND(R250="Proposal sent",SUMIFS(Scoresheet!$N$2:$N$501,Scoresheet!$C$2:$C$501,A250,Scoresheet!$U$2:$U$501,1)&lt;6),"Score this lead – fill the call scoresheet",IF(N(T250)&gt;=Settings!$S$3,"Close – 4 follow-ups sent",IF(U250="",IF(S250="","Make first contact",""),IF(TODAY()&gt;U250,"OVERDUE follow-up",IF(TODAY()=U250,"Follow up today","")))))))))</f>
        <v/>
      </c>
    </row>
    <row r="251" customFormat="false" ht="15" hidden="false" customHeight="false" outlineLevel="0" collapsed="false">
      <c r="A251" s="17"/>
      <c r="B251" s="40"/>
      <c r="C251" s="17"/>
      <c r="D251" s="17"/>
      <c r="E251" s="17"/>
      <c r="F251" s="17"/>
      <c r="G251" s="17"/>
      <c r="H251" s="42"/>
      <c r="I251" s="17"/>
      <c r="J251" s="17"/>
      <c r="K251" s="17"/>
      <c r="L251" s="17"/>
      <c r="M251" s="17"/>
      <c r="N251" s="44" t="str">
        <f aca="false">IF(OR(D251="",A251="",COUNTIFS(Scoresheet!$C$2:$C$501,A251,Scoresheet!$U$2:$U$501,1)=0),"",SUMIFS(Scoresheet!$O$2:$O$501,Scoresheet!$C$2:$C$501,A251,Scoresheet!$U$2:$U$501,1))</f>
        <v/>
      </c>
      <c r="O251" s="44" t="str">
        <f aca="false">IF(D251="","",IF(OR(A251="",COUNTIFS(Scoresheet!$C$2:$C$501,A251,Scoresheet!$U$2:$U$501,1)=0),"No scoresheet yet",IF(SUMIFS(Scoresheet!$N$2:$N$501,Scoresheet!$C$2:$C$501,A251,Scoresheet!$U$2:$U$501,1)&lt;6,"Partly scored ("&amp;SUMIFS(Scoresheet!$N$2:$N$501,Scoresheet!$C$2:$C$501,A251,Scoresheet!$U$2:$U$501,1)&amp;"/6)",IF(N251&gt;=Settings!$S$8,"Hot",IF(N251&gt;=Settings!$S$9,"Warm","Cold")))))</f>
        <v/>
      </c>
      <c r="P251" s="44" t="str">
        <f aca="false">IF(OR(D251="",A251=""),"",IF(AND(COUNTIFS(Scoresheet!$C$2:$C$501,A251,Scoresheet!$U$2:$U$501,1,Scoresheet!$H$2:$H$501,"No")&gt;0,COUNTIFS(Scoresheet!$C$2:$C$501,A251,Scoresheet!$U$2:$U$501,1,Scoresheet!$J$2:$J$501,"No")&gt;0),"🚩 Budget  ·  🚩 No one on camera",IF(COUNTIFS(Scoresheet!$C$2:$C$501,A251,Scoresheet!$U$2:$U$501,1,Scoresheet!$H$2:$H$501,"No")&gt;0,"🚩 Budget under AED 5k",IF(COUNTIFS(Scoresheet!$C$2:$C$501,A251,Scoresheet!$U$2:$U$501,1,Scoresheet!$J$2:$J$501,"No")&gt;0,"🚩 No one on camera",""))))</f>
        <v/>
      </c>
      <c r="Q251" s="17"/>
      <c r="R251" s="17"/>
      <c r="S251" s="40"/>
      <c r="T251" s="17"/>
      <c r="U251" s="45" t="str">
        <f aca="false">IF(OR(D251="",S251="",OR(R251="Contract signed + paid",R251="Closed – No response",R251="Lost"),N(T251)&gt;=Settings!$S$3),"",S251+Settings!$S$2)</f>
        <v/>
      </c>
      <c r="V251" s="40"/>
      <c r="W251" s="41"/>
      <c r="X251" s="17"/>
      <c r="Y251" s="17"/>
      <c r="Z251" s="17"/>
      <c r="AA251" s="46" t="str">
        <f aca="true">IF(OR(D251="",B251=""),"",INT(TODAY()-B251))</f>
        <v/>
      </c>
      <c r="AB251" s="44" t="str">
        <f aca="true">IF(D251="","",IF(OR(COUNTIFS(Clients!$C$2:$C$501,D251,Clients!$S$2:$S$501,"Paid")&gt;0,AND(H251&lt;&gt;"",COUNTIFS(Clients!$E$2:$E$501,H251,Clients!$S$2:$S$501,"Paid")&gt;0)),"⚠ Refunded before – no free video",IF(OR(R251="Contract signed + paid",R251="Closed – No response",R251="Lost"),"",IF(R251="","Set a stage",IF(AND(R251="Proposal sent",SUMIFS(Scoresheet!$N$2:$N$501,Scoresheet!$C$2:$C$501,A251,Scoresheet!$U$2:$U$501,1)&lt;6),"Score this lead – fill the call scoresheet",IF(N(T251)&gt;=Settings!$S$3,"Close – 4 follow-ups sent",IF(U251="",IF(S251="","Make first contact",""),IF(TODAY()&gt;U251,"OVERDUE follow-up",IF(TODAY()=U251,"Follow up today","")))))))))</f>
        <v/>
      </c>
    </row>
    <row r="252" customFormat="false" ht="15" hidden="false" customHeight="false" outlineLevel="0" collapsed="false">
      <c r="A252" s="17"/>
      <c r="B252" s="40"/>
      <c r="C252" s="17"/>
      <c r="D252" s="17"/>
      <c r="E252" s="17"/>
      <c r="F252" s="17"/>
      <c r="G252" s="17"/>
      <c r="H252" s="42"/>
      <c r="I252" s="17"/>
      <c r="J252" s="17"/>
      <c r="K252" s="17"/>
      <c r="L252" s="17"/>
      <c r="M252" s="17"/>
      <c r="N252" s="44" t="str">
        <f aca="false">IF(OR(D252="",A252="",COUNTIFS(Scoresheet!$C$2:$C$501,A252,Scoresheet!$U$2:$U$501,1)=0),"",SUMIFS(Scoresheet!$O$2:$O$501,Scoresheet!$C$2:$C$501,A252,Scoresheet!$U$2:$U$501,1))</f>
        <v/>
      </c>
      <c r="O252" s="44" t="str">
        <f aca="false">IF(D252="","",IF(OR(A252="",COUNTIFS(Scoresheet!$C$2:$C$501,A252,Scoresheet!$U$2:$U$501,1)=0),"No scoresheet yet",IF(SUMIFS(Scoresheet!$N$2:$N$501,Scoresheet!$C$2:$C$501,A252,Scoresheet!$U$2:$U$501,1)&lt;6,"Partly scored ("&amp;SUMIFS(Scoresheet!$N$2:$N$501,Scoresheet!$C$2:$C$501,A252,Scoresheet!$U$2:$U$501,1)&amp;"/6)",IF(N252&gt;=Settings!$S$8,"Hot",IF(N252&gt;=Settings!$S$9,"Warm","Cold")))))</f>
        <v/>
      </c>
      <c r="P252" s="44" t="str">
        <f aca="false">IF(OR(D252="",A252=""),"",IF(AND(COUNTIFS(Scoresheet!$C$2:$C$501,A252,Scoresheet!$U$2:$U$501,1,Scoresheet!$H$2:$H$501,"No")&gt;0,COUNTIFS(Scoresheet!$C$2:$C$501,A252,Scoresheet!$U$2:$U$501,1,Scoresheet!$J$2:$J$501,"No")&gt;0),"🚩 Budget  ·  🚩 No one on camera",IF(COUNTIFS(Scoresheet!$C$2:$C$501,A252,Scoresheet!$U$2:$U$501,1,Scoresheet!$H$2:$H$501,"No")&gt;0,"🚩 Budget under AED 5k",IF(COUNTIFS(Scoresheet!$C$2:$C$501,A252,Scoresheet!$U$2:$U$501,1,Scoresheet!$J$2:$J$501,"No")&gt;0,"🚩 No one on camera",""))))</f>
        <v/>
      </c>
      <c r="Q252" s="17"/>
      <c r="R252" s="17"/>
      <c r="S252" s="40"/>
      <c r="T252" s="17"/>
      <c r="U252" s="45" t="str">
        <f aca="false">IF(OR(D252="",S252="",OR(R252="Contract signed + paid",R252="Closed – No response",R252="Lost"),N(T252)&gt;=Settings!$S$3),"",S252+Settings!$S$2)</f>
        <v/>
      </c>
      <c r="V252" s="40"/>
      <c r="W252" s="41"/>
      <c r="X252" s="17"/>
      <c r="Y252" s="17"/>
      <c r="Z252" s="17"/>
      <c r="AA252" s="46" t="str">
        <f aca="true">IF(OR(D252="",B252=""),"",INT(TODAY()-B252))</f>
        <v/>
      </c>
      <c r="AB252" s="44" t="str">
        <f aca="true">IF(D252="","",IF(OR(COUNTIFS(Clients!$C$2:$C$501,D252,Clients!$S$2:$S$501,"Paid")&gt;0,AND(H252&lt;&gt;"",COUNTIFS(Clients!$E$2:$E$501,H252,Clients!$S$2:$S$501,"Paid")&gt;0)),"⚠ Refunded before – no free video",IF(OR(R252="Contract signed + paid",R252="Closed – No response",R252="Lost"),"",IF(R252="","Set a stage",IF(AND(R252="Proposal sent",SUMIFS(Scoresheet!$N$2:$N$501,Scoresheet!$C$2:$C$501,A252,Scoresheet!$U$2:$U$501,1)&lt;6),"Score this lead – fill the call scoresheet",IF(N(T252)&gt;=Settings!$S$3,"Close – 4 follow-ups sent",IF(U252="",IF(S252="","Make first contact",""),IF(TODAY()&gt;U252,"OVERDUE follow-up",IF(TODAY()=U252,"Follow up today","")))))))))</f>
        <v/>
      </c>
    </row>
    <row r="253" customFormat="false" ht="15" hidden="false" customHeight="false" outlineLevel="0" collapsed="false">
      <c r="A253" s="17"/>
      <c r="B253" s="40"/>
      <c r="C253" s="17"/>
      <c r="D253" s="17"/>
      <c r="E253" s="17"/>
      <c r="F253" s="17"/>
      <c r="G253" s="17"/>
      <c r="H253" s="42"/>
      <c r="I253" s="17"/>
      <c r="J253" s="17"/>
      <c r="K253" s="17"/>
      <c r="L253" s="17"/>
      <c r="M253" s="17"/>
      <c r="N253" s="44" t="str">
        <f aca="false">IF(OR(D253="",A253="",COUNTIFS(Scoresheet!$C$2:$C$501,A253,Scoresheet!$U$2:$U$501,1)=0),"",SUMIFS(Scoresheet!$O$2:$O$501,Scoresheet!$C$2:$C$501,A253,Scoresheet!$U$2:$U$501,1))</f>
        <v/>
      </c>
      <c r="O253" s="44" t="str">
        <f aca="false">IF(D253="","",IF(OR(A253="",COUNTIFS(Scoresheet!$C$2:$C$501,A253,Scoresheet!$U$2:$U$501,1)=0),"No scoresheet yet",IF(SUMIFS(Scoresheet!$N$2:$N$501,Scoresheet!$C$2:$C$501,A253,Scoresheet!$U$2:$U$501,1)&lt;6,"Partly scored ("&amp;SUMIFS(Scoresheet!$N$2:$N$501,Scoresheet!$C$2:$C$501,A253,Scoresheet!$U$2:$U$501,1)&amp;"/6)",IF(N253&gt;=Settings!$S$8,"Hot",IF(N253&gt;=Settings!$S$9,"Warm","Cold")))))</f>
        <v/>
      </c>
      <c r="P253" s="44" t="str">
        <f aca="false">IF(OR(D253="",A253=""),"",IF(AND(COUNTIFS(Scoresheet!$C$2:$C$501,A253,Scoresheet!$U$2:$U$501,1,Scoresheet!$H$2:$H$501,"No")&gt;0,COUNTIFS(Scoresheet!$C$2:$C$501,A253,Scoresheet!$U$2:$U$501,1,Scoresheet!$J$2:$J$501,"No")&gt;0),"🚩 Budget  ·  🚩 No one on camera",IF(COUNTIFS(Scoresheet!$C$2:$C$501,A253,Scoresheet!$U$2:$U$501,1,Scoresheet!$H$2:$H$501,"No")&gt;0,"🚩 Budget under AED 5k",IF(COUNTIFS(Scoresheet!$C$2:$C$501,A253,Scoresheet!$U$2:$U$501,1,Scoresheet!$J$2:$J$501,"No")&gt;0,"🚩 No one on camera",""))))</f>
        <v/>
      </c>
      <c r="Q253" s="17"/>
      <c r="R253" s="17"/>
      <c r="S253" s="40"/>
      <c r="T253" s="17"/>
      <c r="U253" s="45" t="str">
        <f aca="false">IF(OR(D253="",S253="",OR(R253="Contract signed + paid",R253="Closed – No response",R253="Lost"),N(T253)&gt;=Settings!$S$3),"",S253+Settings!$S$2)</f>
        <v/>
      </c>
      <c r="V253" s="40"/>
      <c r="W253" s="41"/>
      <c r="X253" s="17"/>
      <c r="Y253" s="17"/>
      <c r="Z253" s="17"/>
      <c r="AA253" s="46" t="str">
        <f aca="true">IF(OR(D253="",B253=""),"",INT(TODAY()-B253))</f>
        <v/>
      </c>
      <c r="AB253" s="44" t="str">
        <f aca="true">IF(D253="","",IF(OR(COUNTIFS(Clients!$C$2:$C$501,D253,Clients!$S$2:$S$501,"Paid")&gt;0,AND(H253&lt;&gt;"",COUNTIFS(Clients!$E$2:$E$501,H253,Clients!$S$2:$S$501,"Paid")&gt;0)),"⚠ Refunded before – no free video",IF(OR(R253="Contract signed + paid",R253="Closed – No response",R253="Lost"),"",IF(R253="","Set a stage",IF(AND(R253="Proposal sent",SUMIFS(Scoresheet!$N$2:$N$501,Scoresheet!$C$2:$C$501,A253,Scoresheet!$U$2:$U$501,1)&lt;6),"Score this lead – fill the call scoresheet",IF(N(T253)&gt;=Settings!$S$3,"Close – 4 follow-ups sent",IF(U253="",IF(S253="","Make first contact",""),IF(TODAY()&gt;U253,"OVERDUE follow-up",IF(TODAY()=U253,"Follow up today","")))))))))</f>
        <v/>
      </c>
    </row>
    <row r="254" customFormat="false" ht="15" hidden="false" customHeight="false" outlineLevel="0" collapsed="false">
      <c r="A254" s="17"/>
      <c r="B254" s="40"/>
      <c r="C254" s="17"/>
      <c r="D254" s="17"/>
      <c r="E254" s="17"/>
      <c r="F254" s="17"/>
      <c r="G254" s="17"/>
      <c r="H254" s="42"/>
      <c r="I254" s="17"/>
      <c r="J254" s="17"/>
      <c r="K254" s="17"/>
      <c r="L254" s="17"/>
      <c r="M254" s="17"/>
      <c r="N254" s="44" t="str">
        <f aca="false">IF(OR(D254="",A254="",COUNTIFS(Scoresheet!$C$2:$C$501,A254,Scoresheet!$U$2:$U$501,1)=0),"",SUMIFS(Scoresheet!$O$2:$O$501,Scoresheet!$C$2:$C$501,A254,Scoresheet!$U$2:$U$501,1))</f>
        <v/>
      </c>
      <c r="O254" s="44" t="str">
        <f aca="false">IF(D254="","",IF(OR(A254="",COUNTIFS(Scoresheet!$C$2:$C$501,A254,Scoresheet!$U$2:$U$501,1)=0),"No scoresheet yet",IF(SUMIFS(Scoresheet!$N$2:$N$501,Scoresheet!$C$2:$C$501,A254,Scoresheet!$U$2:$U$501,1)&lt;6,"Partly scored ("&amp;SUMIFS(Scoresheet!$N$2:$N$501,Scoresheet!$C$2:$C$501,A254,Scoresheet!$U$2:$U$501,1)&amp;"/6)",IF(N254&gt;=Settings!$S$8,"Hot",IF(N254&gt;=Settings!$S$9,"Warm","Cold")))))</f>
        <v/>
      </c>
      <c r="P254" s="44" t="str">
        <f aca="false">IF(OR(D254="",A254=""),"",IF(AND(COUNTIFS(Scoresheet!$C$2:$C$501,A254,Scoresheet!$U$2:$U$501,1,Scoresheet!$H$2:$H$501,"No")&gt;0,COUNTIFS(Scoresheet!$C$2:$C$501,A254,Scoresheet!$U$2:$U$501,1,Scoresheet!$J$2:$J$501,"No")&gt;0),"🚩 Budget  ·  🚩 No one on camera",IF(COUNTIFS(Scoresheet!$C$2:$C$501,A254,Scoresheet!$U$2:$U$501,1,Scoresheet!$H$2:$H$501,"No")&gt;0,"🚩 Budget under AED 5k",IF(COUNTIFS(Scoresheet!$C$2:$C$501,A254,Scoresheet!$U$2:$U$501,1,Scoresheet!$J$2:$J$501,"No")&gt;0,"🚩 No one on camera",""))))</f>
        <v/>
      </c>
      <c r="Q254" s="17"/>
      <c r="R254" s="17"/>
      <c r="S254" s="40"/>
      <c r="T254" s="17"/>
      <c r="U254" s="45" t="str">
        <f aca="false">IF(OR(D254="",S254="",OR(R254="Contract signed + paid",R254="Closed – No response",R254="Lost"),N(T254)&gt;=Settings!$S$3),"",S254+Settings!$S$2)</f>
        <v/>
      </c>
      <c r="V254" s="40"/>
      <c r="W254" s="41"/>
      <c r="X254" s="17"/>
      <c r="Y254" s="17"/>
      <c r="Z254" s="17"/>
      <c r="AA254" s="46" t="str">
        <f aca="true">IF(OR(D254="",B254=""),"",INT(TODAY()-B254))</f>
        <v/>
      </c>
      <c r="AB254" s="44" t="str">
        <f aca="true">IF(D254="","",IF(OR(COUNTIFS(Clients!$C$2:$C$501,D254,Clients!$S$2:$S$501,"Paid")&gt;0,AND(H254&lt;&gt;"",COUNTIFS(Clients!$E$2:$E$501,H254,Clients!$S$2:$S$501,"Paid")&gt;0)),"⚠ Refunded before – no free video",IF(OR(R254="Contract signed + paid",R254="Closed – No response",R254="Lost"),"",IF(R254="","Set a stage",IF(AND(R254="Proposal sent",SUMIFS(Scoresheet!$N$2:$N$501,Scoresheet!$C$2:$C$501,A254,Scoresheet!$U$2:$U$501,1)&lt;6),"Score this lead – fill the call scoresheet",IF(N(T254)&gt;=Settings!$S$3,"Close – 4 follow-ups sent",IF(U254="",IF(S254="","Make first contact",""),IF(TODAY()&gt;U254,"OVERDUE follow-up",IF(TODAY()=U254,"Follow up today","")))))))))</f>
        <v/>
      </c>
    </row>
    <row r="255" customFormat="false" ht="15" hidden="false" customHeight="false" outlineLevel="0" collapsed="false">
      <c r="A255" s="17"/>
      <c r="B255" s="40"/>
      <c r="C255" s="17"/>
      <c r="D255" s="17"/>
      <c r="E255" s="17"/>
      <c r="F255" s="17"/>
      <c r="G255" s="17"/>
      <c r="H255" s="42"/>
      <c r="I255" s="17"/>
      <c r="J255" s="17"/>
      <c r="K255" s="17"/>
      <c r="L255" s="17"/>
      <c r="M255" s="17"/>
      <c r="N255" s="44" t="str">
        <f aca="false">IF(OR(D255="",A255="",COUNTIFS(Scoresheet!$C$2:$C$501,A255,Scoresheet!$U$2:$U$501,1)=0),"",SUMIFS(Scoresheet!$O$2:$O$501,Scoresheet!$C$2:$C$501,A255,Scoresheet!$U$2:$U$501,1))</f>
        <v/>
      </c>
      <c r="O255" s="44" t="str">
        <f aca="false">IF(D255="","",IF(OR(A255="",COUNTIFS(Scoresheet!$C$2:$C$501,A255,Scoresheet!$U$2:$U$501,1)=0),"No scoresheet yet",IF(SUMIFS(Scoresheet!$N$2:$N$501,Scoresheet!$C$2:$C$501,A255,Scoresheet!$U$2:$U$501,1)&lt;6,"Partly scored ("&amp;SUMIFS(Scoresheet!$N$2:$N$501,Scoresheet!$C$2:$C$501,A255,Scoresheet!$U$2:$U$501,1)&amp;"/6)",IF(N255&gt;=Settings!$S$8,"Hot",IF(N255&gt;=Settings!$S$9,"Warm","Cold")))))</f>
        <v/>
      </c>
      <c r="P255" s="44" t="str">
        <f aca="false">IF(OR(D255="",A255=""),"",IF(AND(COUNTIFS(Scoresheet!$C$2:$C$501,A255,Scoresheet!$U$2:$U$501,1,Scoresheet!$H$2:$H$501,"No")&gt;0,COUNTIFS(Scoresheet!$C$2:$C$501,A255,Scoresheet!$U$2:$U$501,1,Scoresheet!$J$2:$J$501,"No")&gt;0),"🚩 Budget  ·  🚩 No one on camera",IF(COUNTIFS(Scoresheet!$C$2:$C$501,A255,Scoresheet!$U$2:$U$501,1,Scoresheet!$H$2:$H$501,"No")&gt;0,"🚩 Budget under AED 5k",IF(COUNTIFS(Scoresheet!$C$2:$C$501,A255,Scoresheet!$U$2:$U$501,1,Scoresheet!$J$2:$J$501,"No")&gt;0,"🚩 No one on camera",""))))</f>
        <v/>
      </c>
      <c r="Q255" s="17"/>
      <c r="R255" s="17"/>
      <c r="S255" s="40"/>
      <c r="T255" s="17"/>
      <c r="U255" s="45" t="str">
        <f aca="false">IF(OR(D255="",S255="",OR(R255="Contract signed + paid",R255="Closed – No response",R255="Lost"),N(T255)&gt;=Settings!$S$3),"",S255+Settings!$S$2)</f>
        <v/>
      </c>
      <c r="V255" s="40"/>
      <c r="W255" s="41"/>
      <c r="X255" s="17"/>
      <c r="Y255" s="17"/>
      <c r="Z255" s="17"/>
      <c r="AA255" s="46" t="str">
        <f aca="true">IF(OR(D255="",B255=""),"",INT(TODAY()-B255))</f>
        <v/>
      </c>
      <c r="AB255" s="44" t="str">
        <f aca="true">IF(D255="","",IF(OR(COUNTIFS(Clients!$C$2:$C$501,D255,Clients!$S$2:$S$501,"Paid")&gt;0,AND(H255&lt;&gt;"",COUNTIFS(Clients!$E$2:$E$501,H255,Clients!$S$2:$S$501,"Paid")&gt;0)),"⚠ Refunded before – no free video",IF(OR(R255="Contract signed + paid",R255="Closed – No response",R255="Lost"),"",IF(R255="","Set a stage",IF(AND(R255="Proposal sent",SUMIFS(Scoresheet!$N$2:$N$501,Scoresheet!$C$2:$C$501,A255,Scoresheet!$U$2:$U$501,1)&lt;6),"Score this lead – fill the call scoresheet",IF(N(T255)&gt;=Settings!$S$3,"Close – 4 follow-ups sent",IF(U255="",IF(S255="","Make first contact",""),IF(TODAY()&gt;U255,"OVERDUE follow-up",IF(TODAY()=U255,"Follow up today","")))))))))</f>
        <v/>
      </c>
    </row>
    <row r="256" customFormat="false" ht="15" hidden="false" customHeight="false" outlineLevel="0" collapsed="false">
      <c r="A256" s="17"/>
      <c r="B256" s="40"/>
      <c r="C256" s="17"/>
      <c r="D256" s="17"/>
      <c r="E256" s="17"/>
      <c r="F256" s="17"/>
      <c r="G256" s="17"/>
      <c r="H256" s="42"/>
      <c r="I256" s="17"/>
      <c r="J256" s="17"/>
      <c r="K256" s="17"/>
      <c r="L256" s="17"/>
      <c r="M256" s="17"/>
      <c r="N256" s="44" t="str">
        <f aca="false">IF(OR(D256="",A256="",COUNTIFS(Scoresheet!$C$2:$C$501,A256,Scoresheet!$U$2:$U$501,1)=0),"",SUMIFS(Scoresheet!$O$2:$O$501,Scoresheet!$C$2:$C$501,A256,Scoresheet!$U$2:$U$501,1))</f>
        <v/>
      </c>
      <c r="O256" s="44" t="str">
        <f aca="false">IF(D256="","",IF(OR(A256="",COUNTIFS(Scoresheet!$C$2:$C$501,A256,Scoresheet!$U$2:$U$501,1)=0),"No scoresheet yet",IF(SUMIFS(Scoresheet!$N$2:$N$501,Scoresheet!$C$2:$C$501,A256,Scoresheet!$U$2:$U$501,1)&lt;6,"Partly scored ("&amp;SUMIFS(Scoresheet!$N$2:$N$501,Scoresheet!$C$2:$C$501,A256,Scoresheet!$U$2:$U$501,1)&amp;"/6)",IF(N256&gt;=Settings!$S$8,"Hot",IF(N256&gt;=Settings!$S$9,"Warm","Cold")))))</f>
        <v/>
      </c>
      <c r="P256" s="44" t="str">
        <f aca="false">IF(OR(D256="",A256=""),"",IF(AND(COUNTIFS(Scoresheet!$C$2:$C$501,A256,Scoresheet!$U$2:$U$501,1,Scoresheet!$H$2:$H$501,"No")&gt;0,COUNTIFS(Scoresheet!$C$2:$C$501,A256,Scoresheet!$U$2:$U$501,1,Scoresheet!$J$2:$J$501,"No")&gt;0),"🚩 Budget  ·  🚩 No one on camera",IF(COUNTIFS(Scoresheet!$C$2:$C$501,A256,Scoresheet!$U$2:$U$501,1,Scoresheet!$H$2:$H$501,"No")&gt;0,"🚩 Budget under AED 5k",IF(COUNTIFS(Scoresheet!$C$2:$C$501,A256,Scoresheet!$U$2:$U$501,1,Scoresheet!$J$2:$J$501,"No")&gt;0,"🚩 No one on camera",""))))</f>
        <v/>
      </c>
      <c r="Q256" s="17"/>
      <c r="R256" s="17"/>
      <c r="S256" s="40"/>
      <c r="T256" s="17"/>
      <c r="U256" s="45" t="str">
        <f aca="false">IF(OR(D256="",S256="",OR(R256="Contract signed + paid",R256="Closed – No response",R256="Lost"),N(T256)&gt;=Settings!$S$3),"",S256+Settings!$S$2)</f>
        <v/>
      </c>
      <c r="V256" s="40"/>
      <c r="W256" s="41"/>
      <c r="X256" s="17"/>
      <c r="Y256" s="17"/>
      <c r="Z256" s="17"/>
      <c r="AA256" s="46" t="str">
        <f aca="true">IF(OR(D256="",B256=""),"",INT(TODAY()-B256))</f>
        <v/>
      </c>
      <c r="AB256" s="44" t="str">
        <f aca="true">IF(D256="","",IF(OR(COUNTIFS(Clients!$C$2:$C$501,D256,Clients!$S$2:$S$501,"Paid")&gt;0,AND(H256&lt;&gt;"",COUNTIFS(Clients!$E$2:$E$501,H256,Clients!$S$2:$S$501,"Paid")&gt;0)),"⚠ Refunded before – no free video",IF(OR(R256="Contract signed + paid",R256="Closed – No response",R256="Lost"),"",IF(R256="","Set a stage",IF(AND(R256="Proposal sent",SUMIFS(Scoresheet!$N$2:$N$501,Scoresheet!$C$2:$C$501,A256,Scoresheet!$U$2:$U$501,1)&lt;6),"Score this lead – fill the call scoresheet",IF(N(T256)&gt;=Settings!$S$3,"Close – 4 follow-ups sent",IF(U256="",IF(S256="","Make first contact",""),IF(TODAY()&gt;U256,"OVERDUE follow-up",IF(TODAY()=U256,"Follow up today","")))))))))</f>
        <v/>
      </c>
    </row>
    <row r="257" customFormat="false" ht="15" hidden="false" customHeight="false" outlineLevel="0" collapsed="false">
      <c r="A257" s="17"/>
      <c r="B257" s="40"/>
      <c r="C257" s="17"/>
      <c r="D257" s="17"/>
      <c r="E257" s="17"/>
      <c r="F257" s="17"/>
      <c r="G257" s="17"/>
      <c r="H257" s="42"/>
      <c r="I257" s="17"/>
      <c r="J257" s="17"/>
      <c r="K257" s="17"/>
      <c r="L257" s="17"/>
      <c r="M257" s="17"/>
      <c r="N257" s="44" t="str">
        <f aca="false">IF(OR(D257="",A257="",COUNTIFS(Scoresheet!$C$2:$C$501,A257,Scoresheet!$U$2:$U$501,1)=0),"",SUMIFS(Scoresheet!$O$2:$O$501,Scoresheet!$C$2:$C$501,A257,Scoresheet!$U$2:$U$501,1))</f>
        <v/>
      </c>
      <c r="O257" s="44" t="str">
        <f aca="false">IF(D257="","",IF(OR(A257="",COUNTIFS(Scoresheet!$C$2:$C$501,A257,Scoresheet!$U$2:$U$501,1)=0),"No scoresheet yet",IF(SUMIFS(Scoresheet!$N$2:$N$501,Scoresheet!$C$2:$C$501,A257,Scoresheet!$U$2:$U$501,1)&lt;6,"Partly scored ("&amp;SUMIFS(Scoresheet!$N$2:$N$501,Scoresheet!$C$2:$C$501,A257,Scoresheet!$U$2:$U$501,1)&amp;"/6)",IF(N257&gt;=Settings!$S$8,"Hot",IF(N257&gt;=Settings!$S$9,"Warm","Cold")))))</f>
        <v/>
      </c>
      <c r="P257" s="44" t="str">
        <f aca="false">IF(OR(D257="",A257=""),"",IF(AND(COUNTIFS(Scoresheet!$C$2:$C$501,A257,Scoresheet!$U$2:$U$501,1,Scoresheet!$H$2:$H$501,"No")&gt;0,COUNTIFS(Scoresheet!$C$2:$C$501,A257,Scoresheet!$U$2:$U$501,1,Scoresheet!$J$2:$J$501,"No")&gt;0),"🚩 Budget  ·  🚩 No one on camera",IF(COUNTIFS(Scoresheet!$C$2:$C$501,A257,Scoresheet!$U$2:$U$501,1,Scoresheet!$H$2:$H$501,"No")&gt;0,"🚩 Budget under AED 5k",IF(COUNTIFS(Scoresheet!$C$2:$C$501,A257,Scoresheet!$U$2:$U$501,1,Scoresheet!$J$2:$J$501,"No")&gt;0,"🚩 No one on camera",""))))</f>
        <v/>
      </c>
      <c r="Q257" s="17"/>
      <c r="R257" s="17"/>
      <c r="S257" s="40"/>
      <c r="T257" s="17"/>
      <c r="U257" s="45" t="str">
        <f aca="false">IF(OR(D257="",S257="",OR(R257="Contract signed + paid",R257="Closed – No response",R257="Lost"),N(T257)&gt;=Settings!$S$3),"",S257+Settings!$S$2)</f>
        <v/>
      </c>
      <c r="V257" s="40"/>
      <c r="W257" s="41"/>
      <c r="X257" s="17"/>
      <c r="Y257" s="17"/>
      <c r="Z257" s="17"/>
      <c r="AA257" s="46" t="str">
        <f aca="true">IF(OR(D257="",B257=""),"",INT(TODAY()-B257))</f>
        <v/>
      </c>
      <c r="AB257" s="44" t="str">
        <f aca="true">IF(D257="","",IF(OR(COUNTIFS(Clients!$C$2:$C$501,D257,Clients!$S$2:$S$501,"Paid")&gt;0,AND(H257&lt;&gt;"",COUNTIFS(Clients!$E$2:$E$501,H257,Clients!$S$2:$S$501,"Paid")&gt;0)),"⚠ Refunded before – no free video",IF(OR(R257="Contract signed + paid",R257="Closed – No response",R257="Lost"),"",IF(R257="","Set a stage",IF(AND(R257="Proposal sent",SUMIFS(Scoresheet!$N$2:$N$501,Scoresheet!$C$2:$C$501,A257,Scoresheet!$U$2:$U$501,1)&lt;6),"Score this lead – fill the call scoresheet",IF(N(T257)&gt;=Settings!$S$3,"Close – 4 follow-ups sent",IF(U257="",IF(S257="","Make first contact",""),IF(TODAY()&gt;U257,"OVERDUE follow-up",IF(TODAY()=U257,"Follow up today","")))))))))</f>
        <v/>
      </c>
    </row>
    <row r="258" customFormat="false" ht="15" hidden="false" customHeight="false" outlineLevel="0" collapsed="false">
      <c r="A258" s="17"/>
      <c r="B258" s="40"/>
      <c r="C258" s="17"/>
      <c r="D258" s="17"/>
      <c r="E258" s="17"/>
      <c r="F258" s="17"/>
      <c r="G258" s="17"/>
      <c r="H258" s="42"/>
      <c r="I258" s="17"/>
      <c r="J258" s="17"/>
      <c r="K258" s="17"/>
      <c r="L258" s="17"/>
      <c r="M258" s="17"/>
      <c r="N258" s="44" t="str">
        <f aca="false">IF(OR(D258="",A258="",COUNTIFS(Scoresheet!$C$2:$C$501,A258,Scoresheet!$U$2:$U$501,1)=0),"",SUMIFS(Scoresheet!$O$2:$O$501,Scoresheet!$C$2:$C$501,A258,Scoresheet!$U$2:$U$501,1))</f>
        <v/>
      </c>
      <c r="O258" s="44" t="str">
        <f aca="false">IF(D258="","",IF(OR(A258="",COUNTIFS(Scoresheet!$C$2:$C$501,A258,Scoresheet!$U$2:$U$501,1)=0),"No scoresheet yet",IF(SUMIFS(Scoresheet!$N$2:$N$501,Scoresheet!$C$2:$C$501,A258,Scoresheet!$U$2:$U$501,1)&lt;6,"Partly scored ("&amp;SUMIFS(Scoresheet!$N$2:$N$501,Scoresheet!$C$2:$C$501,A258,Scoresheet!$U$2:$U$501,1)&amp;"/6)",IF(N258&gt;=Settings!$S$8,"Hot",IF(N258&gt;=Settings!$S$9,"Warm","Cold")))))</f>
        <v/>
      </c>
      <c r="P258" s="44" t="str">
        <f aca="false">IF(OR(D258="",A258=""),"",IF(AND(COUNTIFS(Scoresheet!$C$2:$C$501,A258,Scoresheet!$U$2:$U$501,1,Scoresheet!$H$2:$H$501,"No")&gt;0,COUNTIFS(Scoresheet!$C$2:$C$501,A258,Scoresheet!$U$2:$U$501,1,Scoresheet!$J$2:$J$501,"No")&gt;0),"🚩 Budget  ·  🚩 No one on camera",IF(COUNTIFS(Scoresheet!$C$2:$C$501,A258,Scoresheet!$U$2:$U$501,1,Scoresheet!$H$2:$H$501,"No")&gt;0,"🚩 Budget under AED 5k",IF(COUNTIFS(Scoresheet!$C$2:$C$501,A258,Scoresheet!$U$2:$U$501,1,Scoresheet!$J$2:$J$501,"No")&gt;0,"🚩 No one on camera",""))))</f>
        <v/>
      </c>
      <c r="Q258" s="17"/>
      <c r="R258" s="17"/>
      <c r="S258" s="40"/>
      <c r="T258" s="17"/>
      <c r="U258" s="45" t="str">
        <f aca="false">IF(OR(D258="",S258="",OR(R258="Contract signed + paid",R258="Closed – No response",R258="Lost"),N(T258)&gt;=Settings!$S$3),"",S258+Settings!$S$2)</f>
        <v/>
      </c>
      <c r="V258" s="40"/>
      <c r="W258" s="41"/>
      <c r="X258" s="17"/>
      <c r="Y258" s="17"/>
      <c r="Z258" s="17"/>
      <c r="AA258" s="46" t="str">
        <f aca="true">IF(OR(D258="",B258=""),"",INT(TODAY()-B258))</f>
        <v/>
      </c>
      <c r="AB258" s="44" t="str">
        <f aca="true">IF(D258="","",IF(OR(COUNTIFS(Clients!$C$2:$C$501,D258,Clients!$S$2:$S$501,"Paid")&gt;0,AND(H258&lt;&gt;"",COUNTIFS(Clients!$E$2:$E$501,H258,Clients!$S$2:$S$501,"Paid")&gt;0)),"⚠ Refunded before – no free video",IF(OR(R258="Contract signed + paid",R258="Closed – No response",R258="Lost"),"",IF(R258="","Set a stage",IF(AND(R258="Proposal sent",SUMIFS(Scoresheet!$N$2:$N$501,Scoresheet!$C$2:$C$501,A258,Scoresheet!$U$2:$U$501,1)&lt;6),"Score this lead – fill the call scoresheet",IF(N(T258)&gt;=Settings!$S$3,"Close – 4 follow-ups sent",IF(U258="",IF(S258="","Make first contact",""),IF(TODAY()&gt;U258,"OVERDUE follow-up",IF(TODAY()=U258,"Follow up today","")))))))))</f>
        <v/>
      </c>
    </row>
    <row r="259" customFormat="false" ht="15" hidden="false" customHeight="false" outlineLevel="0" collapsed="false">
      <c r="A259" s="17"/>
      <c r="B259" s="40"/>
      <c r="C259" s="17"/>
      <c r="D259" s="17"/>
      <c r="E259" s="17"/>
      <c r="F259" s="17"/>
      <c r="G259" s="17"/>
      <c r="H259" s="42"/>
      <c r="I259" s="17"/>
      <c r="J259" s="17"/>
      <c r="K259" s="17"/>
      <c r="L259" s="17"/>
      <c r="M259" s="17"/>
      <c r="N259" s="44" t="str">
        <f aca="false">IF(OR(D259="",A259="",COUNTIFS(Scoresheet!$C$2:$C$501,A259,Scoresheet!$U$2:$U$501,1)=0),"",SUMIFS(Scoresheet!$O$2:$O$501,Scoresheet!$C$2:$C$501,A259,Scoresheet!$U$2:$U$501,1))</f>
        <v/>
      </c>
      <c r="O259" s="44" t="str">
        <f aca="false">IF(D259="","",IF(OR(A259="",COUNTIFS(Scoresheet!$C$2:$C$501,A259,Scoresheet!$U$2:$U$501,1)=0),"No scoresheet yet",IF(SUMIFS(Scoresheet!$N$2:$N$501,Scoresheet!$C$2:$C$501,A259,Scoresheet!$U$2:$U$501,1)&lt;6,"Partly scored ("&amp;SUMIFS(Scoresheet!$N$2:$N$501,Scoresheet!$C$2:$C$501,A259,Scoresheet!$U$2:$U$501,1)&amp;"/6)",IF(N259&gt;=Settings!$S$8,"Hot",IF(N259&gt;=Settings!$S$9,"Warm","Cold")))))</f>
        <v/>
      </c>
      <c r="P259" s="44" t="str">
        <f aca="false">IF(OR(D259="",A259=""),"",IF(AND(COUNTIFS(Scoresheet!$C$2:$C$501,A259,Scoresheet!$U$2:$U$501,1,Scoresheet!$H$2:$H$501,"No")&gt;0,COUNTIFS(Scoresheet!$C$2:$C$501,A259,Scoresheet!$U$2:$U$501,1,Scoresheet!$J$2:$J$501,"No")&gt;0),"🚩 Budget  ·  🚩 No one on camera",IF(COUNTIFS(Scoresheet!$C$2:$C$501,A259,Scoresheet!$U$2:$U$501,1,Scoresheet!$H$2:$H$501,"No")&gt;0,"🚩 Budget under AED 5k",IF(COUNTIFS(Scoresheet!$C$2:$C$501,A259,Scoresheet!$U$2:$U$501,1,Scoresheet!$J$2:$J$501,"No")&gt;0,"🚩 No one on camera",""))))</f>
        <v/>
      </c>
      <c r="Q259" s="17"/>
      <c r="R259" s="17"/>
      <c r="S259" s="40"/>
      <c r="T259" s="17"/>
      <c r="U259" s="45" t="str">
        <f aca="false">IF(OR(D259="",S259="",OR(R259="Contract signed + paid",R259="Closed – No response",R259="Lost"),N(T259)&gt;=Settings!$S$3),"",S259+Settings!$S$2)</f>
        <v/>
      </c>
      <c r="V259" s="40"/>
      <c r="W259" s="41"/>
      <c r="X259" s="17"/>
      <c r="Y259" s="17"/>
      <c r="Z259" s="17"/>
      <c r="AA259" s="46" t="str">
        <f aca="true">IF(OR(D259="",B259=""),"",INT(TODAY()-B259))</f>
        <v/>
      </c>
      <c r="AB259" s="44" t="str">
        <f aca="true">IF(D259="","",IF(OR(COUNTIFS(Clients!$C$2:$C$501,D259,Clients!$S$2:$S$501,"Paid")&gt;0,AND(H259&lt;&gt;"",COUNTIFS(Clients!$E$2:$E$501,H259,Clients!$S$2:$S$501,"Paid")&gt;0)),"⚠ Refunded before – no free video",IF(OR(R259="Contract signed + paid",R259="Closed – No response",R259="Lost"),"",IF(R259="","Set a stage",IF(AND(R259="Proposal sent",SUMIFS(Scoresheet!$N$2:$N$501,Scoresheet!$C$2:$C$501,A259,Scoresheet!$U$2:$U$501,1)&lt;6),"Score this lead – fill the call scoresheet",IF(N(T259)&gt;=Settings!$S$3,"Close – 4 follow-ups sent",IF(U259="",IF(S259="","Make first contact",""),IF(TODAY()&gt;U259,"OVERDUE follow-up",IF(TODAY()=U259,"Follow up today","")))))))))</f>
        <v/>
      </c>
    </row>
    <row r="260" customFormat="false" ht="15" hidden="false" customHeight="false" outlineLevel="0" collapsed="false">
      <c r="A260" s="17"/>
      <c r="B260" s="40"/>
      <c r="C260" s="17"/>
      <c r="D260" s="17"/>
      <c r="E260" s="17"/>
      <c r="F260" s="17"/>
      <c r="G260" s="17"/>
      <c r="H260" s="42"/>
      <c r="I260" s="17"/>
      <c r="J260" s="17"/>
      <c r="K260" s="17"/>
      <c r="L260" s="17"/>
      <c r="M260" s="17"/>
      <c r="N260" s="44" t="str">
        <f aca="false">IF(OR(D260="",A260="",COUNTIFS(Scoresheet!$C$2:$C$501,A260,Scoresheet!$U$2:$U$501,1)=0),"",SUMIFS(Scoresheet!$O$2:$O$501,Scoresheet!$C$2:$C$501,A260,Scoresheet!$U$2:$U$501,1))</f>
        <v/>
      </c>
      <c r="O260" s="44" t="str">
        <f aca="false">IF(D260="","",IF(OR(A260="",COUNTIFS(Scoresheet!$C$2:$C$501,A260,Scoresheet!$U$2:$U$501,1)=0),"No scoresheet yet",IF(SUMIFS(Scoresheet!$N$2:$N$501,Scoresheet!$C$2:$C$501,A260,Scoresheet!$U$2:$U$501,1)&lt;6,"Partly scored ("&amp;SUMIFS(Scoresheet!$N$2:$N$501,Scoresheet!$C$2:$C$501,A260,Scoresheet!$U$2:$U$501,1)&amp;"/6)",IF(N260&gt;=Settings!$S$8,"Hot",IF(N260&gt;=Settings!$S$9,"Warm","Cold")))))</f>
        <v/>
      </c>
      <c r="P260" s="44" t="str">
        <f aca="false">IF(OR(D260="",A260=""),"",IF(AND(COUNTIFS(Scoresheet!$C$2:$C$501,A260,Scoresheet!$U$2:$U$501,1,Scoresheet!$H$2:$H$501,"No")&gt;0,COUNTIFS(Scoresheet!$C$2:$C$501,A260,Scoresheet!$U$2:$U$501,1,Scoresheet!$J$2:$J$501,"No")&gt;0),"🚩 Budget  ·  🚩 No one on camera",IF(COUNTIFS(Scoresheet!$C$2:$C$501,A260,Scoresheet!$U$2:$U$501,1,Scoresheet!$H$2:$H$501,"No")&gt;0,"🚩 Budget under AED 5k",IF(COUNTIFS(Scoresheet!$C$2:$C$501,A260,Scoresheet!$U$2:$U$501,1,Scoresheet!$J$2:$J$501,"No")&gt;0,"🚩 No one on camera",""))))</f>
        <v/>
      </c>
      <c r="Q260" s="17"/>
      <c r="R260" s="17"/>
      <c r="S260" s="40"/>
      <c r="T260" s="17"/>
      <c r="U260" s="45" t="str">
        <f aca="false">IF(OR(D260="",S260="",OR(R260="Contract signed + paid",R260="Closed – No response",R260="Lost"),N(T260)&gt;=Settings!$S$3),"",S260+Settings!$S$2)</f>
        <v/>
      </c>
      <c r="V260" s="40"/>
      <c r="W260" s="41"/>
      <c r="X260" s="17"/>
      <c r="Y260" s="17"/>
      <c r="Z260" s="17"/>
      <c r="AA260" s="46" t="str">
        <f aca="true">IF(OR(D260="",B260=""),"",INT(TODAY()-B260))</f>
        <v/>
      </c>
      <c r="AB260" s="44" t="str">
        <f aca="true">IF(D260="","",IF(OR(COUNTIFS(Clients!$C$2:$C$501,D260,Clients!$S$2:$S$501,"Paid")&gt;0,AND(H260&lt;&gt;"",COUNTIFS(Clients!$E$2:$E$501,H260,Clients!$S$2:$S$501,"Paid")&gt;0)),"⚠ Refunded before – no free video",IF(OR(R260="Contract signed + paid",R260="Closed – No response",R260="Lost"),"",IF(R260="","Set a stage",IF(AND(R260="Proposal sent",SUMIFS(Scoresheet!$N$2:$N$501,Scoresheet!$C$2:$C$501,A260,Scoresheet!$U$2:$U$501,1)&lt;6),"Score this lead – fill the call scoresheet",IF(N(T260)&gt;=Settings!$S$3,"Close – 4 follow-ups sent",IF(U260="",IF(S260="","Make first contact",""),IF(TODAY()&gt;U260,"OVERDUE follow-up",IF(TODAY()=U260,"Follow up today","")))))))))</f>
        <v/>
      </c>
    </row>
    <row r="261" customFormat="false" ht="15" hidden="false" customHeight="false" outlineLevel="0" collapsed="false">
      <c r="A261" s="17"/>
      <c r="B261" s="40"/>
      <c r="C261" s="17"/>
      <c r="D261" s="17"/>
      <c r="E261" s="17"/>
      <c r="F261" s="17"/>
      <c r="G261" s="17"/>
      <c r="H261" s="42"/>
      <c r="I261" s="17"/>
      <c r="J261" s="17"/>
      <c r="K261" s="17"/>
      <c r="L261" s="17"/>
      <c r="M261" s="17"/>
      <c r="N261" s="44" t="str">
        <f aca="false">IF(OR(D261="",A261="",COUNTIFS(Scoresheet!$C$2:$C$501,A261,Scoresheet!$U$2:$U$501,1)=0),"",SUMIFS(Scoresheet!$O$2:$O$501,Scoresheet!$C$2:$C$501,A261,Scoresheet!$U$2:$U$501,1))</f>
        <v/>
      </c>
      <c r="O261" s="44" t="str">
        <f aca="false">IF(D261="","",IF(OR(A261="",COUNTIFS(Scoresheet!$C$2:$C$501,A261,Scoresheet!$U$2:$U$501,1)=0),"No scoresheet yet",IF(SUMIFS(Scoresheet!$N$2:$N$501,Scoresheet!$C$2:$C$501,A261,Scoresheet!$U$2:$U$501,1)&lt;6,"Partly scored ("&amp;SUMIFS(Scoresheet!$N$2:$N$501,Scoresheet!$C$2:$C$501,A261,Scoresheet!$U$2:$U$501,1)&amp;"/6)",IF(N261&gt;=Settings!$S$8,"Hot",IF(N261&gt;=Settings!$S$9,"Warm","Cold")))))</f>
        <v/>
      </c>
      <c r="P261" s="44" t="str">
        <f aca="false">IF(OR(D261="",A261=""),"",IF(AND(COUNTIFS(Scoresheet!$C$2:$C$501,A261,Scoresheet!$U$2:$U$501,1,Scoresheet!$H$2:$H$501,"No")&gt;0,COUNTIFS(Scoresheet!$C$2:$C$501,A261,Scoresheet!$U$2:$U$501,1,Scoresheet!$J$2:$J$501,"No")&gt;0),"🚩 Budget  ·  🚩 No one on camera",IF(COUNTIFS(Scoresheet!$C$2:$C$501,A261,Scoresheet!$U$2:$U$501,1,Scoresheet!$H$2:$H$501,"No")&gt;0,"🚩 Budget under AED 5k",IF(COUNTIFS(Scoresheet!$C$2:$C$501,A261,Scoresheet!$U$2:$U$501,1,Scoresheet!$J$2:$J$501,"No")&gt;0,"🚩 No one on camera",""))))</f>
        <v/>
      </c>
      <c r="Q261" s="17"/>
      <c r="R261" s="17"/>
      <c r="S261" s="40"/>
      <c r="T261" s="17"/>
      <c r="U261" s="45" t="str">
        <f aca="false">IF(OR(D261="",S261="",OR(R261="Contract signed + paid",R261="Closed – No response",R261="Lost"),N(T261)&gt;=Settings!$S$3),"",S261+Settings!$S$2)</f>
        <v/>
      </c>
      <c r="V261" s="40"/>
      <c r="W261" s="41"/>
      <c r="X261" s="17"/>
      <c r="Y261" s="17"/>
      <c r="Z261" s="17"/>
      <c r="AA261" s="46" t="str">
        <f aca="true">IF(OR(D261="",B261=""),"",INT(TODAY()-B261))</f>
        <v/>
      </c>
      <c r="AB261" s="44" t="str">
        <f aca="true">IF(D261="","",IF(OR(COUNTIFS(Clients!$C$2:$C$501,D261,Clients!$S$2:$S$501,"Paid")&gt;0,AND(H261&lt;&gt;"",COUNTIFS(Clients!$E$2:$E$501,H261,Clients!$S$2:$S$501,"Paid")&gt;0)),"⚠ Refunded before – no free video",IF(OR(R261="Contract signed + paid",R261="Closed – No response",R261="Lost"),"",IF(R261="","Set a stage",IF(AND(R261="Proposal sent",SUMIFS(Scoresheet!$N$2:$N$501,Scoresheet!$C$2:$C$501,A261,Scoresheet!$U$2:$U$501,1)&lt;6),"Score this lead – fill the call scoresheet",IF(N(T261)&gt;=Settings!$S$3,"Close – 4 follow-ups sent",IF(U261="",IF(S261="","Make first contact",""),IF(TODAY()&gt;U261,"OVERDUE follow-up",IF(TODAY()=U261,"Follow up today","")))))))))</f>
        <v/>
      </c>
    </row>
    <row r="262" customFormat="false" ht="15" hidden="false" customHeight="false" outlineLevel="0" collapsed="false">
      <c r="A262" s="17"/>
      <c r="B262" s="40"/>
      <c r="C262" s="17"/>
      <c r="D262" s="17"/>
      <c r="E262" s="17"/>
      <c r="F262" s="17"/>
      <c r="G262" s="17"/>
      <c r="H262" s="42"/>
      <c r="I262" s="17"/>
      <c r="J262" s="17"/>
      <c r="K262" s="17"/>
      <c r="L262" s="17"/>
      <c r="M262" s="17"/>
      <c r="N262" s="44" t="str">
        <f aca="false">IF(OR(D262="",A262="",COUNTIFS(Scoresheet!$C$2:$C$501,A262,Scoresheet!$U$2:$U$501,1)=0),"",SUMIFS(Scoresheet!$O$2:$O$501,Scoresheet!$C$2:$C$501,A262,Scoresheet!$U$2:$U$501,1))</f>
        <v/>
      </c>
      <c r="O262" s="44" t="str">
        <f aca="false">IF(D262="","",IF(OR(A262="",COUNTIFS(Scoresheet!$C$2:$C$501,A262,Scoresheet!$U$2:$U$501,1)=0),"No scoresheet yet",IF(SUMIFS(Scoresheet!$N$2:$N$501,Scoresheet!$C$2:$C$501,A262,Scoresheet!$U$2:$U$501,1)&lt;6,"Partly scored ("&amp;SUMIFS(Scoresheet!$N$2:$N$501,Scoresheet!$C$2:$C$501,A262,Scoresheet!$U$2:$U$501,1)&amp;"/6)",IF(N262&gt;=Settings!$S$8,"Hot",IF(N262&gt;=Settings!$S$9,"Warm","Cold")))))</f>
        <v/>
      </c>
      <c r="P262" s="44" t="str">
        <f aca="false">IF(OR(D262="",A262=""),"",IF(AND(COUNTIFS(Scoresheet!$C$2:$C$501,A262,Scoresheet!$U$2:$U$501,1,Scoresheet!$H$2:$H$501,"No")&gt;0,COUNTIFS(Scoresheet!$C$2:$C$501,A262,Scoresheet!$U$2:$U$501,1,Scoresheet!$J$2:$J$501,"No")&gt;0),"🚩 Budget  ·  🚩 No one on camera",IF(COUNTIFS(Scoresheet!$C$2:$C$501,A262,Scoresheet!$U$2:$U$501,1,Scoresheet!$H$2:$H$501,"No")&gt;0,"🚩 Budget under AED 5k",IF(COUNTIFS(Scoresheet!$C$2:$C$501,A262,Scoresheet!$U$2:$U$501,1,Scoresheet!$J$2:$J$501,"No")&gt;0,"🚩 No one on camera",""))))</f>
        <v/>
      </c>
      <c r="Q262" s="17"/>
      <c r="R262" s="17"/>
      <c r="S262" s="40"/>
      <c r="T262" s="17"/>
      <c r="U262" s="45" t="str">
        <f aca="false">IF(OR(D262="",S262="",OR(R262="Contract signed + paid",R262="Closed – No response",R262="Lost"),N(T262)&gt;=Settings!$S$3),"",S262+Settings!$S$2)</f>
        <v/>
      </c>
      <c r="V262" s="40"/>
      <c r="W262" s="41"/>
      <c r="X262" s="17"/>
      <c r="Y262" s="17"/>
      <c r="Z262" s="17"/>
      <c r="AA262" s="46" t="str">
        <f aca="true">IF(OR(D262="",B262=""),"",INT(TODAY()-B262))</f>
        <v/>
      </c>
      <c r="AB262" s="44" t="str">
        <f aca="true">IF(D262="","",IF(OR(COUNTIFS(Clients!$C$2:$C$501,D262,Clients!$S$2:$S$501,"Paid")&gt;0,AND(H262&lt;&gt;"",COUNTIFS(Clients!$E$2:$E$501,H262,Clients!$S$2:$S$501,"Paid")&gt;0)),"⚠ Refunded before – no free video",IF(OR(R262="Contract signed + paid",R262="Closed – No response",R262="Lost"),"",IF(R262="","Set a stage",IF(AND(R262="Proposal sent",SUMIFS(Scoresheet!$N$2:$N$501,Scoresheet!$C$2:$C$501,A262,Scoresheet!$U$2:$U$501,1)&lt;6),"Score this lead – fill the call scoresheet",IF(N(T262)&gt;=Settings!$S$3,"Close – 4 follow-ups sent",IF(U262="",IF(S262="","Make first contact",""),IF(TODAY()&gt;U262,"OVERDUE follow-up",IF(TODAY()=U262,"Follow up today","")))))))))</f>
        <v/>
      </c>
    </row>
    <row r="263" customFormat="false" ht="15" hidden="false" customHeight="false" outlineLevel="0" collapsed="false">
      <c r="A263" s="17"/>
      <c r="B263" s="40"/>
      <c r="C263" s="17"/>
      <c r="D263" s="17"/>
      <c r="E263" s="17"/>
      <c r="F263" s="17"/>
      <c r="G263" s="17"/>
      <c r="H263" s="42"/>
      <c r="I263" s="17"/>
      <c r="J263" s="17"/>
      <c r="K263" s="17"/>
      <c r="L263" s="17"/>
      <c r="M263" s="17"/>
      <c r="N263" s="44" t="str">
        <f aca="false">IF(OR(D263="",A263="",COUNTIFS(Scoresheet!$C$2:$C$501,A263,Scoresheet!$U$2:$U$501,1)=0),"",SUMIFS(Scoresheet!$O$2:$O$501,Scoresheet!$C$2:$C$501,A263,Scoresheet!$U$2:$U$501,1))</f>
        <v/>
      </c>
      <c r="O263" s="44" t="str">
        <f aca="false">IF(D263="","",IF(OR(A263="",COUNTIFS(Scoresheet!$C$2:$C$501,A263,Scoresheet!$U$2:$U$501,1)=0),"No scoresheet yet",IF(SUMIFS(Scoresheet!$N$2:$N$501,Scoresheet!$C$2:$C$501,A263,Scoresheet!$U$2:$U$501,1)&lt;6,"Partly scored ("&amp;SUMIFS(Scoresheet!$N$2:$N$501,Scoresheet!$C$2:$C$501,A263,Scoresheet!$U$2:$U$501,1)&amp;"/6)",IF(N263&gt;=Settings!$S$8,"Hot",IF(N263&gt;=Settings!$S$9,"Warm","Cold")))))</f>
        <v/>
      </c>
      <c r="P263" s="44" t="str">
        <f aca="false">IF(OR(D263="",A263=""),"",IF(AND(COUNTIFS(Scoresheet!$C$2:$C$501,A263,Scoresheet!$U$2:$U$501,1,Scoresheet!$H$2:$H$501,"No")&gt;0,COUNTIFS(Scoresheet!$C$2:$C$501,A263,Scoresheet!$U$2:$U$501,1,Scoresheet!$J$2:$J$501,"No")&gt;0),"🚩 Budget  ·  🚩 No one on camera",IF(COUNTIFS(Scoresheet!$C$2:$C$501,A263,Scoresheet!$U$2:$U$501,1,Scoresheet!$H$2:$H$501,"No")&gt;0,"🚩 Budget under AED 5k",IF(COUNTIFS(Scoresheet!$C$2:$C$501,A263,Scoresheet!$U$2:$U$501,1,Scoresheet!$J$2:$J$501,"No")&gt;0,"🚩 No one on camera",""))))</f>
        <v/>
      </c>
      <c r="Q263" s="17"/>
      <c r="R263" s="17"/>
      <c r="S263" s="40"/>
      <c r="T263" s="17"/>
      <c r="U263" s="45" t="str">
        <f aca="false">IF(OR(D263="",S263="",OR(R263="Contract signed + paid",R263="Closed – No response",R263="Lost"),N(T263)&gt;=Settings!$S$3),"",S263+Settings!$S$2)</f>
        <v/>
      </c>
      <c r="V263" s="40"/>
      <c r="W263" s="41"/>
      <c r="X263" s="17"/>
      <c r="Y263" s="17"/>
      <c r="Z263" s="17"/>
      <c r="AA263" s="46" t="str">
        <f aca="true">IF(OR(D263="",B263=""),"",INT(TODAY()-B263))</f>
        <v/>
      </c>
      <c r="AB263" s="44" t="str">
        <f aca="true">IF(D263="","",IF(OR(COUNTIFS(Clients!$C$2:$C$501,D263,Clients!$S$2:$S$501,"Paid")&gt;0,AND(H263&lt;&gt;"",COUNTIFS(Clients!$E$2:$E$501,H263,Clients!$S$2:$S$501,"Paid")&gt;0)),"⚠ Refunded before – no free video",IF(OR(R263="Contract signed + paid",R263="Closed – No response",R263="Lost"),"",IF(R263="","Set a stage",IF(AND(R263="Proposal sent",SUMIFS(Scoresheet!$N$2:$N$501,Scoresheet!$C$2:$C$501,A263,Scoresheet!$U$2:$U$501,1)&lt;6),"Score this lead – fill the call scoresheet",IF(N(T263)&gt;=Settings!$S$3,"Close – 4 follow-ups sent",IF(U263="",IF(S263="","Make first contact",""),IF(TODAY()&gt;U263,"OVERDUE follow-up",IF(TODAY()=U263,"Follow up today","")))))))))</f>
        <v/>
      </c>
    </row>
    <row r="264" customFormat="false" ht="15" hidden="false" customHeight="false" outlineLevel="0" collapsed="false">
      <c r="A264" s="17"/>
      <c r="B264" s="40"/>
      <c r="C264" s="17"/>
      <c r="D264" s="17"/>
      <c r="E264" s="17"/>
      <c r="F264" s="17"/>
      <c r="G264" s="17"/>
      <c r="H264" s="42"/>
      <c r="I264" s="17"/>
      <c r="J264" s="17"/>
      <c r="K264" s="17"/>
      <c r="L264" s="17"/>
      <c r="M264" s="17"/>
      <c r="N264" s="44" t="str">
        <f aca="false">IF(OR(D264="",A264="",COUNTIFS(Scoresheet!$C$2:$C$501,A264,Scoresheet!$U$2:$U$501,1)=0),"",SUMIFS(Scoresheet!$O$2:$O$501,Scoresheet!$C$2:$C$501,A264,Scoresheet!$U$2:$U$501,1))</f>
        <v/>
      </c>
      <c r="O264" s="44" t="str">
        <f aca="false">IF(D264="","",IF(OR(A264="",COUNTIFS(Scoresheet!$C$2:$C$501,A264,Scoresheet!$U$2:$U$501,1)=0),"No scoresheet yet",IF(SUMIFS(Scoresheet!$N$2:$N$501,Scoresheet!$C$2:$C$501,A264,Scoresheet!$U$2:$U$501,1)&lt;6,"Partly scored ("&amp;SUMIFS(Scoresheet!$N$2:$N$501,Scoresheet!$C$2:$C$501,A264,Scoresheet!$U$2:$U$501,1)&amp;"/6)",IF(N264&gt;=Settings!$S$8,"Hot",IF(N264&gt;=Settings!$S$9,"Warm","Cold")))))</f>
        <v/>
      </c>
      <c r="P264" s="44" t="str">
        <f aca="false">IF(OR(D264="",A264=""),"",IF(AND(COUNTIFS(Scoresheet!$C$2:$C$501,A264,Scoresheet!$U$2:$U$501,1,Scoresheet!$H$2:$H$501,"No")&gt;0,COUNTIFS(Scoresheet!$C$2:$C$501,A264,Scoresheet!$U$2:$U$501,1,Scoresheet!$J$2:$J$501,"No")&gt;0),"🚩 Budget  ·  🚩 No one on camera",IF(COUNTIFS(Scoresheet!$C$2:$C$501,A264,Scoresheet!$U$2:$U$501,1,Scoresheet!$H$2:$H$501,"No")&gt;0,"🚩 Budget under AED 5k",IF(COUNTIFS(Scoresheet!$C$2:$C$501,A264,Scoresheet!$U$2:$U$501,1,Scoresheet!$J$2:$J$501,"No")&gt;0,"🚩 No one on camera",""))))</f>
        <v/>
      </c>
      <c r="Q264" s="17"/>
      <c r="R264" s="17"/>
      <c r="S264" s="40"/>
      <c r="T264" s="17"/>
      <c r="U264" s="45" t="str">
        <f aca="false">IF(OR(D264="",S264="",OR(R264="Contract signed + paid",R264="Closed – No response",R264="Lost"),N(T264)&gt;=Settings!$S$3),"",S264+Settings!$S$2)</f>
        <v/>
      </c>
      <c r="V264" s="40"/>
      <c r="W264" s="41"/>
      <c r="X264" s="17"/>
      <c r="Y264" s="17"/>
      <c r="Z264" s="17"/>
      <c r="AA264" s="46" t="str">
        <f aca="true">IF(OR(D264="",B264=""),"",INT(TODAY()-B264))</f>
        <v/>
      </c>
      <c r="AB264" s="44" t="str">
        <f aca="true">IF(D264="","",IF(OR(COUNTIFS(Clients!$C$2:$C$501,D264,Clients!$S$2:$S$501,"Paid")&gt;0,AND(H264&lt;&gt;"",COUNTIFS(Clients!$E$2:$E$501,H264,Clients!$S$2:$S$501,"Paid")&gt;0)),"⚠ Refunded before – no free video",IF(OR(R264="Contract signed + paid",R264="Closed – No response",R264="Lost"),"",IF(R264="","Set a stage",IF(AND(R264="Proposal sent",SUMIFS(Scoresheet!$N$2:$N$501,Scoresheet!$C$2:$C$501,A264,Scoresheet!$U$2:$U$501,1)&lt;6),"Score this lead – fill the call scoresheet",IF(N(T264)&gt;=Settings!$S$3,"Close – 4 follow-ups sent",IF(U264="",IF(S264="","Make first contact",""),IF(TODAY()&gt;U264,"OVERDUE follow-up",IF(TODAY()=U264,"Follow up today","")))))))))</f>
        <v/>
      </c>
    </row>
    <row r="265" customFormat="false" ht="15" hidden="false" customHeight="false" outlineLevel="0" collapsed="false">
      <c r="A265" s="17"/>
      <c r="B265" s="40"/>
      <c r="C265" s="17"/>
      <c r="D265" s="17"/>
      <c r="E265" s="17"/>
      <c r="F265" s="17"/>
      <c r="G265" s="17"/>
      <c r="H265" s="42"/>
      <c r="I265" s="17"/>
      <c r="J265" s="17"/>
      <c r="K265" s="17"/>
      <c r="L265" s="17"/>
      <c r="M265" s="17"/>
      <c r="N265" s="44" t="str">
        <f aca="false">IF(OR(D265="",A265="",COUNTIFS(Scoresheet!$C$2:$C$501,A265,Scoresheet!$U$2:$U$501,1)=0),"",SUMIFS(Scoresheet!$O$2:$O$501,Scoresheet!$C$2:$C$501,A265,Scoresheet!$U$2:$U$501,1))</f>
        <v/>
      </c>
      <c r="O265" s="44" t="str">
        <f aca="false">IF(D265="","",IF(OR(A265="",COUNTIFS(Scoresheet!$C$2:$C$501,A265,Scoresheet!$U$2:$U$501,1)=0),"No scoresheet yet",IF(SUMIFS(Scoresheet!$N$2:$N$501,Scoresheet!$C$2:$C$501,A265,Scoresheet!$U$2:$U$501,1)&lt;6,"Partly scored ("&amp;SUMIFS(Scoresheet!$N$2:$N$501,Scoresheet!$C$2:$C$501,A265,Scoresheet!$U$2:$U$501,1)&amp;"/6)",IF(N265&gt;=Settings!$S$8,"Hot",IF(N265&gt;=Settings!$S$9,"Warm","Cold")))))</f>
        <v/>
      </c>
      <c r="P265" s="44" t="str">
        <f aca="false">IF(OR(D265="",A265=""),"",IF(AND(COUNTIFS(Scoresheet!$C$2:$C$501,A265,Scoresheet!$U$2:$U$501,1,Scoresheet!$H$2:$H$501,"No")&gt;0,COUNTIFS(Scoresheet!$C$2:$C$501,A265,Scoresheet!$U$2:$U$501,1,Scoresheet!$J$2:$J$501,"No")&gt;0),"🚩 Budget  ·  🚩 No one on camera",IF(COUNTIFS(Scoresheet!$C$2:$C$501,A265,Scoresheet!$U$2:$U$501,1,Scoresheet!$H$2:$H$501,"No")&gt;0,"🚩 Budget under AED 5k",IF(COUNTIFS(Scoresheet!$C$2:$C$501,A265,Scoresheet!$U$2:$U$501,1,Scoresheet!$J$2:$J$501,"No")&gt;0,"🚩 No one on camera",""))))</f>
        <v/>
      </c>
      <c r="Q265" s="17"/>
      <c r="R265" s="17"/>
      <c r="S265" s="40"/>
      <c r="T265" s="17"/>
      <c r="U265" s="45" t="str">
        <f aca="false">IF(OR(D265="",S265="",OR(R265="Contract signed + paid",R265="Closed – No response",R265="Lost"),N(T265)&gt;=Settings!$S$3),"",S265+Settings!$S$2)</f>
        <v/>
      </c>
      <c r="V265" s="40"/>
      <c r="W265" s="41"/>
      <c r="X265" s="17"/>
      <c r="Y265" s="17"/>
      <c r="Z265" s="17"/>
      <c r="AA265" s="46" t="str">
        <f aca="true">IF(OR(D265="",B265=""),"",INT(TODAY()-B265))</f>
        <v/>
      </c>
      <c r="AB265" s="44" t="str">
        <f aca="true">IF(D265="","",IF(OR(COUNTIFS(Clients!$C$2:$C$501,D265,Clients!$S$2:$S$501,"Paid")&gt;0,AND(H265&lt;&gt;"",COUNTIFS(Clients!$E$2:$E$501,H265,Clients!$S$2:$S$501,"Paid")&gt;0)),"⚠ Refunded before – no free video",IF(OR(R265="Contract signed + paid",R265="Closed – No response",R265="Lost"),"",IF(R265="","Set a stage",IF(AND(R265="Proposal sent",SUMIFS(Scoresheet!$N$2:$N$501,Scoresheet!$C$2:$C$501,A265,Scoresheet!$U$2:$U$501,1)&lt;6),"Score this lead – fill the call scoresheet",IF(N(T265)&gt;=Settings!$S$3,"Close – 4 follow-ups sent",IF(U265="",IF(S265="","Make first contact",""),IF(TODAY()&gt;U265,"OVERDUE follow-up",IF(TODAY()=U265,"Follow up today","")))))))))</f>
        <v/>
      </c>
    </row>
    <row r="266" customFormat="false" ht="15" hidden="false" customHeight="false" outlineLevel="0" collapsed="false">
      <c r="A266" s="17"/>
      <c r="B266" s="40"/>
      <c r="C266" s="17"/>
      <c r="D266" s="17"/>
      <c r="E266" s="17"/>
      <c r="F266" s="17"/>
      <c r="G266" s="17"/>
      <c r="H266" s="42"/>
      <c r="I266" s="17"/>
      <c r="J266" s="17"/>
      <c r="K266" s="17"/>
      <c r="L266" s="17"/>
      <c r="M266" s="17"/>
      <c r="N266" s="44" t="str">
        <f aca="false">IF(OR(D266="",A266="",COUNTIFS(Scoresheet!$C$2:$C$501,A266,Scoresheet!$U$2:$U$501,1)=0),"",SUMIFS(Scoresheet!$O$2:$O$501,Scoresheet!$C$2:$C$501,A266,Scoresheet!$U$2:$U$501,1))</f>
        <v/>
      </c>
      <c r="O266" s="44" t="str">
        <f aca="false">IF(D266="","",IF(OR(A266="",COUNTIFS(Scoresheet!$C$2:$C$501,A266,Scoresheet!$U$2:$U$501,1)=0),"No scoresheet yet",IF(SUMIFS(Scoresheet!$N$2:$N$501,Scoresheet!$C$2:$C$501,A266,Scoresheet!$U$2:$U$501,1)&lt;6,"Partly scored ("&amp;SUMIFS(Scoresheet!$N$2:$N$501,Scoresheet!$C$2:$C$501,A266,Scoresheet!$U$2:$U$501,1)&amp;"/6)",IF(N266&gt;=Settings!$S$8,"Hot",IF(N266&gt;=Settings!$S$9,"Warm","Cold")))))</f>
        <v/>
      </c>
      <c r="P266" s="44" t="str">
        <f aca="false">IF(OR(D266="",A266=""),"",IF(AND(COUNTIFS(Scoresheet!$C$2:$C$501,A266,Scoresheet!$U$2:$U$501,1,Scoresheet!$H$2:$H$501,"No")&gt;0,COUNTIFS(Scoresheet!$C$2:$C$501,A266,Scoresheet!$U$2:$U$501,1,Scoresheet!$J$2:$J$501,"No")&gt;0),"🚩 Budget  ·  🚩 No one on camera",IF(COUNTIFS(Scoresheet!$C$2:$C$501,A266,Scoresheet!$U$2:$U$501,1,Scoresheet!$H$2:$H$501,"No")&gt;0,"🚩 Budget under AED 5k",IF(COUNTIFS(Scoresheet!$C$2:$C$501,A266,Scoresheet!$U$2:$U$501,1,Scoresheet!$J$2:$J$501,"No")&gt;0,"🚩 No one on camera",""))))</f>
        <v/>
      </c>
      <c r="Q266" s="17"/>
      <c r="R266" s="17"/>
      <c r="S266" s="40"/>
      <c r="T266" s="17"/>
      <c r="U266" s="45" t="str">
        <f aca="false">IF(OR(D266="",S266="",OR(R266="Contract signed + paid",R266="Closed – No response",R266="Lost"),N(T266)&gt;=Settings!$S$3),"",S266+Settings!$S$2)</f>
        <v/>
      </c>
      <c r="V266" s="40"/>
      <c r="W266" s="41"/>
      <c r="X266" s="17"/>
      <c r="Y266" s="17"/>
      <c r="Z266" s="17"/>
      <c r="AA266" s="46" t="str">
        <f aca="true">IF(OR(D266="",B266=""),"",INT(TODAY()-B266))</f>
        <v/>
      </c>
      <c r="AB266" s="44" t="str">
        <f aca="true">IF(D266="","",IF(OR(COUNTIFS(Clients!$C$2:$C$501,D266,Clients!$S$2:$S$501,"Paid")&gt;0,AND(H266&lt;&gt;"",COUNTIFS(Clients!$E$2:$E$501,H266,Clients!$S$2:$S$501,"Paid")&gt;0)),"⚠ Refunded before – no free video",IF(OR(R266="Contract signed + paid",R266="Closed – No response",R266="Lost"),"",IF(R266="","Set a stage",IF(AND(R266="Proposal sent",SUMIFS(Scoresheet!$N$2:$N$501,Scoresheet!$C$2:$C$501,A266,Scoresheet!$U$2:$U$501,1)&lt;6),"Score this lead – fill the call scoresheet",IF(N(T266)&gt;=Settings!$S$3,"Close – 4 follow-ups sent",IF(U266="",IF(S266="","Make first contact",""),IF(TODAY()&gt;U266,"OVERDUE follow-up",IF(TODAY()=U266,"Follow up today","")))))))))</f>
        <v/>
      </c>
    </row>
    <row r="267" customFormat="false" ht="15" hidden="false" customHeight="false" outlineLevel="0" collapsed="false">
      <c r="A267" s="17"/>
      <c r="B267" s="40"/>
      <c r="C267" s="17"/>
      <c r="D267" s="17"/>
      <c r="E267" s="17"/>
      <c r="F267" s="17"/>
      <c r="G267" s="17"/>
      <c r="H267" s="42"/>
      <c r="I267" s="17"/>
      <c r="J267" s="17"/>
      <c r="K267" s="17"/>
      <c r="L267" s="17"/>
      <c r="M267" s="17"/>
      <c r="N267" s="44" t="str">
        <f aca="false">IF(OR(D267="",A267="",COUNTIFS(Scoresheet!$C$2:$C$501,A267,Scoresheet!$U$2:$U$501,1)=0),"",SUMIFS(Scoresheet!$O$2:$O$501,Scoresheet!$C$2:$C$501,A267,Scoresheet!$U$2:$U$501,1))</f>
        <v/>
      </c>
      <c r="O267" s="44" t="str">
        <f aca="false">IF(D267="","",IF(OR(A267="",COUNTIFS(Scoresheet!$C$2:$C$501,A267,Scoresheet!$U$2:$U$501,1)=0),"No scoresheet yet",IF(SUMIFS(Scoresheet!$N$2:$N$501,Scoresheet!$C$2:$C$501,A267,Scoresheet!$U$2:$U$501,1)&lt;6,"Partly scored ("&amp;SUMIFS(Scoresheet!$N$2:$N$501,Scoresheet!$C$2:$C$501,A267,Scoresheet!$U$2:$U$501,1)&amp;"/6)",IF(N267&gt;=Settings!$S$8,"Hot",IF(N267&gt;=Settings!$S$9,"Warm","Cold")))))</f>
        <v/>
      </c>
      <c r="P267" s="44" t="str">
        <f aca="false">IF(OR(D267="",A267=""),"",IF(AND(COUNTIFS(Scoresheet!$C$2:$C$501,A267,Scoresheet!$U$2:$U$501,1,Scoresheet!$H$2:$H$501,"No")&gt;0,COUNTIFS(Scoresheet!$C$2:$C$501,A267,Scoresheet!$U$2:$U$501,1,Scoresheet!$J$2:$J$501,"No")&gt;0),"🚩 Budget  ·  🚩 No one on camera",IF(COUNTIFS(Scoresheet!$C$2:$C$501,A267,Scoresheet!$U$2:$U$501,1,Scoresheet!$H$2:$H$501,"No")&gt;0,"🚩 Budget under AED 5k",IF(COUNTIFS(Scoresheet!$C$2:$C$501,A267,Scoresheet!$U$2:$U$501,1,Scoresheet!$J$2:$J$501,"No")&gt;0,"🚩 No one on camera",""))))</f>
        <v/>
      </c>
      <c r="Q267" s="17"/>
      <c r="R267" s="17"/>
      <c r="S267" s="40"/>
      <c r="T267" s="17"/>
      <c r="U267" s="45" t="str">
        <f aca="false">IF(OR(D267="",S267="",OR(R267="Contract signed + paid",R267="Closed – No response",R267="Lost"),N(T267)&gt;=Settings!$S$3),"",S267+Settings!$S$2)</f>
        <v/>
      </c>
      <c r="V267" s="40"/>
      <c r="W267" s="41"/>
      <c r="X267" s="17"/>
      <c r="Y267" s="17"/>
      <c r="Z267" s="17"/>
      <c r="AA267" s="46" t="str">
        <f aca="true">IF(OR(D267="",B267=""),"",INT(TODAY()-B267))</f>
        <v/>
      </c>
      <c r="AB267" s="44" t="str">
        <f aca="true">IF(D267="","",IF(OR(COUNTIFS(Clients!$C$2:$C$501,D267,Clients!$S$2:$S$501,"Paid")&gt;0,AND(H267&lt;&gt;"",COUNTIFS(Clients!$E$2:$E$501,H267,Clients!$S$2:$S$501,"Paid")&gt;0)),"⚠ Refunded before – no free video",IF(OR(R267="Contract signed + paid",R267="Closed – No response",R267="Lost"),"",IF(R267="","Set a stage",IF(AND(R267="Proposal sent",SUMIFS(Scoresheet!$N$2:$N$501,Scoresheet!$C$2:$C$501,A267,Scoresheet!$U$2:$U$501,1)&lt;6),"Score this lead – fill the call scoresheet",IF(N(T267)&gt;=Settings!$S$3,"Close – 4 follow-ups sent",IF(U267="",IF(S267="","Make first contact",""),IF(TODAY()&gt;U267,"OVERDUE follow-up",IF(TODAY()=U267,"Follow up today","")))))))))</f>
        <v/>
      </c>
    </row>
    <row r="268" customFormat="false" ht="15" hidden="false" customHeight="false" outlineLevel="0" collapsed="false">
      <c r="A268" s="17"/>
      <c r="B268" s="40"/>
      <c r="C268" s="17"/>
      <c r="D268" s="17"/>
      <c r="E268" s="17"/>
      <c r="F268" s="17"/>
      <c r="G268" s="17"/>
      <c r="H268" s="42"/>
      <c r="I268" s="17"/>
      <c r="J268" s="17"/>
      <c r="K268" s="17"/>
      <c r="L268" s="17"/>
      <c r="M268" s="17"/>
      <c r="N268" s="44" t="str">
        <f aca="false">IF(OR(D268="",A268="",COUNTIFS(Scoresheet!$C$2:$C$501,A268,Scoresheet!$U$2:$U$501,1)=0),"",SUMIFS(Scoresheet!$O$2:$O$501,Scoresheet!$C$2:$C$501,A268,Scoresheet!$U$2:$U$501,1))</f>
        <v/>
      </c>
      <c r="O268" s="44" t="str">
        <f aca="false">IF(D268="","",IF(OR(A268="",COUNTIFS(Scoresheet!$C$2:$C$501,A268,Scoresheet!$U$2:$U$501,1)=0),"No scoresheet yet",IF(SUMIFS(Scoresheet!$N$2:$N$501,Scoresheet!$C$2:$C$501,A268,Scoresheet!$U$2:$U$501,1)&lt;6,"Partly scored ("&amp;SUMIFS(Scoresheet!$N$2:$N$501,Scoresheet!$C$2:$C$501,A268,Scoresheet!$U$2:$U$501,1)&amp;"/6)",IF(N268&gt;=Settings!$S$8,"Hot",IF(N268&gt;=Settings!$S$9,"Warm","Cold")))))</f>
        <v/>
      </c>
      <c r="P268" s="44" t="str">
        <f aca="false">IF(OR(D268="",A268=""),"",IF(AND(COUNTIFS(Scoresheet!$C$2:$C$501,A268,Scoresheet!$U$2:$U$501,1,Scoresheet!$H$2:$H$501,"No")&gt;0,COUNTIFS(Scoresheet!$C$2:$C$501,A268,Scoresheet!$U$2:$U$501,1,Scoresheet!$J$2:$J$501,"No")&gt;0),"🚩 Budget  ·  🚩 No one on camera",IF(COUNTIFS(Scoresheet!$C$2:$C$501,A268,Scoresheet!$U$2:$U$501,1,Scoresheet!$H$2:$H$501,"No")&gt;0,"🚩 Budget under AED 5k",IF(COUNTIFS(Scoresheet!$C$2:$C$501,A268,Scoresheet!$U$2:$U$501,1,Scoresheet!$J$2:$J$501,"No")&gt;0,"🚩 No one on camera",""))))</f>
        <v/>
      </c>
      <c r="Q268" s="17"/>
      <c r="R268" s="17"/>
      <c r="S268" s="40"/>
      <c r="T268" s="17"/>
      <c r="U268" s="45" t="str">
        <f aca="false">IF(OR(D268="",S268="",OR(R268="Contract signed + paid",R268="Closed – No response",R268="Lost"),N(T268)&gt;=Settings!$S$3),"",S268+Settings!$S$2)</f>
        <v/>
      </c>
      <c r="V268" s="40"/>
      <c r="W268" s="41"/>
      <c r="X268" s="17"/>
      <c r="Y268" s="17"/>
      <c r="Z268" s="17"/>
      <c r="AA268" s="46" t="str">
        <f aca="true">IF(OR(D268="",B268=""),"",INT(TODAY()-B268))</f>
        <v/>
      </c>
      <c r="AB268" s="44" t="str">
        <f aca="true">IF(D268="","",IF(OR(COUNTIFS(Clients!$C$2:$C$501,D268,Clients!$S$2:$S$501,"Paid")&gt;0,AND(H268&lt;&gt;"",COUNTIFS(Clients!$E$2:$E$501,H268,Clients!$S$2:$S$501,"Paid")&gt;0)),"⚠ Refunded before – no free video",IF(OR(R268="Contract signed + paid",R268="Closed – No response",R268="Lost"),"",IF(R268="","Set a stage",IF(AND(R268="Proposal sent",SUMIFS(Scoresheet!$N$2:$N$501,Scoresheet!$C$2:$C$501,A268,Scoresheet!$U$2:$U$501,1)&lt;6),"Score this lead – fill the call scoresheet",IF(N(T268)&gt;=Settings!$S$3,"Close – 4 follow-ups sent",IF(U268="",IF(S268="","Make first contact",""),IF(TODAY()&gt;U268,"OVERDUE follow-up",IF(TODAY()=U268,"Follow up today","")))))))))</f>
        <v/>
      </c>
    </row>
    <row r="269" customFormat="false" ht="15" hidden="false" customHeight="false" outlineLevel="0" collapsed="false">
      <c r="A269" s="17"/>
      <c r="B269" s="40"/>
      <c r="C269" s="17"/>
      <c r="D269" s="17"/>
      <c r="E269" s="17"/>
      <c r="F269" s="17"/>
      <c r="G269" s="17"/>
      <c r="H269" s="42"/>
      <c r="I269" s="17"/>
      <c r="J269" s="17"/>
      <c r="K269" s="17"/>
      <c r="L269" s="17"/>
      <c r="M269" s="17"/>
      <c r="N269" s="44" t="str">
        <f aca="false">IF(OR(D269="",A269="",COUNTIFS(Scoresheet!$C$2:$C$501,A269,Scoresheet!$U$2:$U$501,1)=0),"",SUMIFS(Scoresheet!$O$2:$O$501,Scoresheet!$C$2:$C$501,A269,Scoresheet!$U$2:$U$501,1))</f>
        <v/>
      </c>
      <c r="O269" s="44" t="str">
        <f aca="false">IF(D269="","",IF(OR(A269="",COUNTIFS(Scoresheet!$C$2:$C$501,A269,Scoresheet!$U$2:$U$501,1)=0),"No scoresheet yet",IF(SUMIFS(Scoresheet!$N$2:$N$501,Scoresheet!$C$2:$C$501,A269,Scoresheet!$U$2:$U$501,1)&lt;6,"Partly scored ("&amp;SUMIFS(Scoresheet!$N$2:$N$501,Scoresheet!$C$2:$C$501,A269,Scoresheet!$U$2:$U$501,1)&amp;"/6)",IF(N269&gt;=Settings!$S$8,"Hot",IF(N269&gt;=Settings!$S$9,"Warm","Cold")))))</f>
        <v/>
      </c>
      <c r="P269" s="44" t="str">
        <f aca="false">IF(OR(D269="",A269=""),"",IF(AND(COUNTIFS(Scoresheet!$C$2:$C$501,A269,Scoresheet!$U$2:$U$501,1,Scoresheet!$H$2:$H$501,"No")&gt;0,COUNTIFS(Scoresheet!$C$2:$C$501,A269,Scoresheet!$U$2:$U$501,1,Scoresheet!$J$2:$J$501,"No")&gt;0),"🚩 Budget  ·  🚩 No one on camera",IF(COUNTIFS(Scoresheet!$C$2:$C$501,A269,Scoresheet!$U$2:$U$501,1,Scoresheet!$H$2:$H$501,"No")&gt;0,"🚩 Budget under AED 5k",IF(COUNTIFS(Scoresheet!$C$2:$C$501,A269,Scoresheet!$U$2:$U$501,1,Scoresheet!$J$2:$J$501,"No")&gt;0,"🚩 No one on camera",""))))</f>
        <v/>
      </c>
      <c r="Q269" s="17"/>
      <c r="R269" s="17"/>
      <c r="S269" s="40"/>
      <c r="T269" s="17"/>
      <c r="U269" s="45" t="str">
        <f aca="false">IF(OR(D269="",S269="",OR(R269="Contract signed + paid",R269="Closed – No response",R269="Lost"),N(T269)&gt;=Settings!$S$3),"",S269+Settings!$S$2)</f>
        <v/>
      </c>
      <c r="V269" s="40"/>
      <c r="W269" s="41"/>
      <c r="X269" s="17"/>
      <c r="Y269" s="17"/>
      <c r="Z269" s="17"/>
      <c r="AA269" s="46" t="str">
        <f aca="true">IF(OR(D269="",B269=""),"",INT(TODAY()-B269))</f>
        <v/>
      </c>
      <c r="AB269" s="44" t="str">
        <f aca="true">IF(D269="","",IF(OR(COUNTIFS(Clients!$C$2:$C$501,D269,Clients!$S$2:$S$501,"Paid")&gt;0,AND(H269&lt;&gt;"",COUNTIFS(Clients!$E$2:$E$501,H269,Clients!$S$2:$S$501,"Paid")&gt;0)),"⚠ Refunded before – no free video",IF(OR(R269="Contract signed + paid",R269="Closed – No response",R269="Lost"),"",IF(R269="","Set a stage",IF(AND(R269="Proposal sent",SUMIFS(Scoresheet!$N$2:$N$501,Scoresheet!$C$2:$C$501,A269,Scoresheet!$U$2:$U$501,1)&lt;6),"Score this lead – fill the call scoresheet",IF(N(T269)&gt;=Settings!$S$3,"Close – 4 follow-ups sent",IF(U269="",IF(S269="","Make first contact",""),IF(TODAY()&gt;U269,"OVERDUE follow-up",IF(TODAY()=U269,"Follow up today","")))))))))</f>
        <v/>
      </c>
    </row>
    <row r="270" customFormat="false" ht="15" hidden="false" customHeight="false" outlineLevel="0" collapsed="false">
      <c r="A270" s="17"/>
      <c r="B270" s="40"/>
      <c r="C270" s="17"/>
      <c r="D270" s="17"/>
      <c r="E270" s="17"/>
      <c r="F270" s="17"/>
      <c r="G270" s="17"/>
      <c r="H270" s="42"/>
      <c r="I270" s="17"/>
      <c r="J270" s="17"/>
      <c r="K270" s="17"/>
      <c r="L270" s="17"/>
      <c r="M270" s="17"/>
      <c r="N270" s="44" t="str">
        <f aca="false">IF(OR(D270="",A270="",COUNTIFS(Scoresheet!$C$2:$C$501,A270,Scoresheet!$U$2:$U$501,1)=0),"",SUMIFS(Scoresheet!$O$2:$O$501,Scoresheet!$C$2:$C$501,A270,Scoresheet!$U$2:$U$501,1))</f>
        <v/>
      </c>
      <c r="O270" s="44" t="str">
        <f aca="false">IF(D270="","",IF(OR(A270="",COUNTIFS(Scoresheet!$C$2:$C$501,A270,Scoresheet!$U$2:$U$501,1)=0),"No scoresheet yet",IF(SUMIFS(Scoresheet!$N$2:$N$501,Scoresheet!$C$2:$C$501,A270,Scoresheet!$U$2:$U$501,1)&lt;6,"Partly scored ("&amp;SUMIFS(Scoresheet!$N$2:$N$501,Scoresheet!$C$2:$C$501,A270,Scoresheet!$U$2:$U$501,1)&amp;"/6)",IF(N270&gt;=Settings!$S$8,"Hot",IF(N270&gt;=Settings!$S$9,"Warm","Cold")))))</f>
        <v/>
      </c>
      <c r="P270" s="44" t="str">
        <f aca="false">IF(OR(D270="",A270=""),"",IF(AND(COUNTIFS(Scoresheet!$C$2:$C$501,A270,Scoresheet!$U$2:$U$501,1,Scoresheet!$H$2:$H$501,"No")&gt;0,COUNTIFS(Scoresheet!$C$2:$C$501,A270,Scoresheet!$U$2:$U$501,1,Scoresheet!$J$2:$J$501,"No")&gt;0),"🚩 Budget  ·  🚩 No one on camera",IF(COUNTIFS(Scoresheet!$C$2:$C$501,A270,Scoresheet!$U$2:$U$501,1,Scoresheet!$H$2:$H$501,"No")&gt;0,"🚩 Budget under AED 5k",IF(COUNTIFS(Scoresheet!$C$2:$C$501,A270,Scoresheet!$U$2:$U$501,1,Scoresheet!$J$2:$J$501,"No")&gt;0,"🚩 No one on camera",""))))</f>
        <v/>
      </c>
      <c r="Q270" s="17"/>
      <c r="R270" s="17"/>
      <c r="S270" s="40"/>
      <c r="T270" s="17"/>
      <c r="U270" s="45" t="str">
        <f aca="false">IF(OR(D270="",S270="",OR(R270="Contract signed + paid",R270="Closed – No response",R270="Lost"),N(T270)&gt;=Settings!$S$3),"",S270+Settings!$S$2)</f>
        <v/>
      </c>
      <c r="V270" s="40"/>
      <c r="W270" s="41"/>
      <c r="X270" s="17"/>
      <c r="Y270" s="17"/>
      <c r="Z270" s="17"/>
      <c r="AA270" s="46" t="str">
        <f aca="true">IF(OR(D270="",B270=""),"",INT(TODAY()-B270))</f>
        <v/>
      </c>
      <c r="AB270" s="44" t="str">
        <f aca="true">IF(D270="","",IF(OR(COUNTIFS(Clients!$C$2:$C$501,D270,Clients!$S$2:$S$501,"Paid")&gt;0,AND(H270&lt;&gt;"",COUNTIFS(Clients!$E$2:$E$501,H270,Clients!$S$2:$S$501,"Paid")&gt;0)),"⚠ Refunded before – no free video",IF(OR(R270="Contract signed + paid",R270="Closed – No response",R270="Lost"),"",IF(R270="","Set a stage",IF(AND(R270="Proposal sent",SUMIFS(Scoresheet!$N$2:$N$501,Scoresheet!$C$2:$C$501,A270,Scoresheet!$U$2:$U$501,1)&lt;6),"Score this lead – fill the call scoresheet",IF(N(T270)&gt;=Settings!$S$3,"Close – 4 follow-ups sent",IF(U270="",IF(S270="","Make first contact",""),IF(TODAY()&gt;U270,"OVERDUE follow-up",IF(TODAY()=U270,"Follow up today","")))))))))</f>
        <v/>
      </c>
    </row>
    <row r="271" customFormat="false" ht="15" hidden="false" customHeight="false" outlineLevel="0" collapsed="false">
      <c r="A271" s="17"/>
      <c r="B271" s="40"/>
      <c r="C271" s="17"/>
      <c r="D271" s="17"/>
      <c r="E271" s="17"/>
      <c r="F271" s="17"/>
      <c r="G271" s="17"/>
      <c r="H271" s="42"/>
      <c r="I271" s="17"/>
      <c r="J271" s="17"/>
      <c r="K271" s="17"/>
      <c r="L271" s="17"/>
      <c r="M271" s="17"/>
      <c r="N271" s="44" t="str">
        <f aca="false">IF(OR(D271="",A271="",COUNTIFS(Scoresheet!$C$2:$C$501,A271,Scoresheet!$U$2:$U$501,1)=0),"",SUMIFS(Scoresheet!$O$2:$O$501,Scoresheet!$C$2:$C$501,A271,Scoresheet!$U$2:$U$501,1))</f>
        <v/>
      </c>
      <c r="O271" s="44" t="str">
        <f aca="false">IF(D271="","",IF(OR(A271="",COUNTIFS(Scoresheet!$C$2:$C$501,A271,Scoresheet!$U$2:$U$501,1)=0),"No scoresheet yet",IF(SUMIFS(Scoresheet!$N$2:$N$501,Scoresheet!$C$2:$C$501,A271,Scoresheet!$U$2:$U$501,1)&lt;6,"Partly scored ("&amp;SUMIFS(Scoresheet!$N$2:$N$501,Scoresheet!$C$2:$C$501,A271,Scoresheet!$U$2:$U$501,1)&amp;"/6)",IF(N271&gt;=Settings!$S$8,"Hot",IF(N271&gt;=Settings!$S$9,"Warm","Cold")))))</f>
        <v/>
      </c>
      <c r="P271" s="44" t="str">
        <f aca="false">IF(OR(D271="",A271=""),"",IF(AND(COUNTIFS(Scoresheet!$C$2:$C$501,A271,Scoresheet!$U$2:$U$501,1,Scoresheet!$H$2:$H$501,"No")&gt;0,COUNTIFS(Scoresheet!$C$2:$C$501,A271,Scoresheet!$U$2:$U$501,1,Scoresheet!$J$2:$J$501,"No")&gt;0),"🚩 Budget  ·  🚩 No one on camera",IF(COUNTIFS(Scoresheet!$C$2:$C$501,A271,Scoresheet!$U$2:$U$501,1,Scoresheet!$H$2:$H$501,"No")&gt;0,"🚩 Budget under AED 5k",IF(COUNTIFS(Scoresheet!$C$2:$C$501,A271,Scoresheet!$U$2:$U$501,1,Scoresheet!$J$2:$J$501,"No")&gt;0,"🚩 No one on camera",""))))</f>
        <v/>
      </c>
      <c r="Q271" s="17"/>
      <c r="R271" s="17"/>
      <c r="S271" s="40"/>
      <c r="T271" s="17"/>
      <c r="U271" s="45" t="str">
        <f aca="false">IF(OR(D271="",S271="",OR(R271="Contract signed + paid",R271="Closed – No response",R271="Lost"),N(T271)&gt;=Settings!$S$3),"",S271+Settings!$S$2)</f>
        <v/>
      </c>
      <c r="V271" s="40"/>
      <c r="W271" s="41"/>
      <c r="X271" s="17"/>
      <c r="Y271" s="17"/>
      <c r="Z271" s="17"/>
      <c r="AA271" s="46" t="str">
        <f aca="true">IF(OR(D271="",B271=""),"",INT(TODAY()-B271))</f>
        <v/>
      </c>
      <c r="AB271" s="44" t="str">
        <f aca="true">IF(D271="","",IF(OR(COUNTIFS(Clients!$C$2:$C$501,D271,Clients!$S$2:$S$501,"Paid")&gt;0,AND(H271&lt;&gt;"",COUNTIFS(Clients!$E$2:$E$501,H271,Clients!$S$2:$S$501,"Paid")&gt;0)),"⚠ Refunded before – no free video",IF(OR(R271="Contract signed + paid",R271="Closed – No response",R271="Lost"),"",IF(R271="","Set a stage",IF(AND(R271="Proposal sent",SUMIFS(Scoresheet!$N$2:$N$501,Scoresheet!$C$2:$C$501,A271,Scoresheet!$U$2:$U$501,1)&lt;6),"Score this lead – fill the call scoresheet",IF(N(T271)&gt;=Settings!$S$3,"Close – 4 follow-ups sent",IF(U271="",IF(S271="","Make first contact",""),IF(TODAY()&gt;U271,"OVERDUE follow-up",IF(TODAY()=U271,"Follow up today","")))))))))</f>
        <v/>
      </c>
    </row>
    <row r="272" customFormat="false" ht="15" hidden="false" customHeight="false" outlineLevel="0" collapsed="false">
      <c r="A272" s="17"/>
      <c r="B272" s="40"/>
      <c r="C272" s="17"/>
      <c r="D272" s="17"/>
      <c r="E272" s="17"/>
      <c r="F272" s="17"/>
      <c r="G272" s="17"/>
      <c r="H272" s="42"/>
      <c r="I272" s="17"/>
      <c r="J272" s="17"/>
      <c r="K272" s="17"/>
      <c r="L272" s="17"/>
      <c r="M272" s="17"/>
      <c r="N272" s="44" t="str">
        <f aca="false">IF(OR(D272="",A272="",COUNTIFS(Scoresheet!$C$2:$C$501,A272,Scoresheet!$U$2:$U$501,1)=0),"",SUMIFS(Scoresheet!$O$2:$O$501,Scoresheet!$C$2:$C$501,A272,Scoresheet!$U$2:$U$501,1))</f>
        <v/>
      </c>
      <c r="O272" s="44" t="str">
        <f aca="false">IF(D272="","",IF(OR(A272="",COUNTIFS(Scoresheet!$C$2:$C$501,A272,Scoresheet!$U$2:$U$501,1)=0),"No scoresheet yet",IF(SUMIFS(Scoresheet!$N$2:$N$501,Scoresheet!$C$2:$C$501,A272,Scoresheet!$U$2:$U$501,1)&lt;6,"Partly scored ("&amp;SUMIFS(Scoresheet!$N$2:$N$501,Scoresheet!$C$2:$C$501,A272,Scoresheet!$U$2:$U$501,1)&amp;"/6)",IF(N272&gt;=Settings!$S$8,"Hot",IF(N272&gt;=Settings!$S$9,"Warm","Cold")))))</f>
        <v/>
      </c>
      <c r="P272" s="44" t="str">
        <f aca="false">IF(OR(D272="",A272=""),"",IF(AND(COUNTIFS(Scoresheet!$C$2:$C$501,A272,Scoresheet!$U$2:$U$501,1,Scoresheet!$H$2:$H$501,"No")&gt;0,COUNTIFS(Scoresheet!$C$2:$C$501,A272,Scoresheet!$U$2:$U$501,1,Scoresheet!$J$2:$J$501,"No")&gt;0),"🚩 Budget  ·  🚩 No one on camera",IF(COUNTIFS(Scoresheet!$C$2:$C$501,A272,Scoresheet!$U$2:$U$501,1,Scoresheet!$H$2:$H$501,"No")&gt;0,"🚩 Budget under AED 5k",IF(COUNTIFS(Scoresheet!$C$2:$C$501,A272,Scoresheet!$U$2:$U$501,1,Scoresheet!$J$2:$J$501,"No")&gt;0,"🚩 No one on camera",""))))</f>
        <v/>
      </c>
      <c r="Q272" s="17"/>
      <c r="R272" s="17"/>
      <c r="S272" s="40"/>
      <c r="T272" s="17"/>
      <c r="U272" s="45" t="str">
        <f aca="false">IF(OR(D272="",S272="",OR(R272="Contract signed + paid",R272="Closed – No response",R272="Lost"),N(T272)&gt;=Settings!$S$3),"",S272+Settings!$S$2)</f>
        <v/>
      </c>
      <c r="V272" s="40"/>
      <c r="W272" s="41"/>
      <c r="X272" s="17"/>
      <c r="Y272" s="17"/>
      <c r="Z272" s="17"/>
      <c r="AA272" s="46" t="str">
        <f aca="true">IF(OR(D272="",B272=""),"",INT(TODAY()-B272))</f>
        <v/>
      </c>
      <c r="AB272" s="44" t="str">
        <f aca="true">IF(D272="","",IF(OR(COUNTIFS(Clients!$C$2:$C$501,D272,Clients!$S$2:$S$501,"Paid")&gt;0,AND(H272&lt;&gt;"",COUNTIFS(Clients!$E$2:$E$501,H272,Clients!$S$2:$S$501,"Paid")&gt;0)),"⚠ Refunded before – no free video",IF(OR(R272="Contract signed + paid",R272="Closed – No response",R272="Lost"),"",IF(R272="","Set a stage",IF(AND(R272="Proposal sent",SUMIFS(Scoresheet!$N$2:$N$501,Scoresheet!$C$2:$C$501,A272,Scoresheet!$U$2:$U$501,1)&lt;6),"Score this lead – fill the call scoresheet",IF(N(T272)&gt;=Settings!$S$3,"Close – 4 follow-ups sent",IF(U272="",IF(S272="","Make first contact",""),IF(TODAY()&gt;U272,"OVERDUE follow-up",IF(TODAY()=U272,"Follow up today","")))))))))</f>
        <v/>
      </c>
    </row>
    <row r="273" customFormat="false" ht="15" hidden="false" customHeight="false" outlineLevel="0" collapsed="false">
      <c r="A273" s="17"/>
      <c r="B273" s="40"/>
      <c r="C273" s="17"/>
      <c r="D273" s="17"/>
      <c r="E273" s="17"/>
      <c r="F273" s="17"/>
      <c r="G273" s="17"/>
      <c r="H273" s="42"/>
      <c r="I273" s="17"/>
      <c r="J273" s="17"/>
      <c r="K273" s="17"/>
      <c r="L273" s="17"/>
      <c r="M273" s="17"/>
      <c r="N273" s="44" t="str">
        <f aca="false">IF(OR(D273="",A273="",COUNTIFS(Scoresheet!$C$2:$C$501,A273,Scoresheet!$U$2:$U$501,1)=0),"",SUMIFS(Scoresheet!$O$2:$O$501,Scoresheet!$C$2:$C$501,A273,Scoresheet!$U$2:$U$501,1))</f>
        <v/>
      </c>
      <c r="O273" s="44" t="str">
        <f aca="false">IF(D273="","",IF(OR(A273="",COUNTIFS(Scoresheet!$C$2:$C$501,A273,Scoresheet!$U$2:$U$501,1)=0),"No scoresheet yet",IF(SUMIFS(Scoresheet!$N$2:$N$501,Scoresheet!$C$2:$C$501,A273,Scoresheet!$U$2:$U$501,1)&lt;6,"Partly scored ("&amp;SUMIFS(Scoresheet!$N$2:$N$501,Scoresheet!$C$2:$C$501,A273,Scoresheet!$U$2:$U$501,1)&amp;"/6)",IF(N273&gt;=Settings!$S$8,"Hot",IF(N273&gt;=Settings!$S$9,"Warm","Cold")))))</f>
        <v/>
      </c>
      <c r="P273" s="44" t="str">
        <f aca="false">IF(OR(D273="",A273=""),"",IF(AND(COUNTIFS(Scoresheet!$C$2:$C$501,A273,Scoresheet!$U$2:$U$501,1,Scoresheet!$H$2:$H$501,"No")&gt;0,COUNTIFS(Scoresheet!$C$2:$C$501,A273,Scoresheet!$U$2:$U$501,1,Scoresheet!$J$2:$J$501,"No")&gt;0),"🚩 Budget  ·  🚩 No one on camera",IF(COUNTIFS(Scoresheet!$C$2:$C$501,A273,Scoresheet!$U$2:$U$501,1,Scoresheet!$H$2:$H$501,"No")&gt;0,"🚩 Budget under AED 5k",IF(COUNTIFS(Scoresheet!$C$2:$C$501,A273,Scoresheet!$U$2:$U$501,1,Scoresheet!$J$2:$J$501,"No")&gt;0,"🚩 No one on camera",""))))</f>
        <v/>
      </c>
      <c r="Q273" s="17"/>
      <c r="R273" s="17"/>
      <c r="S273" s="40"/>
      <c r="T273" s="17"/>
      <c r="U273" s="45" t="str">
        <f aca="false">IF(OR(D273="",S273="",OR(R273="Contract signed + paid",R273="Closed – No response",R273="Lost"),N(T273)&gt;=Settings!$S$3),"",S273+Settings!$S$2)</f>
        <v/>
      </c>
      <c r="V273" s="40"/>
      <c r="W273" s="41"/>
      <c r="X273" s="17"/>
      <c r="Y273" s="17"/>
      <c r="Z273" s="17"/>
      <c r="AA273" s="46" t="str">
        <f aca="true">IF(OR(D273="",B273=""),"",INT(TODAY()-B273))</f>
        <v/>
      </c>
      <c r="AB273" s="44" t="str">
        <f aca="true">IF(D273="","",IF(OR(COUNTIFS(Clients!$C$2:$C$501,D273,Clients!$S$2:$S$501,"Paid")&gt;0,AND(H273&lt;&gt;"",COUNTIFS(Clients!$E$2:$E$501,H273,Clients!$S$2:$S$501,"Paid")&gt;0)),"⚠ Refunded before – no free video",IF(OR(R273="Contract signed + paid",R273="Closed – No response",R273="Lost"),"",IF(R273="","Set a stage",IF(AND(R273="Proposal sent",SUMIFS(Scoresheet!$N$2:$N$501,Scoresheet!$C$2:$C$501,A273,Scoresheet!$U$2:$U$501,1)&lt;6),"Score this lead – fill the call scoresheet",IF(N(T273)&gt;=Settings!$S$3,"Close – 4 follow-ups sent",IF(U273="",IF(S273="","Make first contact",""),IF(TODAY()&gt;U273,"OVERDUE follow-up",IF(TODAY()=U273,"Follow up today","")))))))))</f>
        <v/>
      </c>
    </row>
    <row r="274" customFormat="false" ht="15" hidden="false" customHeight="false" outlineLevel="0" collapsed="false">
      <c r="A274" s="17"/>
      <c r="B274" s="40"/>
      <c r="C274" s="17"/>
      <c r="D274" s="17"/>
      <c r="E274" s="17"/>
      <c r="F274" s="17"/>
      <c r="G274" s="17"/>
      <c r="H274" s="42"/>
      <c r="I274" s="17"/>
      <c r="J274" s="17"/>
      <c r="K274" s="17"/>
      <c r="L274" s="17"/>
      <c r="M274" s="17"/>
      <c r="N274" s="44" t="str">
        <f aca="false">IF(OR(D274="",A274="",COUNTIFS(Scoresheet!$C$2:$C$501,A274,Scoresheet!$U$2:$U$501,1)=0),"",SUMIFS(Scoresheet!$O$2:$O$501,Scoresheet!$C$2:$C$501,A274,Scoresheet!$U$2:$U$501,1))</f>
        <v/>
      </c>
      <c r="O274" s="44" t="str">
        <f aca="false">IF(D274="","",IF(OR(A274="",COUNTIFS(Scoresheet!$C$2:$C$501,A274,Scoresheet!$U$2:$U$501,1)=0),"No scoresheet yet",IF(SUMIFS(Scoresheet!$N$2:$N$501,Scoresheet!$C$2:$C$501,A274,Scoresheet!$U$2:$U$501,1)&lt;6,"Partly scored ("&amp;SUMIFS(Scoresheet!$N$2:$N$501,Scoresheet!$C$2:$C$501,A274,Scoresheet!$U$2:$U$501,1)&amp;"/6)",IF(N274&gt;=Settings!$S$8,"Hot",IF(N274&gt;=Settings!$S$9,"Warm","Cold")))))</f>
        <v/>
      </c>
      <c r="P274" s="44" t="str">
        <f aca="false">IF(OR(D274="",A274=""),"",IF(AND(COUNTIFS(Scoresheet!$C$2:$C$501,A274,Scoresheet!$U$2:$U$501,1,Scoresheet!$H$2:$H$501,"No")&gt;0,COUNTIFS(Scoresheet!$C$2:$C$501,A274,Scoresheet!$U$2:$U$501,1,Scoresheet!$J$2:$J$501,"No")&gt;0),"🚩 Budget  ·  🚩 No one on camera",IF(COUNTIFS(Scoresheet!$C$2:$C$501,A274,Scoresheet!$U$2:$U$501,1,Scoresheet!$H$2:$H$501,"No")&gt;0,"🚩 Budget under AED 5k",IF(COUNTIFS(Scoresheet!$C$2:$C$501,A274,Scoresheet!$U$2:$U$501,1,Scoresheet!$J$2:$J$501,"No")&gt;0,"🚩 No one on camera",""))))</f>
        <v/>
      </c>
      <c r="Q274" s="17"/>
      <c r="R274" s="17"/>
      <c r="S274" s="40"/>
      <c r="T274" s="17"/>
      <c r="U274" s="45" t="str">
        <f aca="false">IF(OR(D274="",S274="",OR(R274="Contract signed + paid",R274="Closed – No response",R274="Lost"),N(T274)&gt;=Settings!$S$3),"",S274+Settings!$S$2)</f>
        <v/>
      </c>
      <c r="V274" s="40"/>
      <c r="W274" s="41"/>
      <c r="X274" s="17"/>
      <c r="Y274" s="17"/>
      <c r="Z274" s="17"/>
      <c r="AA274" s="46" t="str">
        <f aca="true">IF(OR(D274="",B274=""),"",INT(TODAY()-B274))</f>
        <v/>
      </c>
      <c r="AB274" s="44" t="str">
        <f aca="true">IF(D274="","",IF(OR(COUNTIFS(Clients!$C$2:$C$501,D274,Clients!$S$2:$S$501,"Paid")&gt;0,AND(H274&lt;&gt;"",COUNTIFS(Clients!$E$2:$E$501,H274,Clients!$S$2:$S$501,"Paid")&gt;0)),"⚠ Refunded before – no free video",IF(OR(R274="Contract signed + paid",R274="Closed – No response",R274="Lost"),"",IF(R274="","Set a stage",IF(AND(R274="Proposal sent",SUMIFS(Scoresheet!$N$2:$N$501,Scoresheet!$C$2:$C$501,A274,Scoresheet!$U$2:$U$501,1)&lt;6),"Score this lead – fill the call scoresheet",IF(N(T274)&gt;=Settings!$S$3,"Close – 4 follow-ups sent",IF(U274="",IF(S274="","Make first contact",""),IF(TODAY()&gt;U274,"OVERDUE follow-up",IF(TODAY()=U274,"Follow up today","")))))))))</f>
        <v/>
      </c>
    </row>
    <row r="275" customFormat="false" ht="15" hidden="false" customHeight="false" outlineLevel="0" collapsed="false">
      <c r="A275" s="17"/>
      <c r="B275" s="40"/>
      <c r="C275" s="17"/>
      <c r="D275" s="17"/>
      <c r="E275" s="17"/>
      <c r="F275" s="17"/>
      <c r="G275" s="17"/>
      <c r="H275" s="42"/>
      <c r="I275" s="17"/>
      <c r="J275" s="17"/>
      <c r="K275" s="17"/>
      <c r="L275" s="17"/>
      <c r="M275" s="17"/>
      <c r="N275" s="44" t="str">
        <f aca="false">IF(OR(D275="",A275="",COUNTIFS(Scoresheet!$C$2:$C$501,A275,Scoresheet!$U$2:$U$501,1)=0),"",SUMIFS(Scoresheet!$O$2:$O$501,Scoresheet!$C$2:$C$501,A275,Scoresheet!$U$2:$U$501,1))</f>
        <v/>
      </c>
      <c r="O275" s="44" t="str">
        <f aca="false">IF(D275="","",IF(OR(A275="",COUNTIFS(Scoresheet!$C$2:$C$501,A275,Scoresheet!$U$2:$U$501,1)=0),"No scoresheet yet",IF(SUMIFS(Scoresheet!$N$2:$N$501,Scoresheet!$C$2:$C$501,A275,Scoresheet!$U$2:$U$501,1)&lt;6,"Partly scored ("&amp;SUMIFS(Scoresheet!$N$2:$N$501,Scoresheet!$C$2:$C$501,A275,Scoresheet!$U$2:$U$501,1)&amp;"/6)",IF(N275&gt;=Settings!$S$8,"Hot",IF(N275&gt;=Settings!$S$9,"Warm","Cold")))))</f>
        <v/>
      </c>
      <c r="P275" s="44" t="str">
        <f aca="false">IF(OR(D275="",A275=""),"",IF(AND(COUNTIFS(Scoresheet!$C$2:$C$501,A275,Scoresheet!$U$2:$U$501,1,Scoresheet!$H$2:$H$501,"No")&gt;0,COUNTIFS(Scoresheet!$C$2:$C$501,A275,Scoresheet!$U$2:$U$501,1,Scoresheet!$J$2:$J$501,"No")&gt;0),"🚩 Budget  ·  🚩 No one on camera",IF(COUNTIFS(Scoresheet!$C$2:$C$501,A275,Scoresheet!$U$2:$U$501,1,Scoresheet!$H$2:$H$501,"No")&gt;0,"🚩 Budget under AED 5k",IF(COUNTIFS(Scoresheet!$C$2:$C$501,A275,Scoresheet!$U$2:$U$501,1,Scoresheet!$J$2:$J$501,"No")&gt;0,"🚩 No one on camera",""))))</f>
        <v/>
      </c>
      <c r="Q275" s="17"/>
      <c r="R275" s="17"/>
      <c r="S275" s="40"/>
      <c r="T275" s="17"/>
      <c r="U275" s="45" t="str">
        <f aca="false">IF(OR(D275="",S275="",OR(R275="Contract signed + paid",R275="Closed – No response",R275="Lost"),N(T275)&gt;=Settings!$S$3),"",S275+Settings!$S$2)</f>
        <v/>
      </c>
      <c r="V275" s="40"/>
      <c r="W275" s="41"/>
      <c r="X275" s="17"/>
      <c r="Y275" s="17"/>
      <c r="Z275" s="17"/>
      <c r="AA275" s="46" t="str">
        <f aca="true">IF(OR(D275="",B275=""),"",INT(TODAY()-B275))</f>
        <v/>
      </c>
      <c r="AB275" s="44" t="str">
        <f aca="true">IF(D275="","",IF(OR(COUNTIFS(Clients!$C$2:$C$501,D275,Clients!$S$2:$S$501,"Paid")&gt;0,AND(H275&lt;&gt;"",COUNTIFS(Clients!$E$2:$E$501,H275,Clients!$S$2:$S$501,"Paid")&gt;0)),"⚠ Refunded before – no free video",IF(OR(R275="Contract signed + paid",R275="Closed – No response",R275="Lost"),"",IF(R275="","Set a stage",IF(AND(R275="Proposal sent",SUMIFS(Scoresheet!$N$2:$N$501,Scoresheet!$C$2:$C$501,A275,Scoresheet!$U$2:$U$501,1)&lt;6),"Score this lead – fill the call scoresheet",IF(N(T275)&gt;=Settings!$S$3,"Close – 4 follow-ups sent",IF(U275="",IF(S275="","Make first contact",""),IF(TODAY()&gt;U275,"OVERDUE follow-up",IF(TODAY()=U275,"Follow up today","")))))))))</f>
        <v/>
      </c>
    </row>
    <row r="276" customFormat="false" ht="15" hidden="false" customHeight="false" outlineLevel="0" collapsed="false">
      <c r="A276" s="17"/>
      <c r="B276" s="40"/>
      <c r="C276" s="17"/>
      <c r="D276" s="17"/>
      <c r="E276" s="17"/>
      <c r="F276" s="17"/>
      <c r="G276" s="17"/>
      <c r="H276" s="42"/>
      <c r="I276" s="17"/>
      <c r="J276" s="17"/>
      <c r="K276" s="17"/>
      <c r="L276" s="17"/>
      <c r="M276" s="17"/>
      <c r="N276" s="44" t="str">
        <f aca="false">IF(OR(D276="",A276="",COUNTIFS(Scoresheet!$C$2:$C$501,A276,Scoresheet!$U$2:$U$501,1)=0),"",SUMIFS(Scoresheet!$O$2:$O$501,Scoresheet!$C$2:$C$501,A276,Scoresheet!$U$2:$U$501,1))</f>
        <v/>
      </c>
      <c r="O276" s="44" t="str">
        <f aca="false">IF(D276="","",IF(OR(A276="",COUNTIFS(Scoresheet!$C$2:$C$501,A276,Scoresheet!$U$2:$U$501,1)=0),"No scoresheet yet",IF(SUMIFS(Scoresheet!$N$2:$N$501,Scoresheet!$C$2:$C$501,A276,Scoresheet!$U$2:$U$501,1)&lt;6,"Partly scored ("&amp;SUMIFS(Scoresheet!$N$2:$N$501,Scoresheet!$C$2:$C$501,A276,Scoresheet!$U$2:$U$501,1)&amp;"/6)",IF(N276&gt;=Settings!$S$8,"Hot",IF(N276&gt;=Settings!$S$9,"Warm","Cold")))))</f>
        <v/>
      </c>
      <c r="P276" s="44" t="str">
        <f aca="false">IF(OR(D276="",A276=""),"",IF(AND(COUNTIFS(Scoresheet!$C$2:$C$501,A276,Scoresheet!$U$2:$U$501,1,Scoresheet!$H$2:$H$501,"No")&gt;0,COUNTIFS(Scoresheet!$C$2:$C$501,A276,Scoresheet!$U$2:$U$501,1,Scoresheet!$J$2:$J$501,"No")&gt;0),"🚩 Budget  ·  🚩 No one on camera",IF(COUNTIFS(Scoresheet!$C$2:$C$501,A276,Scoresheet!$U$2:$U$501,1,Scoresheet!$H$2:$H$501,"No")&gt;0,"🚩 Budget under AED 5k",IF(COUNTIFS(Scoresheet!$C$2:$C$501,A276,Scoresheet!$U$2:$U$501,1,Scoresheet!$J$2:$J$501,"No")&gt;0,"🚩 No one on camera",""))))</f>
        <v/>
      </c>
      <c r="Q276" s="17"/>
      <c r="R276" s="17"/>
      <c r="S276" s="40"/>
      <c r="T276" s="17"/>
      <c r="U276" s="45" t="str">
        <f aca="false">IF(OR(D276="",S276="",OR(R276="Contract signed + paid",R276="Closed – No response",R276="Lost"),N(T276)&gt;=Settings!$S$3),"",S276+Settings!$S$2)</f>
        <v/>
      </c>
      <c r="V276" s="40"/>
      <c r="W276" s="41"/>
      <c r="X276" s="17"/>
      <c r="Y276" s="17"/>
      <c r="Z276" s="17"/>
      <c r="AA276" s="46" t="str">
        <f aca="true">IF(OR(D276="",B276=""),"",INT(TODAY()-B276))</f>
        <v/>
      </c>
      <c r="AB276" s="44" t="str">
        <f aca="true">IF(D276="","",IF(OR(COUNTIFS(Clients!$C$2:$C$501,D276,Clients!$S$2:$S$501,"Paid")&gt;0,AND(H276&lt;&gt;"",COUNTIFS(Clients!$E$2:$E$501,H276,Clients!$S$2:$S$501,"Paid")&gt;0)),"⚠ Refunded before – no free video",IF(OR(R276="Contract signed + paid",R276="Closed – No response",R276="Lost"),"",IF(R276="","Set a stage",IF(AND(R276="Proposal sent",SUMIFS(Scoresheet!$N$2:$N$501,Scoresheet!$C$2:$C$501,A276,Scoresheet!$U$2:$U$501,1)&lt;6),"Score this lead – fill the call scoresheet",IF(N(T276)&gt;=Settings!$S$3,"Close – 4 follow-ups sent",IF(U276="",IF(S276="","Make first contact",""),IF(TODAY()&gt;U276,"OVERDUE follow-up",IF(TODAY()=U276,"Follow up today","")))))))))</f>
        <v/>
      </c>
    </row>
    <row r="277" customFormat="false" ht="15" hidden="false" customHeight="false" outlineLevel="0" collapsed="false">
      <c r="A277" s="17"/>
      <c r="B277" s="40"/>
      <c r="C277" s="17"/>
      <c r="D277" s="17"/>
      <c r="E277" s="17"/>
      <c r="F277" s="17"/>
      <c r="G277" s="17"/>
      <c r="H277" s="42"/>
      <c r="I277" s="17"/>
      <c r="J277" s="17"/>
      <c r="K277" s="17"/>
      <c r="L277" s="17"/>
      <c r="M277" s="17"/>
      <c r="N277" s="44" t="str">
        <f aca="false">IF(OR(D277="",A277="",COUNTIFS(Scoresheet!$C$2:$C$501,A277,Scoresheet!$U$2:$U$501,1)=0),"",SUMIFS(Scoresheet!$O$2:$O$501,Scoresheet!$C$2:$C$501,A277,Scoresheet!$U$2:$U$501,1))</f>
        <v/>
      </c>
      <c r="O277" s="44" t="str">
        <f aca="false">IF(D277="","",IF(OR(A277="",COUNTIFS(Scoresheet!$C$2:$C$501,A277,Scoresheet!$U$2:$U$501,1)=0),"No scoresheet yet",IF(SUMIFS(Scoresheet!$N$2:$N$501,Scoresheet!$C$2:$C$501,A277,Scoresheet!$U$2:$U$501,1)&lt;6,"Partly scored ("&amp;SUMIFS(Scoresheet!$N$2:$N$501,Scoresheet!$C$2:$C$501,A277,Scoresheet!$U$2:$U$501,1)&amp;"/6)",IF(N277&gt;=Settings!$S$8,"Hot",IF(N277&gt;=Settings!$S$9,"Warm","Cold")))))</f>
        <v/>
      </c>
      <c r="P277" s="44" t="str">
        <f aca="false">IF(OR(D277="",A277=""),"",IF(AND(COUNTIFS(Scoresheet!$C$2:$C$501,A277,Scoresheet!$U$2:$U$501,1,Scoresheet!$H$2:$H$501,"No")&gt;0,COUNTIFS(Scoresheet!$C$2:$C$501,A277,Scoresheet!$U$2:$U$501,1,Scoresheet!$J$2:$J$501,"No")&gt;0),"🚩 Budget  ·  🚩 No one on camera",IF(COUNTIFS(Scoresheet!$C$2:$C$501,A277,Scoresheet!$U$2:$U$501,1,Scoresheet!$H$2:$H$501,"No")&gt;0,"🚩 Budget under AED 5k",IF(COUNTIFS(Scoresheet!$C$2:$C$501,A277,Scoresheet!$U$2:$U$501,1,Scoresheet!$J$2:$J$501,"No")&gt;0,"🚩 No one on camera",""))))</f>
        <v/>
      </c>
      <c r="Q277" s="17"/>
      <c r="R277" s="17"/>
      <c r="S277" s="40"/>
      <c r="T277" s="17"/>
      <c r="U277" s="45" t="str">
        <f aca="false">IF(OR(D277="",S277="",OR(R277="Contract signed + paid",R277="Closed – No response",R277="Lost"),N(T277)&gt;=Settings!$S$3),"",S277+Settings!$S$2)</f>
        <v/>
      </c>
      <c r="V277" s="40"/>
      <c r="W277" s="41"/>
      <c r="X277" s="17"/>
      <c r="Y277" s="17"/>
      <c r="Z277" s="17"/>
      <c r="AA277" s="46" t="str">
        <f aca="true">IF(OR(D277="",B277=""),"",INT(TODAY()-B277))</f>
        <v/>
      </c>
      <c r="AB277" s="44" t="str">
        <f aca="true">IF(D277="","",IF(OR(COUNTIFS(Clients!$C$2:$C$501,D277,Clients!$S$2:$S$501,"Paid")&gt;0,AND(H277&lt;&gt;"",COUNTIFS(Clients!$E$2:$E$501,H277,Clients!$S$2:$S$501,"Paid")&gt;0)),"⚠ Refunded before – no free video",IF(OR(R277="Contract signed + paid",R277="Closed – No response",R277="Lost"),"",IF(R277="","Set a stage",IF(AND(R277="Proposal sent",SUMIFS(Scoresheet!$N$2:$N$501,Scoresheet!$C$2:$C$501,A277,Scoresheet!$U$2:$U$501,1)&lt;6),"Score this lead – fill the call scoresheet",IF(N(T277)&gt;=Settings!$S$3,"Close – 4 follow-ups sent",IF(U277="",IF(S277="","Make first contact",""),IF(TODAY()&gt;U277,"OVERDUE follow-up",IF(TODAY()=U277,"Follow up today","")))))))))</f>
        <v/>
      </c>
    </row>
    <row r="278" customFormat="false" ht="15" hidden="false" customHeight="false" outlineLevel="0" collapsed="false">
      <c r="A278" s="17"/>
      <c r="B278" s="40"/>
      <c r="C278" s="17"/>
      <c r="D278" s="17"/>
      <c r="E278" s="17"/>
      <c r="F278" s="17"/>
      <c r="G278" s="17"/>
      <c r="H278" s="42"/>
      <c r="I278" s="17"/>
      <c r="J278" s="17"/>
      <c r="K278" s="17"/>
      <c r="L278" s="17"/>
      <c r="M278" s="17"/>
      <c r="N278" s="44" t="str">
        <f aca="false">IF(OR(D278="",A278="",COUNTIFS(Scoresheet!$C$2:$C$501,A278,Scoresheet!$U$2:$U$501,1)=0),"",SUMIFS(Scoresheet!$O$2:$O$501,Scoresheet!$C$2:$C$501,A278,Scoresheet!$U$2:$U$501,1))</f>
        <v/>
      </c>
      <c r="O278" s="44" t="str">
        <f aca="false">IF(D278="","",IF(OR(A278="",COUNTIFS(Scoresheet!$C$2:$C$501,A278,Scoresheet!$U$2:$U$501,1)=0),"No scoresheet yet",IF(SUMIFS(Scoresheet!$N$2:$N$501,Scoresheet!$C$2:$C$501,A278,Scoresheet!$U$2:$U$501,1)&lt;6,"Partly scored ("&amp;SUMIFS(Scoresheet!$N$2:$N$501,Scoresheet!$C$2:$C$501,A278,Scoresheet!$U$2:$U$501,1)&amp;"/6)",IF(N278&gt;=Settings!$S$8,"Hot",IF(N278&gt;=Settings!$S$9,"Warm","Cold")))))</f>
        <v/>
      </c>
      <c r="P278" s="44" t="str">
        <f aca="false">IF(OR(D278="",A278=""),"",IF(AND(COUNTIFS(Scoresheet!$C$2:$C$501,A278,Scoresheet!$U$2:$U$501,1,Scoresheet!$H$2:$H$501,"No")&gt;0,COUNTIFS(Scoresheet!$C$2:$C$501,A278,Scoresheet!$U$2:$U$501,1,Scoresheet!$J$2:$J$501,"No")&gt;0),"🚩 Budget  ·  🚩 No one on camera",IF(COUNTIFS(Scoresheet!$C$2:$C$501,A278,Scoresheet!$U$2:$U$501,1,Scoresheet!$H$2:$H$501,"No")&gt;0,"🚩 Budget under AED 5k",IF(COUNTIFS(Scoresheet!$C$2:$C$501,A278,Scoresheet!$U$2:$U$501,1,Scoresheet!$J$2:$J$501,"No")&gt;0,"🚩 No one on camera",""))))</f>
        <v/>
      </c>
      <c r="Q278" s="17"/>
      <c r="R278" s="17"/>
      <c r="S278" s="40"/>
      <c r="T278" s="17"/>
      <c r="U278" s="45" t="str">
        <f aca="false">IF(OR(D278="",S278="",OR(R278="Contract signed + paid",R278="Closed – No response",R278="Lost"),N(T278)&gt;=Settings!$S$3),"",S278+Settings!$S$2)</f>
        <v/>
      </c>
      <c r="V278" s="40"/>
      <c r="W278" s="41"/>
      <c r="X278" s="17"/>
      <c r="Y278" s="17"/>
      <c r="Z278" s="17"/>
      <c r="AA278" s="46" t="str">
        <f aca="true">IF(OR(D278="",B278=""),"",INT(TODAY()-B278))</f>
        <v/>
      </c>
      <c r="AB278" s="44" t="str">
        <f aca="true">IF(D278="","",IF(OR(COUNTIFS(Clients!$C$2:$C$501,D278,Clients!$S$2:$S$501,"Paid")&gt;0,AND(H278&lt;&gt;"",COUNTIFS(Clients!$E$2:$E$501,H278,Clients!$S$2:$S$501,"Paid")&gt;0)),"⚠ Refunded before – no free video",IF(OR(R278="Contract signed + paid",R278="Closed – No response",R278="Lost"),"",IF(R278="","Set a stage",IF(AND(R278="Proposal sent",SUMIFS(Scoresheet!$N$2:$N$501,Scoresheet!$C$2:$C$501,A278,Scoresheet!$U$2:$U$501,1)&lt;6),"Score this lead – fill the call scoresheet",IF(N(T278)&gt;=Settings!$S$3,"Close – 4 follow-ups sent",IF(U278="",IF(S278="","Make first contact",""),IF(TODAY()&gt;U278,"OVERDUE follow-up",IF(TODAY()=U278,"Follow up today","")))))))))</f>
        <v/>
      </c>
    </row>
    <row r="279" customFormat="false" ht="15" hidden="false" customHeight="false" outlineLevel="0" collapsed="false">
      <c r="A279" s="17"/>
      <c r="B279" s="40"/>
      <c r="C279" s="17"/>
      <c r="D279" s="17"/>
      <c r="E279" s="17"/>
      <c r="F279" s="17"/>
      <c r="G279" s="17"/>
      <c r="H279" s="42"/>
      <c r="I279" s="17"/>
      <c r="J279" s="17"/>
      <c r="K279" s="17"/>
      <c r="L279" s="17"/>
      <c r="M279" s="17"/>
      <c r="N279" s="44" t="str">
        <f aca="false">IF(OR(D279="",A279="",COUNTIFS(Scoresheet!$C$2:$C$501,A279,Scoresheet!$U$2:$U$501,1)=0),"",SUMIFS(Scoresheet!$O$2:$O$501,Scoresheet!$C$2:$C$501,A279,Scoresheet!$U$2:$U$501,1))</f>
        <v/>
      </c>
      <c r="O279" s="44" t="str">
        <f aca="false">IF(D279="","",IF(OR(A279="",COUNTIFS(Scoresheet!$C$2:$C$501,A279,Scoresheet!$U$2:$U$501,1)=0),"No scoresheet yet",IF(SUMIFS(Scoresheet!$N$2:$N$501,Scoresheet!$C$2:$C$501,A279,Scoresheet!$U$2:$U$501,1)&lt;6,"Partly scored ("&amp;SUMIFS(Scoresheet!$N$2:$N$501,Scoresheet!$C$2:$C$501,A279,Scoresheet!$U$2:$U$501,1)&amp;"/6)",IF(N279&gt;=Settings!$S$8,"Hot",IF(N279&gt;=Settings!$S$9,"Warm","Cold")))))</f>
        <v/>
      </c>
      <c r="P279" s="44" t="str">
        <f aca="false">IF(OR(D279="",A279=""),"",IF(AND(COUNTIFS(Scoresheet!$C$2:$C$501,A279,Scoresheet!$U$2:$U$501,1,Scoresheet!$H$2:$H$501,"No")&gt;0,COUNTIFS(Scoresheet!$C$2:$C$501,A279,Scoresheet!$U$2:$U$501,1,Scoresheet!$J$2:$J$501,"No")&gt;0),"🚩 Budget  ·  🚩 No one on camera",IF(COUNTIFS(Scoresheet!$C$2:$C$501,A279,Scoresheet!$U$2:$U$501,1,Scoresheet!$H$2:$H$501,"No")&gt;0,"🚩 Budget under AED 5k",IF(COUNTIFS(Scoresheet!$C$2:$C$501,A279,Scoresheet!$U$2:$U$501,1,Scoresheet!$J$2:$J$501,"No")&gt;0,"🚩 No one on camera",""))))</f>
        <v/>
      </c>
      <c r="Q279" s="17"/>
      <c r="R279" s="17"/>
      <c r="S279" s="40"/>
      <c r="T279" s="17"/>
      <c r="U279" s="45" t="str">
        <f aca="false">IF(OR(D279="",S279="",OR(R279="Contract signed + paid",R279="Closed – No response",R279="Lost"),N(T279)&gt;=Settings!$S$3),"",S279+Settings!$S$2)</f>
        <v/>
      </c>
      <c r="V279" s="40"/>
      <c r="W279" s="41"/>
      <c r="X279" s="17"/>
      <c r="Y279" s="17"/>
      <c r="Z279" s="17"/>
      <c r="AA279" s="46" t="str">
        <f aca="true">IF(OR(D279="",B279=""),"",INT(TODAY()-B279))</f>
        <v/>
      </c>
      <c r="AB279" s="44" t="str">
        <f aca="true">IF(D279="","",IF(OR(COUNTIFS(Clients!$C$2:$C$501,D279,Clients!$S$2:$S$501,"Paid")&gt;0,AND(H279&lt;&gt;"",COUNTIFS(Clients!$E$2:$E$501,H279,Clients!$S$2:$S$501,"Paid")&gt;0)),"⚠ Refunded before – no free video",IF(OR(R279="Contract signed + paid",R279="Closed – No response",R279="Lost"),"",IF(R279="","Set a stage",IF(AND(R279="Proposal sent",SUMIFS(Scoresheet!$N$2:$N$501,Scoresheet!$C$2:$C$501,A279,Scoresheet!$U$2:$U$501,1)&lt;6),"Score this lead – fill the call scoresheet",IF(N(T279)&gt;=Settings!$S$3,"Close – 4 follow-ups sent",IF(U279="",IF(S279="","Make first contact",""),IF(TODAY()&gt;U279,"OVERDUE follow-up",IF(TODAY()=U279,"Follow up today","")))))))))</f>
        <v/>
      </c>
    </row>
    <row r="280" customFormat="false" ht="15" hidden="false" customHeight="false" outlineLevel="0" collapsed="false">
      <c r="A280" s="17"/>
      <c r="B280" s="40"/>
      <c r="C280" s="17"/>
      <c r="D280" s="17"/>
      <c r="E280" s="17"/>
      <c r="F280" s="17"/>
      <c r="G280" s="17"/>
      <c r="H280" s="42"/>
      <c r="I280" s="17"/>
      <c r="J280" s="17"/>
      <c r="K280" s="17"/>
      <c r="L280" s="17"/>
      <c r="M280" s="17"/>
      <c r="N280" s="44" t="str">
        <f aca="false">IF(OR(D280="",A280="",COUNTIFS(Scoresheet!$C$2:$C$501,A280,Scoresheet!$U$2:$U$501,1)=0),"",SUMIFS(Scoresheet!$O$2:$O$501,Scoresheet!$C$2:$C$501,A280,Scoresheet!$U$2:$U$501,1))</f>
        <v/>
      </c>
      <c r="O280" s="44" t="str">
        <f aca="false">IF(D280="","",IF(OR(A280="",COUNTIFS(Scoresheet!$C$2:$C$501,A280,Scoresheet!$U$2:$U$501,1)=0),"No scoresheet yet",IF(SUMIFS(Scoresheet!$N$2:$N$501,Scoresheet!$C$2:$C$501,A280,Scoresheet!$U$2:$U$501,1)&lt;6,"Partly scored ("&amp;SUMIFS(Scoresheet!$N$2:$N$501,Scoresheet!$C$2:$C$501,A280,Scoresheet!$U$2:$U$501,1)&amp;"/6)",IF(N280&gt;=Settings!$S$8,"Hot",IF(N280&gt;=Settings!$S$9,"Warm","Cold")))))</f>
        <v/>
      </c>
      <c r="P280" s="44" t="str">
        <f aca="false">IF(OR(D280="",A280=""),"",IF(AND(COUNTIFS(Scoresheet!$C$2:$C$501,A280,Scoresheet!$U$2:$U$501,1,Scoresheet!$H$2:$H$501,"No")&gt;0,COUNTIFS(Scoresheet!$C$2:$C$501,A280,Scoresheet!$U$2:$U$501,1,Scoresheet!$J$2:$J$501,"No")&gt;0),"🚩 Budget  ·  🚩 No one on camera",IF(COUNTIFS(Scoresheet!$C$2:$C$501,A280,Scoresheet!$U$2:$U$501,1,Scoresheet!$H$2:$H$501,"No")&gt;0,"🚩 Budget under AED 5k",IF(COUNTIFS(Scoresheet!$C$2:$C$501,A280,Scoresheet!$U$2:$U$501,1,Scoresheet!$J$2:$J$501,"No")&gt;0,"🚩 No one on camera",""))))</f>
        <v/>
      </c>
      <c r="Q280" s="17"/>
      <c r="R280" s="17"/>
      <c r="S280" s="40"/>
      <c r="T280" s="17"/>
      <c r="U280" s="45" t="str">
        <f aca="false">IF(OR(D280="",S280="",OR(R280="Contract signed + paid",R280="Closed – No response",R280="Lost"),N(T280)&gt;=Settings!$S$3),"",S280+Settings!$S$2)</f>
        <v/>
      </c>
      <c r="V280" s="40"/>
      <c r="W280" s="41"/>
      <c r="X280" s="17"/>
      <c r="Y280" s="17"/>
      <c r="Z280" s="17"/>
      <c r="AA280" s="46" t="str">
        <f aca="true">IF(OR(D280="",B280=""),"",INT(TODAY()-B280))</f>
        <v/>
      </c>
      <c r="AB280" s="44" t="str">
        <f aca="true">IF(D280="","",IF(OR(COUNTIFS(Clients!$C$2:$C$501,D280,Clients!$S$2:$S$501,"Paid")&gt;0,AND(H280&lt;&gt;"",COUNTIFS(Clients!$E$2:$E$501,H280,Clients!$S$2:$S$501,"Paid")&gt;0)),"⚠ Refunded before – no free video",IF(OR(R280="Contract signed + paid",R280="Closed – No response",R280="Lost"),"",IF(R280="","Set a stage",IF(AND(R280="Proposal sent",SUMIFS(Scoresheet!$N$2:$N$501,Scoresheet!$C$2:$C$501,A280,Scoresheet!$U$2:$U$501,1)&lt;6),"Score this lead – fill the call scoresheet",IF(N(T280)&gt;=Settings!$S$3,"Close – 4 follow-ups sent",IF(U280="",IF(S280="","Make first contact",""),IF(TODAY()&gt;U280,"OVERDUE follow-up",IF(TODAY()=U280,"Follow up today","")))))))))</f>
        <v/>
      </c>
    </row>
    <row r="281" customFormat="false" ht="15" hidden="false" customHeight="false" outlineLevel="0" collapsed="false">
      <c r="A281" s="17"/>
      <c r="B281" s="40"/>
      <c r="C281" s="17"/>
      <c r="D281" s="17"/>
      <c r="E281" s="17"/>
      <c r="F281" s="17"/>
      <c r="G281" s="17"/>
      <c r="H281" s="42"/>
      <c r="I281" s="17"/>
      <c r="J281" s="17"/>
      <c r="K281" s="17"/>
      <c r="L281" s="17"/>
      <c r="M281" s="17"/>
      <c r="N281" s="44" t="str">
        <f aca="false">IF(OR(D281="",A281="",COUNTIFS(Scoresheet!$C$2:$C$501,A281,Scoresheet!$U$2:$U$501,1)=0),"",SUMIFS(Scoresheet!$O$2:$O$501,Scoresheet!$C$2:$C$501,A281,Scoresheet!$U$2:$U$501,1))</f>
        <v/>
      </c>
      <c r="O281" s="44" t="str">
        <f aca="false">IF(D281="","",IF(OR(A281="",COUNTIFS(Scoresheet!$C$2:$C$501,A281,Scoresheet!$U$2:$U$501,1)=0),"No scoresheet yet",IF(SUMIFS(Scoresheet!$N$2:$N$501,Scoresheet!$C$2:$C$501,A281,Scoresheet!$U$2:$U$501,1)&lt;6,"Partly scored ("&amp;SUMIFS(Scoresheet!$N$2:$N$501,Scoresheet!$C$2:$C$501,A281,Scoresheet!$U$2:$U$501,1)&amp;"/6)",IF(N281&gt;=Settings!$S$8,"Hot",IF(N281&gt;=Settings!$S$9,"Warm","Cold")))))</f>
        <v/>
      </c>
      <c r="P281" s="44" t="str">
        <f aca="false">IF(OR(D281="",A281=""),"",IF(AND(COUNTIFS(Scoresheet!$C$2:$C$501,A281,Scoresheet!$U$2:$U$501,1,Scoresheet!$H$2:$H$501,"No")&gt;0,COUNTIFS(Scoresheet!$C$2:$C$501,A281,Scoresheet!$U$2:$U$501,1,Scoresheet!$J$2:$J$501,"No")&gt;0),"🚩 Budget  ·  🚩 No one on camera",IF(COUNTIFS(Scoresheet!$C$2:$C$501,A281,Scoresheet!$U$2:$U$501,1,Scoresheet!$H$2:$H$501,"No")&gt;0,"🚩 Budget under AED 5k",IF(COUNTIFS(Scoresheet!$C$2:$C$501,A281,Scoresheet!$U$2:$U$501,1,Scoresheet!$J$2:$J$501,"No")&gt;0,"🚩 No one on camera",""))))</f>
        <v/>
      </c>
      <c r="Q281" s="17"/>
      <c r="R281" s="17"/>
      <c r="S281" s="40"/>
      <c r="T281" s="17"/>
      <c r="U281" s="45" t="str">
        <f aca="false">IF(OR(D281="",S281="",OR(R281="Contract signed + paid",R281="Closed – No response",R281="Lost"),N(T281)&gt;=Settings!$S$3),"",S281+Settings!$S$2)</f>
        <v/>
      </c>
      <c r="V281" s="40"/>
      <c r="W281" s="41"/>
      <c r="X281" s="17"/>
      <c r="Y281" s="17"/>
      <c r="Z281" s="17"/>
      <c r="AA281" s="46" t="str">
        <f aca="true">IF(OR(D281="",B281=""),"",INT(TODAY()-B281))</f>
        <v/>
      </c>
      <c r="AB281" s="44" t="str">
        <f aca="true">IF(D281="","",IF(OR(COUNTIFS(Clients!$C$2:$C$501,D281,Clients!$S$2:$S$501,"Paid")&gt;0,AND(H281&lt;&gt;"",COUNTIFS(Clients!$E$2:$E$501,H281,Clients!$S$2:$S$501,"Paid")&gt;0)),"⚠ Refunded before – no free video",IF(OR(R281="Contract signed + paid",R281="Closed – No response",R281="Lost"),"",IF(R281="","Set a stage",IF(AND(R281="Proposal sent",SUMIFS(Scoresheet!$N$2:$N$501,Scoresheet!$C$2:$C$501,A281,Scoresheet!$U$2:$U$501,1)&lt;6),"Score this lead – fill the call scoresheet",IF(N(T281)&gt;=Settings!$S$3,"Close – 4 follow-ups sent",IF(U281="",IF(S281="","Make first contact",""),IF(TODAY()&gt;U281,"OVERDUE follow-up",IF(TODAY()=U281,"Follow up today","")))))))))</f>
        <v/>
      </c>
    </row>
    <row r="282" customFormat="false" ht="15" hidden="false" customHeight="false" outlineLevel="0" collapsed="false">
      <c r="A282" s="17"/>
      <c r="B282" s="40"/>
      <c r="C282" s="17"/>
      <c r="D282" s="17"/>
      <c r="E282" s="17"/>
      <c r="F282" s="17"/>
      <c r="G282" s="17"/>
      <c r="H282" s="42"/>
      <c r="I282" s="17"/>
      <c r="J282" s="17"/>
      <c r="K282" s="17"/>
      <c r="L282" s="17"/>
      <c r="M282" s="17"/>
      <c r="N282" s="44" t="str">
        <f aca="false">IF(OR(D282="",A282="",COUNTIFS(Scoresheet!$C$2:$C$501,A282,Scoresheet!$U$2:$U$501,1)=0),"",SUMIFS(Scoresheet!$O$2:$O$501,Scoresheet!$C$2:$C$501,A282,Scoresheet!$U$2:$U$501,1))</f>
        <v/>
      </c>
      <c r="O282" s="44" t="str">
        <f aca="false">IF(D282="","",IF(OR(A282="",COUNTIFS(Scoresheet!$C$2:$C$501,A282,Scoresheet!$U$2:$U$501,1)=0),"No scoresheet yet",IF(SUMIFS(Scoresheet!$N$2:$N$501,Scoresheet!$C$2:$C$501,A282,Scoresheet!$U$2:$U$501,1)&lt;6,"Partly scored ("&amp;SUMIFS(Scoresheet!$N$2:$N$501,Scoresheet!$C$2:$C$501,A282,Scoresheet!$U$2:$U$501,1)&amp;"/6)",IF(N282&gt;=Settings!$S$8,"Hot",IF(N282&gt;=Settings!$S$9,"Warm","Cold")))))</f>
        <v/>
      </c>
      <c r="P282" s="44" t="str">
        <f aca="false">IF(OR(D282="",A282=""),"",IF(AND(COUNTIFS(Scoresheet!$C$2:$C$501,A282,Scoresheet!$U$2:$U$501,1,Scoresheet!$H$2:$H$501,"No")&gt;0,COUNTIFS(Scoresheet!$C$2:$C$501,A282,Scoresheet!$U$2:$U$501,1,Scoresheet!$J$2:$J$501,"No")&gt;0),"🚩 Budget  ·  🚩 No one on camera",IF(COUNTIFS(Scoresheet!$C$2:$C$501,A282,Scoresheet!$U$2:$U$501,1,Scoresheet!$H$2:$H$501,"No")&gt;0,"🚩 Budget under AED 5k",IF(COUNTIFS(Scoresheet!$C$2:$C$501,A282,Scoresheet!$U$2:$U$501,1,Scoresheet!$J$2:$J$501,"No")&gt;0,"🚩 No one on camera",""))))</f>
        <v/>
      </c>
      <c r="Q282" s="17"/>
      <c r="R282" s="17"/>
      <c r="S282" s="40"/>
      <c r="T282" s="17"/>
      <c r="U282" s="45" t="str">
        <f aca="false">IF(OR(D282="",S282="",OR(R282="Contract signed + paid",R282="Closed – No response",R282="Lost"),N(T282)&gt;=Settings!$S$3),"",S282+Settings!$S$2)</f>
        <v/>
      </c>
      <c r="V282" s="40"/>
      <c r="W282" s="41"/>
      <c r="X282" s="17"/>
      <c r="Y282" s="17"/>
      <c r="Z282" s="17"/>
      <c r="AA282" s="46" t="str">
        <f aca="true">IF(OR(D282="",B282=""),"",INT(TODAY()-B282))</f>
        <v/>
      </c>
      <c r="AB282" s="44" t="str">
        <f aca="true">IF(D282="","",IF(OR(COUNTIFS(Clients!$C$2:$C$501,D282,Clients!$S$2:$S$501,"Paid")&gt;0,AND(H282&lt;&gt;"",COUNTIFS(Clients!$E$2:$E$501,H282,Clients!$S$2:$S$501,"Paid")&gt;0)),"⚠ Refunded before – no free video",IF(OR(R282="Contract signed + paid",R282="Closed – No response",R282="Lost"),"",IF(R282="","Set a stage",IF(AND(R282="Proposal sent",SUMIFS(Scoresheet!$N$2:$N$501,Scoresheet!$C$2:$C$501,A282,Scoresheet!$U$2:$U$501,1)&lt;6),"Score this lead – fill the call scoresheet",IF(N(T282)&gt;=Settings!$S$3,"Close – 4 follow-ups sent",IF(U282="",IF(S282="","Make first contact",""),IF(TODAY()&gt;U282,"OVERDUE follow-up",IF(TODAY()=U282,"Follow up today","")))))))))</f>
        <v/>
      </c>
    </row>
    <row r="283" customFormat="false" ht="15" hidden="false" customHeight="false" outlineLevel="0" collapsed="false">
      <c r="A283" s="17"/>
      <c r="B283" s="40"/>
      <c r="C283" s="17"/>
      <c r="D283" s="17"/>
      <c r="E283" s="17"/>
      <c r="F283" s="17"/>
      <c r="G283" s="17"/>
      <c r="H283" s="42"/>
      <c r="I283" s="17"/>
      <c r="J283" s="17"/>
      <c r="K283" s="17"/>
      <c r="L283" s="17"/>
      <c r="M283" s="17"/>
      <c r="N283" s="44" t="str">
        <f aca="false">IF(OR(D283="",A283="",COUNTIFS(Scoresheet!$C$2:$C$501,A283,Scoresheet!$U$2:$U$501,1)=0),"",SUMIFS(Scoresheet!$O$2:$O$501,Scoresheet!$C$2:$C$501,A283,Scoresheet!$U$2:$U$501,1))</f>
        <v/>
      </c>
      <c r="O283" s="44" t="str">
        <f aca="false">IF(D283="","",IF(OR(A283="",COUNTIFS(Scoresheet!$C$2:$C$501,A283,Scoresheet!$U$2:$U$501,1)=0),"No scoresheet yet",IF(SUMIFS(Scoresheet!$N$2:$N$501,Scoresheet!$C$2:$C$501,A283,Scoresheet!$U$2:$U$501,1)&lt;6,"Partly scored ("&amp;SUMIFS(Scoresheet!$N$2:$N$501,Scoresheet!$C$2:$C$501,A283,Scoresheet!$U$2:$U$501,1)&amp;"/6)",IF(N283&gt;=Settings!$S$8,"Hot",IF(N283&gt;=Settings!$S$9,"Warm","Cold")))))</f>
        <v/>
      </c>
      <c r="P283" s="44" t="str">
        <f aca="false">IF(OR(D283="",A283=""),"",IF(AND(COUNTIFS(Scoresheet!$C$2:$C$501,A283,Scoresheet!$U$2:$U$501,1,Scoresheet!$H$2:$H$501,"No")&gt;0,COUNTIFS(Scoresheet!$C$2:$C$501,A283,Scoresheet!$U$2:$U$501,1,Scoresheet!$J$2:$J$501,"No")&gt;0),"🚩 Budget  ·  🚩 No one on camera",IF(COUNTIFS(Scoresheet!$C$2:$C$501,A283,Scoresheet!$U$2:$U$501,1,Scoresheet!$H$2:$H$501,"No")&gt;0,"🚩 Budget under AED 5k",IF(COUNTIFS(Scoresheet!$C$2:$C$501,A283,Scoresheet!$U$2:$U$501,1,Scoresheet!$J$2:$J$501,"No")&gt;0,"🚩 No one on camera",""))))</f>
        <v/>
      </c>
      <c r="Q283" s="17"/>
      <c r="R283" s="17"/>
      <c r="S283" s="40"/>
      <c r="T283" s="17"/>
      <c r="U283" s="45" t="str">
        <f aca="false">IF(OR(D283="",S283="",OR(R283="Contract signed + paid",R283="Closed – No response",R283="Lost"),N(T283)&gt;=Settings!$S$3),"",S283+Settings!$S$2)</f>
        <v/>
      </c>
      <c r="V283" s="40"/>
      <c r="W283" s="41"/>
      <c r="X283" s="17"/>
      <c r="Y283" s="17"/>
      <c r="Z283" s="17"/>
      <c r="AA283" s="46" t="str">
        <f aca="true">IF(OR(D283="",B283=""),"",INT(TODAY()-B283))</f>
        <v/>
      </c>
      <c r="AB283" s="44" t="str">
        <f aca="true">IF(D283="","",IF(OR(COUNTIFS(Clients!$C$2:$C$501,D283,Clients!$S$2:$S$501,"Paid")&gt;0,AND(H283&lt;&gt;"",COUNTIFS(Clients!$E$2:$E$501,H283,Clients!$S$2:$S$501,"Paid")&gt;0)),"⚠ Refunded before – no free video",IF(OR(R283="Contract signed + paid",R283="Closed – No response",R283="Lost"),"",IF(R283="","Set a stage",IF(AND(R283="Proposal sent",SUMIFS(Scoresheet!$N$2:$N$501,Scoresheet!$C$2:$C$501,A283,Scoresheet!$U$2:$U$501,1)&lt;6),"Score this lead – fill the call scoresheet",IF(N(T283)&gt;=Settings!$S$3,"Close – 4 follow-ups sent",IF(U283="",IF(S283="","Make first contact",""),IF(TODAY()&gt;U283,"OVERDUE follow-up",IF(TODAY()=U283,"Follow up today","")))))))))</f>
        <v/>
      </c>
    </row>
    <row r="284" customFormat="false" ht="15" hidden="false" customHeight="false" outlineLevel="0" collapsed="false">
      <c r="A284" s="17"/>
      <c r="B284" s="40"/>
      <c r="C284" s="17"/>
      <c r="D284" s="17"/>
      <c r="E284" s="17"/>
      <c r="F284" s="17"/>
      <c r="G284" s="17"/>
      <c r="H284" s="42"/>
      <c r="I284" s="17"/>
      <c r="J284" s="17"/>
      <c r="K284" s="17"/>
      <c r="L284" s="17"/>
      <c r="M284" s="17"/>
      <c r="N284" s="44" t="str">
        <f aca="false">IF(OR(D284="",A284="",COUNTIFS(Scoresheet!$C$2:$C$501,A284,Scoresheet!$U$2:$U$501,1)=0),"",SUMIFS(Scoresheet!$O$2:$O$501,Scoresheet!$C$2:$C$501,A284,Scoresheet!$U$2:$U$501,1))</f>
        <v/>
      </c>
      <c r="O284" s="44" t="str">
        <f aca="false">IF(D284="","",IF(OR(A284="",COUNTIFS(Scoresheet!$C$2:$C$501,A284,Scoresheet!$U$2:$U$501,1)=0),"No scoresheet yet",IF(SUMIFS(Scoresheet!$N$2:$N$501,Scoresheet!$C$2:$C$501,A284,Scoresheet!$U$2:$U$501,1)&lt;6,"Partly scored ("&amp;SUMIFS(Scoresheet!$N$2:$N$501,Scoresheet!$C$2:$C$501,A284,Scoresheet!$U$2:$U$501,1)&amp;"/6)",IF(N284&gt;=Settings!$S$8,"Hot",IF(N284&gt;=Settings!$S$9,"Warm","Cold")))))</f>
        <v/>
      </c>
      <c r="P284" s="44" t="str">
        <f aca="false">IF(OR(D284="",A284=""),"",IF(AND(COUNTIFS(Scoresheet!$C$2:$C$501,A284,Scoresheet!$U$2:$U$501,1,Scoresheet!$H$2:$H$501,"No")&gt;0,COUNTIFS(Scoresheet!$C$2:$C$501,A284,Scoresheet!$U$2:$U$501,1,Scoresheet!$J$2:$J$501,"No")&gt;0),"🚩 Budget  ·  🚩 No one on camera",IF(COUNTIFS(Scoresheet!$C$2:$C$501,A284,Scoresheet!$U$2:$U$501,1,Scoresheet!$H$2:$H$501,"No")&gt;0,"🚩 Budget under AED 5k",IF(COUNTIFS(Scoresheet!$C$2:$C$501,A284,Scoresheet!$U$2:$U$501,1,Scoresheet!$J$2:$J$501,"No")&gt;0,"🚩 No one on camera",""))))</f>
        <v/>
      </c>
      <c r="Q284" s="17"/>
      <c r="R284" s="17"/>
      <c r="S284" s="40"/>
      <c r="T284" s="17"/>
      <c r="U284" s="45" t="str">
        <f aca="false">IF(OR(D284="",S284="",OR(R284="Contract signed + paid",R284="Closed – No response",R284="Lost"),N(T284)&gt;=Settings!$S$3),"",S284+Settings!$S$2)</f>
        <v/>
      </c>
      <c r="V284" s="40"/>
      <c r="W284" s="41"/>
      <c r="X284" s="17"/>
      <c r="Y284" s="17"/>
      <c r="Z284" s="17"/>
      <c r="AA284" s="46" t="str">
        <f aca="true">IF(OR(D284="",B284=""),"",INT(TODAY()-B284))</f>
        <v/>
      </c>
      <c r="AB284" s="44" t="str">
        <f aca="true">IF(D284="","",IF(OR(COUNTIFS(Clients!$C$2:$C$501,D284,Clients!$S$2:$S$501,"Paid")&gt;0,AND(H284&lt;&gt;"",COUNTIFS(Clients!$E$2:$E$501,H284,Clients!$S$2:$S$501,"Paid")&gt;0)),"⚠ Refunded before – no free video",IF(OR(R284="Contract signed + paid",R284="Closed – No response",R284="Lost"),"",IF(R284="","Set a stage",IF(AND(R284="Proposal sent",SUMIFS(Scoresheet!$N$2:$N$501,Scoresheet!$C$2:$C$501,A284,Scoresheet!$U$2:$U$501,1)&lt;6),"Score this lead – fill the call scoresheet",IF(N(T284)&gt;=Settings!$S$3,"Close – 4 follow-ups sent",IF(U284="",IF(S284="","Make first contact",""),IF(TODAY()&gt;U284,"OVERDUE follow-up",IF(TODAY()=U284,"Follow up today","")))))))))</f>
        <v/>
      </c>
    </row>
    <row r="285" customFormat="false" ht="15" hidden="false" customHeight="false" outlineLevel="0" collapsed="false">
      <c r="A285" s="17"/>
      <c r="B285" s="40"/>
      <c r="C285" s="17"/>
      <c r="D285" s="17"/>
      <c r="E285" s="17"/>
      <c r="F285" s="17"/>
      <c r="G285" s="17"/>
      <c r="H285" s="42"/>
      <c r="I285" s="17"/>
      <c r="J285" s="17"/>
      <c r="K285" s="17"/>
      <c r="L285" s="17"/>
      <c r="M285" s="17"/>
      <c r="N285" s="44" t="str">
        <f aca="false">IF(OR(D285="",A285="",COUNTIFS(Scoresheet!$C$2:$C$501,A285,Scoresheet!$U$2:$U$501,1)=0),"",SUMIFS(Scoresheet!$O$2:$O$501,Scoresheet!$C$2:$C$501,A285,Scoresheet!$U$2:$U$501,1))</f>
        <v/>
      </c>
      <c r="O285" s="44" t="str">
        <f aca="false">IF(D285="","",IF(OR(A285="",COUNTIFS(Scoresheet!$C$2:$C$501,A285,Scoresheet!$U$2:$U$501,1)=0),"No scoresheet yet",IF(SUMIFS(Scoresheet!$N$2:$N$501,Scoresheet!$C$2:$C$501,A285,Scoresheet!$U$2:$U$501,1)&lt;6,"Partly scored ("&amp;SUMIFS(Scoresheet!$N$2:$N$501,Scoresheet!$C$2:$C$501,A285,Scoresheet!$U$2:$U$501,1)&amp;"/6)",IF(N285&gt;=Settings!$S$8,"Hot",IF(N285&gt;=Settings!$S$9,"Warm","Cold")))))</f>
        <v/>
      </c>
      <c r="P285" s="44" t="str">
        <f aca="false">IF(OR(D285="",A285=""),"",IF(AND(COUNTIFS(Scoresheet!$C$2:$C$501,A285,Scoresheet!$U$2:$U$501,1,Scoresheet!$H$2:$H$501,"No")&gt;0,COUNTIFS(Scoresheet!$C$2:$C$501,A285,Scoresheet!$U$2:$U$501,1,Scoresheet!$J$2:$J$501,"No")&gt;0),"🚩 Budget  ·  🚩 No one on camera",IF(COUNTIFS(Scoresheet!$C$2:$C$501,A285,Scoresheet!$U$2:$U$501,1,Scoresheet!$H$2:$H$501,"No")&gt;0,"🚩 Budget under AED 5k",IF(COUNTIFS(Scoresheet!$C$2:$C$501,A285,Scoresheet!$U$2:$U$501,1,Scoresheet!$J$2:$J$501,"No")&gt;0,"🚩 No one on camera",""))))</f>
        <v/>
      </c>
      <c r="Q285" s="17"/>
      <c r="R285" s="17"/>
      <c r="S285" s="40"/>
      <c r="T285" s="17"/>
      <c r="U285" s="45" t="str">
        <f aca="false">IF(OR(D285="",S285="",OR(R285="Contract signed + paid",R285="Closed – No response",R285="Lost"),N(T285)&gt;=Settings!$S$3),"",S285+Settings!$S$2)</f>
        <v/>
      </c>
      <c r="V285" s="40"/>
      <c r="W285" s="41"/>
      <c r="X285" s="17"/>
      <c r="Y285" s="17"/>
      <c r="Z285" s="17"/>
      <c r="AA285" s="46" t="str">
        <f aca="true">IF(OR(D285="",B285=""),"",INT(TODAY()-B285))</f>
        <v/>
      </c>
      <c r="AB285" s="44" t="str">
        <f aca="true">IF(D285="","",IF(OR(COUNTIFS(Clients!$C$2:$C$501,D285,Clients!$S$2:$S$501,"Paid")&gt;0,AND(H285&lt;&gt;"",COUNTIFS(Clients!$E$2:$E$501,H285,Clients!$S$2:$S$501,"Paid")&gt;0)),"⚠ Refunded before – no free video",IF(OR(R285="Contract signed + paid",R285="Closed – No response",R285="Lost"),"",IF(R285="","Set a stage",IF(AND(R285="Proposal sent",SUMIFS(Scoresheet!$N$2:$N$501,Scoresheet!$C$2:$C$501,A285,Scoresheet!$U$2:$U$501,1)&lt;6),"Score this lead – fill the call scoresheet",IF(N(T285)&gt;=Settings!$S$3,"Close – 4 follow-ups sent",IF(U285="",IF(S285="","Make first contact",""),IF(TODAY()&gt;U285,"OVERDUE follow-up",IF(TODAY()=U285,"Follow up today","")))))))))</f>
        <v/>
      </c>
    </row>
    <row r="286" customFormat="false" ht="15" hidden="false" customHeight="false" outlineLevel="0" collapsed="false">
      <c r="A286" s="17"/>
      <c r="B286" s="40"/>
      <c r="C286" s="17"/>
      <c r="D286" s="17"/>
      <c r="E286" s="17"/>
      <c r="F286" s="17"/>
      <c r="G286" s="17"/>
      <c r="H286" s="42"/>
      <c r="I286" s="17"/>
      <c r="J286" s="17"/>
      <c r="K286" s="17"/>
      <c r="L286" s="17"/>
      <c r="M286" s="17"/>
      <c r="N286" s="44" t="str">
        <f aca="false">IF(OR(D286="",A286="",COUNTIFS(Scoresheet!$C$2:$C$501,A286,Scoresheet!$U$2:$U$501,1)=0),"",SUMIFS(Scoresheet!$O$2:$O$501,Scoresheet!$C$2:$C$501,A286,Scoresheet!$U$2:$U$501,1))</f>
        <v/>
      </c>
      <c r="O286" s="44" t="str">
        <f aca="false">IF(D286="","",IF(OR(A286="",COUNTIFS(Scoresheet!$C$2:$C$501,A286,Scoresheet!$U$2:$U$501,1)=0),"No scoresheet yet",IF(SUMIFS(Scoresheet!$N$2:$N$501,Scoresheet!$C$2:$C$501,A286,Scoresheet!$U$2:$U$501,1)&lt;6,"Partly scored ("&amp;SUMIFS(Scoresheet!$N$2:$N$501,Scoresheet!$C$2:$C$501,A286,Scoresheet!$U$2:$U$501,1)&amp;"/6)",IF(N286&gt;=Settings!$S$8,"Hot",IF(N286&gt;=Settings!$S$9,"Warm","Cold")))))</f>
        <v/>
      </c>
      <c r="P286" s="44" t="str">
        <f aca="false">IF(OR(D286="",A286=""),"",IF(AND(COUNTIFS(Scoresheet!$C$2:$C$501,A286,Scoresheet!$U$2:$U$501,1,Scoresheet!$H$2:$H$501,"No")&gt;0,COUNTIFS(Scoresheet!$C$2:$C$501,A286,Scoresheet!$U$2:$U$501,1,Scoresheet!$J$2:$J$501,"No")&gt;0),"🚩 Budget  ·  🚩 No one on camera",IF(COUNTIFS(Scoresheet!$C$2:$C$501,A286,Scoresheet!$U$2:$U$501,1,Scoresheet!$H$2:$H$501,"No")&gt;0,"🚩 Budget under AED 5k",IF(COUNTIFS(Scoresheet!$C$2:$C$501,A286,Scoresheet!$U$2:$U$501,1,Scoresheet!$J$2:$J$501,"No")&gt;0,"🚩 No one on camera",""))))</f>
        <v/>
      </c>
      <c r="Q286" s="17"/>
      <c r="R286" s="17"/>
      <c r="S286" s="40"/>
      <c r="T286" s="17"/>
      <c r="U286" s="45" t="str">
        <f aca="false">IF(OR(D286="",S286="",OR(R286="Contract signed + paid",R286="Closed – No response",R286="Lost"),N(T286)&gt;=Settings!$S$3),"",S286+Settings!$S$2)</f>
        <v/>
      </c>
      <c r="V286" s="40"/>
      <c r="W286" s="41"/>
      <c r="X286" s="17"/>
      <c r="Y286" s="17"/>
      <c r="Z286" s="17"/>
      <c r="AA286" s="46" t="str">
        <f aca="true">IF(OR(D286="",B286=""),"",INT(TODAY()-B286))</f>
        <v/>
      </c>
      <c r="AB286" s="44" t="str">
        <f aca="true">IF(D286="","",IF(OR(COUNTIFS(Clients!$C$2:$C$501,D286,Clients!$S$2:$S$501,"Paid")&gt;0,AND(H286&lt;&gt;"",COUNTIFS(Clients!$E$2:$E$501,H286,Clients!$S$2:$S$501,"Paid")&gt;0)),"⚠ Refunded before – no free video",IF(OR(R286="Contract signed + paid",R286="Closed – No response",R286="Lost"),"",IF(R286="","Set a stage",IF(AND(R286="Proposal sent",SUMIFS(Scoresheet!$N$2:$N$501,Scoresheet!$C$2:$C$501,A286,Scoresheet!$U$2:$U$501,1)&lt;6),"Score this lead – fill the call scoresheet",IF(N(T286)&gt;=Settings!$S$3,"Close – 4 follow-ups sent",IF(U286="",IF(S286="","Make first contact",""),IF(TODAY()&gt;U286,"OVERDUE follow-up",IF(TODAY()=U286,"Follow up today","")))))))))</f>
        <v/>
      </c>
    </row>
    <row r="287" customFormat="false" ht="15" hidden="false" customHeight="false" outlineLevel="0" collapsed="false">
      <c r="A287" s="17"/>
      <c r="B287" s="40"/>
      <c r="C287" s="17"/>
      <c r="D287" s="17"/>
      <c r="E287" s="17"/>
      <c r="F287" s="17"/>
      <c r="G287" s="17"/>
      <c r="H287" s="42"/>
      <c r="I287" s="17"/>
      <c r="J287" s="17"/>
      <c r="K287" s="17"/>
      <c r="L287" s="17"/>
      <c r="M287" s="17"/>
      <c r="N287" s="44" t="str">
        <f aca="false">IF(OR(D287="",A287="",COUNTIFS(Scoresheet!$C$2:$C$501,A287,Scoresheet!$U$2:$U$501,1)=0),"",SUMIFS(Scoresheet!$O$2:$O$501,Scoresheet!$C$2:$C$501,A287,Scoresheet!$U$2:$U$501,1))</f>
        <v/>
      </c>
      <c r="O287" s="44" t="str">
        <f aca="false">IF(D287="","",IF(OR(A287="",COUNTIFS(Scoresheet!$C$2:$C$501,A287,Scoresheet!$U$2:$U$501,1)=0),"No scoresheet yet",IF(SUMIFS(Scoresheet!$N$2:$N$501,Scoresheet!$C$2:$C$501,A287,Scoresheet!$U$2:$U$501,1)&lt;6,"Partly scored ("&amp;SUMIFS(Scoresheet!$N$2:$N$501,Scoresheet!$C$2:$C$501,A287,Scoresheet!$U$2:$U$501,1)&amp;"/6)",IF(N287&gt;=Settings!$S$8,"Hot",IF(N287&gt;=Settings!$S$9,"Warm","Cold")))))</f>
        <v/>
      </c>
      <c r="P287" s="44" t="str">
        <f aca="false">IF(OR(D287="",A287=""),"",IF(AND(COUNTIFS(Scoresheet!$C$2:$C$501,A287,Scoresheet!$U$2:$U$501,1,Scoresheet!$H$2:$H$501,"No")&gt;0,COUNTIFS(Scoresheet!$C$2:$C$501,A287,Scoresheet!$U$2:$U$501,1,Scoresheet!$J$2:$J$501,"No")&gt;0),"🚩 Budget  ·  🚩 No one on camera",IF(COUNTIFS(Scoresheet!$C$2:$C$501,A287,Scoresheet!$U$2:$U$501,1,Scoresheet!$H$2:$H$501,"No")&gt;0,"🚩 Budget under AED 5k",IF(COUNTIFS(Scoresheet!$C$2:$C$501,A287,Scoresheet!$U$2:$U$501,1,Scoresheet!$J$2:$J$501,"No")&gt;0,"🚩 No one on camera",""))))</f>
        <v/>
      </c>
      <c r="Q287" s="17"/>
      <c r="R287" s="17"/>
      <c r="S287" s="40"/>
      <c r="T287" s="17"/>
      <c r="U287" s="45" t="str">
        <f aca="false">IF(OR(D287="",S287="",OR(R287="Contract signed + paid",R287="Closed – No response",R287="Lost"),N(T287)&gt;=Settings!$S$3),"",S287+Settings!$S$2)</f>
        <v/>
      </c>
      <c r="V287" s="40"/>
      <c r="W287" s="41"/>
      <c r="X287" s="17"/>
      <c r="Y287" s="17"/>
      <c r="Z287" s="17"/>
      <c r="AA287" s="46" t="str">
        <f aca="true">IF(OR(D287="",B287=""),"",INT(TODAY()-B287))</f>
        <v/>
      </c>
      <c r="AB287" s="44" t="str">
        <f aca="true">IF(D287="","",IF(OR(COUNTIFS(Clients!$C$2:$C$501,D287,Clients!$S$2:$S$501,"Paid")&gt;0,AND(H287&lt;&gt;"",COUNTIFS(Clients!$E$2:$E$501,H287,Clients!$S$2:$S$501,"Paid")&gt;0)),"⚠ Refunded before – no free video",IF(OR(R287="Contract signed + paid",R287="Closed – No response",R287="Lost"),"",IF(R287="","Set a stage",IF(AND(R287="Proposal sent",SUMIFS(Scoresheet!$N$2:$N$501,Scoresheet!$C$2:$C$501,A287,Scoresheet!$U$2:$U$501,1)&lt;6),"Score this lead – fill the call scoresheet",IF(N(T287)&gt;=Settings!$S$3,"Close – 4 follow-ups sent",IF(U287="",IF(S287="","Make first contact",""),IF(TODAY()&gt;U287,"OVERDUE follow-up",IF(TODAY()=U287,"Follow up today","")))))))))</f>
        <v/>
      </c>
    </row>
    <row r="288" customFormat="false" ht="15" hidden="false" customHeight="false" outlineLevel="0" collapsed="false">
      <c r="A288" s="17"/>
      <c r="B288" s="40"/>
      <c r="C288" s="17"/>
      <c r="D288" s="17"/>
      <c r="E288" s="17"/>
      <c r="F288" s="17"/>
      <c r="G288" s="17"/>
      <c r="H288" s="42"/>
      <c r="I288" s="17"/>
      <c r="J288" s="17"/>
      <c r="K288" s="17"/>
      <c r="L288" s="17"/>
      <c r="M288" s="17"/>
      <c r="N288" s="44" t="str">
        <f aca="false">IF(OR(D288="",A288="",COUNTIFS(Scoresheet!$C$2:$C$501,A288,Scoresheet!$U$2:$U$501,1)=0),"",SUMIFS(Scoresheet!$O$2:$O$501,Scoresheet!$C$2:$C$501,A288,Scoresheet!$U$2:$U$501,1))</f>
        <v/>
      </c>
      <c r="O288" s="44" t="str">
        <f aca="false">IF(D288="","",IF(OR(A288="",COUNTIFS(Scoresheet!$C$2:$C$501,A288,Scoresheet!$U$2:$U$501,1)=0),"No scoresheet yet",IF(SUMIFS(Scoresheet!$N$2:$N$501,Scoresheet!$C$2:$C$501,A288,Scoresheet!$U$2:$U$501,1)&lt;6,"Partly scored ("&amp;SUMIFS(Scoresheet!$N$2:$N$501,Scoresheet!$C$2:$C$501,A288,Scoresheet!$U$2:$U$501,1)&amp;"/6)",IF(N288&gt;=Settings!$S$8,"Hot",IF(N288&gt;=Settings!$S$9,"Warm","Cold")))))</f>
        <v/>
      </c>
      <c r="P288" s="44" t="str">
        <f aca="false">IF(OR(D288="",A288=""),"",IF(AND(COUNTIFS(Scoresheet!$C$2:$C$501,A288,Scoresheet!$U$2:$U$501,1,Scoresheet!$H$2:$H$501,"No")&gt;0,COUNTIFS(Scoresheet!$C$2:$C$501,A288,Scoresheet!$U$2:$U$501,1,Scoresheet!$J$2:$J$501,"No")&gt;0),"🚩 Budget  ·  🚩 No one on camera",IF(COUNTIFS(Scoresheet!$C$2:$C$501,A288,Scoresheet!$U$2:$U$501,1,Scoresheet!$H$2:$H$501,"No")&gt;0,"🚩 Budget under AED 5k",IF(COUNTIFS(Scoresheet!$C$2:$C$501,A288,Scoresheet!$U$2:$U$501,1,Scoresheet!$J$2:$J$501,"No")&gt;0,"🚩 No one on camera",""))))</f>
        <v/>
      </c>
      <c r="Q288" s="17"/>
      <c r="R288" s="17"/>
      <c r="S288" s="40"/>
      <c r="T288" s="17"/>
      <c r="U288" s="45" t="str">
        <f aca="false">IF(OR(D288="",S288="",OR(R288="Contract signed + paid",R288="Closed – No response",R288="Lost"),N(T288)&gt;=Settings!$S$3),"",S288+Settings!$S$2)</f>
        <v/>
      </c>
      <c r="V288" s="40"/>
      <c r="W288" s="41"/>
      <c r="X288" s="17"/>
      <c r="Y288" s="17"/>
      <c r="Z288" s="17"/>
      <c r="AA288" s="46" t="str">
        <f aca="true">IF(OR(D288="",B288=""),"",INT(TODAY()-B288))</f>
        <v/>
      </c>
      <c r="AB288" s="44" t="str">
        <f aca="true">IF(D288="","",IF(OR(COUNTIFS(Clients!$C$2:$C$501,D288,Clients!$S$2:$S$501,"Paid")&gt;0,AND(H288&lt;&gt;"",COUNTIFS(Clients!$E$2:$E$501,H288,Clients!$S$2:$S$501,"Paid")&gt;0)),"⚠ Refunded before – no free video",IF(OR(R288="Contract signed + paid",R288="Closed – No response",R288="Lost"),"",IF(R288="","Set a stage",IF(AND(R288="Proposal sent",SUMIFS(Scoresheet!$N$2:$N$501,Scoresheet!$C$2:$C$501,A288,Scoresheet!$U$2:$U$501,1)&lt;6),"Score this lead – fill the call scoresheet",IF(N(T288)&gt;=Settings!$S$3,"Close – 4 follow-ups sent",IF(U288="",IF(S288="","Make first contact",""),IF(TODAY()&gt;U288,"OVERDUE follow-up",IF(TODAY()=U288,"Follow up today","")))))))))</f>
        <v/>
      </c>
    </row>
    <row r="289" customFormat="false" ht="15" hidden="false" customHeight="false" outlineLevel="0" collapsed="false">
      <c r="A289" s="17"/>
      <c r="B289" s="40"/>
      <c r="C289" s="17"/>
      <c r="D289" s="17"/>
      <c r="E289" s="17"/>
      <c r="F289" s="17"/>
      <c r="G289" s="17"/>
      <c r="H289" s="42"/>
      <c r="I289" s="17"/>
      <c r="J289" s="17"/>
      <c r="K289" s="17"/>
      <c r="L289" s="17"/>
      <c r="M289" s="17"/>
      <c r="N289" s="44" t="str">
        <f aca="false">IF(OR(D289="",A289="",COUNTIFS(Scoresheet!$C$2:$C$501,A289,Scoresheet!$U$2:$U$501,1)=0),"",SUMIFS(Scoresheet!$O$2:$O$501,Scoresheet!$C$2:$C$501,A289,Scoresheet!$U$2:$U$501,1))</f>
        <v/>
      </c>
      <c r="O289" s="44" t="str">
        <f aca="false">IF(D289="","",IF(OR(A289="",COUNTIFS(Scoresheet!$C$2:$C$501,A289,Scoresheet!$U$2:$U$501,1)=0),"No scoresheet yet",IF(SUMIFS(Scoresheet!$N$2:$N$501,Scoresheet!$C$2:$C$501,A289,Scoresheet!$U$2:$U$501,1)&lt;6,"Partly scored ("&amp;SUMIFS(Scoresheet!$N$2:$N$501,Scoresheet!$C$2:$C$501,A289,Scoresheet!$U$2:$U$501,1)&amp;"/6)",IF(N289&gt;=Settings!$S$8,"Hot",IF(N289&gt;=Settings!$S$9,"Warm","Cold")))))</f>
        <v/>
      </c>
      <c r="P289" s="44" t="str">
        <f aca="false">IF(OR(D289="",A289=""),"",IF(AND(COUNTIFS(Scoresheet!$C$2:$C$501,A289,Scoresheet!$U$2:$U$501,1,Scoresheet!$H$2:$H$501,"No")&gt;0,COUNTIFS(Scoresheet!$C$2:$C$501,A289,Scoresheet!$U$2:$U$501,1,Scoresheet!$J$2:$J$501,"No")&gt;0),"🚩 Budget  ·  🚩 No one on camera",IF(COUNTIFS(Scoresheet!$C$2:$C$501,A289,Scoresheet!$U$2:$U$501,1,Scoresheet!$H$2:$H$501,"No")&gt;0,"🚩 Budget under AED 5k",IF(COUNTIFS(Scoresheet!$C$2:$C$501,A289,Scoresheet!$U$2:$U$501,1,Scoresheet!$J$2:$J$501,"No")&gt;0,"🚩 No one on camera",""))))</f>
        <v/>
      </c>
      <c r="Q289" s="17"/>
      <c r="R289" s="17"/>
      <c r="S289" s="40"/>
      <c r="T289" s="17"/>
      <c r="U289" s="45" t="str">
        <f aca="false">IF(OR(D289="",S289="",OR(R289="Contract signed + paid",R289="Closed – No response",R289="Lost"),N(T289)&gt;=Settings!$S$3),"",S289+Settings!$S$2)</f>
        <v/>
      </c>
      <c r="V289" s="40"/>
      <c r="W289" s="41"/>
      <c r="X289" s="17"/>
      <c r="Y289" s="17"/>
      <c r="Z289" s="17"/>
      <c r="AA289" s="46" t="str">
        <f aca="true">IF(OR(D289="",B289=""),"",INT(TODAY()-B289))</f>
        <v/>
      </c>
      <c r="AB289" s="44" t="str">
        <f aca="true">IF(D289="","",IF(OR(COUNTIFS(Clients!$C$2:$C$501,D289,Clients!$S$2:$S$501,"Paid")&gt;0,AND(H289&lt;&gt;"",COUNTIFS(Clients!$E$2:$E$501,H289,Clients!$S$2:$S$501,"Paid")&gt;0)),"⚠ Refunded before – no free video",IF(OR(R289="Contract signed + paid",R289="Closed – No response",R289="Lost"),"",IF(R289="","Set a stage",IF(AND(R289="Proposal sent",SUMIFS(Scoresheet!$N$2:$N$501,Scoresheet!$C$2:$C$501,A289,Scoresheet!$U$2:$U$501,1)&lt;6),"Score this lead – fill the call scoresheet",IF(N(T289)&gt;=Settings!$S$3,"Close – 4 follow-ups sent",IF(U289="",IF(S289="","Make first contact",""),IF(TODAY()&gt;U289,"OVERDUE follow-up",IF(TODAY()=U289,"Follow up today","")))))))))</f>
        <v/>
      </c>
    </row>
    <row r="290" customFormat="false" ht="15" hidden="false" customHeight="false" outlineLevel="0" collapsed="false">
      <c r="A290" s="17"/>
      <c r="B290" s="40"/>
      <c r="C290" s="17"/>
      <c r="D290" s="17"/>
      <c r="E290" s="17"/>
      <c r="F290" s="17"/>
      <c r="G290" s="17"/>
      <c r="H290" s="42"/>
      <c r="I290" s="17"/>
      <c r="J290" s="17"/>
      <c r="K290" s="17"/>
      <c r="L290" s="17"/>
      <c r="M290" s="17"/>
      <c r="N290" s="44" t="str">
        <f aca="false">IF(OR(D290="",A290="",COUNTIFS(Scoresheet!$C$2:$C$501,A290,Scoresheet!$U$2:$U$501,1)=0),"",SUMIFS(Scoresheet!$O$2:$O$501,Scoresheet!$C$2:$C$501,A290,Scoresheet!$U$2:$U$501,1))</f>
        <v/>
      </c>
      <c r="O290" s="44" t="str">
        <f aca="false">IF(D290="","",IF(OR(A290="",COUNTIFS(Scoresheet!$C$2:$C$501,A290,Scoresheet!$U$2:$U$501,1)=0),"No scoresheet yet",IF(SUMIFS(Scoresheet!$N$2:$N$501,Scoresheet!$C$2:$C$501,A290,Scoresheet!$U$2:$U$501,1)&lt;6,"Partly scored ("&amp;SUMIFS(Scoresheet!$N$2:$N$501,Scoresheet!$C$2:$C$501,A290,Scoresheet!$U$2:$U$501,1)&amp;"/6)",IF(N290&gt;=Settings!$S$8,"Hot",IF(N290&gt;=Settings!$S$9,"Warm","Cold")))))</f>
        <v/>
      </c>
      <c r="P290" s="44" t="str">
        <f aca="false">IF(OR(D290="",A290=""),"",IF(AND(COUNTIFS(Scoresheet!$C$2:$C$501,A290,Scoresheet!$U$2:$U$501,1,Scoresheet!$H$2:$H$501,"No")&gt;0,COUNTIFS(Scoresheet!$C$2:$C$501,A290,Scoresheet!$U$2:$U$501,1,Scoresheet!$J$2:$J$501,"No")&gt;0),"🚩 Budget  ·  🚩 No one on camera",IF(COUNTIFS(Scoresheet!$C$2:$C$501,A290,Scoresheet!$U$2:$U$501,1,Scoresheet!$H$2:$H$501,"No")&gt;0,"🚩 Budget under AED 5k",IF(COUNTIFS(Scoresheet!$C$2:$C$501,A290,Scoresheet!$U$2:$U$501,1,Scoresheet!$J$2:$J$501,"No")&gt;0,"🚩 No one on camera",""))))</f>
        <v/>
      </c>
      <c r="Q290" s="17"/>
      <c r="R290" s="17"/>
      <c r="S290" s="40"/>
      <c r="T290" s="17"/>
      <c r="U290" s="45" t="str">
        <f aca="false">IF(OR(D290="",S290="",OR(R290="Contract signed + paid",R290="Closed – No response",R290="Lost"),N(T290)&gt;=Settings!$S$3),"",S290+Settings!$S$2)</f>
        <v/>
      </c>
      <c r="V290" s="40"/>
      <c r="W290" s="41"/>
      <c r="X290" s="17"/>
      <c r="Y290" s="17"/>
      <c r="Z290" s="17"/>
      <c r="AA290" s="46" t="str">
        <f aca="true">IF(OR(D290="",B290=""),"",INT(TODAY()-B290))</f>
        <v/>
      </c>
      <c r="AB290" s="44" t="str">
        <f aca="true">IF(D290="","",IF(OR(COUNTIFS(Clients!$C$2:$C$501,D290,Clients!$S$2:$S$501,"Paid")&gt;0,AND(H290&lt;&gt;"",COUNTIFS(Clients!$E$2:$E$501,H290,Clients!$S$2:$S$501,"Paid")&gt;0)),"⚠ Refunded before – no free video",IF(OR(R290="Contract signed + paid",R290="Closed – No response",R290="Lost"),"",IF(R290="","Set a stage",IF(AND(R290="Proposal sent",SUMIFS(Scoresheet!$N$2:$N$501,Scoresheet!$C$2:$C$501,A290,Scoresheet!$U$2:$U$501,1)&lt;6),"Score this lead – fill the call scoresheet",IF(N(T290)&gt;=Settings!$S$3,"Close – 4 follow-ups sent",IF(U290="",IF(S290="","Make first contact",""),IF(TODAY()&gt;U290,"OVERDUE follow-up",IF(TODAY()=U290,"Follow up today","")))))))))</f>
        <v/>
      </c>
    </row>
    <row r="291" customFormat="false" ht="15" hidden="false" customHeight="false" outlineLevel="0" collapsed="false">
      <c r="A291" s="17"/>
      <c r="B291" s="40"/>
      <c r="C291" s="17"/>
      <c r="D291" s="17"/>
      <c r="E291" s="17"/>
      <c r="F291" s="17"/>
      <c r="G291" s="17"/>
      <c r="H291" s="42"/>
      <c r="I291" s="17"/>
      <c r="J291" s="17"/>
      <c r="K291" s="17"/>
      <c r="L291" s="17"/>
      <c r="M291" s="17"/>
      <c r="N291" s="44" t="str">
        <f aca="false">IF(OR(D291="",A291="",COUNTIFS(Scoresheet!$C$2:$C$501,A291,Scoresheet!$U$2:$U$501,1)=0),"",SUMIFS(Scoresheet!$O$2:$O$501,Scoresheet!$C$2:$C$501,A291,Scoresheet!$U$2:$U$501,1))</f>
        <v/>
      </c>
      <c r="O291" s="44" t="str">
        <f aca="false">IF(D291="","",IF(OR(A291="",COUNTIFS(Scoresheet!$C$2:$C$501,A291,Scoresheet!$U$2:$U$501,1)=0),"No scoresheet yet",IF(SUMIFS(Scoresheet!$N$2:$N$501,Scoresheet!$C$2:$C$501,A291,Scoresheet!$U$2:$U$501,1)&lt;6,"Partly scored ("&amp;SUMIFS(Scoresheet!$N$2:$N$501,Scoresheet!$C$2:$C$501,A291,Scoresheet!$U$2:$U$501,1)&amp;"/6)",IF(N291&gt;=Settings!$S$8,"Hot",IF(N291&gt;=Settings!$S$9,"Warm","Cold")))))</f>
        <v/>
      </c>
      <c r="P291" s="44" t="str">
        <f aca="false">IF(OR(D291="",A291=""),"",IF(AND(COUNTIFS(Scoresheet!$C$2:$C$501,A291,Scoresheet!$U$2:$U$501,1,Scoresheet!$H$2:$H$501,"No")&gt;0,COUNTIFS(Scoresheet!$C$2:$C$501,A291,Scoresheet!$U$2:$U$501,1,Scoresheet!$J$2:$J$501,"No")&gt;0),"🚩 Budget  ·  🚩 No one on camera",IF(COUNTIFS(Scoresheet!$C$2:$C$501,A291,Scoresheet!$U$2:$U$501,1,Scoresheet!$H$2:$H$501,"No")&gt;0,"🚩 Budget under AED 5k",IF(COUNTIFS(Scoresheet!$C$2:$C$501,A291,Scoresheet!$U$2:$U$501,1,Scoresheet!$J$2:$J$501,"No")&gt;0,"🚩 No one on camera",""))))</f>
        <v/>
      </c>
      <c r="Q291" s="17"/>
      <c r="R291" s="17"/>
      <c r="S291" s="40"/>
      <c r="T291" s="17"/>
      <c r="U291" s="45" t="str">
        <f aca="false">IF(OR(D291="",S291="",OR(R291="Contract signed + paid",R291="Closed – No response",R291="Lost"),N(T291)&gt;=Settings!$S$3),"",S291+Settings!$S$2)</f>
        <v/>
      </c>
      <c r="V291" s="40"/>
      <c r="W291" s="41"/>
      <c r="X291" s="17"/>
      <c r="Y291" s="17"/>
      <c r="Z291" s="17"/>
      <c r="AA291" s="46" t="str">
        <f aca="true">IF(OR(D291="",B291=""),"",INT(TODAY()-B291))</f>
        <v/>
      </c>
      <c r="AB291" s="44" t="str">
        <f aca="true">IF(D291="","",IF(OR(COUNTIFS(Clients!$C$2:$C$501,D291,Clients!$S$2:$S$501,"Paid")&gt;0,AND(H291&lt;&gt;"",COUNTIFS(Clients!$E$2:$E$501,H291,Clients!$S$2:$S$501,"Paid")&gt;0)),"⚠ Refunded before – no free video",IF(OR(R291="Contract signed + paid",R291="Closed – No response",R291="Lost"),"",IF(R291="","Set a stage",IF(AND(R291="Proposal sent",SUMIFS(Scoresheet!$N$2:$N$501,Scoresheet!$C$2:$C$501,A291,Scoresheet!$U$2:$U$501,1)&lt;6),"Score this lead – fill the call scoresheet",IF(N(T291)&gt;=Settings!$S$3,"Close – 4 follow-ups sent",IF(U291="",IF(S291="","Make first contact",""),IF(TODAY()&gt;U291,"OVERDUE follow-up",IF(TODAY()=U291,"Follow up today","")))))))))</f>
        <v/>
      </c>
    </row>
    <row r="292" customFormat="false" ht="15" hidden="false" customHeight="false" outlineLevel="0" collapsed="false">
      <c r="A292" s="17"/>
      <c r="B292" s="40"/>
      <c r="C292" s="17"/>
      <c r="D292" s="17"/>
      <c r="E292" s="17"/>
      <c r="F292" s="17"/>
      <c r="G292" s="17"/>
      <c r="H292" s="42"/>
      <c r="I292" s="17"/>
      <c r="J292" s="17"/>
      <c r="K292" s="17"/>
      <c r="L292" s="17"/>
      <c r="M292" s="17"/>
      <c r="N292" s="44" t="str">
        <f aca="false">IF(OR(D292="",A292="",COUNTIFS(Scoresheet!$C$2:$C$501,A292,Scoresheet!$U$2:$U$501,1)=0),"",SUMIFS(Scoresheet!$O$2:$O$501,Scoresheet!$C$2:$C$501,A292,Scoresheet!$U$2:$U$501,1))</f>
        <v/>
      </c>
      <c r="O292" s="44" t="str">
        <f aca="false">IF(D292="","",IF(OR(A292="",COUNTIFS(Scoresheet!$C$2:$C$501,A292,Scoresheet!$U$2:$U$501,1)=0),"No scoresheet yet",IF(SUMIFS(Scoresheet!$N$2:$N$501,Scoresheet!$C$2:$C$501,A292,Scoresheet!$U$2:$U$501,1)&lt;6,"Partly scored ("&amp;SUMIFS(Scoresheet!$N$2:$N$501,Scoresheet!$C$2:$C$501,A292,Scoresheet!$U$2:$U$501,1)&amp;"/6)",IF(N292&gt;=Settings!$S$8,"Hot",IF(N292&gt;=Settings!$S$9,"Warm","Cold")))))</f>
        <v/>
      </c>
      <c r="P292" s="44" t="str">
        <f aca="false">IF(OR(D292="",A292=""),"",IF(AND(COUNTIFS(Scoresheet!$C$2:$C$501,A292,Scoresheet!$U$2:$U$501,1,Scoresheet!$H$2:$H$501,"No")&gt;0,COUNTIFS(Scoresheet!$C$2:$C$501,A292,Scoresheet!$U$2:$U$501,1,Scoresheet!$J$2:$J$501,"No")&gt;0),"🚩 Budget  ·  🚩 No one on camera",IF(COUNTIFS(Scoresheet!$C$2:$C$501,A292,Scoresheet!$U$2:$U$501,1,Scoresheet!$H$2:$H$501,"No")&gt;0,"🚩 Budget under AED 5k",IF(COUNTIFS(Scoresheet!$C$2:$C$501,A292,Scoresheet!$U$2:$U$501,1,Scoresheet!$J$2:$J$501,"No")&gt;0,"🚩 No one on camera",""))))</f>
        <v/>
      </c>
      <c r="Q292" s="17"/>
      <c r="R292" s="17"/>
      <c r="S292" s="40"/>
      <c r="T292" s="17"/>
      <c r="U292" s="45" t="str">
        <f aca="false">IF(OR(D292="",S292="",OR(R292="Contract signed + paid",R292="Closed – No response",R292="Lost"),N(T292)&gt;=Settings!$S$3),"",S292+Settings!$S$2)</f>
        <v/>
      </c>
      <c r="V292" s="40"/>
      <c r="W292" s="41"/>
      <c r="X292" s="17"/>
      <c r="Y292" s="17"/>
      <c r="Z292" s="17"/>
      <c r="AA292" s="46" t="str">
        <f aca="true">IF(OR(D292="",B292=""),"",INT(TODAY()-B292))</f>
        <v/>
      </c>
      <c r="AB292" s="44" t="str">
        <f aca="true">IF(D292="","",IF(OR(COUNTIFS(Clients!$C$2:$C$501,D292,Clients!$S$2:$S$501,"Paid")&gt;0,AND(H292&lt;&gt;"",COUNTIFS(Clients!$E$2:$E$501,H292,Clients!$S$2:$S$501,"Paid")&gt;0)),"⚠ Refunded before – no free video",IF(OR(R292="Contract signed + paid",R292="Closed – No response",R292="Lost"),"",IF(R292="","Set a stage",IF(AND(R292="Proposal sent",SUMIFS(Scoresheet!$N$2:$N$501,Scoresheet!$C$2:$C$501,A292,Scoresheet!$U$2:$U$501,1)&lt;6),"Score this lead – fill the call scoresheet",IF(N(T292)&gt;=Settings!$S$3,"Close – 4 follow-ups sent",IF(U292="",IF(S292="","Make first contact",""),IF(TODAY()&gt;U292,"OVERDUE follow-up",IF(TODAY()=U292,"Follow up today","")))))))))</f>
        <v/>
      </c>
    </row>
    <row r="293" customFormat="false" ht="15" hidden="false" customHeight="false" outlineLevel="0" collapsed="false">
      <c r="A293" s="17"/>
      <c r="B293" s="40"/>
      <c r="C293" s="17"/>
      <c r="D293" s="17"/>
      <c r="E293" s="17"/>
      <c r="F293" s="17"/>
      <c r="G293" s="17"/>
      <c r="H293" s="42"/>
      <c r="I293" s="17"/>
      <c r="J293" s="17"/>
      <c r="K293" s="17"/>
      <c r="L293" s="17"/>
      <c r="M293" s="17"/>
      <c r="N293" s="44" t="str">
        <f aca="false">IF(OR(D293="",A293="",COUNTIFS(Scoresheet!$C$2:$C$501,A293,Scoresheet!$U$2:$U$501,1)=0),"",SUMIFS(Scoresheet!$O$2:$O$501,Scoresheet!$C$2:$C$501,A293,Scoresheet!$U$2:$U$501,1))</f>
        <v/>
      </c>
      <c r="O293" s="44" t="str">
        <f aca="false">IF(D293="","",IF(OR(A293="",COUNTIFS(Scoresheet!$C$2:$C$501,A293,Scoresheet!$U$2:$U$501,1)=0),"No scoresheet yet",IF(SUMIFS(Scoresheet!$N$2:$N$501,Scoresheet!$C$2:$C$501,A293,Scoresheet!$U$2:$U$501,1)&lt;6,"Partly scored ("&amp;SUMIFS(Scoresheet!$N$2:$N$501,Scoresheet!$C$2:$C$501,A293,Scoresheet!$U$2:$U$501,1)&amp;"/6)",IF(N293&gt;=Settings!$S$8,"Hot",IF(N293&gt;=Settings!$S$9,"Warm","Cold")))))</f>
        <v/>
      </c>
      <c r="P293" s="44" t="str">
        <f aca="false">IF(OR(D293="",A293=""),"",IF(AND(COUNTIFS(Scoresheet!$C$2:$C$501,A293,Scoresheet!$U$2:$U$501,1,Scoresheet!$H$2:$H$501,"No")&gt;0,COUNTIFS(Scoresheet!$C$2:$C$501,A293,Scoresheet!$U$2:$U$501,1,Scoresheet!$J$2:$J$501,"No")&gt;0),"🚩 Budget  ·  🚩 No one on camera",IF(COUNTIFS(Scoresheet!$C$2:$C$501,A293,Scoresheet!$U$2:$U$501,1,Scoresheet!$H$2:$H$501,"No")&gt;0,"🚩 Budget under AED 5k",IF(COUNTIFS(Scoresheet!$C$2:$C$501,A293,Scoresheet!$U$2:$U$501,1,Scoresheet!$J$2:$J$501,"No")&gt;0,"🚩 No one on camera",""))))</f>
        <v/>
      </c>
      <c r="Q293" s="17"/>
      <c r="R293" s="17"/>
      <c r="S293" s="40"/>
      <c r="T293" s="17"/>
      <c r="U293" s="45" t="str">
        <f aca="false">IF(OR(D293="",S293="",OR(R293="Contract signed + paid",R293="Closed – No response",R293="Lost"),N(T293)&gt;=Settings!$S$3),"",S293+Settings!$S$2)</f>
        <v/>
      </c>
      <c r="V293" s="40"/>
      <c r="W293" s="41"/>
      <c r="X293" s="17"/>
      <c r="Y293" s="17"/>
      <c r="Z293" s="17"/>
      <c r="AA293" s="46" t="str">
        <f aca="true">IF(OR(D293="",B293=""),"",INT(TODAY()-B293))</f>
        <v/>
      </c>
      <c r="AB293" s="44" t="str">
        <f aca="true">IF(D293="","",IF(OR(COUNTIFS(Clients!$C$2:$C$501,D293,Clients!$S$2:$S$501,"Paid")&gt;0,AND(H293&lt;&gt;"",COUNTIFS(Clients!$E$2:$E$501,H293,Clients!$S$2:$S$501,"Paid")&gt;0)),"⚠ Refunded before – no free video",IF(OR(R293="Contract signed + paid",R293="Closed – No response",R293="Lost"),"",IF(R293="","Set a stage",IF(AND(R293="Proposal sent",SUMIFS(Scoresheet!$N$2:$N$501,Scoresheet!$C$2:$C$501,A293,Scoresheet!$U$2:$U$501,1)&lt;6),"Score this lead – fill the call scoresheet",IF(N(T293)&gt;=Settings!$S$3,"Close – 4 follow-ups sent",IF(U293="",IF(S293="","Make first contact",""),IF(TODAY()&gt;U293,"OVERDUE follow-up",IF(TODAY()=U293,"Follow up today","")))))))))</f>
        <v/>
      </c>
    </row>
    <row r="294" customFormat="false" ht="15" hidden="false" customHeight="false" outlineLevel="0" collapsed="false">
      <c r="A294" s="17"/>
      <c r="B294" s="40"/>
      <c r="C294" s="17"/>
      <c r="D294" s="17"/>
      <c r="E294" s="17"/>
      <c r="F294" s="17"/>
      <c r="G294" s="17"/>
      <c r="H294" s="42"/>
      <c r="I294" s="17"/>
      <c r="J294" s="17"/>
      <c r="K294" s="17"/>
      <c r="L294" s="17"/>
      <c r="M294" s="17"/>
      <c r="N294" s="44" t="str">
        <f aca="false">IF(OR(D294="",A294="",COUNTIFS(Scoresheet!$C$2:$C$501,A294,Scoresheet!$U$2:$U$501,1)=0),"",SUMIFS(Scoresheet!$O$2:$O$501,Scoresheet!$C$2:$C$501,A294,Scoresheet!$U$2:$U$501,1))</f>
        <v/>
      </c>
      <c r="O294" s="44" t="str">
        <f aca="false">IF(D294="","",IF(OR(A294="",COUNTIFS(Scoresheet!$C$2:$C$501,A294,Scoresheet!$U$2:$U$501,1)=0),"No scoresheet yet",IF(SUMIFS(Scoresheet!$N$2:$N$501,Scoresheet!$C$2:$C$501,A294,Scoresheet!$U$2:$U$501,1)&lt;6,"Partly scored ("&amp;SUMIFS(Scoresheet!$N$2:$N$501,Scoresheet!$C$2:$C$501,A294,Scoresheet!$U$2:$U$501,1)&amp;"/6)",IF(N294&gt;=Settings!$S$8,"Hot",IF(N294&gt;=Settings!$S$9,"Warm","Cold")))))</f>
        <v/>
      </c>
      <c r="P294" s="44" t="str">
        <f aca="false">IF(OR(D294="",A294=""),"",IF(AND(COUNTIFS(Scoresheet!$C$2:$C$501,A294,Scoresheet!$U$2:$U$501,1,Scoresheet!$H$2:$H$501,"No")&gt;0,COUNTIFS(Scoresheet!$C$2:$C$501,A294,Scoresheet!$U$2:$U$501,1,Scoresheet!$J$2:$J$501,"No")&gt;0),"🚩 Budget  ·  🚩 No one on camera",IF(COUNTIFS(Scoresheet!$C$2:$C$501,A294,Scoresheet!$U$2:$U$501,1,Scoresheet!$H$2:$H$501,"No")&gt;0,"🚩 Budget under AED 5k",IF(COUNTIFS(Scoresheet!$C$2:$C$501,A294,Scoresheet!$U$2:$U$501,1,Scoresheet!$J$2:$J$501,"No")&gt;0,"🚩 No one on camera",""))))</f>
        <v/>
      </c>
      <c r="Q294" s="17"/>
      <c r="R294" s="17"/>
      <c r="S294" s="40"/>
      <c r="T294" s="17"/>
      <c r="U294" s="45" t="str">
        <f aca="false">IF(OR(D294="",S294="",OR(R294="Contract signed + paid",R294="Closed – No response",R294="Lost"),N(T294)&gt;=Settings!$S$3),"",S294+Settings!$S$2)</f>
        <v/>
      </c>
      <c r="V294" s="40"/>
      <c r="W294" s="41"/>
      <c r="X294" s="17"/>
      <c r="Y294" s="17"/>
      <c r="Z294" s="17"/>
      <c r="AA294" s="46" t="str">
        <f aca="true">IF(OR(D294="",B294=""),"",INT(TODAY()-B294))</f>
        <v/>
      </c>
      <c r="AB294" s="44" t="str">
        <f aca="true">IF(D294="","",IF(OR(COUNTIFS(Clients!$C$2:$C$501,D294,Clients!$S$2:$S$501,"Paid")&gt;0,AND(H294&lt;&gt;"",COUNTIFS(Clients!$E$2:$E$501,H294,Clients!$S$2:$S$501,"Paid")&gt;0)),"⚠ Refunded before – no free video",IF(OR(R294="Contract signed + paid",R294="Closed – No response",R294="Lost"),"",IF(R294="","Set a stage",IF(AND(R294="Proposal sent",SUMIFS(Scoresheet!$N$2:$N$501,Scoresheet!$C$2:$C$501,A294,Scoresheet!$U$2:$U$501,1)&lt;6),"Score this lead – fill the call scoresheet",IF(N(T294)&gt;=Settings!$S$3,"Close – 4 follow-ups sent",IF(U294="",IF(S294="","Make first contact",""),IF(TODAY()&gt;U294,"OVERDUE follow-up",IF(TODAY()=U294,"Follow up today","")))))))))</f>
        <v/>
      </c>
    </row>
    <row r="295" customFormat="false" ht="15" hidden="false" customHeight="false" outlineLevel="0" collapsed="false">
      <c r="A295" s="17"/>
      <c r="B295" s="40"/>
      <c r="C295" s="17"/>
      <c r="D295" s="17"/>
      <c r="E295" s="17"/>
      <c r="F295" s="17"/>
      <c r="G295" s="17"/>
      <c r="H295" s="42"/>
      <c r="I295" s="17"/>
      <c r="J295" s="17"/>
      <c r="K295" s="17"/>
      <c r="L295" s="17"/>
      <c r="M295" s="17"/>
      <c r="N295" s="44" t="str">
        <f aca="false">IF(OR(D295="",A295="",COUNTIFS(Scoresheet!$C$2:$C$501,A295,Scoresheet!$U$2:$U$501,1)=0),"",SUMIFS(Scoresheet!$O$2:$O$501,Scoresheet!$C$2:$C$501,A295,Scoresheet!$U$2:$U$501,1))</f>
        <v/>
      </c>
      <c r="O295" s="44" t="str">
        <f aca="false">IF(D295="","",IF(OR(A295="",COUNTIFS(Scoresheet!$C$2:$C$501,A295,Scoresheet!$U$2:$U$501,1)=0),"No scoresheet yet",IF(SUMIFS(Scoresheet!$N$2:$N$501,Scoresheet!$C$2:$C$501,A295,Scoresheet!$U$2:$U$501,1)&lt;6,"Partly scored ("&amp;SUMIFS(Scoresheet!$N$2:$N$501,Scoresheet!$C$2:$C$501,A295,Scoresheet!$U$2:$U$501,1)&amp;"/6)",IF(N295&gt;=Settings!$S$8,"Hot",IF(N295&gt;=Settings!$S$9,"Warm","Cold")))))</f>
        <v/>
      </c>
      <c r="P295" s="44" t="str">
        <f aca="false">IF(OR(D295="",A295=""),"",IF(AND(COUNTIFS(Scoresheet!$C$2:$C$501,A295,Scoresheet!$U$2:$U$501,1,Scoresheet!$H$2:$H$501,"No")&gt;0,COUNTIFS(Scoresheet!$C$2:$C$501,A295,Scoresheet!$U$2:$U$501,1,Scoresheet!$J$2:$J$501,"No")&gt;0),"🚩 Budget  ·  🚩 No one on camera",IF(COUNTIFS(Scoresheet!$C$2:$C$501,A295,Scoresheet!$U$2:$U$501,1,Scoresheet!$H$2:$H$501,"No")&gt;0,"🚩 Budget under AED 5k",IF(COUNTIFS(Scoresheet!$C$2:$C$501,A295,Scoresheet!$U$2:$U$501,1,Scoresheet!$J$2:$J$501,"No")&gt;0,"🚩 No one on camera",""))))</f>
        <v/>
      </c>
      <c r="Q295" s="17"/>
      <c r="R295" s="17"/>
      <c r="S295" s="40"/>
      <c r="T295" s="17"/>
      <c r="U295" s="45" t="str">
        <f aca="false">IF(OR(D295="",S295="",OR(R295="Contract signed + paid",R295="Closed – No response",R295="Lost"),N(T295)&gt;=Settings!$S$3),"",S295+Settings!$S$2)</f>
        <v/>
      </c>
      <c r="V295" s="40"/>
      <c r="W295" s="41"/>
      <c r="X295" s="17"/>
      <c r="Y295" s="17"/>
      <c r="Z295" s="17"/>
      <c r="AA295" s="46" t="str">
        <f aca="true">IF(OR(D295="",B295=""),"",INT(TODAY()-B295))</f>
        <v/>
      </c>
      <c r="AB295" s="44" t="str">
        <f aca="true">IF(D295="","",IF(OR(COUNTIFS(Clients!$C$2:$C$501,D295,Clients!$S$2:$S$501,"Paid")&gt;0,AND(H295&lt;&gt;"",COUNTIFS(Clients!$E$2:$E$501,H295,Clients!$S$2:$S$501,"Paid")&gt;0)),"⚠ Refunded before – no free video",IF(OR(R295="Contract signed + paid",R295="Closed – No response",R295="Lost"),"",IF(R295="","Set a stage",IF(AND(R295="Proposal sent",SUMIFS(Scoresheet!$N$2:$N$501,Scoresheet!$C$2:$C$501,A295,Scoresheet!$U$2:$U$501,1)&lt;6),"Score this lead – fill the call scoresheet",IF(N(T295)&gt;=Settings!$S$3,"Close – 4 follow-ups sent",IF(U295="",IF(S295="","Make first contact",""),IF(TODAY()&gt;U295,"OVERDUE follow-up",IF(TODAY()=U295,"Follow up today","")))))))))</f>
        <v/>
      </c>
    </row>
    <row r="296" customFormat="false" ht="15" hidden="false" customHeight="false" outlineLevel="0" collapsed="false">
      <c r="A296" s="17"/>
      <c r="B296" s="40"/>
      <c r="C296" s="17"/>
      <c r="D296" s="17"/>
      <c r="E296" s="17"/>
      <c r="F296" s="17"/>
      <c r="G296" s="17"/>
      <c r="H296" s="42"/>
      <c r="I296" s="17"/>
      <c r="J296" s="17"/>
      <c r="K296" s="17"/>
      <c r="L296" s="17"/>
      <c r="M296" s="17"/>
      <c r="N296" s="44" t="str">
        <f aca="false">IF(OR(D296="",A296="",COUNTIFS(Scoresheet!$C$2:$C$501,A296,Scoresheet!$U$2:$U$501,1)=0),"",SUMIFS(Scoresheet!$O$2:$O$501,Scoresheet!$C$2:$C$501,A296,Scoresheet!$U$2:$U$501,1))</f>
        <v/>
      </c>
      <c r="O296" s="44" t="str">
        <f aca="false">IF(D296="","",IF(OR(A296="",COUNTIFS(Scoresheet!$C$2:$C$501,A296,Scoresheet!$U$2:$U$501,1)=0),"No scoresheet yet",IF(SUMIFS(Scoresheet!$N$2:$N$501,Scoresheet!$C$2:$C$501,A296,Scoresheet!$U$2:$U$501,1)&lt;6,"Partly scored ("&amp;SUMIFS(Scoresheet!$N$2:$N$501,Scoresheet!$C$2:$C$501,A296,Scoresheet!$U$2:$U$501,1)&amp;"/6)",IF(N296&gt;=Settings!$S$8,"Hot",IF(N296&gt;=Settings!$S$9,"Warm","Cold")))))</f>
        <v/>
      </c>
      <c r="P296" s="44" t="str">
        <f aca="false">IF(OR(D296="",A296=""),"",IF(AND(COUNTIFS(Scoresheet!$C$2:$C$501,A296,Scoresheet!$U$2:$U$501,1,Scoresheet!$H$2:$H$501,"No")&gt;0,COUNTIFS(Scoresheet!$C$2:$C$501,A296,Scoresheet!$U$2:$U$501,1,Scoresheet!$J$2:$J$501,"No")&gt;0),"🚩 Budget  ·  🚩 No one on camera",IF(COUNTIFS(Scoresheet!$C$2:$C$501,A296,Scoresheet!$U$2:$U$501,1,Scoresheet!$H$2:$H$501,"No")&gt;0,"🚩 Budget under AED 5k",IF(COUNTIFS(Scoresheet!$C$2:$C$501,A296,Scoresheet!$U$2:$U$501,1,Scoresheet!$J$2:$J$501,"No")&gt;0,"🚩 No one on camera",""))))</f>
        <v/>
      </c>
      <c r="Q296" s="17"/>
      <c r="R296" s="17"/>
      <c r="S296" s="40"/>
      <c r="T296" s="17"/>
      <c r="U296" s="45" t="str">
        <f aca="false">IF(OR(D296="",S296="",OR(R296="Contract signed + paid",R296="Closed – No response",R296="Lost"),N(T296)&gt;=Settings!$S$3),"",S296+Settings!$S$2)</f>
        <v/>
      </c>
      <c r="V296" s="40"/>
      <c r="W296" s="41"/>
      <c r="X296" s="17"/>
      <c r="Y296" s="17"/>
      <c r="Z296" s="17"/>
      <c r="AA296" s="46" t="str">
        <f aca="true">IF(OR(D296="",B296=""),"",INT(TODAY()-B296))</f>
        <v/>
      </c>
      <c r="AB296" s="44" t="str">
        <f aca="true">IF(D296="","",IF(OR(COUNTIFS(Clients!$C$2:$C$501,D296,Clients!$S$2:$S$501,"Paid")&gt;0,AND(H296&lt;&gt;"",COUNTIFS(Clients!$E$2:$E$501,H296,Clients!$S$2:$S$501,"Paid")&gt;0)),"⚠ Refunded before – no free video",IF(OR(R296="Contract signed + paid",R296="Closed – No response",R296="Lost"),"",IF(R296="","Set a stage",IF(AND(R296="Proposal sent",SUMIFS(Scoresheet!$N$2:$N$501,Scoresheet!$C$2:$C$501,A296,Scoresheet!$U$2:$U$501,1)&lt;6),"Score this lead – fill the call scoresheet",IF(N(T296)&gt;=Settings!$S$3,"Close – 4 follow-ups sent",IF(U296="",IF(S296="","Make first contact",""),IF(TODAY()&gt;U296,"OVERDUE follow-up",IF(TODAY()=U296,"Follow up today","")))))))))</f>
        <v/>
      </c>
    </row>
    <row r="297" customFormat="false" ht="15" hidden="false" customHeight="false" outlineLevel="0" collapsed="false">
      <c r="A297" s="17"/>
      <c r="B297" s="40"/>
      <c r="C297" s="17"/>
      <c r="D297" s="17"/>
      <c r="E297" s="17"/>
      <c r="F297" s="17"/>
      <c r="G297" s="17"/>
      <c r="H297" s="42"/>
      <c r="I297" s="17"/>
      <c r="J297" s="17"/>
      <c r="K297" s="17"/>
      <c r="L297" s="17"/>
      <c r="M297" s="17"/>
      <c r="N297" s="44" t="str">
        <f aca="false">IF(OR(D297="",A297="",COUNTIFS(Scoresheet!$C$2:$C$501,A297,Scoresheet!$U$2:$U$501,1)=0),"",SUMIFS(Scoresheet!$O$2:$O$501,Scoresheet!$C$2:$C$501,A297,Scoresheet!$U$2:$U$501,1))</f>
        <v/>
      </c>
      <c r="O297" s="44" t="str">
        <f aca="false">IF(D297="","",IF(OR(A297="",COUNTIFS(Scoresheet!$C$2:$C$501,A297,Scoresheet!$U$2:$U$501,1)=0),"No scoresheet yet",IF(SUMIFS(Scoresheet!$N$2:$N$501,Scoresheet!$C$2:$C$501,A297,Scoresheet!$U$2:$U$501,1)&lt;6,"Partly scored ("&amp;SUMIFS(Scoresheet!$N$2:$N$501,Scoresheet!$C$2:$C$501,A297,Scoresheet!$U$2:$U$501,1)&amp;"/6)",IF(N297&gt;=Settings!$S$8,"Hot",IF(N297&gt;=Settings!$S$9,"Warm","Cold")))))</f>
        <v/>
      </c>
      <c r="P297" s="44" t="str">
        <f aca="false">IF(OR(D297="",A297=""),"",IF(AND(COUNTIFS(Scoresheet!$C$2:$C$501,A297,Scoresheet!$U$2:$U$501,1,Scoresheet!$H$2:$H$501,"No")&gt;0,COUNTIFS(Scoresheet!$C$2:$C$501,A297,Scoresheet!$U$2:$U$501,1,Scoresheet!$J$2:$J$501,"No")&gt;0),"🚩 Budget  ·  🚩 No one on camera",IF(COUNTIFS(Scoresheet!$C$2:$C$501,A297,Scoresheet!$U$2:$U$501,1,Scoresheet!$H$2:$H$501,"No")&gt;0,"🚩 Budget under AED 5k",IF(COUNTIFS(Scoresheet!$C$2:$C$501,A297,Scoresheet!$U$2:$U$501,1,Scoresheet!$J$2:$J$501,"No")&gt;0,"🚩 No one on camera",""))))</f>
        <v/>
      </c>
      <c r="Q297" s="17"/>
      <c r="R297" s="17"/>
      <c r="S297" s="40"/>
      <c r="T297" s="17"/>
      <c r="U297" s="45" t="str">
        <f aca="false">IF(OR(D297="",S297="",OR(R297="Contract signed + paid",R297="Closed – No response",R297="Lost"),N(T297)&gt;=Settings!$S$3),"",S297+Settings!$S$2)</f>
        <v/>
      </c>
      <c r="V297" s="40"/>
      <c r="W297" s="41"/>
      <c r="X297" s="17"/>
      <c r="Y297" s="17"/>
      <c r="Z297" s="17"/>
      <c r="AA297" s="46" t="str">
        <f aca="true">IF(OR(D297="",B297=""),"",INT(TODAY()-B297))</f>
        <v/>
      </c>
      <c r="AB297" s="44" t="str">
        <f aca="true">IF(D297="","",IF(OR(COUNTIFS(Clients!$C$2:$C$501,D297,Clients!$S$2:$S$501,"Paid")&gt;0,AND(H297&lt;&gt;"",COUNTIFS(Clients!$E$2:$E$501,H297,Clients!$S$2:$S$501,"Paid")&gt;0)),"⚠ Refunded before – no free video",IF(OR(R297="Contract signed + paid",R297="Closed – No response",R297="Lost"),"",IF(R297="","Set a stage",IF(AND(R297="Proposal sent",SUMIFS(Scoresheet!$N$2:$N$501,Scoresheet!$C$2:$C$501,A297,Scoresheet!$U$2:$U$501,1)&lt;6),"Score this lead – fill the call scoresheet",IF(N(T297)&gt;=Settings!$S$3,"Close – 4 follow-ups sent",IF(U297="",IF(S297="","Make first contact",""),IF(TODAY()&gt;U297,"OVERDUE follow-up",IF(TODAY()=U297,"Follow up today","")))))))))</f>
        <v/>
      </c>
    </row>
    <row r="298" customFormat="false" ht="15" hidden="false" customHeight="false" outlineLevel="0" collapsed="false">
      <c r="A298" s="17"/>
      <c r="B298" s="40"/>
      <c r="C298" s="17"/>
      <c r="D298" s="17"/>
      <c r="E298" s="17"/>
      <c r="F298" s="17"/>
      <c r="G298" s="17"/>
      <c r="H298" s="42"/>
      <c r="I298" s="17"/>
      <c r="J298" s="17"/>
      <c r="K298" s="17"/>
      <c r="L298" s="17"/>
      <c r="M298" s="17"/>
      <c r="N298" s="44" t="str">
        <f aca="false">IF(OR(D298="",A298="",COUNTIFS(Scoresheet!$C$2:$C$501,A298,Scoresheet!$U$2:$U$501,1)=0),"",SUMIFS(Scoresheet!$O$2:$O$501,Scoresheet!$C$2:$C$501,A298,Scoresheet!$U$2:$U$501,1))</f>
        <v/>
      </c>
      <c r="O298" s="44" t="str">
        <f aca="false">IF(D298="","",IF(OR(A298="",COUNTIFS(Scoresheet!$C$2:$C$501,A298,Scoresheet!$U$2:$U$501,1)=0),"No scoresheet yet",IF(SUMIFS(Scoresheet!$N$2:$N$501,Scoresheet!$C$2:$C$501,A298,Scoresheet!$U$2:$U$501,1)&lt;6,"Partly scored ("&amp;SUMIFS(Scoresheet!$N$2:$N$501,Scoresheet!$C$2:$C$501,A298,Scoresheet!$U$2:$U$501,1)&amp;"/6)",IF(N298&gt;=Settings!$S$8,"Hot",IF(N298&gt;=Settings!$S$9,"Warm","Cold")))))</f>
        <v/>
      </c>
      <c r="P298" s="44" t="str">
        <f aca="false">IF(OR(D298="",A298=""),"",IF(AND(COUNTIFS(Scoresheet!$C$2:$C$501,A298,Scoresheet!$U$2:$U$501,1,Scoresheet!$H$2:$H$501,"No")&gt;0,COUNTIFS(Scoresheet!$C$2:$C$501,A298,Scoresheet!$U$2:$U$501,1,Scoresheet!$J$2:$J$501,"No")&gt;0),"🚩 Budget  ·  🚩 No one on camera",IF(COUNTIFS(Scoresheet!$C$2:$C$501,A298,Scoresheet!$U$2:$U$501,1,Scoresheet!$H$2:$H$501,"No")&gt;0,"🚩 Budget under AED 5k",IF(COUNTIFS(Scoresheet!$C$2:$C$501,A298,Scoresheet!$U$2:$U$501,1,Scoresheet!$J$2:$J$501,"No")&gt;0,"🚩 No one on camera",""))))</f>
        <v/>
      </c>
      <c r="Q298" s="17"/>
      <c r="R298" s="17"/>
      <c r="S298" s="40"/>
      <c r="T298" s="17"/>
      <c r="U298" s="45" t="str">
        <f aca="false">IF(OR(D298="",S298="",OR(R298="Contract signed + paid",R298="Closed – No response",R298="Lost"),N(T298)&gt;=Settings!$S$3),"",S298+Settings!$S$2)</f>
        <v/>
      </c>
      <c r="V298" s="40"/>
      <c r="W298" s="41"/>
      <c r="X298" s="17"/>
      <c r="Y298" s="17"/>
      <c r="Z298" s="17"/>
      <c r="AA298" s="46" t="str">
        <f aca="true">IF(OR(D298="",B298=""),"",INT(TODAY()-B298))</f>
        <v/>
      </c>
      <c r="AB298" s="44" t="str">
        <f aca="true">IF(D298="","",IF(OR(COUNTIFS(Clients!$C$2:$C$501,D298,Clients!$S$2:$S$501,"Paid")&gt;0,AND(H298&lt;&gt;"",COUNTIFS(Clients!$E$2:$E$501,H298,Clients!$S$2:$S$501,"Paid")&gt;0)),"⚠ Refunded before – no free video",IF(OR(R298="Contract signed + paid",R298="Closed – No response",R298="Lost"),"",IF(R298="","Set a stage",IF(AND(R298="Proposal sent",SUMIFS(Scoresheet!$N$2:$N$501,Scoresheet!$C$2:$C$501,A298,Scoresheet!$U$2:$U$501,1)&lt;6),"Score this lead – fill the call scoresheet",IF(N(T298)&gt;=Settings!$S$3,"Close – 4 follow-ups sent",IF(U298="",IF(S298="","Make first contact",""),IF(TODAY()&gt;U298,"OVERDUE follow-up",IF(TODAY()=U298,"Follow up today","")))))))))</f>
        <v/>
      </c>
    </row>
    <row r="299" customFormat="false" ht="15" hidden="false" customHeight="false" outlineLevel="0" collapsed="false">
      <c r="A299" s="17"/>
      <c r="B299" s="40"/>
      <c r="C299" s="17"/>
      <c r="D299" s="17"/>
      <c r="E299" s="17"/>
      <c r="F299" s="17"/>
      <c r="G299" s="17"/>
      <c r="H299" s="42"/>
      <c r="I299" s="17"/>
      <c r="J299" s="17"/>
      <c r="K299" s="17"/>
      <c r="L299" s="17"/>
      <c r="M299" s="17"/>
      <c r="N299" s="44" t="str">
        <f aca="false">IF(OR(D299="",A299="",COUNTIFS(Scoresheet!$C$2:$C$501,A299,Scoresheet!$U$2:$U$501,1)=0),"",SUMIFS(Scoresheet!$O$2:$O$501,Scoresheet!$C$2:$C$501,A299,Scoresheet!$U$2:$U$501,1))</f>
        <v/>
      </c>
      <c r="O299" s="44" t="str">
        <f aca="false">IF(D299="","",IF(OR(A299="",COUNTIFS(Scoresheet!$C$2:$C$501,A299,Scoresheet!$U$2:$U$501,1)=0),"No scoresheet yet",IF(SUMIFS(Scoresheet!$N$2:$N$501,Scoresheet!$C$2:$C$501,A299,Scoresheet!$U$2:$U$501,1)&lt;6,"Partly scored ("&amp;SUMIFS(Scoresheet!$N$2:$N$501,Scoresheet!$C$2:$C$501,A299,Scoresheet!$U$2:$U$501,1)&amp;"/6)",IF(N299&gt;=Settings!$S$8,"Hot",IF(N299&gt;=Settings!$S$9,"Warm","Cold")))))</f>
        <v/>
      </c>
      <c r="P299" s="44" t="str">
        <f aca="false">IF(OR(D299="",A299=""),"",IF(AND(COUNTIFS(Scoresheet!$C$2:$C$501,A299,Scoresheet!$U$2:$U$501,1,Scoresheet!$H$2:$H$501,"No")&gt;0,COUNTIFS(Scoresheet!$C$2:$C$501,A299,Scoresheet!$U$2:$U$501,1,Scoresheet!$J$2:$J$501,"No")&gt;0),"🚩 Budget  ·  🚩 No one on camera",IF(COUNTIFS(Scoresheet!$C$2:$C$501,A299,Scoresheet!$U$2:$U$501,1,Scoresheet!$H$2:$H$501,"No")&gt;0,"🚩 Budget under AED 5k",IF(COUNTIFS(Scoresheet!$C$2:$C$501,A299,Scoresheet!$U$2:$U$501,1,Scoresheet!$J$2:$J$501,"No")&gt;0,"🚩 No one on camera",""))))</f>
        <v/>
      </c>
      <c r="Q299" s="17"/>
      <c r="R299" s="17"/>
      <c r="S299" s="40"/>
      <c r="T299" s="17"/>
      <c r="U299" s="45" t="str">
        <f aca="false">IF(OR(D299="",S299="",OR(R299="Contract signed + paid",R299="Closed – No response",R299="Lost"),N(T299)&gt;=Settings!$S$3),"",S299+Settings!$S$2)</f>
        <v/>
      </c>
      <c r="V299" s="40"/>
      <c r="W299" s="41"/>
      <c r="X299" s="17"/>
      <c r="Y299" s="17"/>
      <c r="Z299" s="17"/>
      <c r="AA299" s="46" t="str">
        <f aca="true">IF(OR(D299="",B299=""),"",INT(TODAY()-B299))</f>
        <v/>
      </c>
      <c r="AB299" s="44" t="str">
        <f aca="true">IF(D299="","",IF(OR(COUNTIFS(Clients!$C$2:$C$501,D299,Clients!$S$2:$S$501,"Paid")&gt;0,AND(H299&lt;&gt;"",COUNTIFS(Clients!$E$2:$E$501,H299,Clients!$S$2:$S$501,"Paid")&gt;0)),"⚠ Refunded before – no free video",IF(OR(R299="Contract signed + paid",R299="Closed – No response",R299="Lost"),"",IF(R299="","Set a stage",IF(AND(R299="Proposal sent",SUMIFS(Scoresheet!$N$2:$N$501,Scoresheet!$C$2:$C$501,A299,Scoresheet!$U$2:$U$501,1)&lt;6),"Score this lead – fill the call scoresheet",IF(N(T299)&gt;=Settings!$S$3,"Close – 4 follow-ups sent",IF(U299="",IF(S299="","Make first contact",""),IF(TODAY()&gt;U299,"OVERDUE follow-up",IF(TODAY()=U299,"Follow up today","")))))))))</f>
        <v/>
      </c>
    </row>
    <row r="300" customFormat="false" ht="15" hidden="false" customHeight="false" outlineLevel="0" collapsed="false">
      <c r="A300" s="17"/>
      <c r="B300" s="40"/>
      <c r="C300" s="17"/>
      <c r="D300" s="17"/>
      <c r="E300" s="17"/>
      <c r="F300" s="17"/>
      <c r="G300" s="17"/>
      <c r="H300" s="42"/>
      <c r="I300" s="17"/>
      <c r="J300" s="17"/>
      <c r="K300" s="17"/>
      <c r="L300" s="17"/>
      <c r="M300" s="17"/>
      <c r="N300" s="44" t="str">
        <f aca="false">IF(OR(D300="",A300="",COUNTIFS(Scoresheet!$C$2:$C$501,A300,Scoresheet!$U$2:$U$501,1)=0),"",SUMIFS(Scoresheet!$O$2:$O$501,Scoresheet!$C$2:$C$501,A300,Scoresheet!$U$2:$U$501,1))</f>
        <v/>
      </c>
      <c r="O300" s="44" t="str">
        <f aca="false">IF(D300="","",IF(OR(A300="",COUNTIFS(Scoresheet!$C$2:$C$501,A300,Scoresheet!$U$2:$U$501,1)=0),"No scoresheet yet",IF(SUMIFS(Scoresheet!$N$2:$N$501,Scoresheet!$C$2:$C$501,A300,Scoresheet!$U$2:$U$501,1)&lt;6,"Partly scored ("&amp;SUMIFS(Scoresheet!$N$2:$N$501,Scoresheet!$C$2:$C$501,A300,Scoresheet!$U$2:$U$501,1)&amp;"/6)",IF(N300&gt;=Settings!$S$8,"Hot",IF(N300&gt;=Settings!$S$9,"Warm","Cold")))))</f>
        <v/>
      </c>
      <c r="P300" s="44" t="str">
        <f aca="false">IF(OR(D300="",A300=""),"",IF(AND(COUNTIFS(Scoresheet!$C$2:$C$501,A300,Scoresheet!$U$2:$U$501,1,Scoresheet!$H$2:$H$501,"No")&gt;0,COUNTIFS(Scoresheet!$C$2:$C$501,A300,Scoresheet!$U$2:$U$501,1,Scoresheet!$J$2:$J$501,"No")&gt;0),"🚩 Budget  ·  🚩 No one on camera",IF(COUNTIFS(Scoresheet!$C$2:$C$501,A300,Scoresheet!$U$2:$U$501,1,Scoresheet!$H$2:$H$501,"No")&gt;0,"🚩 Budget under AED 5k",IF(COUNTIFS(Scoresheet!$C$2:$C$501,A300,Scoresheet!$U$2:$U$501,1,Scoresheet!$J$2:$J$501,"No")&gt;0,"🚩 No one on camera",""))))</f>
        <v/>
      </c>
      <c r="Q300" s="17"/>
      <c r="R300" s="17"/>
      <c r="S300" s="40"/>
      <c r="T300" s="17"/>
      <c r="U300" s="45" t="str">
        <f aca="false">IF(OR(D300="",S300="",OR(R300="Contract signed + paid",R300="Closed – No response",R300="Lost"),N(T300)&gt;=Settings!$S$3),"",S300+Settings!$S$2)</f>
        <v/>
      </c>
      <c r="V300" s="40"/>
      <c r="W300" s="41"/>
      <c r="X300" s="17"/>
      <c r="Y300" s="17"/>
      <c r="Z300" s="17"/>
      <c r="AA300" s="46" t="str">
        <f aca="true">IF(OR(D300="",B300=""),"",INT(TODAY()-B300))</f>
        <v/>
      </c>
      <c r="AB300" s="44" t="str">
        <f aca="true">IF(D300="","",IF(OR(COUNTIFS(Clients!$C$2:$C$501,D300,Clients!$S$2:$S$501,"Paid")&gt;0,AND(H300&lt;&gt;"",COUNTIFS(Clients!$E$2:$E$501,H300,Clients!$S$2:$S$501,"Paid")&gt;0)),"⚠ Refunded before – no free video",IF(OR(R300="Contract signed + paid",R300="Closed – No response",R300="Lost"),"",IF(R300="","Set a stage",IF(AND(R300="Proposal sent",SUMIFS(Scoresheet!$N$2:$N$501,Scoresheet!$C$2:$C$501,A300,Scoresheet!$U$2:$U$501,1)&lt;6),"Score this lead – fill the call scoresheet",IF(N(T300)&gt;=Settings!$S$3,"Close – 4 follow-ups sent",IF(U300="",IF(S300="","Make first contact",""),IF(TODAY()&gt;U300,"OVERDUE follow-up",IF(TODAY()=U300,"Follow up today","")))))))))</f>
        <v/>
      </c>
    </row>
    <row r="301" customFormat="false" ht="15" hidden="false" customHeight="false" outlineLevel="0" collapsed="false">
      <c r="A301" s="17"/>
      <c r="B301" s="40"/>
      <c r="C301" s="17"/>
      <c r="D301" s="17"/>
      <c r="E301" s="17"/>
      <c r="F301" s="17"/>
      <c r="G301" s="17"/>
      <c r="H301" s="42"/>
      <c r="I301" s="17"/>
      <c r="J301" s="17"/>
      <c r="K301" s="17"/>
      <c r="L301" s="17"/>
      <c r="M301" s="17"/>
      <c r="N301" s="44" t="str">
        <f aca="false">IF(OR(D301="",A301="",COUNTIFS(Scoresheet!$C$2:$C$501,A301,Scoresheet!$U$2:$U$501,1)=0),"",SUMIFS(Scoresheet!$O$2:$O$501,Scoresheet!$C$2:$C$501,A301,Scoresheet!$U$2:$U$501,1))</f>
        <v/>
      </c>
      <c r="O301" s="44" t="str">
        <f aca="false">IF(D301="","",IF(OR(A301="",COUNTIFS(Scoresheet!$C$2:$C$501,A301,Scoresheet!$U$2:$U$501,1)=0),"No scoresheet yet",IF(SUMIFS(Scoresheet!$N$2:$N$501,Scoresheet!$C$2:$C$501,A301,Scoresheet!$U$2:$U$501,1)&lt;6,"Partly scored ("&amp;SUMIFS(Scoresheet!$N$2:$N$501,Scoresheet!$C$2:$C$501,A301,Scoresheet!$U$2:$U$501,1)&amp;"/6)",IF(N301&gt;=Settings!$S$8,"Hot",IF(N301&gt;=Settings!$S$9,"Warm","Cold")))))</f>
        <v/>
      </c>
      <c r="P301" s="44" t="str">
        <f aca="false">IF(OR(D301="",A301=""),"",IF(AND(COUNTIFS(Scoresheet!$C$2:$C$501,A301,Scoresheet!$U$2:$U$501,1,Scoresheet!$H$2:$H$501,"No")&gt;0,COUNTIFS(Scoresheet!$C$2:$C$501,A301,Scoresheet!$U$2:$U$501,1,Scoresheet!$J$2:$J$501,"No")&gt;0),"🚩 Budget  ·  🚩 No one on camera",IF(COUNTIFS(Scoresheet!$C$2:$C$501,A301,Scoresheet!$U$2:$U$501,1,Scoresheet!$H$2:$H$501,"No")&gt;0,"🚩 Budget under AED 5k",IF(COUNTIFS(Scoresheet!$C$2:$C$501,A301,Scoresheet!$U$2:$U$501,1,Scoresheet!$J$2:$J$501,"No")&gt;0,"🚩 No one on camera",""))))</f>
        <v/>
      </c>
      <c r="Q301" s="17"/>
      <c r="R301" s="17"/>
      <c r="S301" s="40"/>
      <c r="T301" s="17"/>
      <c r="U301" s="45" t="str">
        <f aca="false">IF(OR(D301="",S301="",OR(R301="Contract signed + paid",R301="Closed – No response",R301="Lost"),N(T301)&gt;=Settings!$S$3),"",S301+Settings!$S$2)</f>
        <v/>
      </c>
      <c r="V301" s="40"/>
      <c r="W301" s="41"/>
      <c r="X301" s="17"/>
      <c r="Y301" s="17"/>
      <c r="Z301" s="17"/>
      <c r="AA301" s="46" t="str">
        <f aca="true">IF(OR(D301="",B301=""),"",INT(TODAY()-B301))</f>
        <v/>
      </c>
      <c r="AB301" s="44" t="str">
        <f aca="true">IF(D301="","",IF(OR(COUNTIFS(Clients!$C$2:$C$501,D301,Clients!$S$2:$S$501,"Paid")&gt;0,AND(H301&lt;&gt;"",COUNTIFS(Clients!$E$2:$E$501,H301,Clients!$S$2:$S$501,"Paid")&gt;0)),"⚠ Refunded before – no free video",IF(OR(R301="Contract signed + paid",R301="Closed – No response",R301="Lost"),"",IF(R301="","Set a stage",IF(AND(R301="Proposal sent",SUMIFS(Scoresheet!$N$2:$N$501,Scoresheet!$C$2:$C$501,A301,Scoresheet!$U$2:$U$501,1)&lt;6),"Score this lead – fill the call scoresheet",IF(N(T301)&gt;=Settings!$S$3,"Close – 4 follow-ups sent",IF(U301="",IF(S301="","Make first contact",""),IF(TODAY()&gt;U301,"OVERDUE follow-up",IF(TODAY()=U301,"Follow up today","")))))))))</f>
        <v/>
      </c>
    </row>
    <row r="302" customFormat="false" ht="15" hidden="false" customHeight="false" outlineLevel="0" collapsed="false">
      <c r="A302" s="17"/>
      <c r="B302" s="40"/>
      <c r="C302" s="17"/>
      <c r="D302" s="17"/>
      <c r="E302" s="17"/>
      <c r="F302" s="17"/>
      <c r="G302" s="17"/>
      <c r="H302" s="42"/>
      <c r="I302" s="17"/>
      <c r="J302" s="17"/>
      <c r="K302" s="17"/>
      <c r="L302" s="17"/>
      <c r="M302" s="17"/>
      <c r="N302" s="44" t="str">
        <f aca="false">IF(OR(D302="",A302="",COUNTIFS(Scoresheet!$C$2:$C$501,A302,Scoresheet!$U$2:$U$501,1)=0),"",SUMIFS(Scoresheet!$O$2:$O$501,Scoresheet!$C$2:$C$501,A302,Scoresheet!$U$2:$U$501,1))</f>
        <v/>
      </c>
      <c r="O302" s="44" t="str">
        <f aca="false">IF(D302="","",IF(OR(A302="",COUNTIFS(Scoresheet!$C$2:$C$501,A302,Scoresheet!$U$2:$U$501,1)=0),"No scoresheet yet",IF(SUMIFS(Scoresheet!$N$2:$N$501,Scoresheet!$C$2:$C$501,A302,Scoresheet!$U$2:$U$501,1)&lt;6,"Partly scored ("&amp;SUMIFS(Scoresheet!$N$2:$N$501,Scoresheet!$C$2:$C$501,A302,Scoresheet!$U$2:$U$501,1)&amp;"/6)",IF(N302&gt;=Settings!$S$8,"Hot",IF(N302&gt;=Settings!$S$9,"Warm","Cold")))))</f>
        <v/>
      </c>
      <c r="P302" s="44" t="str">
        <f aca="false">IF(OR(D302="",A302=""),"",IF(AND(COUNTIFS(Scoresheet!$C$2:$C$501,A302,Scoresheet!$U$2:$U$501,1,Scoresheet!$H$2:$H$501,"No")&gt;0,COUNTIFS(Scoresheet!$C$2:$C$501,A302,Scoresheet!$U$2:$U$501,1,Scoresheet!$J$2:$J$501,"No")&gt;0),"🚩 Budget  ·  🚩 No one on camera",IF(COUNTIFS(Scoresheet!$C$2:$C$501,A302,Scoresheet!$U$2:$U$501,1,Scoresheet!$H$2:$H$501,"No")&gt;0,"🚩 Budget under AED 5k",IF(COUNTIFS(Scoresheet!$C$2:$C$501,A302,Scoresheet!$U$2:$U$501,1,Scoresheet!$J$2:$J$501,"No")&gt;0,"🚩 No one on camera",""))))</f>
        <v/>
      </c>
      <c r="Q302" s="17"/>
      <c r="R302" s="17"/>
      <c r="S302" s="40"/>
      <c r="T302" s="17"/>
      <c r="U302" s="45" t="str">
        <f aca="false">IF(OR(D302="",S302="",OR(R302="Contract signed + paid",R302="Closed – No response",R302="Lost"),N(T302)&gt;=Settings!$S$3),"",S302+Settings!$S$2)</f>
        <v/>
      </c>
      <c r="V302" s="40"/>
      <c r="W302" s="41"/>
      <c r="X302" s="17"/>
      <c r="Y302" s="17"/>
      <c r="Z302" s="17"/>
      <c r="AA302" s="46" t="str">
        <f aca="true">IF(OR(D302="",B302=""),"",INT(TODAY()-B302))</f>
        <v/>
      </c>
      <c r="AB302" s="44" t="str">
        <f aca="true">IF(D302="","",IF(OR(COUNTIFS(Clients!$C$2:$C$501,D302,Clients!$S$2:$S$501,"Paid")&gt;0,AND(H302&lt;&gt;"",COUNTIFS(Clients!$E$2:$E$501,H302,Clients!$S$2:$S$501,"Paid")&gt;0)),"⚠ Refunded before – no free video",IF(OR(R302="Contract signed + paid",R302="Closed – No response",R302="Lost"),"",IF(R302="","Set a stage",IF(AND(R302="Proposal sent",SUMIFS(Scoresheet!$N$2:$N$501,Scoresheet!$C$2:$C$501,A302,Scoresheet!$U$2:$U$501,1)&lt;6),"Score this lead – fill the call scoresheet",IF(N(T302)&gt;=Settings!$S$3,"Close – 4 follow-ups sent",IF(U302="",IF(S302="","Make first contact",""),IF(TODAY()&gt;U302,"OVERDUE follow-up",IF(TODAY()=U302,"Follow up today","")))))))))</f>
        <v/>
      </c>
    </row>
    <row r="303" customFormat="false" ht="15" hidden="false" customHeight="false" outlineLevel="0" collapsed="false">
      <c r="A303" s="17"/>
      <c r="B303" s="40"/>
      <c r="C303" s="17"/>
      <c r="D303" s="17"/>
      <c r="E303" s="17"/>
      <c r="F303" s="17"/>
      <c r="G303" s="17"/>
      <c r="H303" s="42"/>
      <c r="I303" s="17"/>
      <c r="J303" s="17"/>
      <c r="K303" s="17"/>
      <c r="L303" s="17"/>
      <c r="M303" s="17"/>
      <c r="N303" s="44" t="str">
        <f aca="false">IF(OR(D303="",A303="",COUNTIFS(Scoresheet!$C$2:$C$501,A303,Scoresheet!$U$2:$U$501,1)=0),"",SUMIFS(Scoresheet!$O$2:$O$501,Scoresheet!$C$2:$C$501,A303,Scoresheet!$U$2:$U$501,1))</f>
        <v/>
      </c>
      <c r="O303" s="44" t="str">
        <f aca="false">IF(D303="","",IF(OR(A303="",COUNTIFS(Scoresheet!$C$2:$C$501,A303,Scoresheet!$U$2:$U$501,1)=0),"No scoresheet yet",IF(SUMIFS(Scoresheet!$N$2:$N$501,Scoresheet!$C$2:$C$501,A303,Scoresheet!$U$2:$U$501,1)&lt;6,"Partly scored ("&amp;SUMIFS(Scoresheet!$N$2:$N$501,Scoresheet!$C$2:$C$501,A303,Scoresheet!$U$2:$U$501,1)&amp;"/6)",IF(N303&gt;=Settings!$S$8,"Hot",IF(N303&gt;=Settings!$S$9,"Warm","Cold")))))</f>
        <v/>
      </c>
      <c r="P303" s="44" t="str">
        <f aca="false">IF(OR(D303="",A303=""),"",IF(AND(COUNTIFS(Scoresheet!$C$2:$C$501,A303,Scoresheet!$U$2:$U$501,1,Scoresheet!$H$2:$H$501,"No")&gt;0,COUNTIFS(Scoresheet!$C$2:$C$501,A303,Scoresheet!$U$2:$U$501,1,Scoresheet!$J$2:$J$501,"No")&gt;0),"🚩 Budget  ·  🚩 No one on camera",IF(COUNTIFS(Scoresheet!$C$2:$C$501,A303,Scoresheet!$U$2:$U$501,1,Scoresheet!$H$2:$H$501,"No")&gt;0,"🚩 Budget under AED 5k",IF(COUNTIFS(Scoresheet!$C$2:$C$501,A303,Scoresheet!$U$2:$U$501,1,Scoresheet!$J$2:$J$501,"No")&gt;0,"🚩 No one on camera",""))))</f>
        <v/>
      </c>
      <c r="Q303" s="17"/>
      <c r="R303" s="17"/>
      <c r="S303" s="40"/>
      <c r="T303" s="17"/>
      <c r="U303" s="45" t="str">
        <f aca="false">IF(OR(D303="",S303="",OR(R303="Contract signed + paid",R303="Closed – No response",R303="Lost"),N(T303)&gt;=Settings!$S$3),"",S303+Settings!$S$2)</f>
        <v/>
      </c>
      <c r="V303" s="40"/>
      <c r="W303" s="41"/>
      <c r="X303" s="17"/>
      <c r="Y303" s="17"/>
      <c r="Z303" s="17"/>
      <c r="AA303" s="46" t="str">
        <f aca="true">IF(OR(D303="",B303=""),"",INT(TODAY()-B303))</f>
        <v/>
      </c>
      <c r="AB303" s="44" t="str">
        <f aca="true">IF(D303="","",IF(OR(COUNTIFS(Clients!$C$2:$C$501,D303,Clients!$S$2:$S$501,"Paid")&gt;0,AND(H303&lt;&gt;"",COUNTIFS(Clients!$E$2:$E$501,H303,Clients!$S$2:$S$501,"Paid")&gt;0)),"⚠ Refunded before – no free video",IF(OR(R303="Contract signed + paid",R303="Closed – No response",R303="Lost"),"",IF(R303="","Set a stage",IF(AND(R303="Proposal sent",SUMIFS(Scoresheet!$N$2:$N$501,Scoresheet!$C$2:$C$501,A303,Scoresheet!$U$2:$U$501,1)&lt;6),"Score this lead – fill the call scoresheet",IF(N(T303)&gt;=Settings!$S$3,"Close – 4 follow-ups sent",IF(U303="",IF(S303="","Make first contact",""),IF(TODAY()&gt;U303,"OVERDUE follow-up",IF(TODAY()=U303,"Follow up today","")))))))))</f>
        <v/>
      </c>
    </row>
    <row r="304" customFormat="false" ht="15" hidden="false" customHeight="false" outlineLevel="0" collapsed="false">
      <c r="A304" s="17"/>
      <c r="B304" s="40"/>
      <c r="C304" s="17"/>
      <c r="D304" s="17"/>
      <c r="E304" s="17"/>
      <c r="F304" s="17"/>
      <c r="G304" s="17"/>
      <c r="H304" s="42"/>
      <c r="I304" s="17"/>
      <c r="J304" s="17"/>
      <c r="K304" s="17"/>
      <c r="L304" s="17"/>
      <c r="M304" s="17"/>
      <c r="N304" s="44" t="str">
        <f aca="false">IF(OR(D304="",A304="",COUNTIFS(Scoresheet!$C$2:$C$501,A304,Scoresheet!$U$2:$U$501,1)=0),"",SUMIFS(Scoresheet!$O$2:$O$501,Scoresheet!$C$2:$C$501,A304,Scoresheet!$U$2:$U$501,1))</f>
        <v/>
      </c>
      <c r="O304" s="44" t="str">
        <f aca="false">IF(D304="","",IF(OR(A304="",COUNTIFS(Scoresheet!$C$2:$C$501,A304,Scoresheet!$U$2:$U$501,1)=0),"No scoresheet yet",IF(SUMIFS(Scoresheet!$N$2:$N$501,Scoresheet!$C$2:$C$501,A304,Scoresheet!$U$2:$U$501,1)&lt;6,"Partly scored ("&amp;SUMIFS(Scoresheet!$N$2:$N$501,Scoresheet!$C$2:$C$501,A304,Scoresheet!$U$2:$U$501,1)&amp;"/6)",IF(N304&gt;=Settings!$S$8,"Hot",IF(N304&gt;=Settings!$S$9,"Warm","Cold")))))</f>
        <v/>
      </c>
      <c r="P304" s="44" t="str">
        <f aca="false">IF(OR(D304="",A304=""),"",IF(AND(COUNTIFS(Scoresheet!$C$2:$C$501,A304,Scoresheet!$U$2:$U$501,1,Scoresheet!$H$2:$H$501,"No")&gt;0,COUNTIFS(Scoresheet!$C$2:$C$501,A304,Scoresheet!$U$2:$U$501,1,Scoresheet!$J$2:$J$501,"No")&gt;0),"🚩 Budget  ·  🚩 No one on camera",IF(COUNTIFS(Scoresheet!$C$2:$C$501,A304,Scoresheet!$U$2:$U$501,1,Scoresheet!$H$2:$H$501,"No")&gt;0,"🚩 Budget under AED 5k",IF(COUNTIFS(Scoresheet!$C$2:$C$501,A304,Scoresheet!$U$2:$U$501,1,Scoresheet!$J$2:$J$501,"No")&gt;0,"🚩 No one on camera",""))))</f>
        <v/>
      </c>
      <c r="Q304" s="17"/>
      <c r="R304" s="17"/>
      <c r="S304" s="40"/>
      <c r="T304" s="17"/>
      <c r="U304" s="45" t="str">
        <f aca="false">IF(OR(D304="",S304="",OR(R304="Contract signed + paid",R304="Closed – No response",R304="Lost"),N(T304)&gt;=Settings!$S$3),"",S304+Settings!$S$2)</f>
        <v/>
      </c>
      <c r="V304" s="40"/>
      <c r="W304" s="41"/>
      <c r="X304" s="17"/>
      <c r="Y304" s="17"/>
      <c r="Z304" s="17"/>
      <c r="AA304" s="46" t="str">
        <f aca="true">IF(OR(D304="",B304=""),"",INT(TODAY()-B304))</f>
        <v/>
      </c>
      <c r="AB304" s="44" t="str">
        <f aca="true">IF(D304="","",IF(OR(COUNTIFS(Clients!$C$2:$C$501,D304,Clients!$S$2:$S$501,"Paid")&gt;0,AND(H304&lt;&gt;"",COUNTIFS(Clients!$E$2:$E$501,H304,Clients!$S$2:$S$501,"Paid")&gt;0)),"⚠ Refunded before – no free video",IF(OR(R304="Contract signed + paid",R304="Closed – No response",R304="Lost"),"",IF(R304="","Set a stage",IF(AND(R304="Proposal sent",SUMIFS(Scoresheet!$N$2:$N$501,Scoresheet!$C$2:$C$501,A304,Scoresheet!$U$2:$U$501,1)&lt;6),"Score this lead – fill the call scoresheet",IF(N(T304)&gt;=Settings!$S$3,"Close – 4 follow-ups sent",IF(U304="",IF(S304="","Make first contact",""),IF(TODAY()&gt;U304,"OVERDUE follow-up",IF(TODAY()=U304,"Follow up today","")))))))))</f>
        <v/>
      </c>
    </row>
    <row r="305" customFormat="false" ht="15" hidden="false" customHeight="false" outlineLevel="0" collapsed="false">
      <c r="A305" s="17"/>
      <c r="B305" s="40"/>
      <c r="C305" s="17"/>
      <c r="D305" s="17"/>
      <c r="E305" s="17"/>
      <c r="F305" s="17"/>
      <c r="G305" s="17"/>
      <c r="H305" s="42"/>
      <c r="I305" s="17"/>
      <c r="J305" s="17"/>
      <c r="K305" s="17"/>
      <c r="L305" s="17"/>
      <c r="M305" s="17"/>
      <c r="N305" s="44" t="str">
        <f aca="false">IF(OR(D305="",A305="",COUNTIFS(Scoresheet!$C$2:$C$501,A305,Scoresheet!$U$2:$U$501,1)=0),"",SUMIFS(Scoresheet!$O$2:$O$501,Scoresheet!$C$2:$C$501,A305,Scoresheet!$U$2:$U$501,1))</f>
        <v/>
      </c>
      <c r="O305" s="44" t="str">
        <f aca="false">IF(D305="","",IF(OR(A305="",COUNTIFS(Scoresheet!$C$2:$C$501,A305,Scoresheet!$U$2:$U$501,1)=0),"No scoresheet yet",IF(SUMIFS(Scoresheet!$N$2:$N$501,Scoresheet!$C$2:$C$501,A305,Scoresheet!$U$2:$U$501,1)&lt;6,"Partly scored ("&amp;SUMIFS(Scoresheet!$N$2:$N$501,Scoresheet!$C$2:$C$501,A305,Scoresheet!$U$2:$U$501,1)&amp;"/6)",IF(N305&gt;=Settings!$S$8,"Hot",IF(N305&gt;=Settings!$S$9,"Warm","Cold")))))</f>
        <v/>
      </c>
      <c r="P305" s="44" t="str">
        <f aca="false">IF(OR(D305="",A305=""),"",IF(AND(COUNTIFS(Scoresheet!$C$2:$C$501,A305,Scoresheet!$U$2:$U$501,1,Scoresheet!$H$2:$H$501,"No")&gt;0,COUNTIFS(Scoresheet!$C$2:$C$501,A305,Scoresheet!$U$2:$U$501,1,Scoresheet!$J$2:$J$501,"No")&gt;0),"🚩 Budget  ·  🚩 No one on camera",IF(COUNTIFS(Scoresheet!$C$2:$C$501,A305,Scoresheet!$U$2:$U$501,1,Scoresheet!$H$2:$H$501,"No")&gt;0,"🚩 Budget under AED 5k",IF(COUNTIFS(Scoresheet!$C$2:$C$501,A305,Scoresheet!$U$2:$U$501,1,Scoresheet!$J$2:$J$501,"No")&gt;0,"🚩 No one on camera",""))))</f>
        <v/>
      </c>
      <c r="Q305" s="17"/>
      <c r="R305" s="17"/>
      <c r="S305" s="40"/>
      <c r="T305" s="17"/>
      <c r="U305" s="45" t="str">
        <f aca="false">IF(OR(D305="",S305="",OR(R305="Contract signed + paid",R305="Closed – No response",R305="Lost"),N(T305)&gt;=Settings!$S$3),"",S305+Settings!$S$2)</f>
        <v/>
      </c>
      <c r="V305" s="40"/>
      <c r="W305" s="41"/>
      <c r="X305" s="17"/>
      <c r="Y305" s="17"/>
      <c r="Z305" s="17"/>
      <c r="AA305" s="46" t="str">
        <f aca="true">IF(OR(D305="",B305=""),"",INT(TODAY()-B305))</f>
        <v/>
      </c>
      <c r="AB305" s="44" t="str">
        <f aca="true">IF(D305="","",IF(OR(COUNTIFS(Clients!$C$2:$C$501,D305,Clients!$S$2:$S$501,"Paid")&gt;0,AND(H305&lt;&gt;"",COUNTIFS(Clients!$E$2:$E$501,H305,Clients!$S$2:$S$501,"Paid")&gt;0)),"⚠ Refunded before – no free video",IF(OR(R305="Contract signed + paid",R305="Closed – No response",R305="Lost"),"",IF(R305="","Set a stage",IF(AND(R305="Proposal sent",SUMIFS(Scoresheet!$N$2:$N$501,Scoresheet!$C$2:$C$501,A305,Scoresheet!$U$2:$U$501,1)&lt;6),"Score this lead – fill the call scoresheet",IF(N(T305)&gt;=Settings!$S$3,"Close – 4 follow-ups sent",IF(U305="",IF(S305="","Make first contact",""),IF(TODAY()&gt;U305,"OVERDUE follow-up",IF(TODAY()=U305,"Follow up today","")))))))))</f>
        <v/>
      </c>
    </row>
    <row r="306" customFormat="false" ht="15" hidden="false" customHeight="false" outlineLevel="0" collapsed="false">
      <c r="A306" s="17"/>
      <c r="B306" s="40"/>
      <c r="C306" s="17"/>
      <c r="D306" s="17"/>
      <c r="E306" s="17"/>
      <c r="F306" s="17"/>
      <c r="G306" s="17"/>
      <c r="H306" s="42"/>
      <c r="I306" s="17"/>
      <c r="J306" s="17"/>
      <c r="K306" s="17"/>
      <c r="L306" s="17"/>
      <c r="M306" s="17"/>
      <c r="N306" s="44" t="str">
        <f aca="false">IF(OR(D306="",A306="",COUNTIFS(Scoresheet!$C$2:$C$501,A306,Scoresheet!$U$2:$U$501,1)=0),"",SUMIFS(Scoresheet!$O$2:$O$501,Scoresheet!$C$2:$C$501,A306,Scoresheet!$U$2:$U$501,1))</f>
        <v/>
      </c>
      <c r="O306" s="44" t="str">
        <f aca="false">IF(D306="","",IF(OR(A306="",COUNTIFS(Scoresheet!$C$2:$C$501,A306,Scoresheet!$U$2:$U$501,1)=0),"No scoresheet yet",IF(SUMIFS(Scoresheet!$N$2:$N$501,Scoresheet!$C$2:$C$501,A306,Scoresheet!$U$2:$U$501,1)&lt;6,"Partly scored ("&amp;SUMIFS(Scoresheet!$N$2:$N$501,Scoresheet!$C$2:$C$501,A306,Scoresheet!$U$2:$U$501,1)&amp;"/6)",IF(N306&gt;=Settings!$S$8,"Hot",IF(N306&gt;=Settings!$S$9,"Warm","Cold")))))</f>
        <v/>
      </c>
      <c r="P306" s="44" t="str">
        <f aca="false">IF(OR(D306="",A306=""),"",IF(AND(COUNTIFS(Scoresheet!$C$2:$C$501,A306,Scoresheet!$U$2:$U$501,1,Scoresheet!$H$2:$H$501,"No")&gt;0,COUNTIFS(Scoresheet!$C$2:$C$501,A306,Scoresheet!$U$2:$U$501,1,Scoresheet!$J$2:$J$501,"No")&gt;0),"🚩 Budget  ·  🚩 No one on camera",IF(COUNTIFS(Scoresheet!$C$2:$C$501,A306,Scoresheet!$U$2:$U$501,1,Scoresheet!$H$2:$H$501,"No")&gt;0,"🚩 Budget under AED 5k",IF(COUNTIFS(Scoresheet!$C$2:$C$501,A306,Scoresheet!$U$2:$U$501,1,Scoresheet!$J$2:$J$501,"No")&gt;0,"🚩 No one on camera",""))))</f>
        <v/>
      </c>
      <c r="Q306" s="17"/>
      <c r="R306" s="17"/>
      <c r="S306" s="40"/>
      <c r="T306" s="17"/>
      <c r="U306" s="45" t="str">
        <f aca="false">IF(OR(D306="",S306="",OR(R306="Contract signed + paid",R306="Closed – No response",R306="Lost"),N(T306)&gt;=Settings!$S$3),"",S306+Settings!$S$2)</f>
        <v/>
      </c>
      <c r="V306" s="40"/>
      <c r="W306" s="41"/>
      <c r="X306" s="17"/>
      <c r="Y306" s="17"/>
      <c r="Z306" s="17"/>
      <c r="AA306" s="46" t="str">
        <f aca="true">IF(OR(D306="",B306=""),"",INT(TODAY()-B306))</f>
        <v/>
      </c>
      <c r="AB306" s="44" t="str">
        <f aca="true">IF(D306="","",IF(OR(COUNTIFS(Clients!$C$2:$C$501,D306,Clients!$S$2:$S$501,"Paid")&gt;0,AND(H306&lt;&gt;"",COUNTIFS(Clients!$E$2:$E$501,H306,Clients!$S$2:$S$501,"Paid")&gt;0)),"⚠ Refunded before – no free video",IF(OR(R306="Contract signed + paid",R306="Closed – No response",R306="Lost"),"",IF(R306="","Set a stage",IF(AND(R306="Proposal sent",SUMIFS(Scoresheet!$N$2:$N$501,Scoresheet!$C$2:$C$501,A306,Scoresheet!$U$2:$U$501,1)&lt;6),"Score this lead – fill the call scoresheet",IF(N(T306)&gt;=Settings!$S$3,"Close – 4 follow-ups sent",IF(U306="",IF(S306="","Make first contact",""),IF(TODAY()&gt;U306,"OVERDUE follow-up",IF(TODAY()=U306,"Follow up today","")))))))))</f>
        <v/>
      </c>
    </row>
    <row r="307" customFormat="false" ht="15" hidden="false" customHeight="false" outlineLevel="0" collapsed="false">
      <c r="A307" s="17"/>
      <c r="B307" s="40"/>
      <c r="C307" s="17"/>
      <c r="D307" s="17"/>
      <c r="E307" s="17"/>
      <c r="F307" s="17"/>
      <c r="G307" s="17"/>
      <c r="H307" s="42"/>
      <c r="I307" s="17"/>
      <c r="J307" s="17"/>
      <c r="K307" s="17"/>
      <c r="L307" s="17"/>
      <c r="M307" s="17"/>
      <c r="N307" s="44" t="str">
        <f aca="false">IF(OR(D307="",A307="",COUNTIFS(Scoresheet!$C$2:$C$501,A307,Scoresheet!$U$2:$U$501,1)=0),"",SUMIFS(Scoresheet!$O$2:$O$501,Scoresheet!$C$2:$C$501,A307,Scoresheet!$U$2:$U$501,1))</f>
        <v/>
      </c>
      <c r="O307" s="44" t="str">
        <f aca="false">IF(D307="","",IF(OR(A307="",COUNTIFS(Scoresheet!$C$2:$C$501,A307,Scoresheet!$U$2:$U$501,1)=0),"No scoresheet yet",IF(SUMIFS(Scoresheet!$N$2:$N$501,Scoresheet!$C$2:$C$501,A307,Scoresheet!$U$2:$U$501,1)&lt;6,"Partly scored ("&amp;SUMIFS(Scoresheet!$N$2:$N$501,Scoresheet!$C$2:$C$501,A307,Scoresheet!$U$2:$U$501,1)&amp;"/6)",IF(N307&gt;=Settings!$S$8,"Hot",IF(N307&gt;=Settings!$S$9,"Warm","Cold")))))</f>
        <v/>
      </c>
      <c r="P307" s="44" t="str">
        <f aca="false">IF(OR(D307="",A307=""),"",IF(AND(COUNTIFS(Scoresheet!$C$2:$C$501,A307,Scoresheet!$U$2:$U$501,1,Scoresheet!$H$2:$H$501,"No")&gt;0,COUNTIFS(Scoresheet!$C$2:$C$501,A307,Scoresheet!$U$2:$U$501,1,Scoresheet!$J$2:$J$501,"No")&gt;0),"🚩 Budget  ·  🚩 No one on camera",IF(COUNTIFS(Scoresheet!$C$2:$C$501,A307,Scoresheet!$U$2:$U$501,1,Scoresheet!$H$2:$H$501,"No")&gt;0,"🚩 Budget under AED 5k",IF(COUNTIFS(Scoresheet!$C$2:$C$501,A307,Scoresheet!$U$2:$U$501,1,Scoresheet!$J$2:$J$501,"No")&gt;0,"🚩 No one on camera",""))))</f>
        <v/>
      </c>
      <c r="Q307" s="17"/>
      <c r="R307" s="17"/>
      <c r="S307" s="40"/>
      <c r="T307" s="17"/>
      <c r="U307" s="45" t="str">
        <f aca="false">IF(OR(D307="",S307="",OR(R307="Contract signed + paid",R307="Closed – No response",R307="Lost"),N(T307)&gt;=Settings!$S$3),"",S307+Settings!$S$2)</f>
        <v/>
      </c>
      <c r="V307" s="40"/>
      <c r="W307" s="41"/>
      <c r="X307" s="17"/>
      <c r="Y307" s="17"/>
      <c r="Z307" s="17"/>
      <c r="AA307" s="46" t="str">
        <f aca="true">IF(OR(D307="",B307=""),"",INT(TODAY()-B307))</f>
        <v/>
      </c>
      <c r="AB307" s="44" t="str">
        <f aca="true">IF(D307="","",IF(OR(COUNTIFS(Clients!$C$2:$C$501,D307,Clients!$S$2:$S$501,"Paid")&gt;0,AND(H307&lt;&gt;"",COUNTIFS(Clients!$E$2:$E$501,H307,Clients!$S$2:$S$501,"Paid")&gt;0)),"⚠ Refunded before – no free video",IF(OR(R307="Contract signed + paid",R307="Closed – No response",R307="Lost"),"",IF(R307="","Set a stage",IF(AND(R307="Proposal sent",SUMIFS(Scoresheet!$N$2:$N$501,Scoresheet!$C$2:$C$501,A307,Scoresheet!$U$2:$U$501,1)&lt;6),"Score this lead – fill the call scoresheet",IF(N(T307)&gt;=Settings!$S$3,"Close – 4 follow-ups sent",IF(U307="",IF(S307="","Make first contact",""),IF(TODAY()&gt;U307,"OVERDUE follow-up",IF(TODAY()=U307,"Follow up today","")))))))))</f>
        <v/>
      </c>
    </row>
    <row r="308" customFormat="false" ht="15" hidden="false" customHeight="false" outlineLevel="0" collapsed="false">
      <c r="A308" s="17"/>
      <c r="B308" s="40"/>
      <c r="C308" s="17"/>
      <c r="D308" s="17"/>
      <c r="E308" s="17"/>
      <c r="F308" s="17"/>
      <c r="G308" s="17"/>
      <c r="H308" s="42"/>
      <c r="I308" s="17"/>
      <c r="J308" s="17"/>
      <c r="K308" s="17"/>
      <c r="L308" s="17"/>
      <c r="M308" s="17"/>
      <c r="N308" s="44" t="str">
        <f aca="false">IF(OR(D308="",A308="",COUNTIFS(Scoresheet!$C$2:$C$501,A308,Scoresheet!$U$2:$U$501,1)=0),"",SUMIFS(Scoresheet!$O$2:$O$501,Scoresheet!$C$2:$C$501,A308,Scoresheet!$U$2:$U$501,1))</f>
        <v/>
      </c>
      <c r="O308" s="44" t="str">
        <f aca="false">IF(D308="","",IF(OR(A308="",COUNTIFS(Scoresheet!$C$2:$C$501,A308,Scoresheet!$U$2:$U$501,1)=0),"No scoresheet yet",IF(SUMIFS(Scoresheet!$N$2:$N$501,Scoresheet!$C$2:$C$501,A308,Scoresheet!$U$2:$U$501,1)&lt;6,"Partly scored ("&amp;SUMIFS(Scoresheet!$N$2:$N$501,Scoresheet!$C$2:$C$501,A308,Scoresheet!$U$2:$U$501,1)&amp;"/6)",IF(N308&gt;=Settings!$S$8,"Hot",IF(N308&gt;=Settings!$S$9,"Warm","Cold")))))</f>
        <v/>
      </c>
      <c r="P308" s="44" t="str">
        <f aca="false">IF(OR(D308="",A308=""),"",IF(AND(COUNTIFS(Scoresheet!$C$2:$C$501,A308,Scoresheet!$U$2:$U$501,1,Scoresheet!$H$2:$H$501,"No")&gt;0,COUNTIFS(Scoresheet!$C$2:$C$501,A308,Scoresheet!$U$2:$U$501,1,Scoresheet!$J$2:$J$501,"No")&gt;0),"🚩 Budget  ·  🚩 No one on camera",IF(COUNTIFS(Scoresheet!$C$2:$C$501,A308,Scoresheet!$U$2:$U$501,1,Scoresheet!$H$2:$H$501,"No")&gt;0,"🚩 Budget under AED 5k",IF(COUNTIFS(Scoresheet!$C$2:$C$501,A308,Scoresheet!$U$2:$U$501,1,Scoresheet!$J$2:$J$501,"No")&gt;0,"🚩 No one on camera",""))))</f>
        <v/>
      </c>
      <c r="Q308" s="17"/>
      <c r="R308" s="17"/>
      <c r="S308" s="40"/>
      <c r="T308" s="17"/>
      <c r="U308" s="45" t="str">
        <f aca="false">IF(OR(D308="",S308="",OR(R308="Contract signed + paid",R308="Closed – No response",R308="Lost"),N(T308)&gt;=Settings!$S$3),"",S308+Settings!$S$2)</f>
        <v/>
      </c>
      <c r="V308" s="40"/>
      <c r="W308" s="41"/>
      <c r="X308" s="17"/>
      <c r="Y308" s="17"/>
      <c r="Z308" s="17"/>
      <c r="AA308" s="46" t="str">
        <f aca="true">IF(OR(D308="",B308=""),"",INT(TODAY()-B308))</f>
        <v/>
      </c>
      <c r="AB308" s="44" t="str">
        <f aca="true">IF(D308="","",IF(OR(COUNTIFS(Clients!$C$2:$C$501,D308,Clients!$S$2:$S$501,"Paid")&gt;0,AND(H308&lt;&gt;"",COUNTIFS(Clients!$E$2:$E$501,H308,Clients!$S$2:$S$501,"Paid")&gt;0)),"⚠ Refunded before – no free video",IF(OR(R308="Contract signed + paid",R308="Closed – No response",R308="Lost"),"",IF(R308="","Set a stage",IF(AND(R308="Proposal sent",SUMIFS(Scoresheet!$N$2:$N$501,Scoresheet!$C$2:$C$501,A308,Scoresheet!$U$2:$U$501,1)&lt;6),"Score this lead – fill the call scoresheet",IF(N(T308)&gt;=Settings!$S$3,"Close – 4 follow-ups sent",IF(U308="",IF(S308="","Make first contact",""),IF(TODAY()&gt;U308,"OVERDUE follow-up",IF(TODAY()=U308,"Follow up today","")))))))))</f>
        <v/>
      </c>
    </row>
    <row r="309" customFormat="false" ht="15" hidden="false" customHeight="false" outlineLevel="0" collapsed="false">
      <c r="A309" s="17"/>
      <c r="B309" s="40"/>
      <c r="C309" s="17"/>
      <c r="D309" s="17"/>
      <c r="E309" s="17"/>
      <c r="F309" s="17"/>
      <c r="G309" s="17"/>
      <c r="H309" s="42"/>
      <c r="I309" s="17"/>
      <c r="J309" s="17"/>
      <c r="K309" s="17"/>
      <c r="L309" s="17"/>
      <c r="M309" s="17"/>
      <c r="N309" s="44" t="str">
        <f aca="false">IF(OR(D309="",A309="",COUNTIFS(Scoresheet!$C$2:$C$501,A309,Scoresheet!$U$2:$U$501,1)=0),"",SUMIFS(Scoresheet!$O$2:$O$501,Scoresheet!$C$2:$C$501,A309,Scoresheet!$U$2:$U$501,1))</f>
        <v/>
      </c>
      <c r="O309" s="44" t="str">
        <f aca="false">IF(D309="","",IF(OR(A309="",COUNTIFS(Scoresheet!$C$2:$C$501,A309,Scoresheet!$U$2:$U$501,1)=0),"No scoresheet yet",IF(SUMIFS(Scoresheet!$N$2:$N$501,Scoresheet!$C$2:$C$501,A309,Scoresheet!$U$2:$U$501,1)&lt;6,"Partly scored ("&amp;SUMIFS(Scoresheet!$N$2:$N$501,Scoresheet!$C$2:$C$501,A309,Scoresheet!$U$2:$U$501,1)&amp;"/6)",IF(N309&gt;=Settings!$S$8,"Hot",IF(N309&gt;=Settings!$S$9,"Warm","Cold")))))</f>
        <v/>
      </c>
      <c r="P309" s="44" t="str">
        <f aca="false">IF(OR(D309="",A309=""),"",IF(AND(COUNTIFS(Scoresheet!$C$2:$C$501,A309,Scoresheet!$U$2:$U$501,1,Scoresheet!$H$2:$H$501,"No")&gt;0,COUNTIFS(Scoresheet!$C$2:$C$501,A309,Scoresheet!$U$2:$U$501,1,Scoresheet!$J$2:$J$501,"No")&gt;0),"🚩 Budget  ·  🚩 No one on camera",IF(COUNTIFS(Scoresheet!$C$2:$C$501,A309,Scoresheet!$U$2:$U$501,1,Scoresheet!$H$2:$H$501,"No")&gt;0,"🚩 Budget under AED 5k",IF(COUNTIFS(Scoresheet!$C$2:$C$501,A309,Scoresheet!$U$2:$U$501,1,Scoresheet!$J$2:$J$501,"No")&gt;0,"🚩 No one on camera",""))))</f>
        <v/>
      </c>
      <c r="Q309" s="17"/>
      <c r="R309" s="17"/>
      <c r="S309" s="40"/>
      <c r="T309" s="17"/>
      <c r="U309" s="45" t="str">
        <f aca="false">IF(OR(D309="",S309="",OR(R309="Contract signed + paid",R309="Closed – No response",R309="Lost"),N(T309)&gt;=Settings!$S$3),"",S309+Settings!$S$2)</f>
        <v/>
      </c>
      <c r="V309" s="40"/>
      <c r="W309" s="41"/>
      <c r="X309" s="17"/>
      <c r="Y309" s="17"/>
      <c r="Z309" s="17"/>
      <c r="AA309" s="46" t="str">
        <f aca="true">IF(OR(D309="",B309=""),"",INT(TODAY()-B309))</f>
        <v/>
      </c>
      <c r="AB309" s="44" t="str">
        <f aca="true">IF(D309="","",IF(OR(COUNTIFS(Clients!$C$2:$C$501,D309,Clients!$S$2:$S$501,"Paid")&gt;0,AND(H309&lt;&gt;"",COUNTIFS(Clients!$E$2:$E$501,H309,Clients!$S$2:$S$501,"Paid")&gt;0)),"⚠ Refunded before – no free video",IF(OR(R309="Contract signed + paid",R309="Closed – No response",R309="Lost"),"",IF(R309="","Set a stage",IF(AND(R309="Proposal sent",SUMIFS(Scoresheet!$N$2:$N$501,Scoresheet!$C$2:$C$501,A309,Scoresheet!$U$2:$U$501,1)&lt;6),"Score this lead – fill the call scoresheet",IF(N(T309)&gt;=Settings!$S$3,"Close – 4 follow-ups sent",IF(U309="",IF(S309="","Make first contact",""),IF(TODAY()&gt;U309,"OVERDUE follow-up",IF(TODAY()=U309,"Follow up today","")))))))))</f>
        <v/>
      </c>
    </row>
    <row r="310" customFormat="false" ht="15" hidden="false" customHeight="false" outlineLevel="0" collapsed="false">
      <c r="A310" s="17"/>
      <c r="B310" s="40"/>
      <c r="C310" s="17"/>
      <c r="D310" s="17"/>
      <c r="E310" s="17"/>
      <c r="F310" s="17"/>
      <c r="G310" s="17"/>
      <c r="H310" s="42"/>
      <c r="I310" s="17"/>
      <c r="J310" s="17"/>
      <c r="K310" s="17"/>
      <c r="L310" s="17"/>
      <c r="M310" s="17"/>
      <c r="N310" s="44" t="str">
        <f aca="false">IF(OR(D310="",A310="",COUNTIFS(Scoresheet!$C$2:$C$501,A310,Scoresheet!$U$2:$U$501,1)=0),"",SUMIFS(Scoresheet!$O$2:$O$501,Scoresheet!$C$2:$C$501,A310,Scoresheet!$U$2:$U$501,1))</f>
        <v/>
      </c>
      <c r="O310" s="44" t="str">
        <f aca="false">IF(D310="","",IF(OR(A310="",COUNTIFS(Scoresheet!$C$2:$C$501,A310,Scoresheet!$U$2:$U$501,1)=0),"No scoresheet yet",IF(SUMIFS(Scoresheet!$N$2:$N$501,Scoresheet!$C$2:$C$501,A310,Scoresheet!$U$2:$U$501,1)&lt;6,"Partly scored ("&amp;SUMIFS(Scoresheet!$N$2:$N$501,Scoresheet!$C$2:$C$501,A310,Scoresheet!$U$2:$U$501,1)&amp;"/6)",IF(N310&gt;=Settings!$S$8,"Hot",IF(N310&gt;=Settings!$S$9,"Warm","Cold")))))</f>
        <v/>
      </c>
      <c r="P310" s="44" t="str">
        <f aca="false">IF(OR(D310="",A310=""),"",IF(AND(COUNTIFS(Scoresheet!$C$2:$C$501,A310,Scoresheet!$U$2:$U$501,1,Scoresheet!$H$2:$H$501,"No")&gt;0,COUNTIFS(Scoresheet!$C$2:$C$501,A310,Scoresheet!$U$2:$U$501,1,Scoresheet!$J$2:$J$501,"No")&gt;0),"🚩 Budget  ·  🚩 No one on camera",IF(COUNTIFS(Scoresheet!$C$2:$C$501,A310,Scoresheet!$U$2:$U$501,1,Scoresheet!$H$2:$H$501,"No")&gt;0,"🚩 Budget under AED 5k",IF(COUNTIFS(Scoresheet!$C$2:$C$501,A310,Scoresheet!$U$2:$U$501,1,Scoresheet!$J$2:$J$501,"No")&gt;0,"🚩 No one on camera",""))))</f>
        <v/>
      </c>
      <c r="Q310" s="17"/>
      <c r="R310" s="17"/>
      <c r="S310" s="40"/>
      <c r="T310" s="17"/>
      <c r="U310" s="45" t="str">
        <f aca="false">IF(OR(D310="",S310="",OR(R310="Contract signed + paid",R310="Closed – No response",R310="Lost"),N(T310)&gt;=Settings!$S$3),"",S310+Settings!$S$2)</f>
        <v/>
      </c>
      <c r="V310" s="40"/>
      <c r="W310" s="41"/>
      <c r="X310" s="17"/>
      <c r="Y310" s="17"/>
      <c r="Z310" s="17"/>
      <c r="AA310" s="46" t="str">
        <f aca="true">IF(OR(D310="",B310=""),"",INT(TODAY()-B310))</f>
        <v/>
      </c>
      <c r="AB310" s="44" t="str">
        <f aca="true">IF(D310="","",IF(OR(COUNTIFS(Clients!$C$2:$C$501,D310,Clients!$S$2:$S$501,"Paid")&gt;0,AND(H310&lt;&gt;"",COUNTIFS(Clients!$E$2:$E$501,H310,Clients!$S$2:$S$501,"Paid")&gt;0)),"⚠ Refunded before – no free video",IF(OR(R310="Contract signed + paid",R310="Closed – No response",R310="Lost"),"",IF(R310="","Set a stage",IF(AND(R310="Proposal sent",SUMIFS(Scoresheet!$N$2:$N$501,Scoresheet!$C$2:$C$501,A310,Scoresheet!$U$2:$U$501,1)&lt;6),"Score this lead – fill the call scoresheet",IF(N(T310)&gt;=Settings!$S$3,"Close – 4 follow-ups sent",IF(U310="",IF(S310="","Make first contact",""),IF(TODAY()&gt;U310,"OVERDUE follow-up",IF(TODAY()=U310,"Follow up today","")))))))))</f>
        <v/>
      </c>
    </row>
    <row r="311" customFormat="false" ht="15" hidden="false" customHeight="false" outlineLevel="0" collapsed="false">
      <c r="A311" s="17"/>
      <c r="B311" s="40"/>
      <c r="C311" s="17"/>
      <c r="D311" s="17"/>
      <c r="E311" s="17"/>
      <c r="F311" s="17"/>
      <c r="G311" s="17"/>
      <c r="H311" s="42"/>
      <c r="I311" s="17"/>
      <c r="J311" s="17"/>
      <c r="K311" s="17"/>
      <c r="L311" s="17"/>
      <c r="M311" s="17"/>
      <c r="N311" s="44" t="str">
        <f aca="false">IF(OR(D311="",A311="",COUNTIFS(Scoresheet!$C$2:$C$501,A311,Scoresheet!$U$2:$U$501,1)=0),"",SUMIFS(Scoresheet!$O$2:$O$501,Scoresheet!$C$2:$C$501,A311,Scoresheet!$U$2:$U$501,1))</f>
        <v/>
      </c>
      <c r="O311" s="44" t="str">
        <f aca="false">IF(D311="","",IF(OR(A311="",COUNTIFS(Scoresheet!$C$2:$C$501,A311,Scoresheet!$U$2:$U$501,1)=0),"No scoresheet yet",IF(SUMIFS(Scoresheet!$N$2:$N$501,Scoresheet!$C$2:$C$501,A311,Scoresheet!$U$2:$U$501,1)&lt;6,"Partly scored ("&amp;SUMIFS(Scoresheet!$N$2:$N$501,Scoresheet!$C$2:$C$501,A311,Scoresheet!$U$2:$U$501,1)&amp;"/6)",IF(N311&gt;=Settings!$S$8,"Hot",IF(N311&gt;=Settings!$S$9,"Warm","Cold")))))</f>
        <v/>
      </c>
      <c r="P311" s="44" t="str">
        <f aca="false">IF(OR(D311="",A311=""),"",IF(AND(COUNTIFS(Scoresheet!$C$2:$C$501,A311,Scoresheet!$U$2:$U$501,1,Scoresheet!$H$2:$H$501,"No")&gt;0,COUNTIFS(Scoresheet!$C$2:$C$501,A311,Scoresheet!$U$2:$U$501,1,Scoresheet!$J$2:$J$501,"No")&gt;0),"🚩 Budget  ·  🚩 No one on camera",IF(COUNTIFS(Scoresheet!$C$2:$C$501,A311,Scoresheet!$U$2:$U$501,1,Scoresheet!$H$2:$H$501,"No")&gt;0,"🚩 Budget under AED 5k",IF(COUNTIFS(Scoresheet!$C$2:$C$501,A311,Scoresheet!$U$2:$U$501,1,Scoresheet!$J$2:$J$501,"No")&gt;0,"🚩 No one on camera",""))))</f>
        <v/>
      </c>
      <c r="Q311" s="17"/>
      <c r="R311" s="17"/>
      <c r="S311" s="40"/>
      <c r="T311" s="17"/>
      <c r="U311" s="45" t="str">
        <f aca="false">IF(OR(D311="",S311="",OR(R311="Contract signed + paid",R311="Closed – No response",R311="Lost"),N(T311)&gt;=Settings!$S$3),"",S311+Settings!$S$2)</f>
        <v/>
      </c>
      <c r="V311" s="40"/>
      <c r="W311" s="41"/>
      <c r="X311" s="17"/>
      <c r="Y311" s="17"/>
      <c r="Z311" s="17"/>
      <c r="AA311" s="46" t="str">
        <f aca="true">IF(OR(D311="",B311=""),"",INT(TODAY()-B311))</f>
        <v/>
      </c>
      <c r="AB311" s="44" t="str">
        <f aca="true">IF(D311="","",IF(OR(COUNTIFS(Clients!$C$2:$C$501,D311,Clients!$S$2:$S$501,"Paid")&gt;0,AND(H311&lt;&gt;"",COUNTIFS(Clients!$E$2:$E$501,H311,Clients!$S$2:$S$501,"Paid")&gt;0)),"⚠ Refunded before – no free video",IF(OR(R311="Contract signed + paid",R311="Closed – No response",R311="Lost"),"",IF(R311="","Set a stage",IF(AND(R311="Proposal sent",SUMIFS(Scoresheet!$N$2:$N$501,Scoresheet!$C$2:$C$501,A311,Scoresheet!$U$2:$U$501,1)&lt;6),"Score this lead – fill the call scoresheet",IF(N(T311)&gt;=Settings!$S$3,"Close – 4 follow-ups sent",IF(U311="",IF(S311="","Make first contact",""),IF(TODAY()&gt;U311,"OVERDUE follow-up",IF(TODAY()=U311,"Follow up today","")))))))))</f>
        <v/>
      </c>
    </row>
    <row r="312" customFormat="false" ht="15" hidden="false" customHeight="false" outlineLevel="0" collapsed="false">
      <c r="A312" s="17"/>
      <c r="B312" s="40"/>
      <c r="C312" s="17"/>
      <c r="D312" s="17"/>
      <c r="E312" s="17"/>
      <c r="F312" s="17"/>
      <c r="G312" s="17"/>
      <c r="H312" s="42"/>
      <c r="I312" s="17"/>
      <c r="J312" s="17"/>
      <c r="K312" s="17"/>
      <c r="L312" s="17"/>
      <c r="M312" s="17"/>
      <c r="N312" s="44" t="str">
        <f aca="false">IF(OR(D312="",A312="",COUNTIFS(Scoresheet!$C$2:$C$501,A312,Scoresheet!$U$2:$U$501,1)=0),"",SUMIFS(Scoresheet!$O$2:$O$501,Scoresheet!$C$2:$C$501,A312,Scoresheet!$U$2:$U$501,1))</f>
        <v/>
      </c>
      <c r="O312" s="44" t="str">
        <f aca="false">IF(D312="","",IF(OR(A312="",COUNTIFS(Scoresheet!$C$2:$C$501,A312,Scoresheet!$U$2:$U$501,1)=0),"No scoresheet yet",IF(SUMIFS(Scoresheet!$N$2:$N$501,Scoresheet!$C$2:$C$501,A312,Scoresheet!$U$2:$U$501,1)&lt;6,"Partly scored ("&amp;SUMIFS(Scoresheet!$N$2:$N$501,Scoresheet!$C$2:$C$501,A312,Scoresheet!$U$2:$U$501,1)&amp;"/6)",IF(N312&gt;=Settings!$S$8,"Hot",IF(N312&gt;=Settings!$S$9,"Warm","Cold")))))</f>
        <v/>
      </c>
      <c r="P312" s="44" t="str">
        <f aca="false">IF(OR(D312="",A312=""),"",IF(AND(COUNTIFS(Scoresheet!$C$2:$C$501,A312,Scoresheet!$U$2:$U$501,1,Scoresheet!$H$2:$H$501,"No")&gt;0,COUNTIFS(Scoresheet!$C$2:$C$501,A312,Scoresheet!$U$2:$U$501,1,Scoresheet!$J$2:$J$501,"No")&gt;0),"🚩 Budget  ·  🚩 No one on camera",IF(COUNTIFS(Scoresheet!$C$2:$C$501,A312,Scoresheet!$U$2:$U$501,1,Scoresheet!$H$2:$H$501,"No")&gt;0,"🚩 Budget under AED 5k",IF(COUNTIFS(Scoresheet!$C$2:$C$501,A312,Scoresheet!$U$2:$U$501,1,Scoresheet!$J$2:$J$501,"No")&gt;0,"🚩 No one on camera",""))))</f>
        <v/>
      </c>
      <c r="Q312" s="17"/>
      <c r="R312" s="17"/>
      <c r="S312" s="40"/>
      <c r="T312" s="17"/>
      <c r="U312" s="45" t="str">
        <f aca="false">IF(OR(D312="",S312="",OR(R312="Contract signed + paid",R312="Closed – No response",R312="Lost"),N(T312)&gt;=Settings!$S$3),"",S312+Settings!$S$2)</f>
        <v/>
      </c>
      <c r="V312" s="40"/>
      <c r="W312" s="41"/>
      <c r="X312" s="17"/>
      <c r="Y312" s="17"/>
      <c r="Z312" s="17"/>
      <c r="AA312" s="46" t="str">
        <f aca="true">IF(OR(D312="",B312=""),"",INT(TODAY()-B312))</f>
        <v/>
      </c>
      <c r="AB312" s="44" t="str">
        <f aca="true">IF(D312="","",IF(OR(COUNTIFS(Clients!$C$2:$C$501,D312,Clients!$S$2:$S$501,"Paid")&gt;0,AND(H312&lt;&gt;"",COUNTIFS(Clients!$E$2:$E$501,H312,Clients!$S$2:$S$501,"Paid")&gt;0)),"⚠ Refunded before – no free video",IF(OR(R312="Contract signed + paid",R312="Closed – No response",R312="Lost"),"",IF(R312="","Set a stage",IF(AND(R312="Proposal sent",SUMIFS(Scoresheet!$N$2:$N$501,Scoresheet!$C$2:$C$501,A312,Scoresheet!$U$2:$U$501,1)&lt;6),"Score this lead – fill the call scoresheet",IF(N(T312)&gt;=Settings!$S$3,"Close – 4 follow-ups sent",IF(U312="",IF(S312="","Make first contact",""),IF(TODAY()&gt;U312,"OVERDUE follow-up",IF(TODAY()=U312,"Follow up today","")))))))))</f>
        <v/>
      </c>
    </row>
    <row r="313" customFormat="false" ht="15" hidden="false" customHeight="false" outlineLevel="0" collapsed="false">
      <c r="A313" s="17"/>
      <c r="B313" s="40"/>
      <c r="C313" s="17"/>
      <c r="D313" s="17"/>
      <c r="E313" s="17"/>
      <c r="F313" s="17"/>
      <c r="G313" s="17"/>
      <c r="H313" s="42"/>
      <c r="I313" s="17"/>
      <c r="J313" s="17"/>
      <c r="K313" s="17"/>
      <c r="L313" s="17"/>
      <c r="M313" s="17"/>
      <c r="N313" s="44" t="str">
        <f aca="false">IF(OR(D313="",A313="",COUNTIFS(Scoresheet!$C$2:$C$501,A313,Scoresheet!$U$2:$U$501,1)=0),"",SUMIFS(Scoresheet!$O$2:$O$501,Scoresheet!$C$2:$C$501,A313,Scoresheet!$U$2:$U$501,1))</f>
        <v/>
      </c>
      <c r="O313" s="44" t="str">
        <f aca="false">IF(D313="","",IF(OR(A313="",COUNTIFS(Scoresheet!$C$2:$C$501,A313,Scoresheet!$U$2:$U$501,1)=0),"No scoresheet yet",IF(SUMIFS(Scoresheet!$N$2:$N$501,Scoresheet!$C$2:$C$501,A313,Scoresheet!$U$2:$U$501,1)&lt;6,"Partly scored ("&amp;SUMIFS(Scoresheet!$N$2:$N$501,Scoresheet!$C$2:$C$501,A313,Scoresheet!$U$2:$U$501,1)&amp;"/6)",IF(N313&gt;=Settings!$S$8,"Hot",IF(N313&gt;=Settings!$S$9,"Warm","Cold")))))</f>
        <v/>
      </c>
      <c r="P313" s="44" t="str">
        <f aca="false">IF(OR(D313="",A313=""),"",IF(AND(COUNTIFS(Scoresheet!$C$2:$C$501,A313,Scoresheet!$U$2:$U$501,1,Scoresheet!$H$2:$H$501,"No")&gt;0,COUNTIFS(Scoresheet!$C$2:$C$501,A313,Scoresheet!$U$2:$U$501,1,Scoresheet!$J$2:$J$501,"No")&gt;0),"🚩 Budget  ·  🚩 No one on camera",IF(COUNTIFS(Scoresheet!$C$2:$C$501,A313,Scoresheet!$U$2:$U$501,1,Scoresheet!$H$2:$H$501,"No")&gt;0,"🚩 Budget under AED 5k",IF(COUNTIFS(Scoresheet!$C$2:$C$501,A313,Scoresheet!$U$2:$U$501,1,Scoresheet!$J$2:$J$501,"No")&gt;0,"🚩 No one on camera",""))))</f>
        <v/>
      </c>
      <c r="Q313" s="17"/>
      <c r="R313" s="17"/>
      <c r="S313" s="40"/>
      <c r="T313" s="17"/>
      <c r="U313" s="45" t="str">
        <f aca="false">IF(OR(D313="",S313="",OR(R313="Contract signed + paid",R313="Closed – No response",R313="Lost"),N(T313)&gt;=Settings!$S$3),"",S313+Settings!$S$2)</f>
        <v/>
      </c>
      <c r="V313" s="40"/>
      <c r="W313" s="41"/>
      <c r="X313" s="17"/>
      <c r="Y313" s="17"/>
      <c r="Z313" s="17"/>
      <c r="AA313" s="46" t="str">
        <f aca="true">IF(OR(D313="",B313=""),"",INT(TODAY()-B313))</f>
        <v/>
      </c>
      <c r="AB313" s="44" t="str">
        <f aca="true">IF(D313="","",IF(OR(COUNTIFS(Clients!$C$2:$C$501,D313,Clients!$S$2:$S$501,"Paid")&gt;0,AND(H313&lt;&gt;"",COUNTIFS(Clients!$E$2:$E$501,H313,Clients!$S$2:$S$501,"Paid")&gt;0)),"⚠ Refunded before – no free video",IF(OR(R313="Contract signed + paid",R313="Closed – No response",R313="Lost"),"",IF(R313="","Set a stage",IF(AND(R313="Proposal sent",SUMIFS(Scoresheet!$N$2:$N$501,Scoresheet!$C$2:$C$501,A313,Scoresheet!$U$2:$U$501,1)&lt;6),"Score this lead – fill the call scoresheet",IF(N(T313)&gt;=Settings!$S$3,"Close – 4 follow-ups sent",IF(U313="",IF(S313="","Make first contact",""),IF(TODAY()&gt;U313,"OVERDUE follow-up",IF(TODAY()=U313,"Follow up today","")))))))))</f>
        <v/>
      </c>
    </row>
    <row r="314" customFormat="false" ht="15" hidden="false" customHeight="false" outlineLevel="0" collapsed="false">
      <c r="A314" s="17"/>
      <c r="B314" s="40"/>
      <c r="C314" s="17"/>
      <c r="D314" s="17"/>
      <c r="E314" s="17"/>
      <c r="F314" s="17"/>
      <c r="G314" s="17"/>
      <c r="H314" s="42"/>
      <c r="I314" s="17"/>
      <c r="J314" s="17"/>
      <c r="K314" s="17"/>
      <c r="L314" s="17"/>
      <c r="M314" s="17"/>
      <c r="N314" s="44" t="str">
        <f aca="false">IF(OR(D314="",A314="",COUNTIFS(Scoresheet!$C$2:$C$501,A314,Scoresheet!$U$2:$U$501,1)=0),"",SUMIFS(Scoresheet!$O$2:$O$501,Scoresheet!$C$2:$C$501,A314,Scoresheet!$U$2:$U$501,1))</f>
        <v/>
      </c>
      <c r="O314" s="44" t="str">
        <f aca="false">IF(D314="","",IF(OR(A314="",COUNTIFS(Scoresheet!$C$2:$C$501,A314,Scoresheet!$U$2:$U$501,1)=0),"No scoresheet yet",IF(SUMIFS(Scoresheet!$N$2:$N$501,Scoresheet!$C$2:$C$501,A314,Scoresheet!$U$2:$U$501,1)&lt;6,"Partly scored ("&amp;SUMIFS(Scoresheet!$N$2:$N$501,Scoresheet!$C$2:$C$501,A314,Scoresheet!$U$2:$U$501,1)&amp;"/6)",IF(N314&gt;=Settings!$S$8,"Hot",IF(N314&gt;=Settings!$S$9,"Warm","Cold")))))</f>
        <v/>
      </c>
      <c r="P314" s="44" t="str">
        <f aca="false">IF(OR(D314="",A314=""),"",IF(AND(COUNTIFS(Scoresheet!$C$2:$C$501,A314,Scoresheet!$U$2:$U$501,1,Scoresheet!$H$2:$H$501,"No")&gt;0,COUNTIFS(Scoresheet!$C$2:$C$501,A314,Scoresheet!$U$2:$U$501,1,Scoresheet!$J$2:$J$501,"No")&gt;0),"🚩 Budget  ·  🚩 No one on camera",IF(COUNTIFS(Scoresheet!$C$2:$C$501,A314,Scoresheet!$U$2:$U$501,1,Scoresheet!$H$2:$H$501,"No")&gt;0,"🚩 Budget under AED 5k",IF(COUNTIFS(Scoresheet!$C$2:$C$501,A314,Scoresheet!$U$2:$U$501,1,Scoresheet!$J$2:$J$501,"No")&gt;0,"🚩 No one on camera",""))))</f>
        <v/>
      </c>
      <c r="Q314" s="17"/>
      <c r="R314" s="17"/>
      <c r="S314" s="40"/>
      <c r="T314" s="17"/>
      <c r="U314" s="45" t="str">
        <f aca="false">IF(OR(D314="",S314="",OR(R314="Contract signed + paid",R314="Closed – No response",R314="Lost"),N(T314)&gt;=Settings!$S$3),"",S314+Settings!$S$2)</f>
        <v/>
      </c>
      <c r="V314" s="40"/>
      <c r="W314" s="41"/>
      <c r="X314" s="17"/>
      <c r="Y314" s="17"/>
      <c r="Z314" s="17"/>
      <c r="AA314" s="46" t="str">
        <f aca="true">IF(OR(D314="",B314=""),"",INT(TODAY()-B314))</f>
        <v/>
      </c>
      <c r="AB314" s="44" t="str">
        <f aca="true">IF(D314="","",IF(OR(COUNTIFS(Clients!$C$2:$C$501,D314,Clients!$S$2:$S$501,"Paid")&gt;0,AND(H314&lt;&gt;"",COUNTIFS(Clients!$E$2:$E$501,H314,Clients!$S$2:$S$501,"Paid")&gt;0)),"⚠ Refunded before – no free video",IF(OR(R314="Contract signed + paid",R314="Closed – No response",R314="Lost"),"",IF(R314="","Set a stage",IF(AND(R314="Proposal sent",SUMIFS(Scoresheet!$N$2:$N$501,Scoresheet!$C$2:$C$501,A314,Scoresheet!$U$2:$U$501,1)&lt;6),"Score this lead – fill the call scoresheet",IF(N(T314)&gt;=Settings!$S$3,"Close – 4 follow-ups sent",IF(U314="",IF(S314="","Make first contact",""),IF(TODAY()&gt;U314,"OVERDUE follow-up",IF(TODAY()=U314,"Follow up today","")))))))))</f>
        <v/>
      </c>
    </row>
    <row r="315" customFormat="false" ht="15" hidden="false" customHeight="false" outlineLevel="0" collapsed="false">
      <c r="A315" s="17"/>
      <c r="B315" s="40"/>
      <c r="C315" s="17"/>
      <c r="D315" s="17"/>
      <c r="E315" s="17"/>
      <c r="F315" s="17"/>
      <c r="G315" s="17"/>
      <c r="H315" s="42"/>
      <c r="I315" s="17"/>
      <c r="J315" s="17"/>
      <c r="K315" s="17"/>
      <c r="L315" s="17"/>
      <c r="M315" s="17"/>
      <c r="N315" s="44" t="str">
        <f aca="false">IF(OR(D315="",A315="",COUNTIFS(Scoresheet!$C$2:$C$501,A315,Scoresheet!$U$2:$U$501,1)=0),"",SUMIFS(Scoresheet!$O$2:$O$501,Scoresheet!$C$2:$C$501,A315,Scoresheet!$U$2:$U$501,1))</f>
        <v/>
      </c>
      <c r="O315" s="44" t="str">
        <f aca="false">IF(D315="","",IF(OR(A315="",COUNTIFS(Scoresheet!$C$2:$C$501,A315,Scoresheet!$U$2:$U$501,1)=0),"No scoresheet yet",IF(SUMIFS(Scoresheet!$N$2:$N$501,Scoresheet!$C$2:$C$501,A315,Scoresheet!$U$2:$U$501,1)&lt;6,"Partly scored ("&amp;SUMIFS(Scoresheet!$N$2:$N$501,Scoresheet!$C$2:$C$501,A315,Scoresheet!$U$2:$U$501,1)&amp;"/6)",IF(N315&gt;=Settings!$S$8,"Hot",IF(N315&gt;=Settings!$S$9,"Warm","Cold")))))</f>
        <v/>
      </c>
      <c r="P315" s="44" t="str">
        <f aca="false">IF(OR(D315="",A315=""),"",IF(AND(COUNTIFS(Scoresheet!$C$2:$C$501,A315,Scoresheet!$U$2:$U$501,1,Scoresheet!$H$2:$H$501,"No")&gt;0,COUNTIFS(Scoresheet!$C$2:$C$501,A315,Scoresheet!$U$2:$U$501,1,Scoresheet!$J$2:$J$501,"No")&gt;0),"🚩 Budget  ·  🚩 No one on camera",IF(COUNTIFS(Scoresheet!$C$2:$C$501,A315,Scoresheet!$U$2:$U$501,1,Scoresheet!$H$2:$H$501,"No")&gt;0,"🚩 Budget under AED 5k",IF(COUNTIFS(Scoresheet!$C$2:$C$501,A315,Scoresheet!$U$2:$U$501,1,Scoresheet!$J$2:$J$501,"No")&gt;0,"🚩 No one on camera",""))))</f>
        <v/>
      </c>
      <c r="Q315" s="17"/>
      <c r="R315" s="17"/>
      <c r="S315" s="40"/>
      <c r="T315" s="17"/>
      <c r="U315" s="45" t="str">
        <f aca="false">IF(OR(D315="",S315="",OR(R315="Contract signed + paid",R315="Closed – No response",R315="Lost"),N(T315)&gt;=Settings!$S$3),"",S315+Settings!$S$2)</f>
        <v/>
      </c>
      <c r="V315" s="40"/>
      <c r="W315" s="41"/>
      <c r="X315" s="17"/>
      <c r="Y315" s="17"/>
      <c r="Z315" s="17"/>
      <c r="AA315" s="46" t="str">
        <f aca="true">IF(OR(D315="",B315=""),"",INT(TODAY()-B315))</f>
        <v/>
      </c>
      <c r="AB315" s="44" t="str">
        <f aca="true">IF(D315="","",IF(OR(COUNTIFS(Clients!$C$2:$C$501,D315,Clients!$S$2:$S$501,"Paid")&gt;0,AND(H315&lt;&gt;"",COUNTIFS(Clients!$E$2:$E$501,H315,Clients!$S$2:$S$501,"Paid")&gt;0)),"⚠ Refunded before – no free video",IF(OR(R315="Contract signed + paid",R315="Closed – No response",R315="Lost"),"",IF(R315="","Set a stage",IF(AND(R315="Proposal sent",SUMIFS(Scoresheet!$N$2:$N$501,Scoresheet!$C$2:$C$501,A315,Scoresheet!$U$2:$U$501,1)&lt;6),"Score this lead – fill the call scoresheet",IF(N(T315)&gt;=Settings!$S$3,"Close – 4 follow-ups sent",IF(U315="",IF(S315="","Make first contact",""),IF(TODAY()&gt;U315,"OVERDUE follow-up",IF(TODAY()=U315,"Follow up today","")))))))))</f>
        <v/>
      </c>
    </row>
    <row r="316" customFormat="false" ht="15" hidden="false" customHeight="false" outlineLevel="0" collapsed="false">
      <c r="A316" s="17"/>
      <c r="B316" s="40"/>
      <c r="C316" s="17"/>
      <c r="D316" s="17"/>
      <c r="E316" s="17"/>
      <c r="F316" s="17"/>
      <c r="G316" s="17"/>
      <c r="H316" s="42"/>
      <c r="I316" s="17"/>
      <c r="J316" s="17"/>
      <c r="K316" s="17"/>
      <c r="L316" s="17"/>
      <c r="M316" s="17"/>
      <c r="N316" s="44" t="str">
        <f aca="false">IF(OR(D316="",A316="",COUNTIFS(Scoresheet!$C$2:$C$501,A316,Scoresheet!$U$2:$U$501,1)=0),"",SUMIFS(Scoresheet!$O$2:$O$501,Scoresheet!$C$2:$C$501,A316,Scoresheet!$U$2:$U$501,1))</f>
        <v/>
      </c>
      <c r="O316" s="44" t="str">
        <f aca="false">IF(D316="","",IF(OR(A316="",COUNTIFS(Scoresheet!$C$2:$C$501,A316,Scoresheet!$U$2:$U$501,1)=0),"No scoresheet yet",IF(SUMIFS(Scoresheet!$N$2:$N$501,Scoresheet!$C$2:$C$501,A316,Scoresheet!$U$2:$U$501,1)&lt;6,"Partly scored ("&amp;SUMIFS(Scoresheet!$N$2:$N$501,Scoresheet!$C$2:$C$501,A316,Scoresheet!$U$2:$U$501,1)&amp;"/6)",IF(N316&gt;=Settings!$S$8,"Hot",IF(N316&gt;=Settings!$S$9,"Warm","Cold")))))</f>
        <v/>
      </c>
      <c r="P316" s="44" t="str">
        <f aca="false">IF(OR(D316="",A316=""),"",IF(AND(COUNTIFS(Scoresheet!$C$2:$C$501,A316,Scoresheet!$U$2:$U$501,1,Scoresheet!$H$2:$H$501,"No")&gt;0,COUNTIFS(Scoresheet!$C$2:$C$501,A316,Scoresheet!$U$2:$U$501,1,Scoresheet!$J$2:$J$501,"No")&gt;0),"🚩 Budget  ·  🚩 No one on camera",IF(COUNTIFS(Scoresheet!$C$2:$C$501,A316,Scoresheet!$U$2:$U$501,1,Scoresheet!$H$2:$H$501,"No")&gt;0,"🚩 Budget under AED 5k",IF(COUNTIFS(Scoresheet!$C$2:$C$501,A316,Scoresheet!$U$2:$U$501,1,Scoresheet!$J$2:$J$501,"No")&gt;0,"🚩 No one on camera",""))))</f>
        <v/>
      </c>
      <c r="Q316" s="17"/>
      <c r="R316" s="17"/>
      <c r="S316" s="40"/>
      <c r="T316" s="17"/>
      <c r="U316" s="45" t="str">
        <f aca="false">IF(OR(D316="",S316="",OR(R316="Contract signed + paid",R316="Closed – No response",R316="Lost"),N(T316)&gt;=Settings!$S$3),"",S316+Settings!$S$2)</f>
        <v/>
      </c>
      <c r="V316" s="40"/>
      <c r="W316" s="41"/>
      <c r="X316" s="17"/>
      <c r="Y316" s="17"/>
      <c r="Z316" s="17"/>
      <c r="AA316" s="46" t="str">
        <f aca="true">IF(OR(D316="",B316=""),"",INT(TODAY()-B316))</f>
        <v/>
      </c>
      <c r="AB316" s="44" t="str">
        <f aca="true">IF(D316="","",IF(OR(COUNTIFS(Clients!$C$2:$C$501,D316,Clients!$S$2:$S$501,"Paid")&gt;0,AND(H316&lt;&gt;"",COUNTIFS(Clients!$E$2:$E$501,H316,Clients!$S$2:$S$501,"Paid")&gt;0)),"⚠ Refunded before – no free video",IF(OR(R316="Contract signed + paid",R316="Closed – No response",R316="Lost"),"",IF(R316="","Set a stage",IF(AND(R316="Proposal sent",SUMIFS(Scoresheet!$N$2:$N$501,Scoresheet!$C$2:$C$501,A316,Scoresheet!$U$2:$U$501,1)&lt;6),"Score this lead – fill the call scoresheet",IF(N(T316)&gt;=Settings!$S$3,"Close – 4 follow-ups sent",IF(U316="",IF(S316="","Make first contact",""),IF(TODAY()&gt;U316,"OVERDUE follow-up",IF(TODAY()=U316,"Follow up today","")))))))))</f>
        <v/>
      </c>
    </row>
    <row r="317" customFormat="false" ht="15" hidden="false" customHeight="false" outlineLevel="0" collapsed="false">
      <c r="A317" s="17"/>
      <c r="B317" s="40"/>
      <c r="C317" s="17"/>
      <c r="D317" s="17"/>
      <c r="E317" s="17"/>
      <c r="F317" s="17"/>
      <c r="G317" s="17"/>
      <c r="H317" s="42"/>
      <c r="I317" s="17"/>
      <c r="J317" s="17"/>
      <c r="K317" s="17"/>
      <c r="L317" s="17"/>
      <c r="M317" s="17"/>
      <c r="N317" s="44" t="str">
        <f aca="false">IF(OR(D317="",A317="",COUNTIFS(Scoresheet!$C$2:$C$501,A317,Scoresheet!$U$2:$U$501,1)=0),"",SUMIFS(Scoresheet!$O$2:$O$501,Scoresheet!$C$2:$C$501,A317,Scoresheet!$U$2:$U$501,1))</f>
        <v/>
      </c>
      <c r="O317" s="44" t="str">
        <f aca="false">IF(D317="","",IF(OR(A317="",COUNTIFS(Scoresheet!$C$2:$C$501,A317,Scoresheet!$U$2:$U$501,1)=0),"No scoresheet yet",IF(SUMIFS(Scoresheet!$N$2:$N$501,Scoresheet!$C$2:$C$501,A317,Scoresheet!$U$2:$U$501,1)&lt;6,"Partly scored ("&amp;SUMIFS(Scoresheet!$N$2:$N$501,Scoresheet!$C$2:$C$501,A317,Scoresheet!$U$2:$U$501,1)&amp;"/6)",IF(N317&gt;=Settings!$S$8,"Hot",IF(N317&gt;=Settings!$S$9,"Warm","Cold")))))</f>
        <v/>
      </c>
      <c r="P317" s="44" t="str">
        <f aca="false">IF(OR(D317="",A317=""),"",IF(AND(COUNTIFS(Scoresheet!$C$2:$C$501,A317,Scoresheet!$U$2:$U$501,1,Scoresheet!$H$2:$H$501,"No")&gt;0,COUNTIFS(Scoresheet!$C$2:$C$501,A317,Scoresheet!$U$2:$U$501,1,Scoresheet!$J$2:$J$501,"No")&gt;0),"🚩 Budget  ·  🚩 No one on camera",IF(COUNTIFS(Scoresheet!$C$2:$C$501,A317,Scoresheet!$U$2:$U$501,1,Scoresheet!$H$2:$H$501,"No")&gt;0,"🚩 Budget under AED 5k",IF(COUNTIFS(Scoresheet!$C$2:$C$501,A317,Scoresheet!$U$2:$U$501,1,Scoresheet!$J$2:$J$501,"No")&gt;0,"🚩 No one on camera",""))))</f>
        <v/>
      </c>
      <c r="Q317" s="17"/>
      <c r="R317" s="17"/>
      <c r="S317" s="40"/>
      <c r="T317" s="17"/>
      <c r="U317" s="45" t="str">
        <f aca="false">IF(OR(D317="",S317="",OR(R317="Contract signed + paid",R317="Closed – No response",R317="Lost"),N(T317)&gt;=Settings!$S$3),"",S317+Settings!$S$2)</f>
        <v/>
      </c>
      <c r="V317" s="40"/>
      <c r="W317" s="41"/>
      <c r="X317" s="17"/>
      <c r="Y317" s="17"/>
      <c r="Z317" s="17"/>
      <c r="AA317" s="46" t="str">
        <f aca="true">IF(OR(D317="",B317=""),"",INT(TODAY()-B317))</f>
        <v/>
      </c>
      <c r="AB317" s="44" t="str">
        <f aca="true">IF(D317="","",IF(OR(COUNTIFS(Clients!$C$2:$C$501,D317,Clients!$S$2:$S$501,"Paid")&gt;0,AND(H317&lt;&gt;"",COUNTIFS(Clients!$E$2:$E$501,H317,Clients!$S$2:$S$501,"Paid")&gt;0)),"⚠ Refunded before – no free video",IF(OR(R317="Contract signed + paid",R317="Closed – No response",R317="Lost"),"",IF(R317="","Set a stage",IF(AND(R317="Proposal sent",SUMIFS(Scoresheet!$N$2:$N$501,Scoresheet!$C$2:$C$501,A317,Scoresheet!$U$2:$U$501,1)&lt;6),"Score this lead – fill the call scoresheet",IF(N(T317)&gt;=Settings!$S$3,"Close – 4 follow-ups sent",IF(U317="",IF(S317="","Make first contact",""),IF(TODAY()&gt;U317,"OVERDUE follow-up",IF(TODAY()=U317,"Follow up today","")))))))))</f>
        <v/>
      </c>
    </row>
    <row r="318" customFormat="false" ht="15" hidden="false" customHeight="false" outlineLevel="0" collapsed="false">
      <c r="A318" s="17"/>
      <c r="B318" s="40"/>
      <c r="C318" s="17"/>
      <c r="D318" s="17"/>
      <c r="E318" s="17"/>
      <c r="F318" s="17"/>
      <c r="G318" s="17"/>
      <c r="H318" s="42"/>
      <c r="I318" s="17"/>
      <c r="J318" s="17"/>
      <c r="K318" s="17"/>
      <c r="L318" s="17"/>
      <c r="M318" s="17"/>
      <c r="N318" s="44" t="str">
        <f aca="false">IF(OR(D318="",A318="",COUNTIFS(Scoresheet!$C$2:$C$501,A318,Scoresheet!$U$2:$U$501,1)=0),"",SUMIFS(Scoresheet!$O$2:$O$501,Scoresheet!$C$2:$C$501,A318,Scoresheet!$U$2:$U$501,1))</f>
        <v/>
      </c>
      <c r="O318" s="44" t="str">
        <f aca="false">IF(D318="","",IF(OR(A318="",COUNTIFS(Scoresheet!$C$2:$C$501,A318,Scoresheet!$U$2:$U$501,1)=0),"No scoresheet yet",IF(SUMIFS(Scoresheet!$N$2:$N$501,Scoresheet!$C$2:$C$501,A318,Scoresheet!$U$2:$U$501,1)&lt;6,"Partly scored ("&amp;SUMIFS(Scoresheet!$N$2:$N$501,Scoresheet!$C$2:$C$501,A318,Scoresheet!$U$2:$U$501,1)&amp;"/6)",IF(N318&gt;=Settings!$S$8,"Hot",IF(N318&gt;=Settings!$S$9,"Warm","Cold")))))</f>
        <v/>
      </c>
      <c r="P318" s="44" t="str">
        <f aca="false">IF(OR(D318="",A318=""),"",IF(AND(COUNTIFS(Scoresheet!$C$2:$C$501,A318,Scoresheet!$U$2:$U$501,1,Scoresheet!$H$2:$H$501,"No")&gt;0,COUNTIFS(Scoresheet!$C$2:$C$501,A318,Scoresheet!$U$2:$U$501,1,Scoresheet!$J$2:$J$501,"No")&gt;0),"🚩 Budget  ·  🚩 No one on camera",IF(COUNTIFS(Scoresheet!$C$2:$C$501,A318,Scoresheet!$U$2:$U$501,1,Scoresheet!$H$2:$H$501,"No")&gt;0,"🚩 Budget under AED 5k",IF(COUNTIFS(Scoresheet!$C$2:$C$501,A318,Scoresheet!$U$2:$U$501,1,Scoresheet!$J$2:$J$501,"No")&gt;0,"🚩 No one on camera",""))))</f>
        <v/>
      </c>
      <c r="Q318" s="17"/>
      <c r="R318" s="17"/>
      <c r="S318" s="40"/>
      <c r="T318" s="17"/>
      <c r="U318" s="45" t="str">
        <f aca="false">IF(OR(D318="",S318="",OR(R318="Contract signed + paid",R318="Closed – No response",R318="Lost"),N(T318)&gt;=Settings!$S$3),"",S318+Settings!$S$2)</f>
        <v/>
      </c>
      <c r="V318" s="40"/>
      <c r="W318" s="41"/>
      <c r="X318" s="17"/>
      <c r="Y318" s="17"/>
      <c r="Z318" s="17"/>
      <c r="AA318" s="46" t="str">
        <f aca="true">IF(OR(D318="",B318=""),"",INT(TODAY()-B318))</f>
        <v/>
      </c>
      <c r="AB318" s="44" t="str">
        <f aca="true">IF(D318="","",IF(OR(COUNTIFS(Clients!$C$2:$C$501,D318,Clients!$S$2:$S$501,"Paid")&gt;0,AND(H318&lt;&gt;"",COUNTIFS(Clients!$E$2:$E$501,H318,Clients!$S$2:$S$501,"Paid")&gt;0)),"⚠ Refunded before – no free video",IF(OR(R318="Contract signed + paid",R318="Closed – No response",R318="Lost"),"",IF(R318="","Set a stage",IF(AND(R318="Proposal sent",SUMIFS(Scoresheet!$N$2:$N$501,Scoresheet!$C$2:$C$501,A318,Scoresheet!$U$2:$U$501,1)&lt;6),"Score this lead – fill the call scoresheet",IF(N(T318)&gt;=Settings!$S$3,"Close – 4 follow-ups sent",IF(U318="",IF(S318="","Make first contact",""),IF(TODAY()&gt;U318,"OVERDUE follow-up",IF(TODAY()=U318,"Follow up today","")))))))))</f>
        <v/>
      </c>
    </row>
    <row r="319" customFormat="false" ht="15" hidden="false" customHeight="false" outlineLevel="0" collapsed="false">
      <c r="A319" s="17"/>
      <c r="B319" s="40"/>
      <c r="C319" s="17"/>
      <c r="D319" s="17"/>
      <c r="E319" s="17"/>
      <c r="F319" s="17"/>
      <c r="G319" s="17"/>
      <c r="H319" s="42"/>
      <c r="I319" s="17"/>
      <c r="J319" s="17"/>
      <c r="K319" s="17"/>
      <c r="L319" s="17"/>
      <c r="M319" s="17"/>
      <c r="N319" s="44" t="str">
        <f aca="false">IF(OR(D319="",A319="",COUNTIFS(Scoresheet!$C$2:$C$501,A319,Scoresheet!$U$2:$U$501,1)=0),"",SUMIFS(Scoresheet!$O$2:$O$501,Scoresheet!$C$2:$C$501,A319,Scoresheet!$U$2:$U$501,1))</f>
        <v/>
      </c>
      <c r="O319" s="44" t="str">
        <f aca="false">IF(D319="","",IF(OR(A319="",COUNTIFS(Scoresheet!$C$2:$C$501,A319,Scoresheet!$U$2:$U$501,1)=0),"No scoresheet yet",IF(SUMIFS(Scoresheet!$N$2:$N$501,Scoresheet!$C$2:$C$501,A319,Scoresheet!$U$2:$U$501,1)&lt;6,"Partly scored ("&amp;SUMIFS(Scoresheet!$N$2:$N$501,Scoresheet!$C$2:$C$501,A319,Scoresheet!$U$2:$U$501,1)&amp;"/6)",IF(N319&gt;=Settings!$S$8,"Hot",IF(N319&gt;=Settings!$S$9,"Warm","Cold")))))</f>
        <v/>
      </c>
      <c r="P319" s="44" t="str">
        <f aca="false">IF(OR(D319="",A319=""),"",IF(AND(COUNTIFS(Scoresheet!$C$2:$C$501,A319,Scoresheet!$U$2:$U$501,1,Scoresheet!$H$2:$H$501,"No")&gt;0,COUNTIFS(Scoresheet!$C$2:$C$501,A319,Scoresheet!$U$2:$U$501,1,Scoresheet!$J$2:$J$501,"No")&gt;0),"🚩 Budget  ·  🚩 No one on camera",IF(COUNTIFS(Scoresheet!$C$2:$C$501,A319,Scoresheet!$U$2:$U$501,1,Scoresheet!$H$2:$H$501,"No")&gt;0,"🚩 Budget under AED 5k",IF(COUNTIFS(Scoresheet!$C$2:$C$501,A319,Scoresheet!$U$2:$U$501,1,Scoresheet!$J$2:$J$501,"No")&gt;0,"🚩 No one on camera",""))))</f>
        <v/>
      </c>
      <c r="Q319" s="17"/>
      <c r="R319" s="17"/>
      <c r="S319" s="40"/>
      <c r="T319" s="17"/>
      <c r="U319" s="45" t="str">
        <f aca="false">IF(OR(D319="",S319="",OR(R319="Contract signed + paid",R319="Closed – No response",R319="Lost"),N(T319)&gt;=Settings!$S$3),"",S319+Settings!$S$2)</f>
        <v/>
      </c>
      <c r="V319" s="40"/>
      <c r="W319" s="41"/>
      <c r="X319" s="17"/>
      <c r="Y319" s="17"/>
      <c r="Z319" s="17"/>
      <c r="AA319" s="46" t="str">
        <f aca="true">IF(OR(D319="",B319=""),"",INT(TODAY()-B319))</f>
        <v/>
      </c>
      <c r="AB319" s="44" t="str">
        <f aca="true">IF(D319="","",IF(OR(COUNTIFS(Clients!$C$2:$C$501,D319,Clients!$S$2:$S$501,"Paid")&gt;0,AND(H319&lt;&gt;"",COUNTIFS(Clients!$E$2:$E$501,H319,Clients!$S$2:$S$501,"Paid")&gt;0)),"⚠ Refunded before – no free video",IF(OR(R319="Contract signed + paid",R319="Closed – No response",R319="Lost"),"",IF(R319="","Set a stage",IF(AND(R319="Proposal sent",SUMIFS(Scoresheet!$N$2:$N$501,Scoresheet!$C$2:$C$501,A319,Scoresheet!$U$2:$U$501,1)&lt;6),"Score this lead – fill the call scoresheet",IF(N(T319)&gt;=Settings!$S$3,"Close – 4 follow-ups sent",IF(U319="",IF(S319="","Make first contact",""),IF(TODAY()&gt;U319,"OVERDUE follow-up",IF(TODAY()=U319,"Follow up today","")))))))))</f>
        <v/>
      </c>
    </row>
    <row r="320" customFormat="false" ht="15" hidden="false" customHeight="false" outlineLevel="0" collapsed="false">
      <c r="A320" s="17"/>
      <c r="B320" s="40"/>
      <c r="C320" s="17"/>
      <c r="D320" s="17"/>
      <c r="E320" s="17"/>
      <c r="F320" s="17"/>
      <c r="G320" s="17"/>
      <c r="H320" s="42"/>
      <c r="I320" s="17"/>
      <c r="J320" s="17"/>
      <c r="K320" s="17"/>
      <c r="L320" s="17"/>
      <c r="M320" s="17"/>
      <c r="N320" s="44" t="str">
        <f aca="false">IF(OR(D320="",A320="",COUNTIFS(Scoresheet!$C$2:$C$501,A320,Scoresheet!$U$2:$U$501,1)=0),"",SUMIFS(Scoresheet!$O$2:$O$501,Scoresheet!$C$2:$C$501,A320,Scoresheet!$U$2:$U$501,1))</f>
        <v/>
      </c>
      <c r="O320" s="44" t="str">
        <f aca="false">IF(D320="","",IF(OR(A320="",COUNTIFS(Scoresheet!$C$2:$C$501,A320,Scoresheet!$U$2:$U$501,1)=0),"No scoresheet yet",IF(SUMIFS(Scoresheet!$N$2:$N$501,Scoresheet!$C$2:$C$501,A320,Scoresheet!$U$2:$U$501,1)&lt;6,"Partly scored ("&amp;SUMIFS(Scoresheet!$N$2:$N$501,Scoresheet!$C$2:$C$501,A320,Scoresheet!$U$2:$U$501,1)&amp;"/6)",IF(N320&gt;=Settings!$S$8,"Hot",IF(N320&gt;=Settings!$S$9,"Warm","Cold")))))</f>
        <v/>
      </c>
      <c r="P320" s="44" t="str">
        <f aca="false">IF(OR(D320="",A320=""),"",IF(AND(COUNTIFS(Scoresheet!$C$2:$C$501,A320,Scoresheet!$U$2:$U$501,1,Scoresheet!$H$2:$H$501,"No")&gt;0,COUNTIFS(Scoresheet!$C$2:$C$501,A320,Scoresheet!$U$2:$U$501,1,Scoresheet!$J$2:$J$501,"No")&gt;0),"🚩 Budget  ·  🚩 No one on camera",IF(COUNTIFS(Scoresheet!$C$2:$C$501,A320,Scoresheet!$U$2:$U$501,1,Scoresheet!$H$2:$H$501,"No")&gt;0,"🚩 Budget under AED 5k",IF(COUNTIFS(Scoresheet!$C$2:$C$501,A320,Scoresheet!$U$2:$U$501,1,Scoresheet!$J$2:$J$501,"No")&gt;0,"🚩 No one on camera",""))))</f>
        <v/>
      </c>
      <c r="Q320" s="17"/>
      <c r="R320" s="17"/>
      <c r="S320" s="40"/>
      <c r="T320" s="17"/>
      <c r="U320" s="45" t="str">
        <f aca="false">IF(OR(D320="",S320="",OR(R320="Contract signed + paid",R320="Closed – No response",R320="Lost"),N(T320)&gt;=Settings!$S$3),"",S320+Settings!$S$2)</f>
        <v/>
      </c>
      <c r="V320" s="40"/>
      <c r="W320" s="41"/>
      <c r="X320" s="17"/>
      <c r="Y320" s="17"/>
      <c r="Z320" s="17"/>
      <c r="AA320" s="46" t="str">
        <f aca="true">IF(OR(D320="",B320=""),"",INT(TODAY()-B320))</f>
        <v/>
      </c>
      <c r="AB320" s="44" t="str">
        <f aca="true">IF(D320="","",IF(OR(COUNTIFS(Clients!$C$2:$C$501,D320,Clients!$S$2:$S$501,"Paid")&gt;0,AND(H320&lt;&gt;"",COUNTIFS(Clients!$E$2:$E$501,H320,Clients!$S$2:$S$501,"Paid")&gt;0)),"⚠ Refunded before – no free video",IF(OR(R320="Contract signed + paid",R320="Closed – No response",R320="Lost"),"",IF(R320="","Set a stage",IF(AND(R320="Proposal sent",SUMIFS(Scoresheet!$N$2:$N$501,Scoresheet!$C$2:$C$501,A320,Scoresheet!$U$2:$U$501,1)&lt;6),"Score this lead – fill the call scoresheet",IF(N(T320)&gt;=Settings!$S$3,"Close – 4 follow-ups sent",IF(U320="",IF(S320="","Make first contact",""),IF(TODAY()&gt;U320,"OVERDUE follow-up",IF(TODAY()=U320,"Follow up today","")))))))))</f>
        <v/>
      </c>
    </row>
    <row r="321" customFormat="false" ht="15" hidden="false" customHeight="false" outlineLevel="0" collapsed="false">
      <c r="A321" s="17"/>
      <c r="B321" s="40"/>
      <c r="C321" s="17"/>
      <c r="D321" s="17"/>
      <c r="E321" s="17"/>
      <c r="F321" s="17"/>
      <c r="G321" s="17"/>
      <c r="H321" s="42"/>
      <c r="I321" s="17"/>
      <c r="J321" s="17"/>
      <c r="K321" s="17"/>
      <c r="L321" s="17"/>
      <c r="M321" s="17"/>
      <c r="N321" s="44" t="str">
        <f aca="false">IF(OR(D321="",A321="",COUNTIFS(Scoresheet!$C$2:$C$501,A321,Scoresheet!$U$2:$U$501,1)=0),"",SUMIFS(Scoresheet!$O$2:$O$501,Scoresheet!$C$2:$C$501,A321,Scoresheet!$U$2:$U$501,1))</f>
        <v/>
      </c>
      <c r="O321" s="44" t="str">
        <f aca="false">IF(D321="","",IF(OR(A321="",COUNTIFS(Scoresheet!$C$2:$C$501,A321,Scoresheet!$U$2:$U$501,1)=0),"No scoresheet yet",IF(SUMIFS(Scoresheet!$N$2:$N$501,Scoresheet!$C$2:$C$501,A321,Scoresheet!$U$2:$U$501,1)&lt;6,"Partly scored ("&amp;SUMIFS(Scoresheet!$N$2:$N$501,Scoresheet!$C$2:$C$501,A321,Scoresheet!$U$2:$U$501,1)&amp;"/6)",IF(N321&gt;=Settings!$S$8,"Hot",IF(N321&gt;=Settings!$S$9,"Warm","Cold")))))</f>
        <v/>
      </c>
      <c r="P321" s="44" t="str">
        <f aca="false">IF(OR(D321="",A321=""),"",IF(AND(COUNTIFS(Scoresheet!$C$2:$C$501,A321,Scoresheet!$U$2:$U$501,1,Scoresheet!$H$2:$H$501,"No")&gt;0,COUNTIFS(Scoresheet!$C$2:$C$501,A321,Scoresheet!$U$2:$U$501,1,Scoresheet!$J$2:$J$501,"No")&gt;0),"🚩 Budget  ·  🚩 No one on camera",IF(COUNTIFS(Scoresheet!$C$2:$C$501,A321,Scoresheet!$U$2:$U$501,1,Scoresheet!$H$2:$H$501,"No")&gt;0,"🚩 Budget under AED 5k",IF(COUNTIFS(Scoresheet!$C$2:$C$501,A321,Scoresheet!$U$2:$U$501,1,Scoresheet!$J$2:$J$501,"No")&gt;0,"🚩 No one on camera",""))))</f>
        <v/>
      </c>
      <c r="Q321" s="17"/>
      <c r="R321" s="17"/>
      <c r="S321" s="40"/>
      <c r="T321" s="17"/>
      <c r="U321" s="45" t="str">
        <f aca="false">IF(OR(D321="",S321="",OR(R321="Contract signed + paid",R321="Closed – No response",R321="Lost"),N(T321)&gt;=Settings!$S$3),"",S321+Settings!$S$2)</f>
        <v/>
      </c>
      <c r="V321" s="40"/>
      <c r="W321" s="41"/>
      <c r="X321" s="17"/>
      <c r="Y321" s="17"/>
      <c r="Z321" s="17"/>
      <c r="AA321" s="46" t="str">
        <f aca="true">IF(OR(D321="",B321=""),"",INT(TODAY()-B321))</f>
        <v/>
      </c>
      <c r="AB321" s="44" t="str">
        <f aca="true">IF(D321="","",IF(OR(COUNTIFS(Clients!$C$2:$C$501,D321,Clients!$S$2:$S$501,"Paid")&gt;0,AND(H321&lt;&gt;"",COUNTIFS(Clients!$E$2:$E$501,H321,Clients!$S$2:$S$501,"Paid")&gt;0)),"⚠ Refunded before – no free video",IF(OR(R321="Contract signed + paid",R321="Closed – No response",R321="Lost"),"",IF(R321="","Set a stage",IF(AND(R321="Proposal sent",SUMIFS(Scoresheet!$N$2:$N$501,Scoresheet!$C$2:$C$501,A321,Scoresheet!$U$2:$U$501,1)&lt;6),"Score this lead – fill the call scoresheet",IF(N(T321)&gt;=Settings!$S$3,"Close – 4 follow-ups sent",IF(U321="",IF(S321="","Make first contact",""),IF(TODAY()&gt;U321,"OVERDUE follow-up",IF(TODAY()=U321,"Follow up today","")))))))))</f>
        <v/>
      </c>
    </row>
    <row r="322" customFormat="false" ht="15" hidden="false" customHeight="false" outlineLevel="0" collapsed="false">
      <c r="A322" s="17"/>
      <c r="B322" s="40"/>
      <c r="C322" s="17"/>
      <c r="D322" s="17"/>
      <c r="E322" s="17"/>
      <c r="F322" s="17"/>
      <c r="G322" s="17"/>
      <c r="H322" s="42"/>
      <c r="I322" s="17"/>
      <c r="J322" s="17"/>
      <c r="K322" s="17"/>
      <c r="L322" s="17"/>
      <c r="M322" s="17"/>
      <c r="N322" s="44" t="str">
        <f aca="false">IF(OR(D322="",A322="",COUNTIFS(Scoresheet!$C$2:$C$501,A322,Scoresheet!$U$2:$U$501,1)=0),"",SUMIFS(Scoresheet!$O$2:$O$501,Scoresheet!$C$2:$C$501,A322,Scoresheet!$U$2:$U$501,1))</f>
        <v/>
      </c>
      <c r="O322" s="44" t="str">
        <f aca="false">IF(D322="","",IF(OR(A322="",COUNTIFS(Scoresheet!$C$2:$C$501,A322,Scoresheet!$U$2:$U$501,1)=0),"No scoresheet yet",IF(SUMIFS(Scoresheet!$N$2:$N$501,Scoresheet!$C$2:$C$501,A322,Scoresheet!$U$2:$U$501,1)&lt;6,"Partly scored ("&amp;SUMIFS(Scoresheet!$N$2:$N$501,Scoresheet!$C$2:$C$501,A322,Scoresheet!$U$2:$U$501,1)&amp;"/6)",IF(N322&gt;=Settings!$S$8,"Hot",IF(N322&gt;=Settings!$S$9,"Warm","Cold")))))</f>
        <v/>
      </c>
      <c r="P322" s="44" t="str">
        <f aca="false">IF(OR(D322="",A322=""),"",IF(AND(COUNTIFS(Scoresheet!$C$2:$C$501,A322,Scoresheet!$U$2:$U$501,1,Scoresheet!$H$2:$H$501,"No")&gt;0,COUNTIFS(Scoresheet!$C$2:$C$501,A322,Scoresheet!$U$2:$U$501,1,Scoresheet!$J$2:$J$501,"No")&gt;0),"🚩 Budget  ·  🚩 No one on camera",IF(COUNTIFS(Scoresheet!$C$2:$C$501,A322,Scoresheet!$U$2:$U$501,1,Scoresheet!$H$2:$H$501,"No")&gt;0,"🚩 Budget under AED 5k",IF(COUNTIFS(Scoresheet!$C$2:$C$501,A322,Scoresheet!$U$2:$U$501,1,Scoresheet!$J$2:$J$501,"No")&gt;0,"🚩 No one on camera",""))))</f>
        <v/>
      </c>
      <c r="Q322" s="17"/>
      <c r="R322" s="17"/>
      <c r="S322" s="40"/>
      <c r="T322" s="17"/>
      <c r="U322" s="45" t="str">
        <f aca="false">IF(OR(D322="",S322="",OR(R322="Contract signed + paid",R322="Closed – No response",R322="Lost"),N(T322)&gt;=Settings!$S$3),"",S322+Settings!$S$2)</f>
        <v/>
      </c>
      <c r="V322" s="40"/>
      <c r="W322" s="41"/>
      <c r="X322" s="17"/>
      <c r="Y322" s="17"/>
      <c r="Z322" s="17"/>
      <c r="AA322" s="46" t="str">
        <f aca="true">IF(OR(D322="",B322=""),"",INT(TODAY()-B322))</f>
        <v/>
      </c>
      <c r="AB322" s="44" t="str">
        <f aca="true">IF(D322="","",IF(OR(COUNTIFS(Clients!$C$2:$C$501,D322,Clients!$S$2:$S$501,"Paid")&gt;0,AND(H322&lt;&gt;"",COUNTIFS(Clients!$E$2:$E$501,H322,Clients!$S$2:$S$501,"Paid")&gt;0)),"⚠ Refunded before – no free video",IF(OR(R322="Contract signed + paid",R322="Closed – No response",R322="Lost"),"",IF(R322="","Set a stage",IF(AND(R322="Proposal sent",SUMIFS(Scoresheet!$N$2:$N$501,Scoresheet!$C$2:$C$501,A322,Scoresheet!$U$2:$U$501,1)&lt;6),"Score this lead – fill the call scoresheet",IF(N(T322)&gt;=Settings!$S$3,"Close – 4 follow-ups sent",IF(U322="",IF(S322="","Make first contact",""),IF(TODAY()&gt;U322,"OVERDUE follow-up",IF(TODAY()=U322,"Follow up today","")))))))))</f>
        <v/>
      </c>
    </row>
    <row r="323" customFormat="false" ht="15" hidden="false" customHeight="false" outlineLevel="0" collapsed="false">
      <c r="A323" s="17"/>
      <c r="B323" s="40"/>
      <c r="C323" s="17"/>
      <c r="D323" s="17"/>
      <c r="E323" s="17"/>
      <c r="F323" s="17"/>
      <c r="G323" s="17"/>
      <c r="H323" s="42"/>
      <c r="I323" s="17"/>
      <c r="J323" s="17"/>
      <c r="K323" s="17"/>
      <c r="L323" s="17"/>
      <c r="M323" s="17"/>
      <c r="N323" s="44" t="str">
        <f aca="false">IF(OR(D323="",A323="",COUNTIFS(Scoresheet!$C$2:$C$501,A323,Scoresheet!$U$2:$U$501,1)=0),"",SUMIFS(Scoresheet!$O$2:$O$501,Scoresheet!$C$2:$C$501,A323,Scoresheet!$U$2:$U$501,1))</f>
        <v/>
      </c>
      <c r="O323" s="44" t="str">
        <f aca="false">IF(D323="","",IF(OR(A323="",COUNTIFS(Scoresheet!$C$2:$C$501,A323,Scoresheet!$U$2:$U$501,1)=0),"No scoresheet yet",IF(SUMIFS(Scoresheet!$N$2:$N$501,Scoresheet!$C$2:$C$501,A323,Scoresheet!$U$2:$U$501,1)&lt;6,"Partly scored ("&amp;SUMIFS(Scoresheet!$N$2:$N$501,Scoresheet!$C$2:$C$501,A323,Scoresheet!$U$2:$U$501,1)&amp;"/6)",IF(N323&gt;=Settings!$S$8,"Hot",IF(N323&gt;=Settings!$S$9,"Warm","Cold")))))</f>
        <v/>
      </c>
      <c r="P323" s="44" t="str">
        <f aca="false">IF(OR(D323="",A323=""),"",IF(AND(COUNTIFS(Scoresheet!$C$2:$C$501,A323,Scoresheet!$U$2:$U$501,1,Scoresheet!$H$2:$H$501,"No")&gt;0,COUNTIFS(Scoresheet!$C$2:$C$501,A323,Scoresheet!$U$2:$U$501,1,Scoresheet!$J$2:$J$501,"No")&gt;0),"🚩 Budget  ·  🚩 No one on camera",IF(COUNTIFS(Scoresheet!$C$2:$C$501,A323,Scoresheet!$U$2:$U$501,1,Scoresheet!$H$2:$H$501,"No")&gt;0,"🚩 Budget under AED 5k",IF(COUNTIFS(Scoresheet!$C$2:$C$501,A323,Scoresheet!$U$2:$U$501,1,Scoresheet!$J$2:$J$501,"No")&gt;0,"🚩 No one on camera",""))))</f>
        <v/>
      </c>
      <c r="Q323" s="17"/>
      <c r="R323" s="17"/>
      <c r="S323" s="40"/>
      <c r="T323" s="17"/>
      <c r="U323" s="45" t="str">
        <f aca="false">IF(OR(D323="",S323="",OR(R323="Contract signed + paid",R323="Closed – No response",R323="Lost"),N(T323)&gt;=Settings!$S$3),"",S323+Settings!$S$2)</f>
        <v/>
      </c>
      <c r="V323" s="40"/>
      <c r="W323" s="41"/>
      <c r="X323" s="17"/>
      <c r="Y323" s="17"/>
      <c r="Z323" s="17"/>
      <c r="AA323" s="46" t="str">
        <f aca="true">IF(OR(D323="",B323=""),"",INT(TODAY()-B323))</f>
        <v/>
      </c>
      <c r="AB323" s="44" t="str">
        <f aca="true">IF(D323="","",IF(OR(COUNTIFS(Clients!$C$2:$C$501,D323,Clients!$S$2:$S$501,"Paid")&gt;0,AND(H323&lt;&gt;"",COUNTIFS(Clients!$E$2:$E$501,H323,Clients!$S$2:$S$501,"Paid")&gt;0)),"⚠ Refunded before – no free video",IF(OR(R323="Contract signed + paid",R323="Closed – No response",R323="Lost"),"",IF(R323="","Set a stage",IF(AND(R323="Proposal sent",SUMIFS(Scoresheet!$N$2:$N$501,Scoresheet!$C$2:$C$501,A323,Scoresheet!$U$2:$U$501,1)&lt;6),"Score this lead – fill the call scoresheet",IF(N(T323)&gt;=Settings!$S$3,"Close – 4 follow-ups sent",IF(U323="",IF(S323="","Make first contact",""),IF(TODAY()&gt;U323,"OVERDUE follow-up",IF(TODAY()=U323,"Follow up today","")))))))))</f>
        <v/>
      </c>
    </row>
    <row r="324" customFormat="false" ht="15" hidden="false" customHeight="false" outlineLevel="0" collapsed="false">
      <c r="A324" s="17"/>
      <c r="B324" s="40"/>
      <c r="C324" s="17"/>
      <c r="D324" s="17"/>
      <c r="E324" s="17"/>
      <c r="F324" s="17"/>
      <c r="G324" s="17"/>
      <c r="H324" s="42"/>
      <c r="I324" s="17"/>
      <c r="J324" s="17"/>
      <c r="K324" s="17"/>
      <c r="L324" s="17"/>
      <c r="M324" s="17"/>
      <c r="N324" s="44" t="str">
        <f aca="false">IF(OR(D324="",A324="",COUNTIFS(Scoresheet!$C$2:$C$501,A324,Scoresheet!$U$2:$U$501,1)=0),"",SUMIFS(Scoresheet!$O$2:$O$501,Scoresheet!$C$2:$C$501,A324,Scoresheet!$U$2:$U$501,1))</f>
        <v/>
      </c>
      <c r="O324" s="44" t="str">
        <f aca="false">IF(D324="","",IF(OR(A324="",COUNTIFS(Scoresheet!$C$2:$C$501,A324,Scoresheet!$U$2:$U$501,1)=0),"No scoresheet yet",IF(SUMIFS(Scoresheet!$N$2:$N$501,Scoresheet!$C$2:$C$501,A324,Scoresheet!$U$2:$U$501,1)&lt;6,"Partly scored ("&amp;SUMIFS(Scoresheet!$N$2:$N$501,Scoresheet!$C$2:$C$501,A324,Scoresheet!$U$2:$U$501,1)&amp;"/6)",IF(N324&gt;=Settings!$S$8,"Hot",IF(N324&gt;=Settings!$S$9,"Warm","Cold")))))</f>
        <v/>
      </c>
      <c r="P324" s="44" t="str">
        <f aca="false">IF(OR(D324="",A324=""),"",IF(AND(COUNTIFS(Scoresheet!$C$2:$C$501,A324,Scoresheet!$U$2:$U$501,1,Scoresheet!$H$2:$H$501,"No")&gt;0,COUNTIFS(Scoresheet!$C$2:$C$501,A324,Scoresheet!$U$2:$U$501,1,Scoresheet!$J$2:$J$501,"No")&gt;0),"🚩 Budget  ·  🚩 No one on camera",IF(COUNTIFS(Scoresheet!$C$2:$C$501,A324,Scoresheet!$U$2:$U$501,1,Scoresheet!$H$2:$H$501,"No")&gt;0,"🚩 Budget under AED 5k",IF(COUNTIFS(Scoresheet!$C$2:$C$501,A324,Scoresheet!$U$2:$U$501,1,Scoresheet!$J$2:$J$501,"No")&gt;0,"🚩 No one on camera",""))))</f>
        <v/>
      </c>
      <c r="Q324" s="17"/>
      <c r="R324" s="17"/>
      <c r="S324" s="40"/>
      <c r="T324" s="17"/>
      <c r="U324" s="45" t="str">
        <f aca="false">IF(OR(D324="",S324="",OR(R324="Contract signed + paid",R324="Closed – No response",R324="Lost"),N(T324)&gt;=Settings!$S$3),"",S324+Settings!$S$2)</f>
        <v/>
      </c>
      <c r="V324" s="40"/>
      <c r="W324" s="41"/>
      <c r="X324" s="17"/>
      <c r="Y324" s="17"/>
      <c r="Z324" s="17"/>
      <c r="AA324" s="46" t="str">
        <f aca="true">IF(OR(D324="",B324=""),"",INT(TODAY()-B324))</f>
        <v/>
      </c>
      <c r="AB324" s="44" t="str">
        <f aca="true">IF(D324="","",IF(OR(COUNTIFS(Clients!$C$2:$C$501,D324,Clients!$S$2:$S$501,"Paid")&gt;0,AND(H324&lt;&gt;"",COUNTIFS(Clients!$E$2:$E$501,H324,Clients!$S$2:$S$501,"Paid")&gt;0)),"⚠ Refunded before – no free video",IF(OR(R324="Contract signed + paid",R324="Closed – No response",R324="Lost"),"",IF(R324="","Set a stage",IF(AND(R324="Proposal sent",SUMIFS(Scoresheet!$N$2:$N$501,Scoresheet!$C$2:$C$501,A324,Scoresheet!$U$2:$U$501,1)&lt;6),"Score this lead – fill the call scoresheet",IF(N(T324)&gt;=Settings!$S$3,"Close – 4 follow-ups sent",IF(U324="",IF(S324="","Make first contact",""),IF(TODAY()&gt;U324,"OVERDUE follow-up",IF(TODAY()=U324,"Follow up today","")))))))))</f>
        <v/>
      </c>
    </row>
    <row r="325" customFormat="false" ht="15" hidden="false" customHeight="false" outlineLevel="0" collapsed="false">
      <c r="A325" s="17"/>
      <c r="B325" s="40"/>
      <c r="C325" s="17"/>
      <c r="D325" s="17"/>
      <c r="E325" s="17"/>
      <c r="F325" s="17"/>
      <c r="G325" s="17"/>
      <c r="H325" s="42"/>
      <c r="I325" s="17"/>
      <c r="J325" s="17"/>
      <c r="K325" s="17"/>
      <c r="L325" s="17"/>
      <c r="M325" s="17"/>
      <c r="N325" s="44" t="str">
        <f aca="false">IF(OR(D325="",A325="",COUNTIFS(Scoresheet!$C$2:$C$501,A325,Scoresheet!$U$2:$U$501,1)=0),"",SUMIFS(Scoresheet!$O$2:$O$501,Scoresheet!$C$2:$C$501,A325,Scoresheet!$U$2:$U$501,1))</f>
        <v/>
      </c>
      <c r="O325" s="44" t="str">
        <f aca="false">IF(D325="","",IF(OR(A325="",COUNTIFS(Scoresheet!$C$2:$C$501,A325,Scoresheet!$U$2:$U$501,1)=0),"No scoresheet yet",IF(SUMIFS(Scoresheet!$N$2:$N$501,Scoresheet!$C$2:$C$501,A325,Scoresheet!$U$2:$U$501,1)&lt;6,"Partly scored ("&amp;SUMIFS(Scoresheet!$N$2:$N$501,Scoresheet!$C$2:$C$501,A325,Scoresheet!$U$2:$U$501,1)&amp;"/6)",IF(N325&gt;=Settings!$S$8,"Hot",IF(N325&gt;=Settings!$S$9,"Warm","Cold")))))</f>
        <v/>
      </c>
      <c r="P325" s="44" t="str">
        <f aca="false">IF(OR(D325="",A325=""),"",IF(AND(COUNTIFS(Scoresheet!$C$2:$C$501,A325,Scoresheet!$U$2:$U$501,1,Scoresheet!$H$2:$H$501,"No")&gt;0,COUNTIFS(Scoresheet!$C$2:$C$501,A325,Scoresheet!$U$2:$U$501,1,Scoresheet!$J$2:$J$501,"No")&gt;0),"🚩 Budget  ·  🚩 No one on camera",IF(COUNTIFS(Scoresheet!$C$2:$C$501,A325,Scoresheet!$U$2:$U$501,1,Scoresheet!$H$2:$H$501,"No")&gt;0,"🚩 Budget under AED 5k",IF(COUNTIFS(Scoresheet!$C$2:$C$501,A325,Scoresheet!$U$2:$U$501,1,Scoresheet!$J$2:$J$501,"No")&gt;0,"🚩 No one on camera",""))))</f>
        <v/>
      </c>
      <c r="Q325" s="17"/>
      <c r="R325" s="17"/>
      <c r="S325" s="40"/>
      <c r="T325" s="17"/>
      <c r="U325" s="45" t="str">
        <f aca="false">IF(OR(D325="",S325="",OR(R325="Contract signed + paid",R325="Closed – No response",R325="Lost"),N(T325)&gt;=Settings!$S$3),"",S325+Settings!$S$2)</f>
        <v/>
      </c>
      <c r="V325" s="40"/>
      <c r="W325" s="41"/>
      <c r="X325" s="17"/>
      <c r="Y325" s="17"/>
      <c r="Z325" s="17"/>
      <c r="AA325" s="46" t="str">
        <f aca="true">IF(OR(D325="",B325=""),"",INT(TODAY()-B325))</f>
        <v/>
      </c>
      <c r="AB325" s="44" t="str">
        <f aca="true">IF(D325="","",IF(OR(COUNTIFS(Clients!$C$2:$C$501,D325,Clients!$S$2:$S$501,"Paid")&gt;0,AND(H325&lt;&gt;"",COUNTIFS(Clients!$E$2:$E$501,H325,Clients!$S$2:$S$501,"Paid")&gt;0)),"⚠ Refunded before – no free video",IF(OR(R325="Contract signed + paid",R325="Closed – No response",R325="Lost"),"",IF(R325="","Set a stage",IF(AND(R325="Proposal sent",SUMIFS(Scoresheet!$N$2:$N$501,Scoresheet!$C$2:$C$501,A325,Scoresheet!$U$2:$U$501,1)&lt;6),"Score this lead – fill the call scoresheet",IF(N(T325)&gt;=Settings!$S$3,"Close – 4 follow-ups sent",IF(U325="",IF(S325="","Make first contact",""),IF(TODAY()&gt;U325,"OVERDUE follow-up",IF(TODAY()=U325,"Follow up today","")))))))))</f>
        <v/>
      </c>
    </row>
    <row r="326" customFormat="false" ht="15" hidden="false" customHeight="false" outlineLevel="0" collapsed="false">
      <c r="A326" s="17"/>
      <c r="B326" s="40"/>
      <c r="C326" s="17"/>
      <c r="D326" s="17"/>
      <c r="E326" s="17"/>
      <c r="F326" s="17"/>
      <c r="G326" s="17"/>
      <c r="H326" s="42"/>
      <c r="I326" s="17"/>
      <c r="J326" s="17"/>
      <c r="K326" s="17"/>
      <c r="L326" s="17"/>
      <c r="M326" s="17"/>
      <c r="N326" s="44" t="str">
        <f aca="false">IF(OR(D326="",A326="",COUNTIFS(Scoresheet!$C$2:$C$501,A326,Scoresheet!$U$2:$U$501,1)=0),"",SUMIFS(Scoresheet!$O$2:$O$501,Scoresheet!$C$2:$C$501,A326,Scoresheet!$U$2:$U$501,1))</f>
        <v/>
      </c>
      <c r="O326" s="44" t="str">
        <f aca="false">IF(D326="","",IF(OR(A326="",COUNTIFS(Scoresheet!$C$2:$C$501,A326,Scoresheet!$U$2:$U$501,1)=0),"No scoresheet yet",IF(SUMIFS(Scoresheet!$N$2:$N$501,Scoresheet!$C$2:$C$501,A326,Scoresheet!$U$2:$U$501,1)&lt;6,"Partly scored ("&amp;SUMIFS(Scoresheet!$N$2:$N$501,Scoresheet!$C$2:$C$501,A326,Scoresheet!$U$2:$U$501,1)&amp;"/6)",IF(N326&gt;=Settings!$S$8,"Hot",IF(N326&gt;=Settings!$S$9,"Warm","Cold")))))</f>
        <v/>
      </c>
      <c r="P326" s="44" t="str">
        <f aca="false">IF(OR(D326="",A326=""),"",IF(AND(COUNTIFS(Scoresheet!$C$2:$C$501,A326,Scoresheet!$U$2:$U$501,1,Scoresheet!$H$2:$H$501,"No")&gt;0,COUNTIFS(Scoresheet!$C$2:$C$501,A326,Scoresheet!$U$2:$U$501,1,Scoresheet!$J$2:$J$501,"No")&gt;0),"🚩 Budget  ·  🚩 No one on camera",IF(COUNTIFS(Scoresheet!$C$2:$C$501,A326,Scoresheet!$U$2:$U$501,1,Scoresheet!$H$2:$H$501,"No")&gt;0,"🚩 Budget under AED 5k",IF(COUNTIFS(Scoresheet!$C$2:$C$501,A326,Scoresheet!$U$2:$U$501,1,Scoresheet!$J$2:$J$501,"No")&gt;0,"🚩 No one on camera",""))))</f>
        <v/>
      </c>
      <c r="Q326" s="17"/>
      <c r="R326" s="17"/>
      <c r="S326" s="40"/>
      <c r="T326" s="17"/>
      <c r="U326" s="45" t="str">
        <f aca="false">IF(OR(D326="",S326="",OR(R326="Contract signed + paid",R326="Closed – No response",R326="Lost"),N(T326)&gt;=Settings!$S$3),"",S326+Settings!$S$2)</f>
        <v/>
      </c>
      <c r="V326" s="40"/>
      <c r="W326" s="41"/>
      <c r="X326" s="17"/>
      <c r="Y326" s="17"/>
      <c r="Z326" s="17"/>
      <c r="AA326" s="46" t="str">
        <f aca="true">IF(OR(D326="",B326=""),"",INT(TODAY()-B326))</f>
        <v/>
      </c>
      <c r="AB326" s="44" t="str">
        <f aca="true">IF(D326="","",IF(OR(COUNTIFS(Clients!$C$2:$C$501,D326,Clients!$S$2:$S$501,"Paid")&gt;0,AND(H326&lt;&gt;"",COUNTIFS(Clients!$E$2:$E$501,H326,Clients!$S$2:$S$501,"Paid")&gt;0)),"⚠ Refunded before – no free video",IF(OR(R326="Contract signed + paid",R326="Closed – No response",R326="Lost"),"",IF(R326="","Set a stage",IF(AND(R326="Proposal sent",SUMIFS(Scoresheet!$N$2:$N$501,Scoresheet!$C$2:$C$501,A326,Scoresheet!$U$2:$U$501,1)&lt;6),"Score this lead – fill the call scoresheet",IF(N(T326)&gt;=Settings!$S$3,"Close – 4 follow-ups sent",IF(U326="",IF(S326="","Make first contact",""),IF(TODAY()&gt;U326,"OVERDUE follow-up",IF(TODAY()=U326,"Follow up today","")))))))))</f>
        <v/>
      </c>
    </row>
    <row r="327" customFormat="false" ht="15" hidden="false" customHeight="false" outlineLevel="0" collapsed="false">
      <c r="A327" s="17"/>
      <c r="B327" s="40"/>
      <c r="C327" s="17"/>
      <c r="D327" s="17"/>
      <c r="E327" s="17"/>
      <c r="F327" s="17"/>
      <c r="G327" s="17"/>
      <c r="H327" s="42"/>
      <c r="I327" s="17"/>
      <c r="J327" s="17"/>
      <c r="K327" s="17"/>
      <c r="L327" s="17"/>
      <c r="M327" s="17"/>
      <c r="N327" s="44" t="str">
        <f aca="false">IF(OR(D327="",A327="",COUNTIFS(Scoresheet!$C$2:$C$501,A327,Scoresheet!$U$2:$U$501,1)=0),"",SUMIFS(Scoresheet!$O$2:$O$501,Scoresheet!$C$2:$C$501,A327,Scoresheet!$U$2:$U$501,1))</f>
        <v/>
      </c>
      <c r="O327" s="44" t="str">
        <f aca="false">IF(D327="","",IF(OR(A327="",COUNTIFS(Scoresheet!$C$2:$C$501,A327,Scoresheet!$U$2:$U$501,1)=0),"No scoresheet yet",IF(SUMIFS(Scoresheet!$N$2:$N$501,Scoresheet!$C$2:$C$501,A327,Scoresheet!$U$2:$U$501,1)&lt;6,"Partly scored ("&amp;SUMIFS(Scoresheet!$N$2:$N$501,Scoresheet!$C$2:$C$501,A327,Scoresheet!$U$2:$U$501,1)&amp;"/6)",IF(N327&gt;=Settings!$S$8,"Hot",IF(N327&gt;=Settings!$S$9,"Warm","Cold")))))</f>
        <v/>
      </c>
      <c r="P327" s="44" t="str">
        <f aca="false">IF(OR(D327="",A327=""),"",IF(AND(COUNTIFS(Scoresheet!$C$2:$C$501,A327,Scoresheet!$U$2:$U$501,1,Scoresheet!$H$2:$H$501,"No")&gt;0,COUNTIFS(Scoresheet!$C$2:$C$501,A327,Scoresheet!$U$2:$U$501,1,Scoresheet!$J$2:$J$501,"No")&gt;0),"🚩 Budget  ·  🚩 No one on camera",IF(COUNTIFS(Scoresheet!$C$2:$C$501,A327,Scoresheet!$U$2:$U$501,1,Scoresheet!$H$2:$H$501,"No")&gt;0,"🚩 Budget under AED 5k",IF(COUNTIFS(Scoresheet!$C$2:$C$501,A327,Scoresheet!$U$2:$U$501,1,Scoresheet!$J$2:$J$501,"No")&gt;0,"🚩 No one on camera",""))))</f>
        <v/>
      </c>
      <c r="Q327" s="17"/>
      <c r="R327" s="17"/>
      <c r="S327" s="40"/>
      <c r="T327" s="17"/>
      <c r="U327" s="45" t="str">
        <f aca="false">IF(OR(D327="",S327="",OR(R327="Contract signed + paid",R327="Closed – No response",R327="Lost"),N(T327)&gt;=Settings!$S$3),"",S327+Settings!$S$2)</f>
        <v/>
      </c>
      <c r="V327" s="40"/>
      <c r="W327" s="41"/>
      <c r="X327" s="17"/>
      <c r="Y327" s="17"/>
      <c r="Z327" s="17"/>
      <c r="AA327" s="46" t="str">
        <f aca="true">IF(OR(D327="",B327=""),"",INT(TODAY()-B327))</f>
        <v/>
      </c>
      <c r="AB327" s="44" t="str">
        <f aca="true">IF(D327="","",IF(OR(COUNTIFS(Clients!$C$2:$C$501,D327,Clients!$S$2:$S$501,"Paid")&gt;0,AND(H327&lt;&gt;"",COUNTIFS(Clients!$E$2:$E$501,H327,Clients!$S$2:$S$501,"Paid")&gt;0)),"⚠ Refunded before – no free video",IF(OR(R327="Contract signed + paid",R327="Closed – No response",R327="Lost"),"",IF(R327="","Set a stage",IF(AND(R327="Proposal sent",SUMIFS(Scoresheet!$N$2:$N$501,Scoresheet!$C$2:$C$501,A327,Scoresheet!$U$2:$U$501,1)&lt;6),"Score this lead – fill the call scoresheet",IF(N(T327)&gt;=Settings!$S$3,"Close – 4 follow-ups sent",IF(U327="",IF(S327="","Make first contact",""),IF(TODAY()&gt;U327,"OVERDUE follow-up",IF(TODAY()=U327,"Follow up today","")))))))))</f>
        <v/>
      </c>
    </row>
    <row r="328" customFormat="false" ht="15" hidden="false" customHeight="false" outlineLevel="0" collapsed="false">
      <c r="A328" s="17"/>
      <c r="B328" s="40"/>
      <c r="C328" s="17"/>
      <c r="D328" s="17"/>
      <c r="E328" s="17"/>
      <c r="F328" s="17"/>
      <c r="G328" s="17"/>
      <c r="H328" s="42"/>
      <c r="I328" s="17"/>
      <c r="J328" s="17"/>
      <c r="K328" s="17"/>
      <c r="L328" s="17"/>
      <c r="M328" s="17"/>
      <c r="N328" s="44" t="str">
        <f aca="false">IF(OR(D328="",A328="",COUNTIFS(Scoresheet!$C$2:$C$501,A328,Scoresheet!$U$2:$U$501,1)=0),"",SUMIFS(Scoresheet!$O$2:$O$501,Scoresheet!$C$2:$C$501,A328,Scoresheet!$U$2:$U$501,1))</f>
        <v/>
      </c>
      <c r="O328" s="44" t="str">
        <f aca="false">IF(D328="","",IF(OR(A328="",COUNTIFS(Scoresheet!$C$2:$C$501,A328,Scoresheet!$U$2:$U$501,1)=0),"No scoresheet yet",IF(SUMIFS(Scoresheet!$N$2:$N$501,Scoresheet!$C$2:$C$501,A328,Scoresheet!$U$2:$U$501,1)&lt;6,"Partly scored ("&amp;SUMIFS(Scoresheet!$N$2:$N$501,Scoresheet!$C$2:$C$501,A328,Scoresheet!$U$2:$U$501,1)&amp;"/6)",IF(N328&gt;=Settings!$S$8,"Hot",IF(N328&gt;=Settings!$S$9,"Warm","Cold")))))</f>
        <v/>
      </c>
      <c r="P328" s="44" t="str">
        <f aca="false">IF(OR(D328="",A328=""),"",IF(AND(COUNTIFS(Scoresheet!$C$2:$C$501,A328,Scoresheet!$U$2:$U$501,1,Scoresheet!$H$2:$H$501,"No")&gt;0,COUNTIFS(Scoresheet!$C$2:$C$501,A328,Scoresheet!$U$2:$U$501,1,Scoresheet!$J$2:$J$501,"No")&gt;0),"🚩 Budget  ·  🚩 No one on camera",IF(COUNTIFS(Scoresheet!$C$2:$C$501,A328,Scoresheet!$U$2:$U$501,1,Scoresheet!$H$2:$H$501,"No")&gt;0,"🚩 Budget under AED 5k",IF(COUNTIFS(Scoresheet!$C$2:$C$501,A328,Scoresheet!$U$2:$U$501,1,Scoresheet!$J$2:$J$501,"No")&gt;0,"🚩 No one on camera",""))))</f>
        <v/>
      </c>
      <c r="Q328" s="17"/>
      <c r="R328" s="17"/>
      <c r="S328" s="40"/>
      <c r="T328" s="17"/>
      <c r="U328" s="45" t="str">
        <f aca="false">IF(OR(D328="",S328="",OR(R328="Contract signed + paid",R328="Closed – No response",R328="Lost"),N(T328)&gt;=Settings!$S$3),"",S328+Settings!$S$2)</f>
        <v/>
      </c>
      <c r="V328" s="40"/>
      <c r="W328" s="41"/>
      <c r="X328" s="17"/>
      <c r="Y328" s="17"/>
      <c r="Z328" s="17"/>
      <c r="AA328" s="46" t="str">
        <f aca="true">IF(OR(D328="",B328=""),"",INT(TODAY()-B328))</f>
        <v/>
      </c>
      <c r="AB328" s="44" t="str">
        <f aca="true">IF(D328="","",IF(OR(COUNTIFS(Clients!$C$2:$C$501,D328,Clients!$S$2:$S$501,"Paid")&gt;0,AND(H328&lt;&gt;"",COUNTIFS(Clients!$E$2:$E$501,H328,Clients!$S$2:$S$501,"Paid")&gt;0)),"⚠ Refunded before – no free video",IF(OR(R328="Contract signed + paid",R328="Closed – No response",R328="Lost"),"",IF(R328="","Set a stage",IF(AND(R328="Proposal sent",SUMIFS(Scoresheet!$N$2:$N$501,Scoresheet!$C$2:$C$501,A328,Scoresheet!$U$2:$U$501,1)&lt;6),"Score this lead – fill the call scoresheet",IF(N(T328)&gt;=Settings!$S$3,"Close – 4 follow-ups sent",IF(U328="",IF(S328="","Make first contact",""),IF(TODAY()&gt;U328,"OVERDUE follow-up",IF(TODAY()=U328,"Follow up today","")))))))))</f>
        <v/>
      </c>
    </row>
    <row r="329" customFormat="false" ht="15" hidden="false" customHeight="false" outlineLevel="0" collapsed="false">
      <c r="A329" s="17"/>
      <c r="B329" s="40"/>
      <c r="C329" s="17"/>
      <c r="D329" s="17"/>
      <c r="E329" s="17"/>
      <c r="F329" s="17"/>
      <c r="G329" s="17"/>
      <c r="H329" s="42"/>
      <c r="I329" s="17"/>
      <c r="J329" s="17"/>
      <c r="K329" s="17"/>
      <c r="L329" s="17"/>
      <c r="M329" s="17"/>
      <c r="N329" s="44" t="str">
        <f aca="false">IF(OR(D329="",A329="",COUNTIFS(Scoresheet!$C$2:$C$501,A329,Scoresheet!$U$2:$U$501,1)=0),"",SUMIFS(Scoresheet!$O$2:$O$501,Scoresheet!$C$2:$C$501,A329,Scoresheet!$U$2:$U$501,1))</f>
        <v/>
      </c>
      <c r="O329" s="44" t="str">
        <f aca="false">IF(D329="","",IF(OR(A329="",COUNTIFS(Scoresheet!$C$2:$C$501,A329,Scoresheet!$U$2:$U$501,1)=0),"No scoresheet yet",IF(SUMIFS(Scoresheet!$N$2:$N$501,Scoresheet!$C$2:$C$501,A329,Scoresheet!$U$2:$U$501,1)&lt;6,"Partly scored ("&amp;SUMIFS(Scoresheet!$N$2:$N$501,Scoresheet!$C$2:$C$501,A329,Scoresheet!$U$2:$U$501,1)&amp;"/6)",IF(N329&gt;=Settings!$S$8,"Hot",IF(N329&gt;=Settings!$S$9,"Warm","Cold")))))</f>
        <v/>
      </c>
      <c r="P329" s="44" t="str">
        <f aca="false">IF(OR(D329="",A329=""),"",IF(AND(COUNTIFS(Scoresheet!$C$2:$C$501,A329,Scoresheet!$U$2:$U$501,1,Scoresheet!$H$2:$H$501,"No")&gt;0,COUNTIFS(Scoresheet!$C$2:$C$501,A329,Scoresheet!$U$2:$U$501,1,Scoresheet!$J$2:$J$501,"No")&gt;0),"🚩 Budget  ·  🚩 No one on camera",IF(COUNTIFS(Scoresheet!$C$2:$C$501,A329,Scoresheet!$U$2:$U$501,1,Scoresheet!$H$2:$H$501,"No")&gt;0,"🚩 Budget under AED 5k",IF(COUNTIFS(Scoresheet!$C$2:$C$501,A329,Scoresheet!$U$2:$U$501,1,Scoresheet!$J$2:$J$501,"No")&gt;0,"🚩 No one on camera",""))))</f>
        <v/>
      </c>
      <c r="Q329" s="17"/>
      <c r="R329" s="17"/>
      <c r="S329" s="40"/>
      <c r="T329" s="17"/>
      <c r="U329" s="45" t="str">
        <f aca="false">IF(OR(D329="",S329="",OR(R329="Contract signed + paid",R329="Closed – No response",R329="Lost"),N(T329)&gt;=Settings!$S$3),"",S329+Settings!$S$2)</f>
        <v/>
      </c>
      <c r="V329" s="40"/>
      <c r="W329" s="41"/>
      <c r="X329" s="17"/>
      <c r="Y329" s="17"/>
      <c r="Z329" s="17"/>
      <c r="AA329" s="46" t="str">
        <f aca="true">IF(OR(D329="",B329=""),"",INT(TODAY()-B329))</f>
        <v/>
      </c>
      <c r="AB329" s="44" t="str">
        <f aca="true">IF(D329="","",IF(OR(COUNTIFS(Clients!$C$2:$C$501,D329,Clients!$S$2:$S$501,"Paid")&gt;0,AND(H329&lt;&gt;"",COUNTIFS(Clients!$E$2:$E$501,H329,Clients!$S$2:$S$501,"Paid")&gt;0)),"⚠ Refunded before – no free video",IF(OR(R329="Contract signed + paid",R329="Closed – No response",R329="Lost"),"",IF(R329="","Set a stage",IF(AND(R329="Proposal sent",SUMIFS(Scoresheet!$N$2:$N$501,Scoresheet!$C$2:$C$501,A329,Scoresheet!$U$2:$U$501,1)&lt;6),"Score this lead – fill the call scoresheet",IF(N(T329)&gt;=Settings!$S$3,"Close – 4 follow-ups sent",IF(U329="",IF(S329="","Make first contact",""),IF(TODAY()&gt;U329,"OVERDUE follow-up",IF(TODAY()=U329,"Follow up today","")))))))))</f>
        <v/>
      </c>
    </row>
    <row r="330" customFormat="false" ht="15" hidden="false" customHeight="false" outlineLevel="0" collapsed="false">
      <c r="A330" s="17"/>
      <c r="B330" s="40"/>
      <c r="C330" s="17"/>
      <c r="D330" s="17"/>
      <c r="E330" s="17"/>
      <c r="F330" s="17"/>
      <c r="G330" s="17"/>
      <c r="H330" s="42"/>
      <c r="I330" s="17"/>
      <c r="J330" s="17"/>
      <c r="K330" s="17"/>
      <c r="L330" s="17"/>
      <c r="M330" s="17"/>
      <c r="N330" s="44" t="str">
        <f aca="false">IF(OR(D330="",A330="",COUNTIFS(Scoresheet!$C$2:$C$501,A330,Scoresheet!$U$2:$U$501,1)=0),"",SUMIFS(Scoresheet!$O$2:$O$501,Scoresheet!$C$2:$C$501,A330,Scoresheet!$U$2:$U$501,1))</f>
        <v/>
      </c>
      <c r="O330" s="44" t="str">
        <f aca="false">IF(D330="","",IF(OR(A330="",COUNTIFS(Scoresheet!$C$2:$C$501,A330,Scoresheet!$U$2:$U$501,1)=0),"No scoresheet yet",IF(SUMIFS(Scoresheet!$N$2:$N$501,Scoresheet!$C$2:$C$501,A330,Scoresheet!$U$2:$U$501,1)&lt;6,"Partly scored ("&amp;SUMIFS(Scoresheet!$N$2:$N$501,Scoresheet!$C$2:$C$501,A330,Scoresheet!$U$2:$U$501,1)&amp;"/6)",IF(N330&gt;=Settings!$S$8,"Hot",IF(N330&gt;=Settings!$S$9,"Warm","Cold")))))</f>
        <v/>
      </c>
      <c r="P330" s="44" t="str">
        <f aca="false">IF(OR(D330="",A330=""),"",IF(AND(COUNTIFS(Scoresheet!$C$2:$C$501,A330,Scoresheet!$U$2:$U$501,1,Scoresheet!$H$2:$H$501,"No")&gt;0,COUNTIFS(Scoresheet!$C$2:$C$501,A330,Scoresheet!$U$2:$U$501,1,Scoresheet!$J$2:$J$501,"No")&gt;0),"🚩 Budget  ·  🚩 No one on camera",IF(COUNTIFS(Scoresheet!$C$2:$C$501,A330,Scoresheet!$U$2:$U$501,1,Scoresheet!$H$2:$H$501,"No")&gt;0,"🚩 Budget under AED 5k",IF(COUNTIFS(Scoresheet!$C$2:$C$501,A330,Scoresheet!$U$2:$U$501,1,Scoresheet!$J$2:$J$501,"No")&gt;0,"🚩 No one on camera",""))))</f>
        <v/>
      </c>
      <c r="Q330" s="17"/>
      <c r="R330" s="17"/>
      <c r="S330" s="40"/>
      <c r="T330" s="17"/>
      <c r="U330" s="45" t="str">
        <f aca="false">IF(OR(D330="",S330="",OR(R330="Contract signed + paid",R330="Closed – No response",R330="Lost"),N(T330)&gt;=Settings!$S$3),"",S330+Settings!$S$2)</f>
        <v/>
      </c>
      <c r="V330" s="40"/>
      <c r="W330" s="41"/>
      <c r="X330" s="17"/>
      <c r="Y330" s="17"/>
      <c r="Z330" s="17"/>
      <c r="AA330" s="46" t="str">
        <f aca="true">IF(OR(D330="",B330=""),"",INT(TODAY()-B330))</f>
        <v/>
      </c>
      <c r="AB330" s="44" t="str">
        <f aca="true">IF(D330="","",IF(OR(COUNTIFS(Clients!$C$2:$C$501,D330,Clients!$S$2:$S$501,"Paid")&gt;0,AND(H330&lt;&gt;"",COUNTIFS(Clients!$E$2:$E$501,H330,Clients!$S$2:$S$501,"Paid")&gt;0)),"⚠ Refunded before – no free video",IF(OR(R330="Contract signed + paid",R330="Closed – No response",R330="Lost"),"",IF(R330="","Set a stage",IF(AND(R330="Proposal sent",SUMIFS(Scoresheet!$N$2:$N$501,Scoresheet!$C$2:$C$501,A330,Scoresheet!$U$2:$U$501,1)&lt;6),"Score this lead – fill the call scoresheet",IF(N(T330)&gt;=Settings!$S$3,"Close – 4 follow-ups sent",IF(U330="",IF(S330="","Make first contact",""),IF(TODAY()&gt;U330,"OVERDUE follow-up",IF(TODAY()=U330,"Follow up today","")))))))))</f>
        <v/>
      </c>
    </row>
    <row r="331" customFormat="false" ht="15" hidden="false" customHeight="false" outlineLevel="0" collapsed="false">
      <c r="A331" s="17"/>
      <c r="B331" s="40"/>
      <c r="C331" s="17"/>
      <c r="D331" s="17"/>
      <c r="E331" s="17"/>
      <c r="F331" s="17"/>
      <c r="G331" s="17"/>
      <c r="H331" s="42"/>
      <c r="I331" s="17"/>
      <c r="J331" s="17"/>
      <c r="K331" s="17"/>
      <c r="L331" s="17"/>
      <c r="M331" s="17"/>
      <c r="N331" s="44" t="str">
        <f aca="false">IF(OR(D331="",A331="",COUNTIFS(Scoresheet!$C$2:$C$501,A331,Scoresheet!$U$2:$U$501,1)=0),"",SUMIFS(Scoresheet!$O$2:$O$501,Scoresheet!$C$2:$C$501,A331,Scoresheet!$U$2:$U$501,1))</f>
        <v/>
      </c>
      <c r="O331" s="44" t="str">
        <f aca="false">IF(D331="","",IF(OR(A331="",COUNTIFS(Scoresheet!$C$2:$C$501,A331,Scoresheet!$U$2:$U$501,1)=0),"No scoresheet yet",IF(SUMIFS(Scoresheet!$N$2:$N$501,Scoresheet!$C$2:$C$501,A331,Scoresheet!$U$2:$U$501,1)&lt;6,"Partly scored ("&amp;SUMIFS(Scoresheet!$N$2:$N$501,Scoresheet!$C$2:$C$501,A331,Scoresheet!$U$2:$U$501,1)&amp;"/6)",IF(N331&gt;=Settings!$S$8,"Hot",IF(N331&gt;=Settings!$S$9,"Warm","Cold")))))</f>
        <v/>
      </c>
      <c r="P331" s="44" t="str">
        <f aca="false">IF(OR(D331="",A331=""),"",IF(AND(COUNTIFS(Scoresheet!$C$2:$C$501,A331,Scoresheet!$U$2:$U$501,1,Scoresheet!$H$2:$H$501,"No")&gt;0,COUNTIFS(Scoresheet!$C$2:$C$501,A331,Scoresheet!$U$2:$U$501,1,Scoresheet!$J$2:$J$501,"No")&gt;0),"🚩 Budget  ·  🚩 No one on camera",IF(COUNTIFS(Scoresheet!$C$2:$C$501,A331,Scoresheet!$U$2:$U$501,1,Scoresheet!$H$2:$H$501,"No")&gt;0,"🚩 Budget under AED 5k",IF(COUNTIFS(Scoresheet!$C$2:$C$501,A331,Scoresheet!$U$2:$U$501,1,Scoresheet!$J$2:$J$501,"No")&gt;0,"🚩 No one on camera",""))))</f>
        <v/>
      </c>
      <c r="Q331" s="17"/>
      <c r="R331" s="17"/>
      <c r="S331" s="40"/>
      <c r="T331" s="17"/>
      <c r="U331" s="45" t="str">
        <f aca="false">IF(OR(D331="",S331="",OR(R331="Contract signed + paid",R331="Closed – No response",R331="Lost"),N(T331)&gt;=Settings!$S$3),"",S331+Settings!$S$2)</f>
        <v/>
      </c>
      <c r="V331" s="40"/>
      <c r="W331" s="41"/>
      <c r="X331" s="17"/>
      <c r="Y331" s="17"/>
      <c r="Z331" s="17"/>
      <c r="AA331" s="46" t="str">
        <f aca="true">IF(OR(D331="",B331=""),"",INT(TODAY()-B331))</f>
        <v/>
      </c>
      <c r="AB331" s="44" t="str">
        <f aca="true">IF(D331="","",IF(OR(COUNTIFS(Clients!$C$2:$C$501,D331,Clients!$S$2:$S$501,"Paid")&gt;0,AND(H331&lt;&gt;"",COUNTIFS(Clients!$E$2:$E$501,H331,Clients!$S$2:$S$501,"Paid")&gt;0)),"⚠ Refunded before – no free video",IF(OR(R331="Contract signed + paid",R331="Closed – No response",R331="Lost"),"",IF(R331="","Set a stage",IF(AND(R331="Proposal sent",SUMIFS(Scoresheet!$N$2:$N$501,Scoresheet!$C$2:$C$501,A331,Scoresheet!$U$2:$U$501,1)&lt;6),"Score this lead – fill the call scoresheet",IF(N(T331)&gt;=Settings!$S$3,"Close – 4 follow-ups sent",IF(U331="",IF(S331="","Make first contact",""),IF(TODAY()&gt;U331,"OVERDUE follow-up",IF(TODAY()=U331,"Follow up today","")))))))))</f>
        <v/>
      </c>
    </row>
    <row r="332" customFormat="false" ht="15" hidden="false" customHeight="false" outlineLevel="0" collapsed="false">
      <c r="A332" s="17"/>
      <c r="B332" s="40"/>
      <c r="C332" s="17"/>
      <c r="D332" s="17"/>
      <c r="E332" s="17"/>
      <c r="F332" s="17"/>
      <c r="G332" s="17"/>
      <c r="H332" s="42"/>
      <c r="I332" s="17"/>
      <c r="J332" s="17"/>
      <c r="K332" s="17"/>
      <c r="L332" s="17"/>
      <c r="M332" s="17"/>
      <c r="N332" s="44" t="str">
        <f aca="false">IF(OR(D332="",A332="",COUNTIFS(Scoresheet!$C$2:$C$501,A332,Scoresheet!$U$2:$U$501,1)=0),"",SUMIFS(Scoresheet!$O$2:$O$501,Scoresheet!$C$2:$C$501,A332,Scoresheet!$U$2:$U$501,1))</f>
        <v/>
      </c>
      <c r="O332" s="44" t="str">
        <f aca="false">IF(D332="","",IF(OR(A332="",COUNTIFS(Scoresheet!$C$2:$C$501,A332,Scoresheet!$U$2:$U$501,1)=0),"No scoresheet yet",IF(SUMIFS(Scoresheet!$N$2:$N$501,Scoresheet!$C$2:$C$501,A332,Scoresheet!$U$2:$U$501,1)&lt;6,"Partly scored ("&amp;SUMIFS(Scoresheet!$N$2:$N$501,Scoresheet!$C$2:$C$501,A332,Scoresheet!$U$2:$U$501,1)&amp;"/6)",IF(N332&gt;=Settings!$S$8,"Hot",IF(N332&gt;=Settings!$S$9,"Warm","Cold")))))</f>
        <v/>
      </c>
      <c r="P332" s="44" t="str">
        <f aca="false">IF(OR(D332="",A332=""),"",IF(AND(COUNTIFS(Scoresheet!$C$2:$C$501,A332,Scoresheet!$U$2:$U$501,1,Scoresheet!$H$2:$H$501,"No")&gt;0,COUNTIFS(Scoresheet!$C$2:$C$501,A332,Scoresheet!$U$2:$U$501,1,Scoresheet!$J$2:$J$501,"No")&gt;0),"🚩 Budget  ·  🚩 No one on camera",IF(COUNTIFS(Scoresheet!$C$2:$C$501,A332,Scoresheet!$U$2:$U$501,1,Scoresheet!$H$2:$H$501,"No")&gt;0,"🚩 Budget under AED 5k",IF(COUNTIFS(Scoresheet!$C$2:$C$501,A332,Scoresheet!$U$2:$U$501,1,Scoresheet!$J$2:$J$501,"No")&gt;0,"🚩 No one on camera",""))))</f>
        <v/>
      </c>
      <c r="Q332" s="17"/>
      <c r="R332" s="17"/>
      <c r="S332" s="40"/>
      <c r="T332" s="17"/>
      <c r="U332" s="45" t="str">
        <f aca="false">IF(OR(D332="",S332="",OR(R332="Contract signed + paid",R332="Closed – No response",R332="Lost"),N(T332)&gt;=Settings!$S$3),"",S332+Settings!$S$2)</f>
        <v/>
      </c>
      <c r="V332" s="40"/>
      <c r="W332" s="41"/>
      <c r="X332" s="17"/>
      <c r="Y332" s="17"/>
      <c r="Z332" s="17"/>
      <c r="AA332" s="46" t="str">
        <f aca="true">IF(OR(D332="",B332=""),"",INT(TODAY()-B332))</f>
        <v/>
      </c>
      <c r="AB332" s="44" t="str">
        <f aca="true">IF(D332="","",IF(OR(COUNTIFS(Clients!$C$2:$C$501,D332,Clients!$S$2:$S$501,"Paid")&gt;0,AND(H332&lt;&gt;"",COUNTIFS(Clients!$E$2:$E$501,H332,Clients!$S$2:$S$501,"Paid")&gt;0)),"⚠ Refunded before – no free video",IF(OR(R332="Contract signed + paid",R332="Closed – No response",R332="Lost"),"",IF(R332="","Set a stage",IF(AND(R332="Proposal sent",SUMIFS(Scoresheet!$N$2:$N$501,Scoresheet!$C$2:$C$501,A332,Scoresheet!$U$2:$U$501,1)&lt;6),"Score this lead – fill the call scoresheet",IF(N(T332)&gt;=Settings!$S$3,"Close – 4 follow-ups sent",IF(U332="",IF(S332="","Make first contact",""),IF(TODAY()&gt;U332,"OVERDUE follow-up",IF(TODAY()=U332,"Follow up today","")))))))))</f>
        <v/>
      </c>
    </row>
    <row r="333" customFormat="false" ht="15" hidden="false" customHeight="false" outlineLevel="0" collapsed="false">
      <c r="A333" s="17"/>
      <c r="B333" s="40"/>
      <c r="C333" s="17"/>
      <c r="D333" s="17"/>
      <c r="E333" s="17"/>
      <c r="F333" s="17"/>
      <c r="G333" s="17"/>
      <c r="H333" s="42"/>
      <c r="I333" s="17"/>
      <c r="J333" s="17"/>
      <c r="K333" s="17"/>
      <c r="L333" s="17"/>
      <c r="M333" s="17"/>
      <c r="N333" s="44" t="str">
        <f aca="false">IF(OR(D333="",A333="",COUNTIFS(Scoresheet!$C$2:$C$501,A333,Scoresheet!$U$2:$U$501,1)=0),"",SUMIFS(Scoresheet!$O$2:$O$501,Scoresheet!$C$2:$C$501,A333,Scoresheet!$U$2:$U$501,1))</f>
        <v/>
      </c>
      <c r="O333" s="44" t="str">
        <f aca="false">IF(D333="","",IF(OR(A333="",COUNTIFS(Scoresheet!$C$2:$C$501,A333,Scoresheet!$U$2:$U$501,1)=0),"No scoresheet yet",IF(SUMIFS(Scoresheet!$N$2:$N$501,Scoresheet!$C$2:$C$501,A333,Scoresheet!$U$2:$U$501,1)&lt;6,"Partly scored ("&amp;SUMIFS(Scoresheet!$N$2:$N$501,Scoresheet!$C$2:$C$501,A333,Scoresheet!$U$2:$U$501,1)&amp;"/6)",IF(N333&gt;=Settings!$S$8,"Hot",IF(N333&gt;=Settings!$S$9,"Warm","Cold")))))</f>
        <v/>
      </c>
      <c r="P333" s="44" t="str">
        <f aca="false">IF(OR(D333="",A333=""),"",IF(AND(COUNTIFS(Scoresheet!$C$2:$C$501,A333,Scoresheet!$U$2:$U$501,1,Scoresheet!$H$2:$H$501,"No")&gt;0,COUNTIFS(Scoresheet!$C$2:$C$501,A333,Scoresheet!$U$2:$U$501,1,Scoresheet!$J$2:$J$501,"No")&gt;0),"🚩 Budget  ·  🚩 No one on camera",IF(COUNTIFS(Scoresheet!$C$2:$C$501,A333,Scoresheet!$U$2:$U$501,1,Scoresheet!$H$2:$H$501,"No")&gt;0,"🚩 Budget under AED 5k",IF(COUNTIFS(Scoresheet!$C$2:$C$501,A333,Scoresheet!$U$2:$U$501,1,Scoresheet!$J$2:$J$501,"No")&gt;0,"🚩 No one on camera",""))))</f>
        <v/>
      </c>
      <c r="Q333" s="17"/>
      <c r="R333" s="17"/>
      <c r="S333" s="40"/>
      <c r="T333" s="17"/>
      <c r="U333" s="45" t="str">
        <f aca="false">IF(OR(D333="",S333="",OR(R333="Contract signed + paid",R333="Closed – No response",R333="Lost"),N(T333)&gt;=Settings!$S$3),"",S333+Settings!$S$2)</f>
        <v/>
      </c>
      <c r="V333" s="40"/>
      <c r="W333" s="41"/>
      <c r="X333" s="17"/>
      <c r="Y333" s="17"/>
      <c r="Z333" s="17"/>
      <c r="AA333" s="46" t="str">
        <f aca="true">IF(OR(D333="",B333=""),"",INT(TODAY()-B333))</f>
        <v/>
      </c>
      <c r="AB333" s="44" t="str">
        <f aca="true">IF(D333="","",IF(OR(COUNTIFS(Clients!$C$2:$C$501,D333,Clients!$S$2:$S$501,"Paid")&gt;0,AND(H333&lt;&gt;"",COUNTIFS(Clients!$E$2:$E$501,H333,Clients!$S$2:$S$501,"Paid")&gt;0)),"⚠ Refunded before – no free video",IF(OR(R333="Contract signed + paid",R333="Closed – No response",R333="Lost"),"",IF(R333="","Set a stage",IF(AND(R333="Proposal sent",SUMIFS(Scoresheet!$N$2:$N$501,Scoresheet!$C$2:$C$501,A333,Scoresheet!$U$2:$U$501,1)&lt;6),"Score this lead – fill the call scoresheet",IF(N(T333)&gt;=Settings!$S$3,"Close – 4 follow-ups sent",IF(U333="",IF(S333="","Make first contact",""),IF(TODAY()&gt;U333,"OVERDUE follow-up",IF(TODAY()=U333,"Follow up today","")))))))))</f>
        <v/>
      </c>
    </row>
    <row r="334" customFormat="false" ht="15" hidden="false" customHeight="false" outlineLevel="0" collapsed="false">
      <c r="A334" s="17"/>
      <c r="B334" s="40"/>
      <c r="C334" s="17"/>
      <c r="D334" s="17"/>
      <c r="E334" s="17"/>
      <c r="F334" s="17"/>
      <c r="G334" s="17"/>
      <c r="H334" s="42"/>
      <c r="I334" s="17"/>
      <c r="J334" s="17"/>
      <c r="K334" s="17"/>
      <c r="L334" s="17"/>
      <c r="M334" s="17"/>
      <c r="N334" s="44" t="str">
        <f aca="false">IF(OR(D334="",A334="",COUNTIFS(Scoresheet!$C$2:$C$501,A334,Scoresheet!$U$2:$U$501,1)=0),"",SUMIFS(Scoresheet!$O$2:$O$501,Scoresheet!$C$2:$C$501,A334,Scoresheet!$U$2:$U$501,1))</f>
        <v/>
      </c>
      <c r="O334" s="44" t="str">
        <f aca="false">IF(D334="","",IF(OR(A334="",COUNTIFS(Scoresheet!$C$2:$C$501,A334,Scoresheet!$U$2:$U$501,1)=0),"No scoresheet yet",IF(SUMIFS(Scoresheet!$N$2:$N$501,Scoresheet!$C$2:$C$501,A334,Scoresheet!$U$2:$U$501,1)&lt;6,"Partly scored ("&amp;SUMIFS(Scoresheet!$N$2:$N$501,Scoresheet!$C$2:$C$501,A334,Scoresheet!$U$2:$U$501,1)&amp;"/6)",IF(N334&gt;=Settings!$S$8,"Hot",IF(N334&gt;=Settings!$S$9,"Warm","Cold")))))</f>
        <v/>
      </c>
      <c r="P334" s="44" t="str">
        <f aca="false">IF(OR(D334="",A334=""),"",IF(AND(COUNTIFS(Scoresheet!$C$2:$C$501,A334,Scoresheet!$U$2:$U$501,1,Scoresheet!$H$2:$H$501,"No")&gt;0,COUNTIFS(Scoresheet!$C$2:$C$501,A334,Scoresheet!$U$2:$U$501,1,Scoresheet!$J$2:$J$501,"No")&gt;0),"🚩 Budget  ·  🚩 No one on camera",IF(COUNTIFS(Scoresheet!$C$2:$C$501,A334,Scoresheet!$U$2:$U$501,1,Scoresheet!$H$2:$H$501,"No")&gt;0,"🚩 Budget under AED 5k",IF(COUNTIFS(Scoresheet!$C$2:$C$501,A334,Scoresheet!$U$2:$U$501,1,Scoresheet!$J$2:$J$501,"No")&gt;0,"🚩 No one on camera",""))))</f>
        <v/>
      </c>
      <c r="Q334" s="17"/>
      <c r="R334" s="17"/>
      <c r="S334" s="40"/>
      <c r="T334" s="17"/>
      <c r="U334" s="45" t="str">
        <f aca="false">IF(OR(D334="",S334="",OR(R334="Contract signed + paid",R334="Closed – No response",R334="Lost"),N(T334)&gt;=Settings!$S$3),"",S334+Settings!$S$2)</f>
        <v/>
      </c>
      <c r="V334" s="40"/>
      <c r="W334" s="41"/>
      <c r="X334" s="17"/>
      <c r="Y334" s="17"/>
      <c r="Z334" s="17"/>
      <c r="AA334" s="46" t="str">
        <f aca="true">IF(OR(D334="",B334=""),"",INT(TODAY()-B334))</f>
        <v/>
      </c>
      <c r="AB334" s="44" t="str">
        <f aca="true">IF(D334="","",IF(OR(COUNTIFS(Clients!$C$2:$C$501,D334,Clients!$S$2:$S$501,"Paid")&gt;0,AND(H334&lt;&gt;"",COUNTIFS(Clients!$E$2:$E$501,H334,Clients!$S$2:$S$501,"Paid")&gt;0)),"⚠ Refunded before – no free video",IF(OR(R334="Contract signed + paid",R334="Closed – No response",R334="Lost"),"",IF(R334="","Set a stage",IF(AND(R334="Proposal sent",SUMIFS(Scoresheet!$N$2:$N$501,Scoresheet!$C$2:$C$501,A334,Scoresheet!$U$2:$U$501,1)&lt;6),"Score this lead – fill the call scoresheet",IF(N(T334)&gt;=Settings!$S$3,"Close – 4 follow-ups sent",IF(U334="",IF(S334="","Make first contact",""),IF(TODAY()&gt;U334,"OVERDUE follow-up",IF(TODAY()=U334,"Follow up today","")))))))))</f>
        <v/>
      </c>
    </row>
    <row r="335" customFormat="false" ht="15" hidden="false" customHeight="false" outlineLevel="0" collapsed="false">
      <c r="A335" s="17"/>
      <c r="B335" s="40"/>
      <c r="C335" s="17"/>
      <c r="D335" s="17"/>
      <c r="E335" s="17"/>
      <c r="F335" s="17"/>
      <c r="G335" s="17"/>
      <c r="H335" s="42"/>
      <c r="I335" s="17"/>
      <c r="J335" s="17"/>
      <c r="K335" s="17"/>
      <c r="L335" s="17"/>
      <c r="M335" s="17"/>
      <c r="N335" s="44" t="str">
        <f aca="false">IF(OR(D335="",A335="",COUNTIFS(Scoresheet!$C$2:$C$501,A335,Scoresheet!$U$2:$U$501,1)=0),"",SUMIFS(Scoresheet!$O$2:$O$501,Scoresheet!$C$2:$C$501,A335,Scoresheet!$U$2:$U$501,1))</f>
        <v/>
      </c>
      <c r="O335" s="44" t="str">
        <f aca="false">IF(D335="","",IF(OR(A335="",COUNTIFS(Scoresheet!$C$2:$C$501,A335,Scoresheet!$U$2:$U$501,1)=0),"No scoresheet yet",IF(SUMIFS(Scoresheet!$N$2:$N$501,Scoresheet!$C$2:$C$501,A335,Scoresheet!$U$2:$U$501,1)&lt;6,"Partly scored ("&amp;SUMIFS(Scoresheet!$N$2:$N$501,Scoresheet!$C$2:$C$501,A335,Scoresheet!$U$2:$U$501,1)&amp;"/6)",IF(N335&gt;=Settings!$S$8,"Hot",IF(N335&gt;=Settings!$S$9,"Warm","Cold")))))</f>
        <v/>
      </c>
      <c r="P335" s="44" t="str">
        <f aca="false">IF(OR(D335="",A335=""),"",IF(AND(COUNTIFS(Scoresheet!$C$2:$C$501,A335,Scoresheet!$U$2:$U$501,1,Scoresheet!$H$2:$H$501,"No")&gt;0,COUNTIFS(Scoresheet!$C$2:$C$501,A335,Scoresheet!$U$2:$U$501,1,Scoresheet!$J$2:$J$501,"No")&gt;0),"🚩 Budget  ·  🚩 No one on camera",IF(COUNTIFS(Scoresheet!$C$2:$C$501,A335,Scoresheet!$U$2:$U$501,1,Scoresheet!$H$2:$H$501,"No")&gt;0,"🚩 Budget under AED 5k",IF(COUNTIFS(Scoresheet!$C$2:$C$501,A335,Scoresheet!$U$2:$U$501,1,Scoresheet!$J$2:$J$501,"No")&gt;0,"🚩 No one on camera",""))))</f>
        <v/>
      </c>
      <c r="Q335" s="17"/>
      <c r="R335" s="17"/>
      <c r="S335" s="40"/>
      <c r="T335" s="17"/>
      <c r="U335" s="45" t="str">
        <f aca="false">IF(OR(D335="",S335="",OR(R335="Contract signed + paid",R335="Closed – No response",R335="Lost"),N(T335)&gt;=Settings!$S$3),"",S335+Settings!$S$2)</f>
        <v/>
      </c>
      <c r="V335" s="40"/>
      <c r="W335" s="41"/>
      <c r="X335" s="17"/>
      <c r="Y335" s="17"/>
      <c r="Z335" s="17"/>
      <c r="AA335" s="46" t="str">
        <f aca="true">IF(OR(D335="",B335=""),"",INT(TODAY()-B335))</f>
        <v/>
      </c>
      <c r="AB335" s="44" t="str">
        <f aca="true">IF(D335="","",IF(OR(COUNTIFS(Clients!$C$2:$C$501,D335,Clients!$S$2:$S$501,"Paid")&gt;0,AND(H335&lt;&gt;"",COUNTIFS(Clients!$E$2:$E$501,H335,Clients!$S$2:$S$501,"Paid")&gt;0)),"⚠ Refunded before – no free video",IF(OR(R335="Contract signed + paid",R335="Closed – No response",R335="Lost"),"",IF(R335="","Set a stage",IF(AND(R335="Proposal sent",SUMIFS(Scoresheet!$N$2:$N$501,Scoresheet!$C$2:$C$501,A335,Scoresheet!$U$2:$U$501,1)&lt;6),"Score this lead – fill the call scoresheet",IF(N(T335)&gt;=Settings!$S$3,"Close – 4 follow-ups sent",IF(U335="",IF(S335="","Make first contact",""),IF(TODAY()&gt;U335,"OVERDUE follow-up",IF(TODAY()=U335,"Follow up today","")))))))))</f>
        <v/>
      </c>
    </row>
    <row r="336" customFormat="false" ht="15" hidden="false" customHeight="false" outlineLevel="0" collapsed="false">
      <c r="A336" s="17"/>
      <c r="B336" s="40"/>
      <c r="C336" s="17"/>
      <c r="D336" s="17"/>
      <c r="E336" s="17"/>
      <c r="F336" s="17"/>
      <c r="G336" s="17"/>
      <c r="H336" s="42"/>
      <c r="I336" s="17"/>
      <c r="J336" s="17"/>
      <c r="K336" s="17"/>
      <c r="L336" s="17"/>
      <c r="M336" s="17"/>
      <c r="N336" s="44" t="str">
        <f aca="false">IF(OR(D336="",A336="",COUNTIFS(Scoresheet!$C$2:$C$501,A336,Scoresheet!$U$2:$U$501,1)=0),"",SUMIFS(Scoresheet!$O$2:$O$501,Scoresheet!$C$2:$C$501,A336,Scoresheet!$U$2:$U$501,1))</f>
        <v/>
      </c>
      <c r="O336" s="44" t="str">
        <f aca="false">IF(D336="","",IF(OR(A336="",COUNTIFS(Scoresheet!$C$2:$C$501,A336,Scoresheet!$U$2:$U$501,1)=0),"No scoresheet yet",IF(SUMIFS(Scoresheet!$N$2:$N$501,Scoresheet!$C$2:$C$501,A336,Scoresheet!$U$2:$U$501,1)&lt;6,"Partly scored ("&amp;SUMIFS(Scoresheet!$N$2:$N$501,Scoresheet!$C$2:$C$501,A336,Scoresheet!$U$2:$U$501,1)&amp;"/6)",IF(N336&gt;=Settings!$S$8,"Hot",IF(N336&gt;=Settings!$S$9,"Warm","Cold")))))</f>
        <v/>
      </c>
      <c r="P336" s="44" t="str">
        <f aca="false">IF(OR(D336="",A336=""),"",IF(AND(COUNTIFS(Scoresheet!$C$2:$C$501,A336,Scoresheet!$U$2:$U$501,1,Scoresheet!$H$2:$H$501,"No")&gt;0,COUNTIFS(Scoresheet!$C$2:$C$501,A336,Scoresheet!$U$2:$U$501,1,Scoresheet!$J$2:$J$501,"No")&gt;0),"🚩 Budget  ·  🚩 No one on camera",IF(COUNTIFS(Scoresheet!$C$2:$C$501,A336,Scoresheet!$U$2:$U$501,1,Scoresheet!$H$2:$H$501,"No")&gt;0,"🚩 Budget under AED 5k",IF(COUNTIFS(Scoresheet!$C$2:$C$501,A336,Scoresheet!$U$2:$U$501,1,Scoresheet!$J$2:$J$501,"No")&gt;0,"🚩 No one on camera",""))))</f>
        <v/>
      </c>
      <c r="Q336" s="17"/>
      <c r="R336" s="17"/>
      <c r="S336" s="40"/>
      <c r="T336" s="17"/>
      <c r="U336" s="45" t="str">
        <f aca="false">IF(OR(D336="",S336="",OR(R336="Contract signed + paid",R336="Closed – No response",R336="Lost"),N(T336)&gt;=Settings!$S$3),"",S336+Settings!$S$2)</f>
        <v/>
      </c>
      <c r="V336" s="40"/>
      <c r="W336" s="41"/>
      <c r="X336" s="17"/>
      <c r="Y336" s="17"/>
      <c r="Z336" s="17"/>
      <c r="AA336" s="46" t="str">
        <f aca="true">IF(OR(D336="",B336=""),"",INT(TODAY()-B336))</f>
        <v/>
      </c>
      <c r="AB336" s="44" t="str">
        <f aca="true">IF(D336="","",IF(OR(COUNTIFS(Clients!$C$2:$C$501,D336,Clients!$S$2:$S$501,"Paid")&gt;0,AND(H336&lt;&gt;"",COUNTIFS(Clients!$E$2:$E$501,H336,Clients!$S$2:$S$501,"Paid")&gt;0)),"⚠ Refunded before – no free video",IF(OR(R336="Contract signed + paid",R336="Closed – No response",R336="Lost"),"",IF(R336="","Set a stage",IF(AND(R336="Proposal sent",SUMIFS(Scoresheet!$N$2:$N$501,Scoresheet!$C$2:$C$501,A336,Scoresheet!$U$2:$U$501,1)&lt;6),"Score this lead – fill the call scoresheet",IF(N(T336)&gt;=Settings!$S$3,"Close – 4 follow-ups sent",IF(U336="",IF(S336="","Make first contact",""),IF(TODAY()&gt;U336,"OVERDUE follow-up",IF(TODAY()=U336,"Follow up today","")))))))))</f>
        <v/>
      </c>
    </row>
    <row r="337" customFormat="false" ht="15" hidden="false" customHeight="false" outlineLevel="0" collapsed="false">
      <c r="A337" s="17"/>
      <c r="B337" s="40"/>
      <c r="C337" s="17"/>
      <c r="D337" s="17"/>
      <c r="E337" s="17"/>
      <c r="F337" s="17"/>
      <c r="G337" s="17"/>
      <c r="H337" s="42"/>
      <c r="I337" s="17"/>
      <c r="J337" s="17"/>
      <c r="K337" s="17"/>
      <c r="L337" s="17"/>
      <c r="M337" s="17"/>
      <c r="N337" s="44" t="str">
        <f aca="false">IF(OR(D337="",A337="",COUNTIFS(Scoresheet!$C$2:$C$501,A337,Scoresheet!$U$2:$U$501,1)=0),"",SUMIFS(Scoresheet!$O$2:$O$501,Scoresheet!$C$2:$C$501,A337,Scoresheet!$U$2:$U$501,1))</f>
        <v/>
      </c>
      <c r="O337" s="44" t="str">
        <f aca="false">IF(D337="","",IF(OR(A337="",COUNTIFS(Scoresheet!$C$2:$C$501,A337,Scoresheet!$U$2:$U$501,1)=0),"No scoresheet yet",IF(SUMIFS(Scoresheet!$N$2:$N$501,Scoresheet!$C$2:$C$501,A337,Scoresheet!$U$2:$U$501,1)&lt;6,"Partly scored ("&amp;SUMIFS(Scoresheet!$N$2:$N$501,Scoresheet!$C$2:$C$501,A337,Scoresheet!$U$2:$U$501,1)&amp;"/6)",IF(N337&gt;=Settings!$S$8,"Hot",IF(N337&gt;=Settings!$S$9,"Warm","Cold")))))</f>
        <v/>
      </c>
      <c r="P337" s="44" t="str">
        <f aca="false">IF(OR(D337="",A337=""),"",IF(AND(COUNTIFS(Scoresheet!$C$2:$C$501,A337,Scoresheet!$U$2:$U$501,1,Scoresheet!$H$2:$H$501,"No")&gt;0,COUNTIFS(Scoresheet!$C$2:$C$501,A337,Scoresheet!$U$2:$U$501,1,Scoresheet!$J$2:$J$501,"No")&gt;0),"🚩 Budget  ·  🚩 No one on camera",IF(COUNTIFS(Scoresheet!$C$2:$C$501,A337,Scoresheet!$U$2:$U$501,1,Scoresheet!$H$2:$H$501,"No")&gt;0,"🚩 Budget under AED 5k",IF(COUNTIFS(Scoresheet!$C$2:$C$501,A337,Scoresheet!$U$2:$U$501,1,Scoresheet!$J$2:$J$501,"No")&gt;0,"🚩 No one on camera",""))))</f>
        <v/>
      </c>
      <c r="Q337" s="17"/>
      <c r="R337" s="17"/>
      <c r="S337" s="40"/>
      <c r="T337" s="17"/>
      <c r="U337" s="45" t="str">
        <f aca="false">IF(OR(D337="",S337="",OR(R337="Contract signed + paid",R337="Closed – No response",R337="Lost"),N(T337)&gt;=Settings!$S$3),"",S337+Settings!$S$2)</f>
        <v/>
      </c>
      <c r="V337" s="40"/>
      <c r="W337" s="41"/>
      <c r="X337" s="17"/>
      <c r="Y337" s="17"/>
      <c r="Z337" s="17"/>
      <c r="AA337" s="46" t="str">
        <f aca="true">IF(OR(D337="",B337=""),"",INT(TODAY()-B337))</f>
        <v/>
      </c>
      <c r="AB337" s="44" t="str">
        <f aca="true">IF(D337="","",IF(OR(COUNTIFS(Clients!$C$2:$C$501,D337,Clients!$S$2:$S$501,"Paid")&gt;0,AND(H337&lt;&gt;"",COUNTIFS(Clients!$E$2:$E$501,H337,Clients!$S$2:$S$501,"Paid")&gt;0)),"⚠ Refunded before – no free video",IF(OR(R337="Contract signed + paid",R337="Closed – No response",R337="Lost"),"",IF(R337="","Set a stage",IF(AND(R337="Proposal sent",SUMIFS(Scoresheet!$N$2:$N$501,Scoresheet!$C$2:$C$501,A337,Scoresheet!$U$2:$U$501,1)&lt;6),"Score this lead – fill the call scoresheet",IF(N(T337)&gt;=Settings!$S$3,"Close – 4 follow-ups sent",IF(U337="",IF(S337="","Make first contact",""),IF(TODAY()&gt;U337,"OVERDUE follow-up",IF(TODAY()=U337,"Follow up today","")))))))))</f>
        <v/>
      </c>
    </row>
    <row r="338" customFormat="false" ht="15" hidden="false" customHeight="false" outlineLevel="0" collapsed="false">
      <c r="A338" s="17"/>
      <c r="B338" s="40"/>
      <c r="C338" s="17"/>
      <c r="D338" s="17"/>
      <c r="E338" s="17"/>
      <c r="F338" s="17"/>
      <c r="G338" s="17"/>
      <c r="H338" s="42"/>
      <c r="I338" s="17"/>
      <c r="J338" s="17"/>
      <c r="K338" s="17"/>
      <c r="L338" s="17"/>
      <c r="M338" s="17"/>
      <c r="N338" s="44" t="str">
        <f aca="false">IF(OR(D338="",A338="",COUNTIFS(Scoresheet!$C$2:$C$501,A338,Scoresheet!$U$2:$U$501,1)=0),"",SUMIFS(Scoresheet!$O$2:$O$501,Scoresheet!$C$2:$C$501,A338,Scoresheet!$U$2:$U$501,1))</f>
        <v/>
      </c>
      <c r="O338" s="44" t="str">
        <f aca="false">IF(D338="","",IF(OR(A338="",COUNTIFS(Scoresheet!$C$2:$C$501,A338,Scoresheet!$U$2:$U$501,1)=0),"No scoresheet yet",IF(SUMIFS(Scoresheet!$N$2:$N$501,Scoresheet!$C$2:$C$501,A338,Scoresheet!$U$2:$U$501,1)&lt;6,"Partly scored ("&amp;SUMIFS(Scoresheet!$N$2:$N$501,Scoresheet!$C$2:$C$501,A338,Scoresheet!$U$2:$U$501,1)&amp;"/6)",IF(N338&gt;=Settings!$S$8,"Hot",IF(N338&gt;=Settings!$S$9,"Warm","Cold")))))</f>
        <v/>
      </c>
      <c r="P338" s="44" t="str">
        <f aca="false">IF(OR(D338="",A338=""),"",IF(AND(COUNTIFS(Scoresheet!$C$2:$C$501,A338,Scoresheet!$U$2:$U$501,1,Scoresheet!$H$2:$H$501,"No")&gt;0,COUNTIFS(Scoresheet!$C$2:$C$501,A338,Scoresheet!$U$2:$U$501,1,Scoresheet!$J$2:$J$501,"No")&gt;0),"🚩 Budget  ·  🚩 No one on camera",IF(COUNTIFS(Scoresheet!$C$2:$C$501,A338,Scoresheet!$U$2:$U$501,1,Scoresheet!$H$2:$H$501,"No")&gt;0,"🚩 Budget under AED 5k",IF(COUNTIFS(Scoresheet!$C$2:$C$501,A338,Scoresheet!$U$2:$U$501,1,Scoresheet!$J$2:$J$501,"No")&gt;0,"🚩 No one on camera",""))))</f>
        <v/>
      </c>
      <c r="Q338" s="17"/>
      <c r="R338" s="17"/>
      <c r="S338" s="40"/>
      <c r="T338" s="17"/>
      <c r="U338" s="45" t="str">
        <f aca="false">IF(OR(D338="",S338="",OR(R338="Contract signed + paid",R338="Closed – No response",R338="Lost"),N(T338)&gt;=Settings!$S$3),"",S338+Settings!$S$2)</f>
        <v/>
      </c>
      <c r="V338" s="40"/>
      <c r="W338" s="41"/>
      <c r="X338" s="17"/>
      <c r="Y338" s="17"/>
      <c r="Z338" s="17"/>
      <c r="AA338" s="46" t="str">
        <f aca="true">IF(OR(D338="",B338=""),"",INT(TODAY()-B338))</f>
        <v/>
      </c>
      <c r="AB338" s="44" t="str">
        <f aca="true">IF(D338="","",IF(OR(COUNTIFS(Clients!$C$2:$C$501,D338,Clients!$S$2:$S$501,"Paid")&gt;0,AND(H338&lt;&gt;"",COUNTIFS(Clients!$E$2:$E$501,H338,Clients!$S$2:$S$501,"Paid")&gt;0)),"⚠ Refunded before – no free video",IF(OR(R338="Contract signed + paid",R338="Closed – No response",R338="Lost"),"",IF(R338="","Set a stage",IF(AND(R338="Proposal sent",SUMIFS(Scoresheet!$N$2:$N$501,Scoresheet!$C$2:$C$501,A338,Scoresheet!$U$2:$U$501,1)&lt;6),"Score this lead – fill the call scoresheet",IF(N(T338)&gt;=Settings!$S$3,"Close – 4 follow-ups sent",IF(U338="",IF(S338="","Make first contact",""),IF(TODAY()&gt;U338,"OVERDUE follow-up",IF(TODAY()=U338,"Follow up today","")))))))))</f>
        <v/>
      </c>
    </row>
    <row r="339" customFormat="false" ht="15" hidden="false" customHeight="false" outlineLevel="0" collapsed="false">
      <c r="A339" s="17"/>
      <c r="B339" s="40"/>
      <c r="C339" s="17"/>
      <c r="D339" s="17"/>
      <c r="E339" s="17"/>
      <c r="F339" s="17"/>
      <c r="G339" s="17"/>
      <c r="H339" s="42"/>
      <c r="I339" s="17"/>
      <c r="J339" s="17"/>
      <c r="K339" s="17"/>
      <c r="L339" s="17"/>
      <c r="M339" s="17"/>
      <c r="N339" s="44" t="str">
        <f aca="false">IF(OR(D339="",A339="",COUNTIFS(Scoresheet!$C$2:$C$501,A339,Scoresheet!$U$2:$U$501,1)=0),"",SUMIFS(Scoresheet!$O$2:$O$501,Scoresheet!$C$2:$C$501,A339,Scoresheet!$U$2:$U$501,1))</f>
        <v/>
      </c>
      <c r="O339" s="44" t="str">
        <f aca="false">IF(D339="","",IF(OR(A339="",COUNTIFS(Scoresheet!$C$2:$C$501,A339,Scoresheet!$U$2:$U$501,1)=0),"No scoresheet yet",IF(SUMIFS(Scoresheet!$N$2:$N$501,Scoresheet!$C$2:$C$501,A339,Scoresheet!$U$2:$U$501,1)&lt;6,"Partly scored ("&amp;SUMIFS(Scoresheet!$N$2:$N$501,Scoresheet!$C$2:$C$501,A339,Scoresheet!$U$2:$U$501,1)&amp;"/6)",IF(N339&gt;=Settings!$S$8,"Hot",IF(N339&gt;=Settings!$S$9,"Warm","Cold")))))</f>
        <v/>
      </c>
      <c r="P339" s="44" t="str">
        <f aca="false">IF(OR(D339="",A339=""),"",IF(AND(COUNTIFS(Scoresheet!$C$2:$C$501,A339,Scoresheet!$U$2:$U$501,1,Scoresheet!$H$2:$H$501,"No")&gt;0,COUNTIFS(Scoresheet!$C$2:$C$501,A339,Scoresheet!$U$2:$U$501,1,Scoresheet!$J$2:$J$501,"No")&gt;0),"🚩 Budget  ·  🚩 No one on camera",IF(COUNTIFS(Scoresheet!$C$2:$C$501,A339,Scoresheet!$U$2:$U$501,1,Scoresheet!$H$2:$H$501,"No")&gt;0,"🚩 Budget under AED 5k",IF(COUNTIFS(Scoresheet!$C$2:$C$501,A339,Scoresheet!$U$2:$U$501,1,Scoresheet!$J$2:$J$501,"No")&gt;0,"🚩 No one on camera",""))))</f>
        <v/>
      </c>
      <c r="Q339" s="17"/>
      <c r="R339" s="17"/>
      <c r="S339" s="40"/>
      <c r="T339" s="17"/>
      <c r="U339" s="45" t="str">
        <f aca="false">IF(OR(D339="",S339="",OR(R339="Contract signed + paid",R339="Closed – No response",R339="Lost"),N(T339)&gt;=Settings!$S$3),"",S339+Settings!$S$2)</f>
        <v/>
      </c>
      <c r="V339" s="40"/>
      <c r="W339" s="41"/>
      <c r="X339" s="17"/>
      <c r="Y339" s="17"/>
      <c r="Z339" s="17"/>
      <c r="AA339" s="46" t="str">
        <f aca="true">IF(OR(D339="",B339=""),"",INT(TODAY()-B339))</f>
        <v/>
      </c>
      <c r="AB339" s="44" t="str">
        <f aca="true">IF(D339="","",IF(OR(COUNTIFS(Clients!$C$2:$C$501,D339,Clients!$S$2:$S$501,"Paid")&gt;0,AND(H339&lt;&gt;"",COUNTIFS(Clients!$E$2:$E$501,H339,Clients!$S$2:$S$501,"Paid")&gt;0)),"⚠ Refunded before – no free video",IF(OR(R339="Contract signed + paid",R339="Closed – No response",R339="Lost"),"",IF(R339="","Set a stage",IF(AND(R339="Proposal sent",SUMIFS(Scoresheet!$N$2:$N$501,Scoresheet!$C$2:$C$501,A339,Scoresheet!$U$2:$U$501,1)&lt;6),"Score this lead – fill the call scoresheet",IF(N(T339)&gt;=Settings!$S$3,"Close – 4 follow-ups sent",IF(U339="",IF(S339="","Make first contact",""),IF(TODAY()&gt;U339,"OVERDUE follow-up",IF(TODAY()=U339,"Follow up today","")))))))))</f>
        <v/>
      </c>
    </row>
    <row r="340" customFormat="false" ht="15" hidden="false" customHeight="false" outlineLevel="0" collapsed="false">
      <c r="A340" s="17"/>
      <c r="B340" s="40"/>
      <c r="C340" s="17"/>
      <c r="D340" s="17"/>
      <c r="E340" s="17"/>
      <c r="F340" s="17"/>
      <c r="G340" s="17"/>
      <c r="H340" s="42"/>
      <c r="I340" s="17"/>
      <c r="J340" s="17"/>
      <c r="K340" s="17"/>
      <c r="L340" s="17"/>
      <c r="M340" s="17"/>
      <c r="N340" s="44" t="str">
        <f aca="false">IF(OR(D340="",A340="",COUNTIFS(Scoresheet!$C$2:$C$501,A340,Scoresheet!$U$2:$U$501,1)=0),"",SUMIFS(Scoresheet!$O$2:$O$501,Scoresheet!$C$2:$C$501,A340,Scoresheet!$U$2:$U$501,1))</f>
        <v/>
      </c>
      <c r="O340" s="44" t="str">
        <f aca="false">IF(D340="","",IF(OR(A340="",COUNTIFS(Scoresheet!$C$2:$C$501,A340,Scoresheet!$U$2:$U$501,1)=0),"No scoresheet yet",IF(SUMIFS(Scoresheet!$N$2:$N$501,Scoresheet!$C$2:$C$501,A340,Scoresheet!$U$2:$U$501,1)&lt;6,"Partly scored ("&amp;SUMIFS(Scoresheet!$N$2:$N$501,Scoresheet!$C$2:$C$501,A340,Scoresheet!$U$2:$U$501,1)&amp;"/6)",IF(N340&gt;=Settings!$S$8,"Hot",IF(N340&gt;=Settings!$S$9,"Warm","Cold")))))</f>
        <v/>
      </c>
      <c r="P340" s="44" t="str">
        <f aca="false">IF(OR(D340="",A340=""),"",IF(AND(COUNTIFS(Scoresheet!$C$2:$C$501,A340,Scoresheet!$U$2:$U$501,1,Scoresheet!$H$2:$H$501,"No")&gt;0,COUNTIFS(Scoresheet!$C$2:$C$501,A340,Scoresheet!$U$2:$U$501,1,Scoresheet!$J$2:$J$501,"No")&gt;0),"🚩 Budget  ·  🚩 No one on camera",IF(COUNTIFS(Scoresheet!$C$2:$C$501,A340,Scoresheet!$U$2:$U$501,1,Scoresheet!$H$2:$H$501,"No")&gt;0,"🚩 Budget under AED 5k",IF(COUNTIFS(Scoresheet!$C$2:$C$501,A340,Scoresheet!$U$2:$U$501,1,Scoresheet!$J$2:$J$501,"No")&gt;0,"🚩 No one on camera",""))))</f>
        <v/>
      </c>
      <c r="Q340" s="17"/>
      <c r="R340" s="17"/>
      <c r="S340" s="40"/>
      <c r="T340" s="17"/>
      <c r="U340" s="45" t="str">
        <f aca="false">IF(OR(D340="",S340="",OR(R340="Contract signed + paid",R340="Closed – No response",R340="Lost"),N(T340)&gt;=Settings!$S$3),"",S340+Settings!$S$2)</f>
        <v/>
      </c>
      <c r="V340" s="40"/>
      <c r="W340" s="41"/>
      <c r="X340" s="17"/>
      <c r="Y340" s="17"/>
      <c r="Z340" s="17"/>
      <c r="AA340" s="46" t="str">
        <f aca="true">IF(OR(D340="",B340=""),"",INT(TODAY()-B340))</f>
        <v/>
      </c>
      <c r="AB340" s="44" t="str">
        <f aca="true">IF(D340="","",IF(OR(COUNTIFS(Clients!$C$2:$C$501,D340,Clients!$S$2:$S$501,"Paid")&gt;0,AND(H340&lt;&gt;"",COUNTIFS(Clients!$E$2:$E$501,H340,Clients!$S$2:$S$501,"Paid")&gt;0)),"⚠ Refunded before – no free video",IF(OR(R340="Contract signed + paid",R340="Closed – No response",R340="Lost"),"",IF(R340="","Set a stage",IF(AND(R340="Proposal sent",SUMIFS(Scoresheet!$N$2:$N$501,Scoresheet!$C$2:$C$501,A340,Scoresheet!$U$2:$U$501,1)&lt;6),"Score this lead – fill the call scoresheet",IF(N(T340)&gt;=Settings!$S$3,"Close – 4 follow-ups sent",IF(U340="",IF(S340="","Make first contact",""),IF(TODAY()&gt;U340,"OVERDUE follow-up",IF(TODAY()=U340,"Follow up today","")))))))))</f>
        <v/>
      </c>
    </row>
    <row r="341" customFormat="false" ht="15" hidden="false" customHeight="false" outlineLevel="0" collapsed="false">
      <c r="A341" s="17"/>
      <c r="B341" s="40"/>
      <c r="C341" s="17"/>
      <c r="D341" s="17"/>
      <c r="E341" s="17"/>
      <c r="F341" s="17"/>
      <c r="G341" s="17"/>
      <c r="H341" s="42"/>
      <c r="I341" s="17"/>
      <c r="J341" s="17"/>
      <c r="K341" s="17"/>
      <c r="L341" s="17"/>
      <c r="M341" s="17"/>
      <c r="N341" s="44" t="str">
        <f aca="false">IF(OR(D341="",A341="",COUNTIFS(Scoresheet!$C$2:$C$501,A341,Scoresheet!$U$2:$U$501,1)=0),"",SUMIFS(Scoresheet!$O$2:$O$501,Scoresheet!$C$2:$C$501,A341,Scoresheet!$U$2:$U$501,1))</f>
        <v/>
      </c>
      <c r="O341" s="44" t="str">
        <f aca="false">IF(D341="","",IF(OR(A341="",COUNTIFS(Scoresheet!$C$2:$C$501,A341,Scoresheet!$U$2:$U$501,1)=0),"No scoresheet yet",IF(SUMIFS(Scoresheet!$N$2:$N$501,Scoresheet!$C$2:$C$501,A341,Scoresheet!$U$2:$U$501,1)&lt;6,"Partly scored ("&amp;SUMIFS(Scoresheet!$N$2:$N$501,Scoresheet!$C$2:$C$501,A341,Scoresheet!$U$2:$U$501,1)&amp;"/6)",IF(N341&gt;=Settings!$S$8,"Hot",IF(N341&gt;=Settings!$S$9,"Warm","Cold")))))</f>
        <v/>
      </c>
      <c r="P341" s="44" t="str">
        <f aca="false">IF(OR(D341="",A341=""),"",IF(AND(COUNTIFS(Scoresheet!$C$2:$C$501,A341,Scoresheet!$U$2:$U$501,1,Scoresheet!$H$2:$H$501,"No")&gt;0,COUNTIFS(Scoresheet!$C$2:$C$501,A341,Scoresheet!$U$2:$U$501,1,Scoresheet!$J$2:$J$501,"No")&gt;0),"🚩 Budget  ·  🚩 No one on camera",IF(COUNTIFS(Scoresheet!$C$2:$C$501,A341,Scoresheet!$U$2:$U$501,1,Scoresheet!$H$2:$H$501,"No")&gt;0,"🚩 Budget under AED 5k",IF(COUNTIFS(Scoresheet!$C$2:$C$501,A341,Scoresheet!$U$2:$U$501,1,Scoresheet!$J$2:$J$501,"No")&gt;0,"🚩 No one on camera",""))))</f>
        <v/>
      </c>
      <c r="Q341" s="17"/>
      <c r="R341" s="17"/>
      <c r="S341" s="40"/>
      <c r="T341" s="17"/>
      <c r="U341" s="45" t="str">
        <f aca="false">IF(OR(D341="",S341="",OR(R341="Contract signed + paid",R341="Closed – No response",R341="Lost"),N(T341)&gt;=Settings!$S$3),"",S341+Settings!$S$2)</f>
        <v/>
      </c>
      <c r="V341" s="40"/>
      <c r="W341" s="41"/>
      <c r="X341" s="17"/>
      <c r="Y341" s="17"/>
      <c r="Z341" s="17"/>
      <c r="AA341" s="46" t="str">
        <f aca="true">IF(OR(D341="",B341=""),"",INT(TODAY()-B341))</f>
        <v/>
      </c>
      <c r="AB341" s="44" t="str">
        <f aca="true">IF(D341="","",IF(OR(COUNTIFS(Clients!$C$2:$C$501,D341,Clients!$S$2:$S$501,"Paid")&gt;0,AND(H341&lt;&gt;"",COUNTIFS(Clients!$E$2:$E$501,H341,Clients!$S$2:$S$501,"Paid")&gt;0)),"⚠ Refunded before – no free video",IF(OR(R341="Contract signed + paid",R341="Closed – No response",R341="Lost"),"",IF(R341="","Set a stage",IF(AND(R341="Proposal sent",SUMIFS(Scoresheet!$N$2:$N$501,Scoresheet!$C$2:$C$501,A341,Scoresheet!$U$2:$U$501,1)&lt;6),"Score this lead – fill the call scoresheet",IF(N(T341)&gt;=Settings!$S$3,"Close – 4 follow-ups sent",IF(U341="",IF(S341="","Make first contact",""),IF(TODAY()&gt;U341,"OVERDUE follow-up",IF(TODAY()=U341,"Follow up today","")))))))))</f>
        <v/>
      </c>
    </row>
    <row r="342" customFormat="false" ht="15" hidden="false" customHeight="false" outlineLevel="0" collapsed="false">
      <c r="A342" s="17"/>
      <c r="B342" s="40"/>
      <c r="C342" s="17"/>
      <c r="D342" s="17"/>
      <c r="E342" s="17"/>
      <c r="F342" s="17"/>
      <c r="G342" s="17"/>
      <c r="H342" s="42"/>
      <c r="I342" s="17"/>
      <c r="J342" s="17"/>
      <c r="K342" s="17"/>
      <c r="L342" s="17"/>
      <c r="M342" s="17"/>
      <c r="N342" s="44" t="str">
        <f aca="false">IF(OR(D342="",A342="",COUNTIFS(Scoresheet!$C$2:$C$501,A342,Scoresheet!$U$2:$U$501,1)=0),"",SUMIFS(Scoresheet!$O$2:$O$501,Scoresheet!$C$2:$C$501,A342,Scoresheet!$U$2:$U$501,1))</f>
        <v/>
      </c>
      <c r="O342" s="44" t="str">
        <f aca="false">IF(D342="","",IF(OR(A342="",COUNTIFS(Scoresheet!$C$2:$C$501,A342,Scoresheet!$U$2:$U$501,1)=0),"No scoresheet yet",IF(SUMIFS(Scoresheet!$N$2:$N$501,Scoresheet!$C$2:$C$501,A342,Scoresheet!$U$2:$U$501,1)&lt;6,"Partly scored ("&amp;SUMIFS(Scoresheet!$N$2:$N$501,Scoresheet!$C$2:$C$501,A342,Scoresheet!$U$2:$U$501,1)&amp;"/6)",IF(N342&gt;=Settings!$S$8,"Hot",IF(N342&gt;=Settings!$S$9,"Warm","Cold")))))</f>
        <v/>
      </c>
      <c r="P342" s="44" t="str">
        <f aca="false">IF(OR(D342="",A342=""),"",IF(AND(COUNTIFS(Scoresheet!$C$2:$C$501,A342,Scoresheet!$U$2:$U$501,1,Scoresheet!$H$2:$H$501,"No")&gt;0,COUNTIFS(Scoresheet!$C$2:$C$501,A342,Scoresheet!$U$2:$U$501,1,Scoresheet!$J$2:$J$501,"No")&gt;0),"🚩 Budget  ·  🚩 No one on camera",IF(COUNTIFS(Scoresheet!$C$2:$C$501,A342,Scoresheet!$U$2:$U$501,1,Scoresheet!$H$2:$H$501,"No")&gt;0,"🚩 Budget under AED 5k",IF(COUNTIFS(Scoresheet!$C$2:$C$501,A342,Scoresheet!$U$2:$U$501,1,Scoresheet!$J$2:$J$501,"No")&gt;0,"🚩 No one on camera",""))))</f>
        <v/>
      </c>
      <c r="Q342" s="17"/>
      <c r="R342" s="17"/>
      <c r="S342" s="40"/>
      <c r="T342" s="17"/>
      <c r="U342" s="45" t="str">
        <f aca="false">IF(OR(D342="",S342="",OR(R342="Contract signed + paid",R342="Closed – No response",R342="Lost"),N(T342)&gt;=Settings!$S$3),"",S342+Settings!$S$2)</f>
        <v/>
      </c>
      <c r="V342" s="40"/>
      <c r="W342" s="41"/>
      <c r="X342" s="17"/>
      <c r="Y342" s="17"/>
      <c r="Z342" s="17"/>
      <c r="AA342" s="46" t="str">
        <f aca="true">IF(OR(D342="",B342=""),"",INT(TODAY()-B342))</f>
        <v/>
      </c>
      <c r="AB342" s="44" t="str">
        <f aca="true">IF(D342="","",IF(OR(COUNTIFS(Clients!$C$2:$C$501,D342,Clients!$S$2:$S$501,"Paid")&gt;0,AND(H342&lt;&gt;"",COUNTIFS(Clients!$E$2:$E$501,H342,Clients!$S$2:$S$501,"Paid")&gt;0)),"⚠ Refunded before – no free video",IF(OR(R342="Contract signed + paid",R342="Closed – No response",R342="Lost"),"",IF(R342="","Set a stage",IF(AND(R342="Proposal sent",SUMIFS(Scoresheet!$N$2:$N$501,Scoresheet!$C$2:$C$501,A342,Scoresheet!$U$2:$U$501,1)&lt;6),"Score this lead – fill the call scoresheet",IF(N(T342)&gt;=Settings!$S$3,"Close – 4 follow-ups sent",IF(U342="",IF(S342="","Make first contact",""),IF(TODAY()&gt;U342,"OVERDUE follow-up",IF(TODAY()=U342,"Follow up today","")))))))))</f>
        <v/>
      </c>
    </row>
    <row r="343" customFormat="false" ht="15" hidden="false" customHeight="false" outlineLevel="0" collapsed="false">
      <c r="A343" s="17"/>
      <c r="B343" s="40"/>
      <c r="C343" s="17"/>
      <c r="D343" s="17"/>
      <c r="E343" s="17"/>
      <c r="F343" s="17"/>
      <c r="G343" s="17"/>
      <c r="H343" s="42"/>
      <c r="I343" s="17"/>
      <c r="J343" s="17"/>
      <c r="K343" s="17"/>
      <c r="L343" s="17"/>
      <c r="M343" s="17"/>
      <c r="N343" s="44" t="str">
        <f aca="false">IF(OR(D343="",A343="",COUNTIFS(Scoresheet!$C$2:$C$501,A343,Scoresheet!$U$2:$U$501,1)=0),"",SUMIFS(Scoresheet!$O$2:$O$501,Scoresheet!$C$2:$C$501,A343,Scoresheet!$U$2:$U$501,1))</f>
        <v/>
      </c>
      <c r="O343" s="44" t="str">
        <f aca="false">IF(D343="","",IF(OR(A343="",COUNTIFS(Scoresheet!$C$2:$C$501,A343,Scoresheet!$U$2:$U$501,1)=0),"No scoresheet yet",IF(SUMIFS(Scoresheet!$N$2:$N$501,Scoresheet!$C$2:$C$501,A343,Scoresheet!$U$2:$U$501,1)&lt;6,"Partly scored ("&amp;SUMIFS(Scoresheet!$N$2:$N$501,Scoresheet!$C$2:$C$501,A343,Scoresheet!$U$2:$U$501,1)&amp;"/6)",IF(N343&gt;=Settings!$S$8,"Hot",IF(N343&gt;=Settings!$S$9,"Warm","Cold")))))</f>
        <v/>
      </c>
      <c r="P343" s="44" t="str">
        <f aca="false">IF(OR(D343="",A343=""),"",IF(AND(COUNTIFS(Scoresheet!$C$2:$C$501,A343,Scoresheet!$U$2:$U$501,1,Scoresheet!$H$2:$H$501,"No")&gt;0,COUNTIFS(Scoresheet!$C$2:$C$501,A343,Scoresheet!$U$2:$U$501,1,Scoresheet!$J$2:$J$501,"No")&gt;0),"🚩 Budget  ·  🚩 No one on camera",IF(COUNTIFS(Scoresheet!$C$2:$C$501,A343,Scoresheet!$U$2:$U$501,1,Scoresheet!$H$2:$H$501,"No")&gt;0,"🚩 Budget under AED 5k",IF(COUNTIFS(Scoresheet!$C$2:$C$501,A343,Scoresheet!$U$2:$U$501,1,Scoresheet!$J$2:$J$501,"No")&gt;0,"🚩 No one on camera",""))))</f>
        <v/>
      </c>
      <c r="Q343" s="17"/>
      <c r="R343" s="17"/>
      <c r="S343" s="40"/>
      <c r="T343" s="17"/>
      <c r="U343" s="45" t="str">
        <f aca="false">IF(OR(D343="",S343="",OR(R343="Contract signed + paid",R343="Closed – No response",R343="Lost"),N(T343)&gt;=Settings!$S$3),"",S343+Settings!$S$2)</f>
        <v/>
      </c>
      <c r="V343" s="40"/>
      <c r="W343" s="41"/>
      <c r="X343" s="17"/>
      <c r="Y343" s="17"/>
      <c r="Z343" s="17"/>
      <c r="AA343" s="46" t="str">
        <f aca="true">IF(OR(D343="",B343=""),"",INT(TODAY()-B343))</f>
        <v/>
      </c>
      <c r="AB343" s="44" t="str">
        <f aca="true">IF(D343="","",IF(OR(COUNTIFS(Clients!$C$2:$C$501,D343,Clients!$S$2:$S$501,"Paid")&gt;0,AND(H343&lt;&gt;"",COUNTIFS(Clients!$E$2:$E$501,H343,Clients!$S$2:$S$501,"Paid")&gt;0)),"⚠ Refunded before – no free video",IF(OR(R343="Contract signed + paid",R343="Closed – No response",R343="Lost"),"",IF(R343="","Set a stage",IF(AND(R343="Proposal sent",SUMIFS(Scoresheet!$N$2:$N$501,Scoresheet!$C$2:$C$501,A343,Scoresheet!$U$2:$U$501,1)&lt;6),"Score this lead – fill the call scoresheet",IF(N(T343)&gt;=Settings!$S$3,"Close – 4 follow-ups sent",IF(U343="",IF(S343="","Make first contact",""),IF(TODAY()&gt;U343,"OVERDUE follow-up",IF(TODAY()=U343,"Follow up today","")))))))))</f>
        <v/>
      </c>
    </row>
    <row r="344" customFormat="false" ht="15" hidden="false" customHeight="false" outlineLevel="0" collapsed="false">
      <c r="A344" s="17"/>
      <c r="B344" s="40"/>
      <c r="C344" s="17"/>
      <c r="D344" s="17"/>
      <c r="E344" s="17"/>
      <c r="F344" s="17"/>
      <c r="G344" s="17"/>
      <c r="H344" s="42"/>
      <c r="I344" s="17"/>
      <c r="J344" s="17"/>
      <c r="K344" s="17"/>
      <c r="L344" s="17"/>
      <c r="M344" s="17"/>
      <c r="N344" s="44" t="str">
        <f aca="false">IF(OR(D344="",A344="",COUNTIFS(Scoresheet!$C$2:$C$501,A344,Scoresheet!$U$2:$U$501,1)=0),"",SUMIFS(Scoresheet!$O$2:$O$501,Scoresheet!$C$2:$C$501,A344,Scoresheet!$U$2:$U$501,1))</f>
        <v/>
      </c>
      <c r="O344" s="44" t="str">
        <f aca="false">IF(D344="","",IF(OR(A344="",COUNTIFS(Scoresheet!$C$2:$C$501,A344,Scoresheet!$U$2:$U$501,1)=0),"No scoresheet yet",IF(SUMIFS(Scoresheet!$N$2:$N$501,Scoresheet!$C$2:$C$501,A344,Scoresheet!$U$2:$U$501,1)&lt;6,"Partly scored ("&amp;SUMIFS(Scoresheet!$N$2:$N$501,Scoresheet!$C$2:$C$501,A344,Scoresheet!$U$2:$U$501,1)&amp;"/6)",IF(N344&gt;=Settings!$S$8,"Hot",IF(N344&gt;=Settings!$S$9,"Warm","Cold")))))</f>
        <v/>
      </c>
      <c r="P344" s="44" t="str">
        <f aca="false">IF(OR(D344="",A344=""),"",IF(AND(COUNTIFS(Scoresheet!$C$2:$C$501,A344,Scoresheet!$U$2:$U$501,1,Scoresheet!$H$2:$H$501,"No")&gt;0,COUNTIFS(Scoresheet!$C$2:$C$501,A344,Scoresheet!$U$2:$U$501,1,Scoresheet!$J$2:$J$501,"No")&gt;0),"🚩 Budget  ·  🚩 No one on camera",IF(COUNTIFS(Scoresheet!$C$2:$C$501,A344,Scoresheet!$U$2:$U$501,1,Scoresheet!$H$2:$H$501,"No")&gt;0,"🚩 Budget under AED 5k",IF(COUNTIFS(Scoresheet!$C$2:$C$501,A344,Scoresheet!$U$2:$U$501,1,Scoresheet!$J$2:$J$501,"No")&gt;0,"🚩 No one on camera",""))))</f>
        <v/>
      </c>
      <c r="Q344" s="17"/>
      <c r="R344" s="17"/>
      <c r="S344" s="40"/>
      <c r="T344" s="17"/>
      <c r="U344" s="45" t="str">
        <f aca="false">IF(OR(D344="",S344="",OR(R344="Contract signed + paid",R344="Closed – No response",R344="Lost"),N(T344)&gt;=Settings!$S$3),"",S344+Settings!$S$2)</f>
        <v/>
      </c>
      <c r="V344" s="40"/>
      <c r="W344" s="41"/>
      <c r="X344" s="17"/>
      <c r="Y344" s="17"/>
      <c r="Z344" s="17"/>
      <c r="AA344" s="46" t="str">
        <f aca="true">IF(OR(D344="",B344=""),"",INT(TODAY()-B344))</f>
        <v/>
      </c>
      <c r="AB344" s="44" t="str">
        <f aca="true">IF(D344="","",IF(OR(COUNTIFS(Clients!$C$2:$C$501,D344,Clients!$S$2:$S$501,"Paid")&gt;0,AND(H344&lt;&gt;"",COUNTIFS(Clients!$E$2:$E$501,H344,Clients!$S$2:$S$501,"Paid")&gt;0)),"⚠ Refunded before – no free video",IF(OR(R344="Contract signed + paid",R344="Closed – No response",R344="Lost"),"",IF(R344="","Set a stage",IF(AND(R344="Proposal sent",SUMIFS(Scoresheet!$N$2:$N$501,Scoresheet!$C$2:$C$501,A344,Scoresheet!$U$2:$U$501,1)&lt;6),"Score this lead – fill the call scoresheet",IF(N(T344)&gt;=Settings!$S$3,"Close – 4 follow-ups sent",IF(U344="",IF(S344="","Make first contact",""),IF(TODAY()&gt;U344,"OVERDUE follow-up",IF(TODAY()=U344,"Follow up today","")))))))))</f>
        <v/>
      </c>
    </row>
    <row r="345" customFormat="false" ht="15" hidden="false" customHeight="false" outlineLevel="0" collapsed="false">
      <c r="A345" s="17"/>
      <c r="B345" s="40"/>
      <c r="C345" s="17"/>
      <c r="D345" s="17"/>
      <c r="E345" s="17"/>
      <c r="F345" s="17"/>
      <c r="G345" s="17"/>
      <c r="H345" s="42"/>
      <c r="I345" s="17"/>
      <c r="J345" s="17"/>
      <c r="K345" s="17"/>
      <c r="L345" s="17"/>
      <c r="M345" s="17"/>
      <c r="N345" s="44" t="str">
        <f aca="false">IF(OR(D345="",A345="",COUNTIFS(Scoresheet!$C$2:$C$501,A345,Scoresheet!$U$2:$U$501,1)=0),"",SUMIFS(Scoresheet!$O$2:$O$501,Scoresheet!$C$2:$C$501,A345,Scoresheet!$U$2:$U$501,1))</f>
        <v/>
      </c>
      <c r="O345" s="44" t="str">
        <f aca="false">IF(D345="","",IF(OR(A345="",COUNTIFS(Scoresheet!$C$2:$C$501,A345,Scoresheet!$U$2:$U$501,1)=0),"No scoresheet yet",IF(SUMIFS(Scoresheet!$N$2:$N$501,Scoresheet!$C$2:$C$501,A345,Scoresheet!$U$2:$U$501,1)&lt;6,"Partly scored ("&amp;SUMIFS(Scoresheet!$N$2:$N$501,Scoresheet!$C$2:$C$501,A345,Scoresheet!$U$2:$U$501,1)&amp;"/6)",IF(N345&gt;=Settings!$S$8,"Hot",IF(N345&gt;=Settings!$S$9,"Warm","Cold")))))</f>
        <v/>
      </c>
      <c r="P345" s="44" t="str">
        <f aca="false">IF(OR(D345="",A345=""),"",IF(AND(COUNTIFS(Scoresheet!$C$2:$C$501,A345,Scoresheet!$U$2:$U$501,1,Scoresheet!$H$2:$H$501,"No")&gt;0,COUNTIFS(Scoresheet!$C$2:$C$501,A345,Scoresheet!$U$2:$U$501,1,Scoresheet!$J$2:$J$501,"No")&gt;0),"🚩 Budget  ·  🚩 No one on camera",IF(COUNTIFS(Scoresheet!$C$2:$C$501,A345,Scoresheet!$U$2:$U$501,1,Scoresheet!$H$2:$H$501,"No")&gt;0,"🚩 Budget under AED 5k",IF(COUNTIFS(Scoresheet!$C$2:$C$501,A345,Scoresheet!$U$2:$U$501,1,Scoresheet!$J$2:$J$501,"No")&gt;0,"🚩 No one on camera",""))))</f>
        <v/>
      </c>
      <c r="Q345" s="17"/>
      <c r="R345" s="17"/>
      <c r="S345" s="40"/>
      <c r="T345" s="17"/>
      <c r="U345" s="45" t="str">
        <f aca="false">IF(OR(D345="",S345="",OR(R345="Contract signed + paid",R345="Closed – No response",R345="Lost"),N(T345)&gt;=Settings!$S$3),"",S345+Settings!$S$2)</f>
        <v/>
      </c>
      <c r="V345" s="40"/>
      <c r="W345" s="41"/>
      <c r="X345" s="17"/>
      <c r="Y345" s="17"/>
      <c r="Z345" s="17"/>
      <c r="AA345" s="46" t="str">
        <f aca="true">IF(OR(D345="",B345=""),"",INT(TODAY()-B345))</f>
        <v/>
      </c>
      <c r="AB345" s="44" t="str">
        <f aca="true">IF(D345="","",IF(OR(COUNTIFS(Clients!$C$2:$C$501,D345,Clients!$S$2:$S$501,"Paid")&gt;0,AND(H345&lt;&gt;"",COUNTIFS(Clients!$E$2:$E$501,H345,Clients!$S$2:$S$501,"Paid")&gt;0)),"⚠ Refunded before – no free video",IF(OR(R345="Contract signed + paid",R345="Closed – No response",R345="Lost"),"",IF(R345="","Set a stage",IF(AND(R345="Proposal sent",SUMIFS(Scoresheet!$N$2:$N$501,Scoresheet!$C$2:$C$501,A345,Scoresheet!$U$2:$U$501,1)&lt;6),"Score this lead – fill the call scoresheet",IF(N(T345)&gt;=Settings!$S$3,"Close – 4 follow-ups sent",IF(U345="",IF(S345="","Make first contact",""),IF(TODAY()&gt;U345,"OVERDUE follow-up",IF(TODAY()=U345,"Follow up today","")))))))))</f>
        <v/>
      </c>
    </row>
    <row r="346" customFormat="false" ht="15" hidden="false" customHeight="false" outlineLevel="0" collapsed="false">
      <c r="A346" s="17"/>
      <c r="B346" s="40"/>
      <c r="C346" s="17"/>
      <c r="D346" s="17"/>
      <c r="E346" s="17"/>
      <c r="F346" s="17"/>
      <c r="G346" s="17"/>
      <c r="H346" s="42"/>
      <c r="I346" s="17"/>
      <c r="J346" s="17"/>
      <c r="K346" s="17"/>
      <c r="L346" s="17"/>
      <c r="M346" s="17"/>
      <c r="N346" s="44" t="str">
        <f aca="false">IF(OR(D346="",A346="",COUNTIFS(Scoresheet!$C$2:$C$501,A346,Scoresheet!$U$2:$U$501,1)=0),"",SUMIFS(Scoresheet!$O$2:$O$501,Scoresheet!$C$2:$C$501,A346,Scoresheet!$U$2:$U$501,1))</f>
        <v/>
      </c>
      <c r="O346" s="44" t="str">
        <f aca="false">IF(D346="","",IF(OR(A346="",COUNTIFS(Scoresheet!$C$2:$C$501,A346,Scoresheet!$U$2:$U$501,1)=0),"No scoresheet yet",IF(SUMIFS(Scoresheet!$N$2:$N$501,Scoresheet!$C$2:$C$501,A346,Scoresheet!$U$2:$U$501,1)&lt;6,"Partly scored ("&amp;SUMIFS(Scoresheet!$N$2:$N$501,Scoresheet!$C$2:$C$501,A346,Scoresheet!$U$2:$U$501,1)&amp;"/6)",IF(N346&gt;=Settings!$S$8,"Hot",IF(N346&gt;=Settings!$S$9,"Warm","Cold")))))</f>
        <v/>
      </c>
      <c r="P346" s="44" t="str">
        <f aca="false">IF(OR(D346="",A346=""),"",IF(AND(COUNTIFS(Scoresheet!$C$2:$C$501,A346,Scoresheet!$U$2:$U$501,1,Scoresheet!$H$2:$H$501,"No")&gt;0,COUNTIFS(Scoresheet!$C$2:$C$501,A346,Scoresheet!$U$2:$U$501,1,Scoresheet!$J$2:$J$501,"No")&gt;0),"🚩 Budget  ·  🚩 No one on camera",IF(COUNTIFS(Scoresheet!$C$2:$C$501,A346,Scoresheet!$U$2:$U$501,1,Scoresheet!$H$2:$H$501,"No")&gt;0,"🚩 Budget under AED 5k",IF(COUNTIFS(Scoresheet!$C$2:$C$501,A346,Scoresheet!$U$2:$U$501,1,Scoresheet!$J$2:$J$501,"No")&gt;0,"🚩 No one on camera",""))))</f>
        <v/>
      </c>
      <c r="Q346" s="17"/>
      <c r="R346" s="17"/>
      <c r="S346" s="40"/>
      <c r="T346" s="17"/>
      <c r="U346" s="45" t="str">
        <f aca="false">IF(OR(D346="",S346="",OR(R346="Contract signed + paid",R346="Closed – No response",R346="Lost"),N(T346)&gt;=Settings!$S$3),"",S346+Settings!$S$2)</f>
        <v/>
      </c>
      <c r="V346" s="40"/>
      <c r="W346" s="41"/>
      <c r="X346" s="17"/>
      <c r="Y346" s="17"/>
      <c r="Z346" s="17"/>
      <c r="AA346" s="46" t="str">
        <f aca="true">IF(OR(D346="",B346=""),"",INT(TODAY()-B346))</f>
        <v/>
      </c>
      <c r="AB346" s="44" t="str">
        <f aca="true">IF(D346="","",IF(OR(COUNTIFS(Clients!$C$2:$C$501,D346,Clients!$S$2:$S$501,"Paid")&gt;0,AND(H346&lt;&gt;"",COUNTIFS(Clients!$E$2:$E$501,H346,Clients!$S$2:$S$501,"Paid")&gt;0)),"⚠ Refunded before – no free video",IF(OR(R346="Contract signed + paid",R346="Closed – No response",R346="Lost"),"",IF(R346="","Set a stage",IF(AND(R346="Proposal sent",SUMIFS(Scoresheet!$N$2:$N$501,Scoresheet!$C$2:$C$501,A346,Scoresheet!$U$2:$U$501,1)&lt;6),"Score this lead – fill the call scoresheet",IF(N(T346)&gt;=Settings!$S$3,"Close – 4 follow-ups sent",IF(U346="",IF(S346="","Make first contact",""),IF(TODAY()&gt;U346,"OVERDUE follow-up",IF(TODAY()=U346,"Follow up today","")))))))))</f>
        <v/>
      </c>
    </row>
    <row r="347" customFormat="false" ht="15" hidden="false" customHeight="false" outlineLevel="0" collapsed="false">
      <c r="A347" s="17"/>
      <c r="B347" s="40"/>
      <c r="C347" s="17"/>
      <c r="D347" s="17"/>
      <c r="E347" s="17"/>
      <c r="F347" s="17"/>
      <c r="G347" s="17"/>
      <c r="H347" s="42"/>
      <c r="I347" s="17"/>
      <c r="J347" s="17"/>
      <c r="K347" s="17"/>
      <c r="L347" s="17"/>
      <c r="M347" s="17"/>
      <c r="N347" s="44" t="str">
        <f aca="false">IF(OR(D347="",A347="",COUNTIFS(Scoresheet!$C$2:$C$501,A347,Scoresheet!$U$2:$U$501,1)=0),"",SUMIFS(Scoresheet!$O$2:$O$501,Scoresheet!$C$2:$C$501,A347,Scoresheet!$U$2:$U$501,1))</f>
        <v/>
      </c>
      <c r="O347" s="44" t="str">
        <f aca="false">IF(D347="","",IF(OR(A347="",COUNTIFS(Scoresheet!$C$2:$C$501,A347,Scoresheet!$U$2:$U$501,1)=0),"No scoresheet yet",IF(SUMIFS(Scoresheet!$N$2:$N$501,Scoresheet!$C$2:$C$501,A347,Scoresheet!$U$2:$U$501,1)&lt;6,"Partly scored ("&amp;SUMIFS(Scoresheet!$N$2:$N$501,Scoresheet!$C$2:$C$501,A347,Scoresheet!$U$2:$U$501,1)&amp;"/6)",IF(N347&gt;=Settings!$S$8,"Hot",IF(N347&gt;=Settings!$S$9,"Warm","Cold")))))</f>
        <v/>
      </c>
      <c r="P347" s="44" t="str">
        <f aca="false">IF(OR(D347="",A347=""),"",IF(AND(COUNTIFS(Scoresheet!$C$2:$C$501,A347,Scoresheet!$U$2:$U$501,1,Scoresheet!$H$2:$H$501,"No")&gt;0,COUNTIFS(Scoresheet!$C$2:$C$501,A347,Scoresheet!$U$2:$U$501,1,Scoresheet!$J$2:$J$501,"No")&gt;0),"🚩 Budget  ·  🚩 No one on camera",IF(COUNTIFS(Scoresheet!$C$2:$C$501,A347,Scoresheet!$U$2:$U$501,1,Scoresheet!$H$2:$H$501,"No")&gt;0,"🚩 Budget under AED 5k",IF(COUNTIFS(Scoresheet!$C$2:$C$501,A347,Scoresheet!$U$2:$U$501,1,Scoresheet!$J$2:$J$501,"No")&gt;0,"🚩 No one on camera",""))))</f>
        <v/>
      </c>
      <c r="Q347" s="17"/>
      <c r="R347" s="17"/>
      <c r="S347" s="40"/>
      <c r="T347" s="17"/>
      <c r="U347" s="45" t="str">
        <f aca="false">IF(OR(D347="",S347="",OR(R347="Contract signed + paid",R347="Closed – No response",R347="Lost"),N(T347)&gt;=Settings!$S$3),"",S347+Settings!$S$2)</f>
        <v/>
      </c>
      <c r="V347" s="40"/>
      <c r="W347" s="41"/>
      <c r="X347" s="17"/>
      <c r="Y347" s="17"/>
      <c r="Z347" s="17"/>
      <c r="AA347" s="46" t="str">
        <f aca="true">IF(OR(D347="",B347=""),"",INT(TODAY()-B347))</f>
        <v/>
      </c>
      <c r="AB347" s="44" t="str">
        <f aca="true">IF(D347="","",IF(OR(COUNTIFS(Clients!$C$2:$C$501,D347,Clients!$S$2:$S$501,"Paid")&gt;0,AND(H347&lt;&gt;"",COUNTIFS(Clients!$E$2:$E$501,H347,Clients!$S$2:$S$501,"Paid")&gt;0)),"⚠ Refunded before – no free video",IF(OR(R347="Contract signed + paid",R347="Closed – No response",R347="Lost"),"",IF(R347="","Set a stage",IF(AND(R347="Proposal sent",SUMIFS(Scoresheet!$N$2:$N$501,Scoresheet!$C$2:$C$501,A347,Scoresheet!$U$2:$U$501,1)&lt;6),"Score this lead – fill the call scoresheet",IF(N(T347)&gt;=Settings!$S$3,"Close – 4 follow-ups sent",IF(U347="",IF(S347="","Make first contact",""),IF(TODAY()&gt;U347,"OVERDUE follow-up",IF(TODAY()=U347,"Follow up today","")))))))))</f>
        <v/>
      </c>
    </row>
    <row r="348" customFormat="false" ht="15" hidden="false" customHeight="false" outlineLevel="0" collapsed="false">
      <c r="A348" s="17"/>
      <c r="B348" s="40"/>
      <c r="C348" s="17"/>
      <c r="D348" s="17"/>
      <c r="E348" s="17"/>
      <c r="F348" s="17"/>
      <c r="G348" s="17"/>
      <c r="H348" s="42"/>
      <c r="I348" s="17"/>
      <c r="J348" s="17"/>
      <c r="K348" s="17"/>
      <c r="L348" s="17"/>
      <c r="M348" s="17"/>
      <c r="N348" s="44" t="str">
        <f aca="false">IF(OR(D348="",A348="",COUNTIFS(Scoresheet!$C$2:$C$501,A348,Scoresheet!$U$2:$U$501,1)=0),"",SUMIFS(Scoresheet!$O$2:$O$501,Scoresheet!$C$2:$C$501,A348,Scoresheet!$U$2:$U$501,1))</f>
        <v/>
      </c>
      <c r="O348" s="44" t="str">
        <f aca="false">IF(D348="","",IF(OR(A348="",COUNTIFS(Scoresheet!$C$2:$C$501,A348,Scoresheet!$U$2:$U$501,1)=0),"No scoresheet yet",IF(SUMIFS(Scoresheet!$N$2:$N$501,Scoresheet!$C$2:$C$501,A348,Scoresheet!$U$2:$U$501,1)&lt;6,"Partly scored ("&amp;SUMIFS(Scoresheet!$N$2:$N$501,Scoresheet!$C$2:$C$501,A348,Scoresheet!$U$2:$U$501,1)&amp;"/6)",IF(N348&gt;=Settings!$S$8,"Hot",IF(N348&gt;=Settings!$S$9,"Warm","Cold")))))</f>
        <v/>
      </c>
      <c r="P348" s="44" t="str">
        <f aca="false">IF(OR(D348="",A348=""),"",IF(AND(COUNTIFS(Scoresheet!$C$2:$C$501,A348,Scoresheet!$U$2:$U$501,1,Scoresheet!$H$2:$H$501,"No")&gt;0,COUNTIFS(Scoresheet!$C$2:$C$501,A348,Scoresheet!$U$2:$U$501,1,Scoresheet!$J$2:$J$501,"No")&gt;0),"🚩 Budget  ·  🚩 No one on camera",IF(COUNTIFS(Scoresheet!$C$2:$C$501,A348,Scoresheet!$U$2:$U$501,1,Scoresheet!$H$2:$H$501,"No")&gt;0,"🚩 Budget under AED 5k",IF(COUNTIFS(Scoresheet!$C$2:$C$501,A348,Scoresheet!$U$2:$U$501,1,Scoresheet!$J$2:$J$501,"No")&gt;0,"🚩 No one on camera",""))))</f>
        <v/>
      </c>
      <c r="Q348" s="17"/>
      <c r="R348" s="17"/>
      <c r="S348" s="40"/>
      <c r="T348" s="17"/>
      <c r="U348" s="45" t="str">
        <f aca="false">IF(OR(D348="",S348="",OR(R348="Contract signed + paid",R348="Closed – No response",R348="Lost"),N(T348)&gt;=Settings!$S$3),"",S348+Settings!$S$2)</f>
        <v/>
      </c>
      <c r="V348" s="40"/>
      <c r="W348" s="41"/>
      <c r="X348" s="17"/>
      <c r="Y348" s="17"/>
      <c r="Z348" s="17"/>
      <c r="AA348" s="46" t="str">
        <f aca="true">IF(OR(D348="",B348=""),"",INT(TODAY()-B348))</f>
        <v/>
      </c>
      <c r="AB348" s="44" t="str">
        <f aca="true">IF(D348="","",IF(OR(COUNTIFS(Clients!$C$2:$C$501,D348,Clients!$S$2:$S$501,"Paid")&gt;0,AND(H348&lt;&gt;"",COUNTIFS(Clients!$E$2:$E$501,H348,Clients!$S$2:$S$501,"Paid")&gt;0)),"⚠ Refunded before – no free video",IF(OR(R348="Contract signed + paid",R348="Closed – No response",R348="Lost"),"",IF(R348="","Set a stage",IF(AND(R348="Proposal sent",SUMIFS(Scoresheet!$N$2:$N$501,Scoresheet!$C$2:$C$501,A348,Scoresheet!$U$2:$U$501,1)&lt;6),"Score this lead – fill the call scoresheet",IF(N(T348)&gt;=Settings!$S$3,"Close – 4 follow-ups sent",IF(U348="",IF(S348="","Make first contact",""),IF(TODAY()&gt;U348,"OVERDUE follow-up",IF(TODAY()=U348,"Follow up today","")))))))))</f>
        <v/>
      </c>
    </row>
    <row r="349" customFormat="false" ht="15" hidden="false" customHeight="false" outlineLevel="0" collapsed="false">
      <c r="A349" s="17"/>
      <c r="B349" s="40"/>
      <c r="C349" s="17"/>
      <c r="D349" s="17"/>
      <c r="E349" s="17"/>
      <c r="F349" s="17"/>
      <c r="G349" s="17"/>
      <c r="H349" s="42"/>
      <c r="I349" s="17"/>
      <c r="J349" s="17"/>
      <c r="K349" s="17"/>
      <c r="L349" s="17"/>
      <c r="M349" s="17"/>
      <c r="N349" s="44" t="str">
        <f aca="false">IF(OR(D349="",A349="",COUNTIFS(Scoresheet!$C$2:$C$501,A349,Scoresheet!$U$2:$U$501,1)=0),"",SUMIFS(Scoresheet!$O$2:$O$501,Scoresheet!$C$2:$C$501,A349,Scoresheet!$U$2:$U$501,1))</f>
        <v/>
      </c>
      <c r="O349" s="44" t="str">
        <f aca="false">IF(D349="","",IF(OR(A349="",COUNTIFS(Scoresheet!$C$2:$C$501,A349,Scoresheet!$U$2:$U$501,1)=0),"No scoresheet yet",IF(SUMIFS(Scoresheet!$N$2:$N$501,Scoresheet!$C$2:$C$501,A349,Scoresheet!$U$2:$U$501,1)&lt;6,"Partly scored ("&amp;SUMIFS(Scoresheet!$N$2:$N$501,Scoresheet!$C$2:$C$501,A349,Scoresheet!$U$2:$U$501,1)&amp;"/6)",IF(N349&gt;=Settings!$S$8,"Hot",IF(N349&gt;=Settings!$S$9,"Warm","Cold")))))</f>
        <v/>
      </c>
      <c r="P349" s="44" t="str">
        <f aca="false">IF(OR(D349="",A349=""),"",IF(AND(COUNTIFS(Scoresheet!$C$2:$C$501,A349,Scoresheet!$U$2:$U$501,1,Scoresheet!$H$2:$H$501,"No")&gt;0,COUNTIFS(Scoresheet!$C$2:$C$501,A349,Scoresheet!$U$2:$U$501,1,Scoresheet!$J$2:$J$501,"No")&gt;0),"🚩 Budget  ·  🚩 No one on camera",IF(COUNTIFS(Scoresheet!$C$2:$C$501,A349,Scoresheet!$U$2:$U$501,1,Scoresheet!$H$2:$H$501,"No")&gt;0,"🚩 Budget under AED 5k",IF(COUNTIFS(Scoresheet!$C$2:$C$501,A349,Scoresheet!$U$2:$U$501,1,Scoresheet!$J$2:$J$501,"No")&gt;0,"🚩 No one on camera",""))))</f>
        <v/>
      </c>
      <c r="Q349" s="17"/>
      <c r="R349" s="17"/>
      <c r="S349" s="40"/>
      <c r="T349" s="17"/>
      <c r="U349" s="45" t="str">
        <f aca="false">IF(OR(D349="",S349="",OR(R349="Contract signed + paid",R349="Closed – No response",R349="Lost"),N(T349)&gt;=Settings!$S$3),"",S349+Settings!$S$2)</f>
        <v/>
      </c>
      <c r="V349" s="40"/>
      <c r="W349" s="41"/>
      <c r="X349" s="17"/>
      <c r="Y349" s="17"/>
      <c r="Z349" s="17"/>
      <c r="AA349" s="46" t="str">
        <f aca="true">IF(OR(D349="",B349=""),"",INT(TODAY()-B349))</f>
        <v/>
      </c>
      <c r="AB349" s="44" t="str">
        <f aca="true">IF(D349="","",IF(OR(COUNTIFS(Clients!$C$2:$C$501,D349,Clients!$S$2:$S$501,"Paid")&gt;0,AND(H349&lt;&gt;"",COUNTIFS(Clients!$E$2:$E$501,H349,Clients!$S$2:$S$501,"Paid")&gt;0)),"⚠ Refunded before – no free video",IF(OR(R349="Contract signed + paid",R349="Closed – No response",R349="Lost"),"",IF(R349="","Set a stage",IF(AND(R349="Proposal sent",SUMIFS(Scoresheet!$N$2:$N$501,Scoresheet!$C$2:$C$501,A349,Scoresheet!$U$2:$U$501,1)&lt;6),"Score this lead – fill the call scoresheet",IF(N(T349)&gt;=Settings!$S$3,"Close – 4 follow-ups sent",IF(U349="",IF(S349="","Make first contact",""),IF(TODAY()&gt;U349,"OVERDUE follow-up",IF(TODAY()=U349,"Follow up today","")))))))))</f>
        <v/>
      </c>
    </row>
    <row r="350" customFormat="false" ht="15" hidden="false" customHeight="false" outlineLevel="0" collapsed="false">
      <c r="A350" s="17"/>
      <c r="B350" s="40"/>
      <c r="C350" s="17"/>
      <c r="D350" s="17"/>
      <c r="E350" s="17"/>
      <c r="F350" s="17"/>
      <c r="G350" s="17"/>
      <c r="H350" s="42"/>
      <c r="I350" s="17"/>
      <c r="J350" s="17"/>
      <c r="K350" s="17"/>
      <c r="L350" s="17"/>
      <c r="M350" s="17"/>
      <c r="N350" s="44" t="str">
        <f aca="false">IF(OR(D350="",A350="",COUNTIFS(Scoresheet!$C$2:$C$501,A350,Scoresheet!$U$2:$U$501,1)=0),"",SUMIFS(Scoresheet!$O$2:$O$501,Scoresheet!$C$2:$C$501,A350,Scoresheet!$U$2:$U$501,1))</f>
        <v/>
      </c>
      <c r="O350" s="44" t="str">
        <f aca="false">IF(D350="","",IF(OR(A350="",COUNTIFS(Scoresheet!$C$2:$C$501,A350,Scoresheet!$U$2:$U$501,1)=0),"No scoresheet yet",IF(SUMIFS(Scoresheet!$N$2:$N$501,Scoresheet!$C$2:$C$501,A350,Scoresheet!$U$2:$U$501,1)&lt;6,"Partly scored ("&amp;SUMIFS(Scoresheet!$N$2:$N$501,Scoresheet!$C$2:$C$501,A350,Scoresheet!$U$2:$U$501,1)&amp;"/6)",IF(N350&gt;=Settings!$S$8,"Hot",IF(N350&gt;=Settings!$S$9,"Warm","Cold")))))</f>
        <v/>
      </c>
      <c r="P350" s="44" t="str">
        <f aca="false">IF(OR(D350="",A350=""),"",IF(AND(COUNTIFS(Scoresheet!$C$2:$C$501,A350,Scoresheet!$U$2:$U$501,1,Scoresheet!$H$2:$H$501,"No")&gt;0,COUNTIFS(Scoresheet!$C$2:$C$501,A350,Scoresheet!$U$2:$U$501,1,Scoresheet!$J$2:$J$501,"No")&gt;0),"🚩 Budget  ·  🚩 No one on camera",IF(COUNTIFS(Scoresheet!$C$2:$C$501,A350,Scoresheet!$U$2:$U$501,1,Scoresheet!$H$2:$H$501,"No")&gt;0,"🚩 Budget under AED 5k",IF(COUNTIFS(Scoresheet!$C$2:$C$501,A350,Scoresheet!$U$2:$U$501,1,Scoresheet!$J$2:$J$501,"No")&gt;0,"🚩 No one on camera",""))))</f>
        <v/>
      </c>
      <c r="Q350" s="17"/>
      <c r="R350" s="17"/>
      <c r="S350" s="40"/>
      <c r="T350" s="17"/>
      <c r="U350" s="45" t="str">
        <f aca="false">IF(OR(D350="",S350="",OR(R350="Contract signed + paid",R350="Closed – No response",R350="Lost"),N(T350)&gt;=Settings!$S$3),"",S350+Settings!$S$2)</f>
        <v/>
      </c>
      <c r="V350" s="40"/>
      <c r="W350" s="41"/>
      <c r="X350" s="17"/>
      <c r="Y350" s="17"/>
      <c r="Z350" s="17"/>
      <c r="AA350" s="46" t="str">
        <f aca="true">IF(OR(D350="",B350=""),"",INT(TODAY()-B350))</f>
        <v/>
      </c>
      <c r="AB350" s="44" t="str">
        <f aca="true">IF(D350="","",IF(OR(COUNTIFS(Clients!$C$2:$C$501,D350,Clients!$S$2:$S$501,"Paid")&gt;0,AND(H350&lt;&gt;"",COUNTIFS(Clients!$E$2:$E$501,H350,Clients!$S$2:$S$501,"Paid")&gt;0)),"⚠ Refunded before – no free video",IF(OR(R350="Contract signed + paid",R350="Closed – No response",R350="Lost"),"",IF(R350="","Set a stage",IF(AND(R350="Proposal sent",SUMIFS(Scoresheet!$N$2:$N$501,Scoresheet!$C$2:$C$501,A350,Scoresheet!$U$2:$U$501,1)&lt;6),"Score this lead – fill the call scoresheet",IF(N(T350)&gt;=Settings!$S$3,"Close – 4 follow-ups sent",IF(U350="",IF(S350="","Make first contact",""),IF(TODAY()&gt;U350,"OVERDUE follow-up",IF(TODAY()=U350,"Follow up today","")))))))))</f>
        <v/>
      </c>
    </row>
    <row r="351" customFormat="false" ht="15" hidden="false" customHeight="false" outlineLevel="0" collapsed="false">
      <c r="A351" s="17"/>
      <c r="B351" s="40"/>
      <c r="C351" s="17"/>
      <c r="D351" s="17"/>
      <c r="E351" s="17"/>
      <c r="F351" s="17"/>
      <c r="G351" s="17"/>
      <c r="H351" s="42"/>
      <c r="I351" s="17"/>
      <c r="J351" s="17"/>
      <c r="K351" s="17"/>
      <c r="L351" s="17"/>
      <c r="M351" s="17"/>
      <c r="N351" s="44" t="str">
        <f aca="false">IF(OR(D351="",A351="",COUNTIFS(Scoresheet!$C$2:$C$501,A351,Scoresheet!$U$2:$U$501,1)=0),"",SUMIFS(Scoresheet!$O$2:$O$501,Scoresheet!$C$2:$C$501,A351,Scoresheet!$U$2:$U$501,1))</f>
        <v/>
      </c>
      <c r="O351" s="44" t="str">
        <f aca="false">IF(D351="","",IF(OR(A351="",COUNTIFS(Scoresheet!$C$2:$C$501,A351,Scoresheet!$U$2:$U$501,1)=0),"No scoresheet yet",IF(SUMIFS(Scoresheet!$N$2:$N$501,Scoresheet!$C$2:$C$501,A351,Scoresheet!$U$2:$U$501,1)&lt;6,"Partly scored ("&amp;SUMIFS(Scoresheet!$N$2:$N$501,Scoresheet!$C$2:$C$501,A351,Scoresheet!$U$2:$U$501,1)&amp;"/6)",IF(N351&gt;=Settings!$S$8,"Hot",IF(N351&gt;=Settings!$S$9,"Warm","Cold")))))</f>
        <v/>
      </c>
      <c r="P351" s="44" t="str">
        <f aca="false">IF(OR(D351="",A351=""),"",IF(AND(COUNTIFS(Scoresheet!$C$2:$C$501,A351,Scoresheet!$U$2:$U$501,1,Scoresheet!$H$2:$H$501,"No")&gt;0,COUNTIFS(Scoresheet!$C$2:$C$501,A351,Scoresheet!$U$2:$U$501,1,Scoresheet!$J$2:$J$501,"No")&gt;0),"🚩 Budget  ·  🚩 No one on camera",IF(COUNTIFS(Scoresheet!$C$2:$C$501,A351,Scoresheet!$U$2:$U$501,1,Scoresheet!$H$2:$H$501,"No")&gt;0,"🚩 Budget under AED 5k",IF(COUNTIFS(Scoresheet!$C$2:$C$501,A351,Scoresheet!$U$2:$U$501,1,Scoresheet!$J$2:$J$501,"No")&gt;0,"🚩 No one on camera",""))))</f>
        <v/>
      </c>
      <c r="Q351" s="17"/>
      <c r="R351" s="17"/>
      <c r="S351" s="40"/>
      <c r="T351" s="17"/>
      <c r="U351" s="45" t="str">
        <f aca="false">IF(OR(D351="",S351="",OR(R351="Contract signed + paid",R351="Closed – No response",R351="Lost"),N(T351)&gt;=Settings!$S$3),"",S351+Settings!$S$2)</f>
        <v/>
      </c>
      <c r="V351" s="40"/>
      <c r="W351" s="41"/>
      <c r="X351" s="17"/>
      <c r="Y351" s="17"/>
      <c r="Z351" s="17"/>
      <c r="AA351" s="46" t="str">
        <f aca="true">IF(OR(D351="",B351=""),"",INT(TODAY()-B351))</f>
        <v/>
      </c>
      <c r="AB351" s="44" t="str">
        <f aca="true">IF(D351="","",IF(OR(COUNTIFS(Clients!$C$2:$C$501,D351,Clients!$S$2:$S$501,"Paid")&gt;0,AND(H351&lt;&gt;"",COUNTIFS(Clients!$E$2:$E$501,H351,Clients!$S$2:$S$501,"Paid")&gt;0)),"⚠ Refunded before – no free video",IF(OR(R351="Contract signed + paid",R351="Closed – No response",R351="Lost"),"",IF(R351="","Set a stage",IF(AND(R351="Proposal sent",SUMIFS(Scoresheet!$N$2:$N$501,Scoresheet!$C$2:$C$501,A351,Scoresheet!$U$2:$U$501,1)&lt;6),"Score this lead – fill the call scoresheet",IF(N(T351)&gt;=Settings!$S$3,"Close – 4 follow-ups sent",IF(U351="",IF(S351="","Make first contact",""),IF(TODAY()&gt;U351,"OVERDUE follow-up",IF(TODAY()=U351,"Follow up today","")))))))))</f>
        <v/>
      </c>
    </row>
    <row r="352" customFormat="false" ht="15" hidden="false" customHeight="false" outlineLevel="0" collapsed="false">
      <c r="A352" s="17"/>
      <c r="B352" s="40"/>
      <c r="C352" s="17"/>
      <c r="D352" s="17"/>
      <c r="E352" s="17"/>
      <c r="F352" s="17"/>
      <c r="G352" s="17"/>
      <c r="H352" s="42"/>
      <c r="I352" s="17"/>
      <c r="J352" s="17"/>
      <c r="K352" s="17"/>
      <c r="L352" s="17"/>
      <c r="M352" s="17"/>
      <c r="N352" s="44" t="str">
        <f aca="false">IF(OR(D352="",A352="",COUNTIFS(Scoresheet!$C$2:$C$501,A352,Scoresheet!$U$2:$U$501,1)=0),"",SUMIFS(Scoresheet!$O$2:$O$501,Scoresheet!$C$2:$C$501,A352,Scoresheet!$U$2:$U$501,1))</f>
        <v/>
      </c>
      <c r="O352" s="44" t="str">
        <f aca="false">IF(D352="","",IF(OR(A352="",COUNTIFS(Scoresheet!$C$2:$C$501,A352,Scoresheet!$U$2:$U$501,1)=0),"No scoresheet yet",IF(SUMIFS(Scoresheet!$N$2:$N$501,Scoresheet!$C$2:$C$501,A352,Scoresheet!$U$2:$U$501,1)&lt;6,"Partly scored ("&amp;SUMIFS(Scoresheet!$N$2:$N$501,Scoresheet!$C$2:$C$501,A352,Scoresheet!$U$2:$U$501,1)&amp;"/6)",IF(N352&gt;=Settings!$S$8,"Hot",IF(N352&gt;=Settings!$S$9,"Warm","Cold")))))</f>
        <v/>
      </c>
      <c r="P352" s="44" t="str">
        <f aca="false">IF(OR(D352="",A352=""),"",IF(AND(COUNTIFS(Scoresheet!$C$2:$C$501,A352,Scoresheet!$U$2:$U$501,1,Scoresheet!$H$2:$H$501,"No")&gt;0,COUNTIFS(Scoresheet!$C$2:$C$501,A352,Scoresheet!$U$2:$U$501,1,Scoresheet!$J$2:$J$501,"No")&gt;0),"🚩 Budget  ·  🚩 No one on camera",IF(COUNTIFS(Scoresheet!$C$2:$C$501,A352,Scoresheet!$U$2:$U$501,1,Scoresheet!$H$2:$H$501,"No")&gt;0,"🚩 Budget under AED 5k",IF(COUNTIFS(Scoresheet!$C$2:$C$501,A352,Scoresheet!$U$2:$U$501,1,Scoresheet!$J$2:$J$501,"No")&gt;0,"🚩 No one on camera",""))))</f>
        <v/>
      </c>
      <c r="Q352" s="17"/>
      <c r="R352" s="17"/>
      <c r="S352" s="40"/>
      <c r="T352" s="17"/>
      <c r="U352" s="45" t="str">
        <f aca="false">IF(OR(D352="",S352="",OR(R352="Contract signed + paid",R352="Closed – No response",R352="Lost"),N(T352)&gt;=Settings!$S$3),"",S352+Settings!$S$2)</f>
        <v/>
      </c>
      <c r="V352" s="40"/>
      <c r="W352" s="41"/>
      <c r="X352" s="17"/>
      <c r="Y352" s="17"/>
      <c r="Z352" s="17"/>
      <c r="AA352" s="46" t="str">
        <f aca="true">IF(OR(D352="",B352=""),"",INT(TODAY()-B352))</f>
        <v/>
      </c>
      <c r="AB352" s="44" t="str">
        <f aca="true">IF(D352="","",IF(OR(COUNTIFS(Clients!$C$2:$C$501,D352,Clients!$S$2:$S$501,"Paid")&gt;0,AND(H352&lt;&gt;"",COUNTIFS(Clients!$E$2:$E$501,H352,Clients!$S$2:$S$501,"Paid")&gt;0)),"⚠ Refunded before – no free video",IF(OR(R352="Contract signed + paid",R352="Closed – No response",R352="Lost"),"",IF(R352="","Set a stage",IF(AND(R352="Proposal sent",SUMIFS(Scoresheet!$N$2:$N$501,Scoresheet!$C$2:$C$501,A352,Scoresheet!$U$2:$U$501,1)&lt;6),"Score this lead – fill the call scoresheet",IF(N(T352)&gt;=Settings!$S$3,"Close – 4 follow-ups sent",IF(U352="",IF(S352="","Make first contact",""),IF(TODAY()&gt;U352,"OVERDUE follow-up",IF(TODAY()=U352,"Follow up today","")))))))))</f>
        <v/>
      </c>
    </row>
    <row r="353" customFormat="false" ht="15" hidden="false" customHeight="false" outlineLevel="0" collapsed="false">
      <c r="A353" s="17"/>
      <c r="B353" s="40"/>
      <c r="C353" s="17"/>
      <c r="D353" s="17"/>
      <c r="E353" s="17"/>
      <c r="F353" s="17"/>
      <c r="G353" s="17"/>
      <c r="H353" s="42"/>
      <c r="I353" s="17"/>
      <c r="J353" s="17"/>
      <c r="K353" s="17"/>
      <c r="L353" s="17"/>
      <c r="M353" s="17"/>
      <c r="N353" s="44" t="str">
        <f aca="false">IF(OR(D353="",A353="",COUNTIFS(Scoresheet!$C$2:$C$501,A353,Scoresheet!$U$2:$U$501,1)=0),"",SUMIFS(Scoresheet!$O$2:$O$501,Scoresheet!$C$2:$C$501,A353,Scoresheet!$U$2:$U$501,1))</f>
        <v/>
      </c>
      <c r="O353" s="44" t="str">
        <f aca="false">IF(D353="","",IF(OR(A353="",COUNTIFS(Scoresheet!$C$2:$C$501,A353,Scoresheet!$U$2:$U$501,1)=0),"No scoresheet yet",IF(SUMIFS(Scoresheet!$N$2:$N$501,Scoresheet!$C$2:$C$501,A353,Scoresheet!$U$2:$U$501,1)&lt;6,"Partly scored ("&amp;SUMIFS(Scoresheet!$N$2:$N$501,Scoresheet!$C$2:$C$501,A353,Scoresheet!$U$2:$U$501,1)&amp;"/6)",IF(N353&gt;=Settings!$S$8,"Hot",IF(N353&gt;=Settings!$S$9,"Warm","Cold")))))</f>
        <v/>
      </c>
      <c r="P353" s="44" t="str">
        <f aca="false">IF(OR(D353="",A353=""),"",IF(AND(COUNTIFS(Scoresheet!$C$2:$C$501,A353,Scoresheet!$U$2:$U$501,1,Scoresheet!$H$2:$H$501,"No")&gt;0,COUNTIFS(Scoresheet!$C$2:$C$501,A353,Scoresheet!$U$2:$U$501,1,Scoresheet!$J$2:$J$501,"No")&gt;0),"🚩 Budget  ·  🚩 No one on camera",IF(COUNTIFS(Scoresheet!$C$2:$C$501,A353,Scoresheet!$U$2:$U$501,1,Scoresheet!$H$2:$H$501,"No")&gt;0,"🚩 Budget under AED 5k",IF(COUNTIFS(Scoresheet!$C$2:$C$501,A353,Scoresheet!$U$2:$U$501,1,Scoresheet!$J$2:$J$501,"No")&gt;0,"🚩 No one on camera",""))))</f>
        <v/>
      </c>
      <c r="Q353" s="17"/>
      <c r="R353" s="17"/>
      <c r="S353" s="40"/>
      <c r="T353" s="17"/>
      <c r="U353" s="45" t="str">
        <f aca="false">IF(OR(D353="",S353="",OR(R353="Contract signed + paid",R353="Closed – No response",R353="Lost"),N(T353)&gt;=Settings!$S$3),"",S353+Settings!$S$2)</f>
        <v/>
      </c>
      <c r="V353" s="40"/>
      <c r="W353" s="41"/>
      <c r="X353" s="17"/>
      <c r="Y353" s="17"/>
      <c r="Z353" s="17"/>
      <c r="AA353" s="46" t="str">
        <f aca="true">IF(OR(D353="",B353=""),"",INT(TODAY()-B353))</f>
        <v/>
      </c>
      <c r="AB353" s="44" t="str">
        <f aca="true">IF(D353="","",IF(OR(COUNTIFS(Clients!$C$2:$C$501,D353,Clients!$S$2:$S$501,"Paid")&gt;0,AND(H353&lt;&gt;"",COUNTIFS(Clients!$E$2:$E$501,H353,Clients!$S$2:$S$501,"Paid")&gt;0)),"⚠ Refunded before – no free video",IF(OR(R353="Contract signed + paid",R353="Closed – No response",R353="Lost"),"",IF(R353="","Set a stage",IF(AND(R353="Proposal sent",SUMIFS(Scoresheet!$N$2:$N$501,Scoresheet!$C$2:$C$501,A353,Scoresheet!$U$2:$U$501,1)&lt;6),"Score this lead – fill the call scoresheet",IF(N(T353)&gt;=Settings!$S$3,"Close – 4 follow-ups sent",IF(U353="",IF(S353="","Make first contact",""),IF(TODAY()&gt;U353,"OVERDUE follow-up",IF(TODAY()=U353,"Follow up today","")))))))))</f>
        <v/>
      </c>
    </row>
    <row r="354" customFormat="false" ht="15" hidden="false" customHeight="false" outlineLevel="0" collapsed="false">
      <c r="A354" s="17"/>
      <c r="B354" s="40"/>
      <c r="C354" s="17"/>
      <c r="D354" s="17"/>
      <c r="E354" s="17"/>
      <c r="F354" s="17"/>
      <c r="G354" s="17"/>
      <c r="H354" s="42"/>
      <c r="I354" s="17"/>
      <c r="J354" s="17"/>
      <c r="K354" s="17"/>
      <c r="L354" s="17"/>
      <c r="M354" s="17"/>
      <c r="N354" s="44" t="str">
        <f aca="false">IF(OR(D354="",A354="",COUNTIFS(Scoresheet!$C$2:$C$501,A354,Scoresheet!$U$2:$U$501,1)=0),"",SUMIFS(Scoresheet!$O$2:$O$501,Scoresheet!$C$2:$C$501,A354,Scoresheet!$U$2:$U$501,1))</f>
        <v/>
      </c>
      <c r="O354" s="44" t="str">
        <f aca="false">IF(D354="","",IF(OR(A354="",COUNTIFS(Scoresheet!$C$2:$C$501,A354,Scoresheet!$U$2:$U$501,1)=0),"No scoresheet yet",IF(SUMIFS(Scoresheet!$N$2:$N$501,Scoresheet!$C$2:$C$501,A354,Scoresheet!$U$2:$U$501,1)&lt;6,"Partly scored ("&amp;SUMIFS(Scoresheet!$N$2:$N$501,Scoresheet!$C$2:$C$501,A354,Scoresheet!$U$2:$U$501,1)&amp;"/6)",IF(N354&gt;=Settings!$S$8,"Hot",IF(N354&gt;=Settings!$S$9,"Warm","Cold")))))</f>
        <v/>
      </c>
      <c r="P354" s="44" t="str">
        <f aca="false">IF(OR(D354="",A354=""),"",IF(AND(COUNTIFS(Scoresheet!$C$2:$C$501,A354,Scoresheet!$U$2:$U$501,1,Scoresheet!$H$2:$H$501,"No")&gt;0,COUNTIFS(Scoresheet!$C$2:$C$501,A354,Scoresheet!$U$2:$U$501,1,Scoresheet!$J$2:$J$501,"No")&gt;0),"🚩 Budget  ·  🚩 No one on camera",IF(COUNTIFS(Scoresheet!$C$2:$C$501,A354,Scoresheet!$U$2:$U$501,1,Scoresheet!$H$2:$H$501,"No")&gt;0,"🚩 Budget under AED 5k",IF(COUNTIFS(Scoresheet!$C$2:$C$501,A354,Scoresheet!$U$2:$U$501,1,Scoresheet!$J$2:$J$501,"No")&gt;0,"🚩 No one on camera",""))))</f>
        <v/>
      </c>
      <c r="Q354" s="17"/>
      <c r="R354" s="17"/>
      <c r="S354" s="40"/>
      <c r="T354" s="17"/>
      <c r="U354" s="45" t="str">
        <f aca="false">IF(OR(D354="",S354="",OR(R354="Contract signed + paid",R354="Closed – No response",R354="Lost"),N(T354)&gt;=Settings!$S$3),"",S354+Settings!$S$2)</f>
        <v/>
      </c>
      <c r="V354" s="40"/>
      <c r="W354" s="41"/>
      <c r="X354" s="17"/>
      <c r="Y354" s="17"/>
      <c r="Z354" s="17"/>
      <c r="AA354" s="46" t="str">
        <f aca="true">IF(OR(D354="",B354=""),"",INT(TODAY()-B354))</f>
        <v/>
      </c>
      <c r="AB354" s="44" t="str">
        <f aca="true">IF(D354="","",IF(OR(COUNTIFS(Clients!$C$2:$C$501,D354,Clients!$S$2:$S$501,"Paid")&gt;0,AND(H354&lt;&gt;"",COUNTIFS(Clients!$E$2:$E$501,H354,Clients!$S$2:$S$501,"Paid")&gt;0)),"⚠ Refunded before – no free video",IF(OR(R354="Contract signed + paid",R354="Closed – No response",R354="Lost"),"",IF(R354="","Set a stage",IF(AND(R354="Proposal sent",SUMIFS(Scoresheet!$N$2:$N$501,Scoresheet!$C$2:$C$501,A354,Scoresheet!$U$2:$U$501,1)&lt;6),"Score this lead – fill the call scoresheet",IF(N(T354)&gt;=Settings!$S$3,"Close – 4 follow-ups sent",IF(U354="",IF(S354="","Make first contact",""),IF(TODAY()&gt;U354,"OVERDUE follow-up",IF(TODAY()=U354,"Follow up today","")))))))))</f>
        <v/>
      </c>
    </row>
    <row r="355" customFormat="false" ht="15" hidden="false" customHeight="false" outlineLevel="0" collapsed="false">
      <c r="A355" s="17"/>
      <c r="B355" s="40"/>
      <c r="C355" s="17"/>
      <c r="D355" s="17"/>
      <c r="E355" s="17"/>
      <c r="F355" s="17"/>
      <c r="G355" s="17"/>
      <c r="H355" s="42"/>
      <c r="I355" s="17"/>
      <c r="J355" s="17"/>
      <c r="K355" s="17"/>
      <c r="L355" s="17"/>
      <c r="M355" s="17"/>
      <c r="N355" s="44" t="str">
        <f aca="false">IF(OR(D355="",A355="",COUNTIFS(Scoresheet!$C$2:$C$501,A355,Scoresheet!$U$2:$U$501,1)=0),"",SUMIFS(Scoresheet!$O$2:$O$501,Scoresheet!$C$2:$C$501,A355,Scoresheet!$U$2:$U$501,1))</f>
        <v/>
      </c>
      <c r="O355" s="44" t="str">
        <f aca="false">IF(D355="","",IF(OR(A355="",COUNTIFS(Scoresheet!$C$2:$C$501,A355,Scoresheet!$U$2:$U$501,1)=0),"No scoresheet yet",IF(SUMIFS(Scoresheet!$N$2:$N$501,Scoresheet!$C$2:$C$501,A355,Scoresheet!$U$2:$U$501,1)&lt;6,"Partly scored ("&amp;SUMIFS(Scoresheet!$N$2:$N$501,Scoresheet!$C$2:$C$501,A355,Scoresheet!$U$2:$U$501,1)&amp;"/6)",IF(N355&gt;=Settings!$S$8,"Hot",IF(N355&gt;=Settings!$S$9,"Warm","Cold")))))</f>
        <v/>
      </c>
      <c r="P355" s="44" t="str">
        <f aca="false">IF(OR(D355="",A355=""),"",IF(AND(COUNTIFS(Scoresheet!$C$2:$C$501,A355,Scoresheet!$U$2:$U$501,1,Scoresheet!$H$2:$H$501,"No")&gt;0,COUNTIFS(Scoresheet!$C$2:$C$501,A355,Scoresheet!$U$2:$U$501,1,Scoresheet!$J$2:$J$501,"No")&gt;0),"🚩 Budget  ·  🚩 No one on camera",IF(COUNTIFS(Scoresheet!$C$2:$C$501,A355,Scoresheet!$U$2:$U$501,1,Scoresheet!$H$2:$H$501,"No")&gt;0,"🚩 Budget under AED 5k",IF(COUNTIFS(Scoresheet!$C$2:$C$501,A355,Scoresheet!$U$2:$U$501,1,Scoresheet!$J$2:$J$501,"No")&gt;0,"🚩 No one on camera",""))))</f>
        <v/>
      </c>
      <c r="Q355" s="17"/>
      <c r="R355" s="17"/>
      <c r="S355" s="40"/>
      <c r="T355" s="17"/>
      <c r="U355" s="45" t="str">
        <f aca="false">IF(OR(D355="",S355="",OR(R355="Contract signed + paid",R355="Closed – No response",R355="Lost"),N(T355)&gt;=Settings!$S$3),"",S355+Settings!$S$2)</f>
        <v/>
      </c>
      <c r="V355" s="40"/>
      <c r="W355" s="41"/>
      <c r="X355" s="17"/>
      <c r="Y355" s="17"/>
      <c r="Z355" s="17"/>
      <c r="AA355" s="46" t="str">
        <f aca="true">IF(OR(D355="",B355=""),"",INT(TODAY()-B355))</f>
        <v/>
      </c>
      <c r="AB355" s="44" t="str">
        <f aca="true">IF(D355="","",IF(OR(COUNTIFS(Clients!$C$2:$C$501,D355,Clients!$S$2:$S$501,"Paid")&gt;0,AND(H355&lt;&gt;"",COUNTIFS(Clients!$E$2:$E$501,H355,Clients!$S$2:$S$501,"Paid")&gt;0)),"⚠ Refunded before – no free video",IF(OR(R355="Contract signed + paid",R355="Closed – No response",R355="Lost"),"",IF(R355="","Set a stage",IF(AND(R355="Proposal sent",SUMIFS(Scoresheet!$N$2:$N$501,Scoresheet!$C$2:$C$501,A355,Scoresheet!$U$2:$U$501,1)&lt;6),"Score this lead – fill the call scoresheet",IF(N(T355)&gt;=Settings!$S$3,"Close – 4 follow-ups sent",IF(U355="",IF(S355="","Make first contact",""),IF(TODAY()&gt;U355,"OVERDUE follow-up",IF(TODAY()=U355,"Follow up today","")))))))))</f>
        <v/>
      </c>
    </row>
    <row r="356" customFormat="false" ht="15" hidden="false" customHeight="false" outlineLevel="0" collapsed="false">
      <c r="A356" s="17"/>
      <c r="B356" s="40"/>
      <c r="C356" s="17"/>
      <c r="D356" s="17"/>
      <c r="E356" s="17"/>
      <c r="F356" s="17"/>
      <c r="G356" s="17"/>
      <c r="H356" s="42"/>
      <c r="I356" s="17"/>
      <c r="J356" s="17"/>
      <c r="K356" s="17"/>
      <c r="L356" s="17"/>
      <c r="M356" s="17"/>
      <c r="N356" s="44" t="str">
        <f aca="false">IF(OR(D356="",A356="",COUNTIFS(Scoresheet!$C$2:$C$501,A356,Scoresheet!$U$2:$U$501,1)=0),"",SUMIFS(Scoresheet!$O$2:$O$501,Scoresheet!$C$2:$C$501,A356,Scoresheet!$U$2:$U$501,1))</f>
        <v/>
      </c>
      <c r="O356" s="44" t="str">
        <f aca="false">IF(D356="","",IF(OR(A356="",COUNTIFS(Scoresheet!$C$2:$C$501,A356,Scoresheet!$U$2:$U$501,1)=0),"No scoresheet yet",IF(SUMIFS(Scoresheet!$N$2:$N$501,Scoresheet!$C$2:$C$501,A356,Scoresheet!$U$2:$U$501,1)&lt;6,"Partly scored ("&amp;SUMIFS(Scoresheet!$N$2:$N$501,Scoresheet!$C$2:$C$501,A356,Scoresheet!$U$2:$U$501,1)&amp;"/6)",IF(N356&gt;=Settings!$S$8,"Hot",IF(N356&gt;=Settings!$S$9,"Warm","Cold")))))</f>
        <v/>
      </c>
      <c r="P356" s="44" t="str">
        <f aca="false">IF(OR(D356="",A356=""),"",IF(AND(COUNTIFS(Scoresheet!$C$2:$C$501,A356,Scoresheet!$U$2:$U$501,1,Scoresheet!$H$2:$H$501,"No")&gt;0,COUNTIFS(Scoresheet!$C$2:$C$501,A356,Scoresheet!$U$2:$U$501,1,Scoresheet!$J$2:$J$501,"No")&gt;0),"🚩 Budget  ·  🚩 No one on camera",IF(COUNTIFS(Scoresheet!$C$2:$C$501,A356,Scoresheet!$U$2:$U$501,1,Scoresheet!$H$2:$H$501,"No")&gt;0,"🚩 Budget under AED 5k",IF(COUNTIFS(Scoresheet!$C$2:$C$501,A356,Scoresheet!$U$2:$U$501,1,Scoresheet!$J$2:$J$501,"No")&gt;0,"🚩 No one on camera",""))))</f>
        <v/>
      </c>
      <c r="Q356" s="17"/>
      <c r="R356" s="17"/>
      <c r="S356" s="40"/>
      <c r="T356" s="17"/>
      <c r="U356" s="45" t="str">
        <f aca="false">IF(OR(D356="",S356="",OR(R356="Contract signed + paid",R356="Closed – No response",R356="Lost"),N(T356)&gt;=Settings!$S$3),"",S356+Settings!$S$2)</f>
        <v/>
      </c>
      <c r="V356" s="40"/>
      <c r="W356" s="41"/>
      <c r="X356" s="17"/>
      <c r="Y356" s="17"/>
      <c r="Z356" s="17"/>
      <c r="AA356" s="46" t="str">
        <f aca="true">IF(OR(D356="",B356=""),"",INT(TODAY()-B356))</f>
        <v/>
      </c>
      <c r="AB356" s="44" t="str">
        <f aca="true">IF(D356="","",IF(OR(COUNTIFS(Clients!$C$2:$C$501,D356,Clients!$S$2:$S$501,"Paid")&gt;0,AND(H356&lt;&gt;"",COUNTIFS(Clients!$E$2:$E$501,H356,Clients!$S$2:$S$501,"Paid")&gt;0)),"⚠ Refunded before – no free video",IF(OR(R356="Contract signed + paid",R356="Closed – No response",R356="Lost"),"",IF(R356="","Set a stage",IF(AND(R356="Proposal sent",SUMIFS(Scoresheet!$N$2:$N$501,Scoresheet!$C$2:$C$501,A356,Scoresheet!$U$2:$U$501,1)&lt;6),"Score this lead – fill the call scoresheet",IF(N(T356)&gt;=Settings!$S$3,"Close – 4 follow-ups sent",IF(U356="",IF(S356="","Make first contact",""),IF(TODAY()&gt;U356,"OVERDUE follow-up",IF(TODAY()=U356,"Follow up today","")))))))))</f>
        <v/>
      </c>
    </row>
    <row r="357" customFormat="false" ht="15" hidden="false" customHeight="false" outlineLevel="0" collapsed="false">
      <c r="A357" s="17"/>
      <c r="B357" s="40"/>
      <c r="C357" s="17"/>
      <c r="D357" s="17"/>
      <c r="E357" s="17"/>
      <c r="F357" s="17"/>
      <c r="G357" s="17"/>
      <c r="H357" s="42"/>
      <c r="I357" s="17"/>
      <c r="J357" s="17"/>
      <c r="K357" s="17"/>
      <c r="L357" s="17"/>
      <c r="M357" s="17"/>
      <c r="N357" s="44" t="str">
        <f aca="false">IF(OR(D357="",A357="",COUNTIFS(Scoresheet!$C$2:$C$501,A357,Scoresheet!$U$2:$U$501,1)=0),"",SUMIFS(Scoresheet!$O$2:$O$501,Scoresheet!$C$2:$C$501,A357,Scoresheet!$U$2:$U$501,1))</f>
        <v/>
      </c>
      <c r="O357" s="44" t="str">
        <f aca="false">IF(D357="","",IF(OR(A357="",COUNTIFS(Scoresheet!$C$2:$C$501,A357,Scoresheet!$U$2:$U$501,1)=0),"No scoresheet yet",IF(SUMIFS(Scoresheet!$N$2:$N$501,Scoresheet!$C$2:$C$501,A357,Scoresheet!$U$2:$U$501,1)&lt;6,"Partly scored ("&amp;SUMIFS(Scoresheet!$N$2:$N$501,Scoresheet!$C$2:$C$501,A357,Scoresheet!$U$2:$U$501,1)&amp;"/6)",IF(N357&gt;=Settings!$S$8,"Hot",IF(N357&gt;=Settings!$S$9,"Warm","Cold")))))</f>
        <v/>
      </c>
      <c r="P357" s="44" t="str">
        <f aca="false">IF(OR(D357="",A357=""),"",IF(AND(COUNTIFS(Scoresheet!$C$2:$C$501,A357,Scoresheet!$U$2:$U$501,1,Scoresheet!$H$2:$H$501,"No")&gt;0,COUNTIFS(Scoresheet!$C$2:$C$501,A357,Scoresheet!$U$2:$U$501,1,Scoresheet!$J$2:$J$501,"No")&gt;0),"🚩 Budget  ·  🚩 No one on camera",IF(COUNTIFS(Scoresheet!$C$2:$C$501,A357,Scoresheet!$U$2:$U$501,1,Scoresheet!$H$2:$H$501,"No")&gt;0,"🚩 Budget under AED 5k",IF(COUNTIFS(Scoresheet!$C$2:$C$501,A357,Scoresheet!$U$2:$U$501,1,Scoresheet!$J$2:$J$501,"No")&gt;0,"🚩 No one on camera",""))))</f>
        <v/>
      </c>
      <c r="Q357" s="17"/>
      <c r="R357" s="17"/>
      <c r="S357" s="40"/>
      <c r="T357" s="17"/>
      <c r="U357" s="45" t="str">
        <f aca="false">IF(OR(D357="",S357="",OR(R357="Contract signed + paid",R357="Closed – No response",R357="Lost"),N(T357)&gt;=Settings!$S$3),"",S357+Settings!$S$2)</f>
        <v/>
      </c>
      <c r="V357" s="40"/>
      <c r="W357" s="41"/>
      <c r="X357" s="17"/>
      <c r="Y357" s="17"/>
      <c r="Z357" s="17"/>
      <c r="AA357" s="46" t="str">
        <f aca="true">IF(OR(D357="",B357=""),"",INT(TODAY()-B357))</f>
        <v/>
      </c>
      <c r="AB357" s="44" t="str">
        <f aca="true">IF(D357="","",IF(OR(COUNTIFS(Clients!$C$2:$C$501,D357,Clients!$S$2:$S$501,"Paid")&gt;0,AND(H357&lt;&gt;"",COUNTIFS(Clients!$E$2:$E$501,H357,Clients!$S$2:$S$501,"Paid")&gt;0)),"⚠ Refunded before – no free video",IF(OR(R357="Contract signed + paid",R357="Closed – No response",R357="Lost"),"",IF(R357="","Set a stage",IF(AND(R357="Proposal sent",SUMIFS(Scoresheet!$N$2:$N$501,Scoresheet!$C$2:$C$501,A357,Scoresheet!$U$2:$U$501,1)&lt;6),"Score this lead – fill the call scoresheet",IF(N(T357)&gt;=Settings!$S$3,"Close – 4 follow-ups sent",IF(U357="",IF(S357="","Make first contact",""),IF(TODAY()&gt;U357,"OVERDUE follow-up",IF(TODAY()=U357,"Follow up today","")))))))))</f>
        <v/>
      </c>
    </row>
    <row r="358" customFormat="false" ht="15" hidden="false" customHeight="false" outlineLevel="0" collapsed="false">
      <c r="A358" s="17"/>
      <c r="B358" s="40"/>
      <c r="C358" s="17"/>
      <c r="D358" s="17"/>
      <c r="E358" s="17"/>
      <c r="F358" s="17"/>
      <c r="G358" s="17"/>
      <c r="H358" s="42"/>
      <c r="I358" s="17"/>
      <c r="J358" s="17"/>
      <c r="K358" s="17"/>
      <c r="L358" s="17"/>
      <c r="M358" s="17"/>
      <c r="N358" s="44" t="str">
        <f aca="false">IF(OR(D358="",A358="",COUNTIFS(Scoresheet!$C$2:$C$501,A358,Scoresheet!$U$2:$U$501,1)=0),"",SUMIFS(Scoresheet!$O$2:$O$501,Scoresheet!$C$2:$C$501,A358,Scoresheet!$U$2:$U$501,1))</f>
        <v/>
      </c>
      <c r="O358" s="44" t="str">
        <f aca="false">IF(D358="","",IF(OR(A358="",COUNTIFS(Scoresheet!$C$2:$C$501,A358,Scoresheet!$U$2:$U$501,1)=0),"No scoresheet yet",IF(SUMIFS(Scoresheet!$N$2:$N$501,Scoresheet!$C$2:$C$501,A358,Scoresheet!$U$2:$U$501,1)&lt;6,"Partly scored ("&amp;SUMIFS(Scoresheet!$N$2:$N$501,Scoresheet!$C$2:$C$501,A358,Scoresheet!$U$2:$U$501,1)&amp;"/6)",IF(N358&gt;=Settings!$S$8,"Hot",IF(N358&gt;=Settings!$S$9,"Warm","Cold")))))</f>
        <v/>
      </c>
      <c r="P358" s="44" t="str">
        <f aca="false">IF(OR(D358="",A358=""),"",IF(AND(COUNTIFS(Scoresheet!$C$2:$C$501,A358,Scoresheet!$U$2:$U$501,1,Scoresheet!$H$2:$H$501,"No")&gt;0,COUNTIFS(Scoresheet!$C$2:$C$501,A358,Scoresheet!$U$2:$U$501,1,Scoresheet!$J$2:$J$501,"No")&gt;0),"🚩 Budget  ·  🚩 No one on camera",IF(COUNTIFS(Scoresheet!$C$2:$C$501,A358,Scoresheet!$U$2:$U$501,1,Scoresheet!$H$2:$H$501,"No")&gt;0,"🚩 Budget under AED 5k",IF(COUNTIFS(Scoresheet!$C$2:$C$501,A358,Scoresheet!$U$2:$U$501,1,Scoresheet!$J$2:$J$501,"No")&gt;0,"🚩 No one on camera",""))))</f>
        <v/>
      </c>
      <c r="Q358" s="17"/>
      <c r="R358" s="17"/>
      <c r="S358" s="40"/>
      <c r="T358" s="17"/>
      <c r="U358" s="45" t="str">
        <f aca="false">IF(OR(D358="",S358="",OR(R358="Contract signed + paid",R358="Closed – No response",R358="Lost"),N(T358)&gt;=Settings!$S$3),"",S358+Settings!$S$2)</f>
        <v/>
      </c>
      <c r="V358" s="40"/>
      <c r="W358" s="41"/>
      <c r="X358" s="17"/>
      <c r="Y358" s="17"/>
      <c r="Z358" s="17"/>
      <c r="AA358" s="46" t="str">
        <f aca="true">IF(OR(D358="",B358=""),"",INT(TODAY()-B358))</f>
        <v/>
      </c>
      <c r="AB358" s="44" t="str">
        <f aca="true">IF(D358="","",IF(OR(COUNTIFS(Clients!$C$2:$C$501,D358,Clients!$S$2:$S$501,"Paid")&gt;0,AND(H358&lt;&gt;"",COUNTIFS(Clients!$E$2:$E$501,H358,Clients!$S$2:$S$501,"Paid")&gt;0)),"⚠ Refunded before – no free video",IF(OR(R358="Contract signed + paid",R358="Closed – No response",R358="Lost"),"",IF(R358="","Set a stage",IF(AND(R358="Proposal sent",SUMIFS(Scoresheet!$N$2:$N$501,Scoresheet!$C$2:$C$501,A358,Scoresheet!$U$2:$U$501,1)&lt;6),"Score this lead – fill the call scoresheet",IF(N(T358)&gt;=Settings!$S$3,"Close – 4 follow-ups sent",IF(U358="",IF(S358="","Make first contact",""),IF(TODAY()&gt;U358,"OVERDUE follow-up",IF(TODAY()=U358,"Follow up today","")))))))))</f>
        <v/>
      </c>
    </row>
    <row r="359" customFormat="false" ht="15" hidden="false" customHeight="false" outlineLevel="0" collapsed="false">
      <c r="A359" s="17"/>
      <c r="B359" s="40"/>
      <c r="C359" s="17"/>
      <c r="D359" s="17"/>
      <c r="E359" s="17"/>
      <c r="F359" s="17"/>
      <c r="G359" s="17"/>
      <c r="H359" s="42"/>
      <c r="I359" s="17"/>
      <c r="J359" s="17"/>
      <c r="K359" s="17"/>
      <c r="L359" s="17"/>
      <c r="M359" s="17"/>
      <c r="N359" s="44" t="str">
        <f aca="false">IF(OR(D359="",A359="",COUNTIFS(Scoresheet!$C$2:$C$501,A359,Scoresheet!$U$2:$U$501,1)=0),"",SUMIFS(Scoresheet!$O$2:$O$501,Scoresheet!$C$2:$C$501,A359,Scoresheet!$U$2:$U$501,1))</f>
        <v/>
      </c>
      <c r="O359" s="44" t="str">
        <f aca="false">IF(D359="","",IF(OR(A359="",COUNTIFS(Scoresheet!$C$2:$C$501,A359,Scoresheet!$U$2:$U$501,1)=0),"No scoresheet yet",IF(SUMIFS(Scoresheet!$N$2:$N$501,Scoresheet!$C$2:$C$501,A359,Scoresheet!$U$2:$U$501,1)&lt;6,"Partly scored ("&amp;SUMIFS(Scoresheet!$N$2:$N$501,Scoresheet!$C$2:$C$501,A359,Scoresheet!$U$2:$U$501,1)&amp;"/6)",IF(N359&gt;=Settings!$S$8,"Hot",IF(N359&gt;=Settings!$S$9,"Warm","Cold")))))</f>
        <v/>
      </c>
      <c r="P359" s="44" t="str">
        <f aca="false">IF(OR(D359="",A359=""),"",IF(AND(COUNTIFS(Scoresheet!$C$2:$C$501,A359,Scoresheet!$U$2:$U$501,1,Scoresheet!$H$2:$H$501,"No")&gt;0,COUNTIFS(Scoresheet!$C$2:$C$501,A359,Scoresheet!$U$2:$U$501,1,Scoresheet!$J$2:$J$501,"No")&gt;0),"🚩 Budget  ·  🚩 No one on camera",IF(COUNTIFS(Scoresheet!$C$2:$C$501,A359,Scoresheet!$U$2:$U$501,1,Scoresheet!$H$2:$H$501,"No")&gt;0,"🚩 Budget under AED 5k",IF(COUNTIFS(Scoresheet!$C$2:$C$501,A359,Scoresheet!$U$2:$U$501,1,Scoresheet!$J$2:$J$501,"No")&gt;0,"🚩 No one on camera",""))))</f>
        <v/>
      </c>
      <c r="Q359" s="17"/>
      <c r="R359" s="17"/>
      <c r="S359" s="40"/>
      <c r="T359" s="17"/>
      <c r="U359" s="45" t="str">
        <f aca="false">IF(OR(D359="",S359="",OR(R359="Contract signed + paid",R359="Closed – No response",R359="Lost"),N(T359)&gt;=Settings!$S$3),"",S359+Settings!$S$2)</f>
        <v/>
      </c>
      <c r="V359" s="40"/>
      <c r="W359" s="41"/>
      <c r="X359" s="17"/>
      <c r="Y359" s="17"/>
      <c r="Z359" s="17"/>
      <c r="AA359" s="46" t="str">
        <f aca="true">IF(OR(D359="",B359=""),"",INT(TODAY()-B359))</f>
        <v/>
      </c>
      <c r="AB359" s="44" t="str">
        <f aca="true">IF(D359="","",IF(OR(COUNTIFS(Clients!$C$2:$C$501,D359,Clients!$S$2:$S$501,"Paid")&gt;0,AND(H359&lt;&gt;"",COUNTIFS(Clients!$E$2:$E$501,H359,Clients!$S$2:$S$501,"Paid")&gt;0)),"⚠ Refunded before – no free video",IF(OR(R359="Contract signed + paid",R359="Closed – No response",R359="Lost"),"",IF(R359="","Set a stage",IF(AND(R359="Proposal sent",SUMIFS(Scoresheet!$N$2:$N$501,Scoresheet!$C$2:$C$501,A359,Scoresheet!$U$2:$U$501,1)&lt;6),"Score this lead – fill the call scoresheet",IF(N(T359)&gt;=Settings!$S$3,"Close – 4 follow-ups sent",IF(U359="",IF(S359="","Make first contact",""),IF(TODAY()&gt;U359,"OVERDUE follow-up",IF(TODAY()=U359,"Follow up today","")))))))))</f>
        <v/>
      </c>
    </row>
    <row r="360" customFormat="false" ht="15" hidden="false" customHeight="false" outlineLevel="0" collapsed="false">
      <c r="A360" s="17"/>
      <c r="B360" s="40"/>
      <c r="C360" s="17"/>
      <c r="D360" s="17"/>
      <c r="E360" s="17"/>
      <c r="F360" s="17"/>
      <c r="G360" s="17"/>
      <c r="H360" s="42"/>
      <c r="I360" s="17"/>
      <c r="J360" s="17"/>
      <c r="K360" s="17"/>
      <c r="L360" s="17"/>
      <c r="M360" s="17"/>
      <c r="N360" s="44" t="str">
        <f aca="false">IF(OR(D360="",A360="",COUNTIFS(Scoresheet!$C$2:$C$501,A360,Scoresheet!$U$2:$U$501,1)=0),"",SUMIFS(Scoresheet!$O$2:$O$501,Scoresheet!$C$2:$C$501,A360,Scoresheet!$U$2:$U$501,1))</f>
        <v/>
      </c>
      <c r="O360" s="44" t="str">
        <f aca="false">IF(D360="","",IF(OR(A360="",COUNTIFS(Scoresheet!$C$2:$C$501,A360,Scoresheet!$U$2:$U$501,1)=0),"No scoresheet yet",IF(SUMIFS(Scoresheet!$N$2:$N$501,Scoresheet!$C$2:$C$501,A360,Scoresheet!$U$2:$U$501,1)&lt;6,"Partly scored ("&amp;SUMIFS(Scoresheet!$N$2:$N$501,Scoresheet!$C$2:$C$501,A360,Scoresheet!$U$2:$U$501,1)&amp;"/6)",IF(N360&gt;=Settings!$S$8,"Hot",IF(N360&gt;=Settings!$S$9,"Warm","Cold")))))</f>
        <v/>
      </c>
      <c r="P360" s="44" t="str">
        <f aca="false">IF(OR(D360="",A360=""),"",IF(AND(COUNTIFS(Scoresheet!$C$2:$C$501,A360,Scoresheet!$U$2:$U$501,1,Scoresheet!$H$2:$H$501,"No")&gt;0,COUNTIFS(Scoresheet!$C$2:$C$501,A360,Scoresheet!$U$2:$U$501,1,Scoresheet!$J$2:$J$501,"No")&gt;0),"🚩 Budget  ·  🚩 No one on camera",IF(COUNTIFS(Scoresheet!$C$2:$C$501,A360,Scoresheet!$U$2:$U$501,1,Scoresheet!$H$2:$H$501,"No")&gt;0,"🚩 Budget under AED 5k",IF(COUNTIFS(Scoresheet!$C$2:$C$501,A360,Scoresheet!$U$2:$U$501,1,Scoresheet!$J$2:$J$501,"No")&gt;0,"🚩 No one on camera",""))))</f>
        <v/>
      </c>
      <c r="Q360" s="17"/>
      <c r="R360" s="17"/>
      <c r="S360" s="40"/>
      <c r="T360" s="17"/>
      <c r="U360" s="45" t="str">
        <f aca="false">IF(OR(D360="",S360="",OR(R360="Contract signed + paid",R360="Closed – No response",R360="Lost"),N(T360)&gt;=Settings!$S$3),"",S360+Settings!$S$2)</f>
        <v/>
      </c>
      <c r="V360" s="40"/>
      <c r="W360" s="41"/>
      <c r="X360" s="17"/>
      <c r="Y360" s="17"/>
      <c r="Z360" s="17"/>
      <c r="AA360" s="46" t="str">
        <f aca="true">IF(OR(D360="",B360=""),"",INT(TODAY()-B360))</f>
        <v/>
      </c>
      <c r="AB360" s="44" t="str">
        <f aca="true">IF(D360="","",IF(OR(COUNTIFS(Clients!$C$2:$C$501,D360,Clients!$S$2:$S$501,"Paid")&gt;0,AND(H360&lt;&gt;"",COUNTIFS(Clients!$E$2:$E$501,H360,Clients!$S$2:$S$501,"Paid")&gt;0)),"⚠ Refunded before – no free video",IF(OR(R360="Contract signed + paid",R360="Closed – No response",R360="Lost"),"",IF(R360="","Set a stage",IF(AND(R360="Proposal sent",SUMIFS(Scoresheet!$N$2:$N$501,Scoresheet!$C$2:$C$501,A360,Scoresheet!$U$2:$U$501,1)&lt;6),"Score this lead – fill the call scoresheet",IF(N(T360)&gt;=Settings!$S$3,"Close – 4 follow-ups sent",IF(U360="",IF(S360="","Make first contact",""),IF(TODAY()&gt;U360,"OVERDUE follow-up",IF(TODAY()=U360,"Follow up today","")))))))))</f>
        <v/>
      </c>
    </row>
    <row r="361" customFormat="false" ht="15" hidden="false" customHeight="false" outlineLevel="0" collapsed="false">
      <c r="A361" s="17"/>
      <c r="B361" s="40"/>
      <c r="C361" s="17"/>
      <c r="D361" s="17"/>
      <c r="E361" s="17"/>
      <c r="F361" s="17"/>
      <c r="G361" s="17"/>
      <c r="H361" s="42"/>
      <c r="I361" s="17"/>
      <c r="J361" s="17"/>
      <c r="K361" s="17"/>
      <c r="L361" s="17"/>
      <c r="M361" s="17"/>
      <c r="N361" s="44" t="str">
        <f aca="false">IF(OR(D361="",A361="",COUNTIFS(Scoresheet!$C$2:$C$501,A361,Scoresheet!$U$2:$U$501,1)=0),"",SUMIFS(Scoresheet!$O$2:$O$501,Scoresheet!$C$2:$C$501,A361,Scoresheet!$U$2:$U$501,1))</f>
        <v/>
      </c>
      <c r="O361" s="44" t="str">
        <f aca="false">IF(D361="","",IF(OR(A361="",COUNTIFS(Scoresheet!$C$2:$C$501,A361,Scoresheet!$U$2:$U$501,1)=0),"No scoresheet yet",IF(SUMIFS(Scoresheet!$N$2:$N$501,Scoresheet!$C$2:$C$501,A361,Scoresheet!$U$2:$U$501,1)&lt;6,"Partly scored ("&amp;SUMIFS(Scoresheet!$N$2:$N$501,Scoresheet!$C$2:$C$501,A361,Scoresheet!$U$2:$U$501,1)&amp;"/6)",IF(N361&gt;=Settings!$S$8,"Hot",IF(N361&gt;=Settings!$S$9,"Warm","Cold")))))</f>
        <v/>
      </c>
      <c r="P361" s="44" t="str">
        <f aca="false">IF(OR(D361="",A361=""),"",IF(AND(COUNTIFS(Scoresheet!$C$2:$C$501,A361,Scoresheet!$U$2:$U$501,1,Scoresheet!$H$2:$H$501,"No")&gt;0,COUNTIFS(Scoresheet!$C$2:$C$501,A361,Scoresheet!$U$2:$U$501,1,Scoresheet!$J$2:$J$501,"No")&gt;0),"🚩 Budget  ·  🚩 No one on camera",IF(COUNTIFS(Scoresheet!$C$2:$C$501,A361,Scoresheet!$U$2:$U$501,1,Scoresheet!$H$2:$H$501,"No")&gt;0,"🚩 Budget under AED 5k",IF(COUNTIFS(Scoresheet!$C$2:$C$501,A361,Scoresheet!$U$2:$U$501,1,Scoresheet!$J$2:$J$501,"No")&gt;0,"🚩 No one on camera",""))))</f>
        <v/>
      </c>
      <c r="Q361" s="17"/>
      <c r="R361" s="17"/>
      <c r="S361" s="40"/>
      <c r="T361" s="17"/>
      <c r="U361" s="45" t="str">
        <f aca="false">IF(OR(D361="",S361="",OR(R361="Contract signed + paid",R361="Closed – No response",R361="Lost"),N(T361)&gt;=Settings!$S$3),"",S361+Settings!$S$2)</f>
        <v/>
      </c>
      <c r="V361" s="40"/>
      <c r="W361" s="41"/>
      <c r="X361" s="17"/>
      <c r="Y361" s="17"/>
      <c r="Z361" s="17"/>
      <c r="AA361" s="46" t="str">
        <f aca="true">IF(OR(D361="",B361=""),"",INT(TODAY()-B361))</f>
        <v/>
      </c>
      <c r="AB361" s="44" t="str">
        <f aca="true">IF(D361="","",IF(OR(COUNTIFS(Clients!$C$2:$C$501,D361,Clients!$S$2:$S$501,"Paid")&gt;0,AND(H361&lt;&gt;"",COUNTIFS(Clients!$E$2:$E$501,H361,Clients!$S$2:$S$501,"Paid")&gt;0)),"⚠ Refunded before – no free video",IF(OR(R361="Contract signed + paid",R361="Closed – No response",R361="Lost"),"",IF(R361="","Set a stage",IF(AND(R361="Proposal sent",SUMIFS(Scoresheet!$N$2:$N$501,Scoresheet!$C$2:$C$501,A361,Scoresheet!$U$2:$U$501,1)&lt;6),"Score this lead – fill the call scoresheet",IF(N(T361)&gt;=Settings!$S$3,"Close – 4 follow-ups sent",IF(U361="",IF(S361="","Make first contact",""),IF(TODAY()&gt;U361,"OVERDUE follow-up",IF(TODAY()=U361,"Follow up today","")))))))))</f>
        <v/>
      </c>
    </row>
    <row r="362" customFormat="false" ht="15" hidden="false" customHeight="false" outlineLevel="0" collapsed="false">
      <c r="A362" s="17"/>
      <c r="B362" s="40"/>
      <c r="C362" s="17"/>
      <c r="D362" s="17"/>
      <c r="E362" s="17"/>
      <c r="F362" s="17"/>
      <c r="G362" s="17"/>
      <c r="H362" s="42"/>
      <c r="I362" s="17"/>
      <c r="J362" s="17"/>
      <c r="K362" s="17"/>
      <c r="L362" s="17"/>
      <c r="M362" s="17"/>
      <c r="N362" s="44" t="str">
        <f aca="false">IF(OR(D362="",A362="",COUNTIFS(Scoresheet!$C$2:$C$501,A362,Scoresheet!$U$2:$U$501,1)=0),"",SUMIFS(Scoresheet!$O$2:$O$501,Scoresheet!$C$2:$C$501,A362,Scoresheet!$U$2:$U$501,1))</f>
        <v/>
      </c>
      <c r="O362" s="44" t="str">
        <f aca="false">IF(D362="","",IF(OR(A362="",COUNTIFS(Scoresheet!$C$2:$C$501,A362,Scoresheet!$U$2:$U$501,1)=0),"No scoresheet yet",IF(SUMIFS(Scoresheet!$N$2:$N$501,Scoresheet!$C$2:$C$501,A362,Scoresheet!$U$2:$U$501,1)&lt;6,"Partly scored ("&amp;SUMIFS(Scoresheet!$N$2:$N$501,Scoresheet!$C$2:$C$501,A362,Scoresheet!$U$2:$U$501,1)&amp;"/6)",IF(N362&gt;=Settings!$S$8,"Hot",IF(N362&gt;=Settings!$S$9,"Warm","Cold")))))</f>
        <v/>
      </c>
      <c r="P362" s="44" t="str">
        <f aca="false">IF(OR(D362="",A362=""),"",IF(AND(COUNTIFS(Scoresheet!$C$2:$C$501,A362,Scoresheet!$U$2:$U$501,1,Scoresheet!$H$2:$H$501,"No")&gt;0,COUNTIFS(Scoresheet!$C$2:$C$501,A362,Scoresheet!$U$2:$U$501,1,Scoresheet!$J$2:$J$501,"No")&gt;0),"🚩 Budget  ·  🚩 No one on camera",IF(COUNTIFS(Scoresheet!$C$2:$C$501,A362,Scoresheet!$U$2:$U$501,1,Scoresheet!$H$2:$H$501,"No")&gt;0,"🚩 Budget under AED 5k",IF(COUNTIFS(Scoresheet!$C$2:$C$501,A362,Scoresheet!$U$2:$U$501,1,Scoresheet!$J$2:$J$501,"No")&gt;0,"🚩 No one on camera",""))))</f>
        <v/>
      </c>
      <c r="Q362" s="17"/>
      <c r="R362" s="17"/>
      <c r="S362" s="40"/>
      <c r="T362" s="17"/>
      <c r="U362" s="45" t="str">
        <f aca="false">IF(OR(D362="",S362="",OR(R362="Contract signed + paid",R362="Closed – No response",R362="Lost"),N(T362)&gt;=Settings!$S$3),"",S362+Settings!$S$2)</f>
        <v/>
      </c>
      <c r="V362" s="40"/>
      <c r="W362" s="41"/>
      <c r="X362" s="17"/>
      <c r="Y362" s="17"/>
      <c r="Z362" s="17"/>
      <c r="AA362" s="46" t="str">
        <f aca="true">IF(OR(D362="",B362=""),"",INT(TODAY()-B362))</f>
        <v/>
      </c>
      <c r="AB362" s="44" t="str">
        <f aca="true">IF(D362="","",IF(OR(COUNTIFS(Clients!$C$2:$C$501,D362,Clients!$S$2:$S$501,"Paid")&gt;0,AND(H362&lt;&gt;"",COUNTIFS(Clients!$E$2:$E$501,H362,Clients!$S$2:$S$501,"Paid")&gt;0)),"⚠ Refunded before – no free video",IF(OR(R362="Contract signed + paid",R362="Closed – No response",R362="Lost"),"",IF(R362="","Set a stage",IF(AND(R362="Proposal sent",SUMIFS(Scoresheet!$N$2:$N$501,Scoresheet!$C$2:$C$501,A362,Scoresheet!$U$2:$U$501,1)&lt;6),"Score this lead – fill the call scoresheet",IF(N(T362)&gt;=Settings!$S$3,"Close – 4 follow-ups sent",IF(U362="",IF(S362="","Make first contact",""),IF(TODAY()&gt;U362,"OVERDUE follow-up",IF(TODAY()=U362,"Follow up today","")))))))))</f>
        <v/>
      </c>
    </row>
    <row r="363" customFormat="false" ht="15" hidden="false" customHeight="false" outlineLevel="0" collapsed="false">
      <c r="A363" s="17"/>
      <c r="B363" s="40"/>
      <c r="C363" s="17"/>
      <c r="D363" s="17"/>
      <c r="E363" s="17"/>
      <c r="F363" s="17"/>
      <c r="G363" s="17"/>
      <c r="H363" s="42"/>
      <c r="I363" s="17"/>
      <c r="J363" s="17"/>
      <c r="K363" s="17"/>
      <c r="L363" s="17"/>
      <c r="M363" s="17"/>
      <c r="N363" s="44" t="str">
        <f aca="false">IF(OR(D363="",A363="",COUNTIFS(Scoresheet!$C$2:$C$501,A363,Scoresheet!$U$2:$U$501,1)=0),"",SUMIFS(Scoresheet!$O$2:$O$501,Scoresheet!$C$2:$C$501,A363,Scoresheet!$U$2:$U$501,1))</f>
        <v/>
      </c>
      <c r="O363" s="44" t="str">
        <f aca="false">IF(D363="","",IF(OR(A363="",COUNTIFS(Scoresheet!$C$2:$C$501,A363,Scoresheet!$U$2:$U$501,1)=0),"No scoresheet yet",IF(SUMIFS(Scoresheet!$N$2:$N$501,Scoresheet!$C$2:$C$501,A363,Scoresheet!$U$2:$U$501,1)&lt;6,"Partly scored ("&amp;SUMIFS(Scoresheet!$N$2:$N$501,Scoresheet!$C$2:$C$501,A363,Scoresheet!$U$2:$U$501,1)&amp;"/6)",IF(N363&gt;=Settings!$S$8,"Hot",IF(N363&gt;=Settings!$S$9,"Warm","Cold")))))</f>
        <v/>
      </c>
      <c r="P363" s="44" t="str">
        <f aca="false">IF(OR(D363="",A363=""),"",IF(AND(COUNTIFS(Scoresheet!$C$2:$C$501,A363,Scoresheet!$U$2:$U$501,1,Scoresheet!$H$2:$H$501,"No")&gt;0,COUNTIFS(Scoresheet!$C$2:$C$501,A363,Scoresheet!$U$2:$U$501,1,Scoresheet!$J$2:$J$501,"No")&gt;0),"🚩 Budget  ·  🚩 No one on camera",IF(COUNTIFS(Scoresheet!$C$2:$C$501,A363,Scoresheet!$U$2:$U$501,1,Scoresheet!$H$2:$H$501,"No")&gt;0,"🚩 Budget under AED 5k",IF(COUNTIFS(Scoresheet!$C$2:$C$501,A363,Scoresheet!$U$2:$U$501,1,Scoresheet!$J$2:$J$501,"No")&gt;0,"🚩 No one on camera",""))))</f>
        <v/>
      </c>
      <c r="Q363" s="17"/>
      <c r="R363" s="17"/>
      <c r="S363" s="40"/>
      <c r="T363" s="17"/>
      <c r="U363" s="45" t="str">
        <f aca="false">IF(OR(D363="",S363="",OR(R363="Contract signed + paid",R363="Closed – No response",R363="Lost"),N(T363)&gt;=Settings!$S$3),"",S363+Settings!$S$2)</f>
        <v/>
      </c>
      <c r="V363" s="40"/>
      <c r="W363" s="41"/>
      <c r="X363" s="17"/>
      <c r="Y363" s="17"/>
      <c r="Z363" s="17"/>
      <c r="AA363" s="46" t="str">
        <f aca="true">IF(OR(D363="",B363=""),"",INT(TODAY()-B363))</f>
        <v/>
      </c>
      <c r="AB363" s="44" t="str">
        <f aca="true">IF(D363="","",IF(OR(COUNTIFS(Clients!$C$2:$C$501,D363,Clients!$S$2:$S$501,"Paid")&gt;0,AND(H363&lt;&gt;"",COUNTIFS(Clients!$E$2:$E$501,H363,Clients!$S$2:$S$501,"Paid")&gt;0)),"⚠ Refunded before – no free video",IF(OR(R363="Contract signed + paid",R363="Closed – No response",R363="Lost"),"",IF(R363="","Set a stage",IF(AND(R363="Proposal sent",SUMIFS(Scoresheet!$N$2:$N$501,Scoresheet!$C$2:$C$501,A363,Scoresheet!$U$2:$U$501,1)&lt;6),"Score this lead – fill the call scoresheet",IF(N(T363)&gt;=Settings!$S$3,"Close – 4 follow-ups sent",IF(U363="",IF(S363="","Make first contact",""),IF(TODAY()&gt;U363,"OVERDUE follow-up",IF(TODAY()=U363,"Follow up today","")))))))))</f>
        <v/>
      </c>
    </row>
    <row r="364" customFormat="false" ht="15" hidden="false" customHeight="false" outlineLevel="0" collapsed="false">
      <c r="A364" s="17"/>
      <c r="B364" s="40"/>
      <c r="C364" s="17"/>
      <c r="D364" s="17"/>
      <c r="E364" s="17"/>
      <c r="F364" s="17"/>
      <c r="G364" s="17"/>
      <c r="H364" s="42"/>
      <c r="I364" s="17"/>
      <c r="J364" s="17"/>
      <c r="K364" s="17"/>
      <c r="L364" s="17"/>
      <c r="M364" s="17"/>
      <c r="N364" s="44" t="str">
        <f aca="false">IF(OR(D364="",A364="",COUNTIFS(Scoresheet!$C$2:$C$501,A364,Scoresheet!$U$2:$U$501,1)=0),"",SUMIFS(Scoresheet!$O$2:$O$501,Scoresheet!$C$2:$C$501,A364,Scoresheet!$U$2:$U$501,1))</f>
        <v/>
      </c>
      <c r="O364" s="44" t="str">
        <f aca="false">IF(D364="","",IF(OR(A364="",COUNTIFS(Scoresheet!$C$2:$C$501,A364,Scoresheet!$U$2:$U$501,1)=0),"No scoresheet yet",IF(SUMIFS(Scoresheet!$N$2:$N$501,Scoresheet!$C$2:$C$501,A364,Scoresheet!$U$2:$U$501,1)&lt;6,"Partly scored ("&amp;SUMIFS(Scoresheet!$N$2:$N$501,Scoresheet!$C$2:$C$501,A364,Scoresheet!$U$2:$U$501,1)&amp;"/6)",IF(N364&gt;=Settings!$S$8,"Hot",IF(N364&gt;=Settings!$S$9,"Warm","Cold")))))</f>
        <v/>
      </c>
      <c r="P364" s="44" t="str">
        <f aca="false">IF(OR(D364="",A364=""),"",IF(AND(COUNTIFS(Scoresheet!$C$2:$C$501,A364,Scoresheet!$U$2:$U$501,1,Scoresheet!$H$2:$H$501,"No")&gt;0,COUNTIFS(Scoresheet!$C$2:$C$501,A364,Scoresheet!$U$2:$U$501,1,Scoresheet!$J$2:$J$501,"No")&gt;0),"🚩 Budget  ·  🚩 No one on camera",IF(COUNTIFS(Scoresheet!$C$2:$C$501,A364,Scoresheet!$U$2:$U$501,1,Scoresheet!$H$2:$H$501,"No")&gt;0,"🚩 Budget under AED 5k",IF(COUNTIFS(Scoresheet!$C$2:$C$501,A364,Scoresheet!$U$2:$U$501,1,Scoresheet!$J$2:$J$501,"No")&gt;0,"🚩 No one on camera",""))))</f>
        <v/>
      </c>
      <c r="Q364" s="17"/>
      <c r="R364" s="17"/>
      <c r="S364" s="40"/>
      <c r="T364" s="17"/>
      <c r="U364" s="45" t="str">
        <f aca="false">IF(OR(D364="",S364="",OR(R364="Contract signed + paid",R364="Closed – No response",R364="Lost"),N(T364)&gt;=Settings!$S$3),"",S364+Settings!$S$2)</f>
        <v/>
      </c>
      <c r="V364" s="40"/>
      <c r="W364" s="41"/>
      <c r="X364" s="17"/>
      <c r="Y364" s="17"/>
      <c r="Z364" s="17"/>
      <c r="AA364" s="46" t="str">
        <f aca="true">IF(OR(D364="",B364=""),"",INT(TODAY()-B364))</f>
        <v/>
      </c>
      <c r="AB364" s="44" t="str">
        <f aca="true">IF(D364="","",IF(OR(COUNTIFS(Clients!$C$2:$C$501,D364,Clients!$S$2:$S$501,"Paid")&gt;0,AND(H364&lt;&gt;"",COUNTIFS(Clients!$E$2:$E$501,H364,Clients!$S$2:$S$501,"Paid")&gt;0)),"⚠ Refunded before – no free video",IF(OR(R364="Contract signed + paid",R364="Closed – No response",R364="Lost"),"",IF(R364="","Set a stage",IF(AND(R364="Proposal sent",SUMIFS(Scoresheet!$N$2:$N$501,Scoresheet!$C$2:$C$501,A364,Scoresheet!$U$2:$U$501,1)&lt;6),"Score this lead – fill the call scoresheet",IF(N(T364)&gt;=Settings!$S$3,"Close – 4 follow-ups sent",IF(U364="",IF(S364="","Make first contact",""),IF(TODAY()&gt;U364,"OVERDUE follow-up",IF(TODAY()=U364,"Follow up today","")))))))))</f>
        <v/>
      </c>
    </row>
    <row r="365" customFormat="false" ht="15" hidden="false" customHeight="false" outlineLevel="0" collapsed="false">
      <c r="A365" s="17"/>
      <c r="B365" s="40"/>
      <c r="C365" s="17"/>
      <c r="D365" s="17"/>
      <c r="E365" s="17"/>
      <c r="F365" s="17"/>
      <c r="G365" s="17"/>
      <c r="H365" s="42"/>
      <c r="I365" s="17"/>
      <c r="J365" s="17"/>
      <c r="K365" s="17"/>
      <c r="L365" s="17"/>
      <c r="M365" s="17"/>
      <c r="N365" s="44" t="str">
        <f aca="false">IF(OR(D365="",A365="",COUNTIFS(Scoresheet!$C$2:$C$501,A365,Scoresheet!$U$2:$U$501,1)=0),"",SUMIFS(Scoresheet!$O$2:$O$501,Scoresheet!$C$2:$C$501,A365,Scoresheet!$U$2:$U$501,1))</f>
        <v/>
      </c>
      <c r="O365" s="44" t="str">
        <f aca="false">IF(D365="","",IF(OR(A365="",COUNTIFS(Scoresheet!$C$2:$C$501,A365,Scoresheet!$U$2:$U$501,1)=0),"No scoresheet yet",IF(SUMIFS(Scoresheet!$N$2:$N$501,Scoresheet!$C$2:$C$501,A365,Scoresheet!$U$2:$U$501,1)&lt;6,"Partly scored ("&amp;SUMIFS(Scoresheet!$N$2:$N$501,Scoresheet!$C$2:$C$501,A365,Scoresheet!$U$2:$U$501,1)&amp;"/6)",IF(N365&gt;=Settings!$S$8,"Hot",IF(N365&gt;=Settings!$S$9,"Warm","Cold")))))</f>
        <v/>
      </c>
      <c r="P365" s="44" t="str">
        <f aca="false">IF(OR(D365="",A365=""),"",IF(AND(COUNTIFS(Scoresheet!$C$2:$C$501,A365,Scoresheet!$U$2:$U$501,1,Scoresheet!$H$2:$H$501,"No")&gt;0,COUNTIFS(Scoresheet!$C$2:$C$501,A365,Scoresheet!$U$2:$U$501,1,Scoresheet!$J$2:$J$501,"No")&gt;0),"🚩 Budget  ·  🚩 No one on camera",IF(COUNTIFS(Scoresheet!$C$2:$C$501,A365,Scoresheet!$U$2:$U$501,1,Scoresheet!$H$2:$H$501,"No")&gt;0,"🚩 Budget under AED 5k",IF(COUNTIFS(Scoresheet!$C$2:$C$501,A365,Scoresheet!$U$2:$U$501,1,Scoresheet!$J$2:$J$501,"No")&gt;0,"🚩 No one on camera",""))))</f>
        <v/>
      </c>
      <c r="Q365" s="17"/>
      <c r="R365" s="17"/>
      <c r="S365" s="40"/>
      <c r="T365" s="17"/>
      <c r="U365" s="45" t="str">
        <f aca="false">IF(OR(D365="",S365="",OR(R365="Contract signed + paid",R365="Closed – No response",R365="Lost"),N(T365)&gt;=Settings!$S$3),"",S365+Settings!$S$2)</f>
        <v/>
      </c>
      <c r="V365" s="40"/>
      <c r="W365" s="41"/>
      <c r="X365" s="17"/>
      <c r="Y365" s="17"/>
      <c r="Z365" s="17"/>
      <c r="AA365" s="46" t="str">
        <f aca="true">IF(OR(D365="",B365=""),"",INT(TODAY()-B365))</f>
        <v/>
      </c>
      <c r="AB365" s="44" t="str">
        <f aca="true">IF(D365="","",IF(OR(COUNTIFS(Clients!$C$2:$C$501,D365,Clients!$S$2:$S$501,"Paid")&gt;0,AND(H365&lt;&gt;"",COUNTIFS(Clients!$E$2:$E$501,H365,Clients!$S$2:$S$501,"Paid")&gt;0)),"⚠ Refunded before – no free video",IF(OR(R365="Contract signed + paid",R365="Closed – No response",R365="Lost"),"",IF(R365="","Set a stage",IF(AND(R365="Proposal sent",SUMIFS(Scoresheet!$N$2:$N$501,Scoresheet!$C$2:$C$501,A365,Scoresheet!$U$2:$U$501,1)&lt;6),"Score this lead – fill the call scoresheet",IF(N(T365)&gt;=Settings!$S$3,"Close – 4 follow-ups sent",IF(U365="",IF(S365="","Make first contact",""),IF(TODAY()&gt;U365,"OVERDUE follow-up",IF(TODAY()=U365,"Follow up today","")))))))))</f>
        <v/>
      </c>
    </row>
    <row r="366" customFormat="false" ht="15" hidden="false" customHeight="false" outlineLevel="0" collapsed="false">
      <c r="A366" s="17"/>
      <c r="B366" s="40"/>
      <c r="C366" s="17"/>
      <c r="D366" s="17"/>
      <c r="E366" s="17"/>
      <c r="F366" s="17"/>
      <c r="G366" s="17"/>
      <c r="H366" s="42"/>
      <c r="I366" s="17"/>
      <c r="J366" s="17"/>
      <c r="K366" s="17"/>
      <c r="L366" s="17"/>
      <c r="M366" s="17"/>
      <c r="N366" s="44" t="str">
        <f aca="false">IF(OR(D366="",A366="",COUNTIFS(Scoresheet!$C$2:$C$501,A366,Scoresheet!$U$2:$U$501,1)=0),"",SUMIFS(Scoresheet!$O$2:$O$501,Scoresheet!$C$2:$C$501,A366,Scoresheet!$U$2:$U$501,1))</f>
        <v/>
      </c>
      <c r="O366" s="44" t="str">
        <f aca="false">IF(D366="","",IF(OR(A366="",COUNTIFS(Scoresheet!$C$2:$C$501,A366,Scoresheet!$U$2:$U$501,1)=0),"No scoresheet yet",IF(SUMIFS(Scoresheet!$N$2:$N$501,Scoresheet!$C$2:$C$501,A366,Scoresheet!$U$2:$U$501,1)&lt;6,"Partly scored ("&amp;SUMIFS(Scoresheet!$N$2:$N$501,Scoresheet!$C$2:$C$501,A366,Scoresheet!$U$2:$U$501,1)&amp;"/6)",IF(N366&gt;=Settings!$S$8,"Hot",IF(N366&gt;=Settings!$S$9,"Warm","Cold")))))</f>
        <v/>
      </c>
      <c r="P366" s="44" t="str">
        <f aca="false">IF(OR(D366="",A366=""),"",IF(AND(COUNTIFS(Scoresheet!$C$2:$C$501,A366,Scoresheet!$U$2:$U$501,1,Scoresheet!$H$2:$H$501,"No")&gt;0,COUNTIFS(Scoresheet!$C$2:$C$501,A366,Scoresheet!$U$2:$U$501,1,Scoresheet!$J$2:$J$501,"No")&gt;0),"🚩 Budget  ·  🚩 No one on camera",IF(COUNTIFS(Scoresheet!$C$2:$C$501,A366,Scoresheet!$U$2:$U$501,1,Scoresheet!$H$2:$H$501,"No")&gt;0,"🚩 Budget under AED 5k",IF(COUNTIFS(Scoresheet!$C$2:$C$501,A366,Scoresheet!$U$2:$U$501,1,Scoresheet!$J$2:$J$501,"No")&gt;0,"🚩 No one on camera",""))))</f>
        <v/>
      </c>
      <c r="Q366" s="17"/>
      <c r="R366" s="17"/>
      <c r="S366" s="40"/>
      <c r="T366" s="17"/>
      <c r="U366" s="45" t="str">
        <f aca="false">IF(OR(D366="",S366="",OR(R366="Contract signed + paid",R366="Closed – No response",R366="Lost"),N(T366)&gt;=Settings!$S$3),"",S366+Settings!$S$2)</f>
        <v/>
      </c>
      <c r="V366" s="40"/>
      <c r="W366" s="41"/>
      <c r="X366" s="17"/>
      <c r="Y366" s="17"/>
      <c r="Z366" s="17"/>
      <c r="AA366" s="46" t="str">
        <f aca="true">IF(OR(D366="",B366=""),"",INT(TODAY()-B366))</f>
        <v/>
      </c>
      <c r="AB366" s="44" t="str">
        <f aca="true">IF(D366="","",IF(OR(COUNTIFS(Clients!$C$2:$C$501,D366,Clients!$S$2:$S$501,"Paid")&gt;0,AND(H366&lt;&gt;"",COUNTIFS(Clients!$E$2:$E$501,H366,Clients!$S$2:$S$501,"Paid")&gt;0)),"⚠ Refunded before – no free video",IF(OR(R366="Contract signed + paid",R366="Closed – No response",R366="Lost"),"",IF(R366="","Set a stage",IF(AND(R366="Proposal sent",SUMIFS(Scoresheet!$N$2:$N$501,Scoresheet!$C$2:$C$501,A366,Scoresheet!$U$2:$U$501,1)&lt;6),"Score this lead – fill the call scoresheet",IF(N(T366)&gt;=Settings!$S$3,"Close – 4 follow-ups sent",IF(U366="",IF(S366="","Make first contact",""),IF(TODAY()&gt;U366,"OVERDUE follow-up",IF(TODAY()=U366,"Follow up today","")))))))))</f>
        <v/>
      </c>
    </row>
    <row r="367" customFormat="false" ht="15" hidden="false" customHeight="false" outlineLevel="0" collapsed="false">
      <c r="A367" s="17"/>
      <c r="B367" s="40"/>
      <c r="C367" s="17"/>
      <c r="D367" s="17"/>
      <c r="E367" s="17"/>
      <c r="F367" s="17"/>
      <c r="G367" s="17"/>
      <c r="H367" s="42"/>
      <c r="I367" s="17"/>
      <c r="J367" s="17"/>
      <c r="K367" s="17"/>
      <c r="L367" s="17"/>
      <c r="M367" s="17"/>
      <c r="N367" s="44" t="str">
        <f aca="false">IF(OR(D367="",A367="",COUNTIFS(Scoresheet!$C$2:$C$501,A367,Scoresheet!$U$2:$U$501,1)=0),"",SUMIFS(Scoresheet!$O$2:$O$501,Scoresheet!$C$2:$C$501,A367,Scoresheet!$U$2:$U$501,1))</f>
        <v/>
      </c>
      <c r="O367" s="44" t="str">
        <f aca="false">IF(D367="","",IF(OR(A367="",COUNTIFS(Scoresheet!$C$2:$C$501,A367,Scoresheet!$U$2:$U$501,1)=0),"No scoresheet yet",IF(SUMIFS(Scoresheet!$N$2:$N$501,Scoresheet!$C$2:$C$501,A367,Scoresheet!$U$2:$U$501,1)&lt;6,"Partly scored ("&amp;SUMIFS(Scoresheet!$N$2:$N$501,Scoresheet!$C$2:$C$501,A367,Scoresheet!$U$2:$U$501,1)&amp;"/6)",IF(N367&gt;=Settings!$S$8,"Hot",IF(N367&gt;=Settings!$S$9,"Warm","Cold")))))</f>
        <v/>
      </c>
      <c r="P367" s="44" t="str">
        <f aca="false">IF(OR(D367="",A367=""),"",IF(AND(COUNTIFS(Scoresheet!$C$2:$C$501,A367,Scoresheet!$U$2:$U$501,1,Scoresheet!$H$2:$H$501,"No")&gt;0,COUNTIFS(Scoresheet!$C$2:$C$501,A367,Scoresheet!$U$2:$U$501,1,Scoresheet!$J$2:$J$501,"No")&gt;0),"🚩 Budget  ·  🚩 No one on camera",IF(COUNTIFS(Scoresheet!$C$2:$C$501,A367,Scoresheet!$U$2:$U$501,1,Scoresheet!$H$2:$H$501,"No")&gt;0,"🚩 Budget under AED 5k",IF(COUNTIFS(Scoresheet!$C$2:$C$501,A367,Scoresheet!$U$2:$U$501,1,Scoresheet!$J$2:$J$501,"No")&gt;0,"🚩 No one on camera",""))))</f>
        <v/>
      </c>
      <c r="Q367" s="17"/>
      <c r="R367" s="17"/>
      <c r="S367" s="40"/>
      <c r="T367" s="17"/>
      <c r="U367" s="45" t="str">
        <f aca="false">IF(OR(D367="",S367="",OR(R367="Contract signed + paid",R367="Closed – No response",R367="Lost"),N(T367)&gt;=Settings!$S$3),"",S367+Settings!$S$2)</f>
        <v/>
      </c>
      <c r="V367" s="40"/>
      <c r="W367" s="41"/>
      <c r="X367" s="17"/>
      <c r="Y367" s="17"/>
      <c r="Z367" s="17"/>
      <c r="AA367" s="46" t="str">
        <f aca="true">IF(OR(D367="",B367=""),"",INT(TODAY()-B367))</f>
        <v/>
      </c>
      <c r="AB367" s="44" t="str">
        <f aca="true">IF(D367="","",IF(OR(COUNTIFS(Clients!$C$2:$C$501,D367,Clients!$S$2:$S$501,"Paid")&gt;0,AND(H367&lt;&gt;"",COUNTIFS(Clients!$E$2:$E$501,H367,Clients!$S$2:$S$501,"Paid")&gt;0)),"⚠ Refunded before – no free video",IF(OR(R367="Contract signed + paid",R367="Closed – No response",R367="Lost"),"",IF(R367="","Set a stage",IF(AND(R367="Proposal sent",SUMIFS(Scoresheet!$N$2:$N$501,Scoresheet!$C$2:$C$501,A367,Scoresheet!$U$2:$U$501,1)&lt;6),"Score this lead – fill the call scoresheet",IF(N(T367)&gt;=Settings!$S$3,"Close – 4 follow-ups sent",IF(U367="",IF(S367="","Make first contact",""),IF(TODAY()&gt;U367,"OVERDUE follow-up",IF(TODAY()=U367,"Follow up today","")))))))))</f>
        <v/>
      </c>
    </row>
    <row r="368" customFormat="false" ht="15" hidden="false" customHeight="false" outlineLevel="0" collapsed="false">
      <c r="A368" s="17"/>
      <c r="B368" s="40"/>
      <c r="C368" s="17"/>
      <c r="D368" s="17"/>
      <c r="E368" s="17"/>
      <c r="F368" s="17"/>
      <c r="G368" s="17"/>
      <c r="H368" s="42"/>
      <c r="I368" s="17"/>
      <c r="J368" s="17"/>
      <c r="K368" s="17"/>
      <c r="L368" s="17"/>
      <c r="M368" s="17"/>
      <c r="N368" s="44" t="str">
        <f aca="false">IF(OR(D368="",A368="",COUNTIFS(Scoresheet!$C$2:$C$501,A368,Scoresheet!$U$2:$U$501,1)=0),"",SUMIFS(Scoresheet!$O$2:$O$501,Scoresheet!$C$2:$C$501,A368,Scoresheet!$U$2:$U$501,1))</f>
        <v/>
      </c>
      <c r="O368" s="44" t="str">
        <f aca="false">IF(D368="","",IF(OR(A368="",COUNTIFS(Scoresheet!$C$2:$C$501,A368,Scoresheet!$U$2:$U$501,1)=0),"No scoresheet yet",IF(SUMIFS(Scoresheet!$N$2:$N$501,Scoresheet!$C$2:$C$501,A368,Scoresheet!$U$2:$U$501,1)&lt;6,"Partly scored ("&amp;SUMIFS(Scoresheet!$N$2:$N$501,Scoresheet!$C$2:$C$501,A368,Scoresheet!$U$2:$U$501,1)&amp;"/6)",IF(N368&gt;=Settings!$S$8,"Hot",IF(N368&gt;=Settings!$S$9,"Warm","Cold")))))</f>
        <v/>
      </c>
      <c r="P368" s="44" t="str">
        <f aca="false">IF(OR(D368="",A368=""),"",IF(AND(COUNTIFS(Scoresheet!$C$2:$C$501,A368,Scoresheet!$U$2:$U$501,1,Scoresheet!$H$2:$H$501,"No")&gt;0,COUNTIFS(Scoresheet!$C$2:$C$501,A368,Scoresheet!$U$2:$U$501,1,Scoresheet!$J$2:$J$501,"No")&gt;0),"🚩 Budget  ·  🚩 No one on camera",IF(COUNTIFS(Scoresheet!$C$2:$C$501,A368,Scoresheet!$U$2:$U$501,1,Scoresheet!$H$2:$H$501,"No")&gt;0,"🚩 Budget under AED 5k",IF(COUNTIFS(Scoresheet!$C$2:$C$501,A368,Scoresheet!$U$2:$U$501,1,Scoresheet!$J$2:$J$501,"No")&gt;0,"🚩 No one on camera",""))))</f>
        <v/>
      </c>
      <c r="Q368" s="17"/>
      <c r="R368" s="17"/>
      <c r="S368" s="40"/>
      <c r="T368" s="17"/>
      <c r="U368" s="45" t="str">
        <f aca="false">IF(OR(D368="",S368="",OR(R368="Contract signed + paid",R368="Closed – No response",R368="Lost"),N(T368)&gt;=Settings!$S$3),"",S368+Settings!$S$2)</f>
        <v/>
      </c>
      <c r="V368" s="40"/>
      <c r="W368" s="41"/>
      <c r="X368" s="17"/>
      <c r="Y368" s="17"/>
      <c r="Z368" s="17"/>
      <c r="AA368" s="46" t="str">
        <f aca="true">IF(OR(D368="",B368=""),"",INT(TODAY()-B368))</f>
        <v/>
      </c>
      <c r="AB368" s="44" t="str">
        <f aca="true">IF(D368="","",IF(OR(COUNTIFS(Clients!$C$2:$C$501,D368,Clients!$S$2:$S$501,"Paid")&gt;0,AND(H368&lt;&gt;"",COUNTIFS(Clients!$E$2:$E$501,H368,Clients!$S$2:$S$501,"Paid")&gt;0)),"⚠ Refunded before – no free video",IF(OR(R368="Contract signed + paid",R368="Closed – No response",R368="Lost"),"",IF(R368="","Set a stage",IF(AND(R368="Proposal sent",SUMIFS(Scoresheet!$N$2:$N$501,Scoresheet!$C$2:$C$501,A368,Scoresheet!$U$2:$U$501,1)&lt;6),"Score this lead – fill the call scoresheet",IF(N(T368)&gt;=Settings!$S$3,"Close – 4 follow-ups sent",IF(U368="",IF(S368="","Make first contact",""),IF(TODAY()&gt;U368,"OVERDUE follow-up",IF(TODAY()=U368,"Follow up today","")))))))))</f>
        <v/>
      </c>
    </row>
    <row r="369" customFormat="false" ht="15" hidden="false" customHeight="false" outlineLevel="0" collapsed="false">
      <c r="A369" s="17"/>
      <c r="B369" s="40"/>
      <c r="C369" s="17"/>
      <c r="D369" s="17"/>
      <c r="E369" s="17"/>
      <c r="F369" s="17"/>
      <c r="G369" s="17"/>
      <c r="H369" s="42"/>
      <c r="I369" s="17"/>
      <c r="J369" s="17"/>
      <c r="K369" s="17"/>
      <c r="L369" s="17"/>
      <c r="M369" s="17"/>
      <c r="N369" s="44" t="str">
        <f aca="false">IF(OR(D369="",A369="",COUNTIFS(Scoresheet!$C$2:$C$501,A369,Scoresheet!$U$2:$U$501,1)=0),"",SUMIFS(Scoresheet!$O$2:$O$501,Scoresheet!$C$2:$C$501,A369,Scoresheet!$U$2:$U$501,1))</f>
        <v/>
      </c>
      <c r="O369" s="44" t="str">
        <f aca="false">IF(D369="","",IF(OR(A369="",COUNTIFS(Scoresheet!$C$2:$C$501,A369,Scoresheet!$U$2:$U$501,1)=0),"No scoresheet yet",IF(SUMIFS(Scoresheet!$N$2:$N$501,Scoresheet!$C$2:$C$501,A369,Scoresheet!$U$2:$U$501,1)&lt;6,"Partly scored ("&amp;SUMIFS(Scoresheet!$N$2:$N$501,Scoresheet!$C$2:$C$501,A369,Scoresheet!$U$2:$U$501,1)&amp;"/6)",IF(N369&gt;=Settings!$S$8,"Hot",IF(N369&gt;=Settings!$S$9,"Warm","Cold")))))</f>
        <v/>
      </c>
      <c r="P369" s="44" t="str">
        <f aca="false">IF(OR(D369="",A369=""),"",IF(AND(COUNTIFS(Scoresheet!$C$2:$C$501,A369,Scoresheet!$U$2:$U$501,1,Scoresheet!$H$2:$H$501,"No")&gt;0,COUNTIFS(Scoresheet!$C$2:$C$501,A369,Scoresheet!$U$2:$U$501,1,Scoresheet!$J$2:$J$501,"No")&gt;0),"🚩 Budget  ·  🚩 No one on camera",IF(COUNTIFS(Scoresheet!$C$2:$C$501,A369,Scoresheet!$U$2:$U$501,1,Scoresheet!$H$2:$H$501,"No")&gt;0,"🚩 Budget under AED 5k",IF(COUNTIFS(Scoresheet!$C$2:$C$501,A369,Scoresheet!$U$2:$U$501,1,Scoresheet!$J$2:$J$501,"No")&gt;0,"🚩 No one on camera",""))))</f>
        <v/>
      </c>
      <c r="Q369" s="17"/>
      <c r="R369" s="17"/>
      <c r="S369" s="40"/>
      <c r="T369" s="17"/>
      <c r="U369" s="45" t="str">
        <f aca="false">IF(OR(D369="",S369="",OR(R369="Contract signed + paid",R369="Closed – No response",R369="Lost"),N(T369)&gt;=Settings!$S$3),"",S369+Settings!$S$2)</f>
        <v/>
      </c>
      <c r="V369" s="40"/>
      <c r="W369" s="41"/>
      <c r="X369" s="17"/>
      <c r="Y369" s="17"/>
      <c r="Z369" s="17"/>
      <c r="AA369" s="46" t="str">
        <f aca="true">IF(OR(D369="",B369=""),"",INT(TODAY()-B369))</f>
        <v/>
      </c>
      <c r="AB369" s="44" t="str">
        <f aca="true">IF(D369="","",IF(OR(COUNTIFS(Clients!$C$2:$C$501,D369,Clients!$S$2:$S$501,"Paid")&gt;0,AND(H369&lt;&gt;"",COUNTIFS(Clients!$E$2:$E$501,H369,Clients!$S$2:$S$501,"Paid")&gt;0)),"⚠ Refunded before – no free video",IF(OR(R369="Contract signed + paid",R369="Closed – No response",R369="Lost"),"",IF(R369="","Set a stage",IF(AND(R369="Proposal sent",SUMIFS(Scoresheet!$N$2:$N$501,Scoresheet!$C$2:$C$501,A369,Scoresheet!$U$2:$U$501,1)&lt;6),"Score this lead – fill the call scoresheet",IF(N(T369)&gt;=Settings!$S$3,"Close – 4 follow-ups sent",IF(U369="",IF(S369="","Make first contact",""),IF(TODAY()&gt;U369,"OVERDUE follow-up",IF(TODAY()=U369,"Follow up today","")))))))))</f>
        <v/>
      </c>
    </row>
    <row r="370" customFormat="false" ht="15" hidden="false" customHeight="false" outlineLevel="0" collapsed="false">
      <c r="A370" s="17"/>
      <c r="B370" s="40"/>
      <c r="C370" s="17"/>
      <c r="D370" s="17"/>
      <c r="E370" s="17"/>
      <c r="F370" s="17"/>
      <c r="G370" s="17"/>
      <c r="H370" s="42"/>
      <c r="I370" s="17"/>
      <c r="J370" s="17"/>
      <c r="K370" s="17"/>
      <c r="L370" s="17"/>
      <c r="M370" s="17"/>
      <c r="N370" s="44" t="str">
        <f aca="false">IF(OR(D370="",A370="",COUNTIFS(Scoresheet!$C$2:$C$501,A370,Scoresheet!$U$2:$U$501,1)=0),"",SUMIFS(Scoresheet!$O$2:$O$501,Scoresheet!$C$2:$C$501,A370,Scoresheet!$U$2:$U$501,1))</f>
        <v/>
      </c>
      <c r="O370" s="44" t="str">
        <f aca="false">IF(D370="","",IF(OR(A370="",COUNTIFS(Scoresheet!$C$2:$C$501,A370,Scoresheet!$U$2:$U$501,1)=0),"No scoresheet yet",IF(SUMIFS(Scoresheet!$N$2:$N$501,Scoresheet!$C$2:$C$501,A370,Scoresheet!$U$2:$U$501,1)&lt;6,"Partly scored ("&amp;SUMIFS(Scoresheet!$N$2:$N$501,Scoresheet!$C$2:$C$501,A370,Scoresheet!$U$2:$U$501,1)&amp;"/6)",IF(N370&gt;=Settings!$S$8,"Hot",IF(N370&gt;=Settings!$S$9,"Warm","Cold")))))</f>
        <v/>
      </c>
      <c r="P370" s="44" t="str">
        <f aca="false">IF(OR(D370="",A370=""),"",IF(AND(COUNTIFS(Scoresheet!$C$2:$C$501,A370,Scoresheet!$U$2:$U$501,1,Scoresheet!$H$2:$H$501,"No")&gt;0,COUNTIFS(Scoresheet!$C$2:$C$501,A370,Scoresheet!$U$2:$U$501,1,Scoresheet!$J$2:$J$501,"No")&gt;0),"🚩 Budget  ·  🚩 No one on camera",IF(COUNTIFS(Scoresheet!$C$2:$C$501,A370,Scoresheet!$U$2:$U$501,1,Scoresheet!$H$2:$H$501,"No")&gt;0,"🚩 Budget under AED 5k",IF(COUNTIFS(Scoresheet!$C$2:$C$501,A370,Scoresheet!$U$2:$U$501,1,Scoresheet!$J$2:$J$501,"No")&gt;0,"🚩 No one on camera",""))))</f>
        <v/>
      </c>
      <c r="Q370" s="17"/>
      <c r="R370" s="17"/>
      <c r="S370" s="40"/>
      <c r="T370" s="17"/>
      <c r="U370" s="45" t="str">
        <f aca="false">IF(OR(D370="",S370="",OR(R370="Contract signed + paid",R370="Closed – No response",R370="Lost"),N(T370)&gt;=Settings!$S$3),"",S370+Settings!$S$2)</f>
        <v/>
      </c>
      <c r="V370" s="40"/>
      <c r="W370" s="41"/>
      <c r="X370" s="17"/>
      <c r="Y370" s="17"/>
      <c r="Z370" s="17"/>
      <c r="AA370" s="46" t="str">
        <f aca="true">IF(OR(D370="",B370=""),"",INT(TODAY()-B370))</f>
        <v/>
      </c>
      <c r="AB370" s="44" t="str">
        <f aca="true">IF(D370="","",IF(OR(COUNTIFS(Clients!$C$2:$C$501,D370,Clients!$S$2:$S$501,"Paid")&gt;0,AND(H370&lt;&gt;"",COUNTIFS(Clients!$E$2:$E$501,H370,Clients!$S$2:$S$501,"Paid")&gt;0)),"⚠ Refunded before – no free video",IF(OR(R370="Contract signed + paid",R370="Closed – No response",R370="Lost"),"",IF(R370="","Set a stage",IF(AND(R370="Proposal sent",SUMIFS(Scoresheet!$N$2:$N$501,Scoresheet!$C$2:$C$501,A370,Scoresheet!$U$2:$U$501,1)&lt;6),"Score this lead – fill the call scoresheet",IF(N(T370)&gt;=Settings!$S$3,"Close – 4 follow-ups sent",IF(U370="",IF(S370="","Make first contact",""),IF(TODAY()&gt;U370,"OVERDUE follow-up",IF(TODAY()=U370,"Follow up today","")))))))))</f>
        <v/>
      </c>
    </row>
    <row r="371" customFormat="false" ht="15" hidden="false" customHeight="false" outlineLevel="0" collapsed="false">
      <c r="A371" s="17"/>
      <c r="B371" s="40"/>
      <c r="C371" s="17"/>
      <c r="D371" s="17"/>
      <c r="E371" s="17"/>
      <c r="F371" s="17"/>
      <c r="G371" s="17"/>
      <c r="H371" s="42"/>
      <c r="I371" s="17"/>
      <c r="J371" s="17"/>
      <c r="K371" s="17"/>
      <c r="L371" s="17"/>
      <c r="M371" s="17"/>
      <c r="N371" s="44" t="str">
        <f aca="false">IF(OR(D371="",A371="",COUNTIFS(Scoresheet!$C$2:$C$501,A371,Scoresheet!$U$2:$U$501,1)=0),"",SUMIFS(Scoresheet!$O$2:$O$501,Scoresheet!$C$2:$C$501,A371,Scoresheet!$U$2:$U$501,1))</f>
        <v/>
      </c>
      <c r="O371" s="44" t="str">
        <f aca="false">IF(D371="","",IF(OR(A371="",COUNTIFS(Scoresheet!$C$2:$C$501,A371,Scoresheet!$U$2:$U$501,1)=0),"No scoresheet yet",IF(SUMIFS(Scoresheet!$N$2:$N$501,Scoresheet!$C$2:$C$501,A371,Scoresheet!$U$2:$U$501,1)&lt;6,"Partly scored ("&amp;SUMIFS(Scoresheet!$N$2:$N$501,Scoresheet!$C$2:$C$501,A371,Scoresheet!$U$2:$U$501,1)&amp;"/6)",IF(N371&gt;=Settings!$S$8,"Hot",IF(N371&gt;=Settings!$S$9,"Warm","Cold")))))</f>
        <v/>
      </c>
      <c r="P371" s="44" t="str">
        <f aca="false">IF(OR(D371="",A371=""),"",IF(AND(COUNTIFS(Scoresheet!$C$2:$C$501,A371,Scoresheet!$U$2:$U$501,1,Scoresheet!$H$2:$H$501,"No")&gt;0,COUNTIFS(Scoresheet!$C$2:$C$501,A371,Scoresheet!$U$2:$U$501,1,Scoresheet!$J$2:$J$501,"No")&gt;0),"🚩 Budget  ·  🚩 No one on camera",IF(COUNTIFS(Scoresheet!$C$2:$C$501,A371,Scoresheet!$U$2:$U$501,1,Scoresheet!$H$2:$H$501,"No")&gt;0,"🚩 Budget under AED 5k",IF(COUNTIFS(Scoresheet!$C$2:$C$501,A371,Scoresheet!$U$2:$U$501,1,Scoresheet!$J$2:$J$501,"No")&gt;0,"🚩 No one on camera",""))))</f>
        <v/>
      </c>
      <c r="Q371" s="17"/>
      <c r="R371" s="17"/>
      <c r="S371" s="40"/>
      <c r="T371" s="17"/>
      <c r="U371" s="45" t="str">
        <f aca="false">IF(OR(D371="",S371="",OR(R371="Contract signed + paid",R371="Closed – No response",R371="Lost"),N(T371)&gt;=Settings!$S$3),"",S371+Settings!$S$2)</f>
        <v/>
      </c>
      <c r="V371" s="40"/>
      <c r="W371" s="41"/>
      <c r="X371" s="17"/>
      <c r="Y371" s="17"/>
      <c r="Z371" s="17"/>
      <c r="AA371" s="46" t="str">
        <f aca="true">IF(OR(D371="",B371=""),"",INT(TODAY()-B371))</f>
        <v/>
      </c>
      <c r="AB371" s="44" t="str">
        <f aca="true">IF(D371="","",IF(OR(COUNTIFS(Clients!$C$2:$C$501,D371,Clients!$S$2:$S$501,"Paid")&gt;0,AND(H371&lt;&gt;"",COUNTIFS(Clients!$E$2:$E$501,H371,Clients!$S$2:$S$501,"Paid")&gt;0)),"⚠ Refunded before – no free video",IF(OR(R371="Contract signed + paid",R371="Closed – No response",R371="Lost"),"",IF(R371="","Set a stage",IF(AND(R371="Proposal sent",SUMIFS(Scoresheet!$N$2:$N$501,Scoresheet!$C$2:$C$501,A371,Scoresheet!$U$2:$U$501,1)&lt;6),"Score this lead – fill the call scoresheet",IF(N(T371)&gt;=Settings!$S$3,"Close – 4 follow-ups sent",IF(U371="",IF(S371="","Make first contact",""),IF(TODAY()&gt;U371,"OVERDUE follow-up",IF(TODAY()=U371,"Follow up today","")))))))))</f>
        <v/>
      </c>
    </row>
    <row r="372" customFormat="false" ht="15" hidden="false" customHeight="false" outlineLevel="0" collapsed="false">
      <c r="A372" s="17"/>
      <c r="B372" s="40"/>
      <c r="C372" s="17"/>
      <c r="D372" s="17"/>
      <c r="E372" s="17"/>
      <c r="F372" s="17"/>
      <c r="G372" s="17"/>
      <c r="H372" s="42"/>
      <c r="I372" s="17"/>
      <c r="J372" s="17"/>
      <c r="K372" s="17"/>
      <c r="L372" s="17"/>
      <c r="M372" s="17"/>
      <c r="N372" s="44" t="str">
        <f aca="false">IF(OR(D372="",A372="",COUNTIFS(Scoresheet!$C$2:$C$501,A372,Scoresheet!$U$2:$U$501,1)=0),"",SUMIFS(Scoresheet!$O$2:$O$501,Scoresheet!$C$2:$C$501,A372,Scoresheet!$U$2:$U$501,1))</f>
        <v/>
      </c>
      <c r="O372" s="44" t="str">
        <f aca="false">IF(D372="","",IF(OR(A372="",COUNTIFS(Scoresheet!$C$2:$C$501,A372,Scoresheet!$U$2:$U$501,1)=0),"No scoresheet yet",IF(SUMIFS(Scoresheet!$N$2:$N$501,Scoresheet!$C$2:$C$501,A372,Scoresheet!$U$2:$U$501,1)&lt;6,"Partly scored ("&amp;SUMIFS(Scoresheet!$N$2:$N$501,Scoresheet!$C$2:$C$501,A372,Scoresheet!$U$2:$U$501,1)&amp;"/6)",IF(N372&gt;=Settings!$S$8,"Hot",IF(N372&gt;=Settings!$S$9,"Warm","Cold")))))</f>
        <v/>
      </c>
      <c r="P372" s="44" t="str">
        <f aca="false">IF(OR(D372="",A372=""),"",IF(AND(COUNTIFS(Scoresheet!$C$2:$C$501,A372,Scoresheet!$U$2:$U$501,1,Scoresheet!$H$2:$H$501,"No")&gt;0,COUNTIFS(Scoresheet!$C$2:$C$501,A372,Scoresheet!$U$2:$U$501,1,Scoresheet!$J$2:$J$501,"No")&gt;0),"🚩 Budget  ·  🚩 No one on camera",IF(COUNTIFS(Scoresheet!$C$2:$C$501,A372,Scoresheet!$U$2:$U$501,1,Scoresheet!$H$2:$H$501,"No")&gt;0,"🚩 Budget under AED 5k",IF(COUNTIFS(Scoresheet!$C$2:$C$501,A372,Scoresheet!$U$2:$U$501,1,Scoresheet!$J$2:$J$501,"No")&gt;0,"🚩 No one on camera",""))))</f>
        <v/>
      </c>
      <c r="Q372" s="17"/>
      <c r="R372" s="17"/>
      <c r="S372" s="40"/>
      <c r="T372" s="17"/>
      <c r="U372" s="45" t="str">
        <f aca="false">IF(OR(D372="",S372="",OR(R372="Contract signed + paid",R372="Closed – No response",R372="Lost"),N(T372)&gt;=Settings!$S$3),"",S372+Settings!$S$2)</f>
        <v/>
      </c>
      <c r="V372" s="40"/>
      <c r="W372" s="41"/>
      <c r="X372" s="17"/>
      <c r="Y372" s="17"/>
      <c r="Z372" s="17"/>
      <c r="AA372" s="46" t="str">
        <f aca="true">IF(OR(D372="",B372=""),"",INT(TODAY()-B372))</f>
        <v/>
      </c>
      <c r="AB372" s="44" t="str">
        <f aca="true">IF(D372="","",IF(OR(COUNTIFS(Clients!$C$2:$C$501,D372,Clients!$S$2:$S$501,"Paid")&gt;0,AND(H372&lt;&gt;"",COUNTIFS(Clients!$E$2:$E$501,H372,Clients!$S$2:$S$501,"Paid")&gt;0)),"⚠ Refunded before – no free video",IF(OR(R372="Contract signed + paid",R372="Closed – No response",R372="Lost"),"",IF(R372="","Set a stage",IF(AND(R372="Proposal sent",SUMIFS(Scoresheet!$N$2:$N$501,Scoresheet!$C$2:$C$501,A372,Scoresheet!$U$2:$U$501,1)&lt;6),"Score this lead – fill the call scoresheet",IF(N(T372)&gt;=Settings!$S$3,"Close – 4 follow-ups sent",IF(U372="",IF(S372="","Make first contact",""),IF(TODAY()&gt;U372,"OVERDUE follow-up",IF(TODAY()=U372,"Follow up today","")))))))))</f>
        <v/>
      </c>
    </row>
    <row r="373" customFormat="false" ht="15" hidden="false" customHeight="false" outlineLevel="0" collapsed="false">
      <c r="A373" s="17"/>
      <c r="B373" s="40"/>
      <c r="C373" s="17"/>
      <c r="D373" s="17"/>
      <c r="E373" s="17"/>
      <c r="F373" s="17"/>
      <c r="G373" s="17"/>
      <c r="H373" s="42"/>
      <c r="I373" s="17"/>
      <c r="J373" s="17"/>
      <c r="K373" s="17"/>
      <c r="L373" s="17"/>
      <c r="M373" s="17"/>
      <c r="N373" s="44" t="str">
        <f aca="false">IF(OR(D373="",A373="",COUNTIFS(Scoresheet!$C$2:$C$501,A373,Scoresheet!$U$2:$U$501,1)=0),"",SUMIFS(Scoresheet!$O$2:$O$501,Scoresheet!$C$2:$C$501,A373,Scoresheet!$U$2:$U$501,1))</f>
        <v/>
      </c>
      <c r="O373" s="44" t="str">
        <f aca="false">IF(D373="","",IF(OR(A373="",COUNTIFS(Scoresheet!$C$2:$C$501,A373,Scoresheet!$U$2:$U$501,1)=0),"No scoresheet yet",IF(SUMIFS(Scoresheet!$N$2:$N$501,Scoresheet!$C$2:$C$501,A373,Scoresheet!$U$2:$U$501,1)&lt;6,"Partly scored ("&amp;SUMIFS(Scoresheet!$N$2:$N$501,Scoresheet!$C$2:$C$501,A373,Scoresheet!$U$2:$U$501,1)&amp;"/6)",IF(N373&gt;=Settings!$S$8,"Hot",IF(N373&gt;=Settings!$S$9,"Warm","Cold")))))</f>
        <v/>
      </c>
      <c r="P373" s="44" t="str">
        <f aca="false">IF(OR(D373="",A373=""),"",IF(AND(COUNTIFS(Scoresheet!$C$2:$C$501,A373,Scoresheet!$U$2:$U$501,1,Scoresheet!$H$2:$H$501,"No")&gt;0,COUNTIFS(Scoresheet!$C$2:$C$501,A373,Scoresheet!$U$2:$U$501,1,Scoresheet!$J$2:$J$501,"No")&gt;0),"🚩 Budget  ·  🚩 No one on camera",IF(COUNTIFS(Scoresheet!$C$2:$C$501,A373,Scoresheet!$U$2:$U$501,1,Scoresheet!$H$2:$H$501,"No")&gt;0,"🚩 Budget under AED 5k",IF(COUNTIFS(Scoresheet!$C$2:$C$501,A373,Scoresheet!$U$2:$U$501,1,Scoresheet!$J$2:$J$501,"No")&gt;0,"🚩 No one on camera",""))))</f>
        <v/>
      </c>
      <c r="Q373" s="17"/>
      <c r="R373" s="17"/>
      <c r="S373" s="40"/>
      <c r="T373" s="17"/>
      <c r="U373" s="45" t="str">
        <f aca="false">IF(OR(D373="",S373="",OR(R373="Contract signed + paid",R373="Closed – No response",R373="Lost"),N(T373)&gt;=Settings!$S$3),"",S373+Settings!$S$2)</f>
        <v/>
      </c>
      <c r="V373" s="40"/>
      <c r="W373" s="41"/>
      <c r="X373" s="17"/>
      <c r="Y373" s="17"/>
      <c r="Z373" s="17"/>
      <c r="AA373" s="46" t="str">
        <f aca="true">IF(OR(D373="",B373=""),"",INT(TODAY()-B373))</f>
        <v/>
      </c>
      <c r="AB373" s="44" t="str">
        <f aca="true">IF(D373="","",IF(OR(COUNTIFS(Clients!$C$2:$C$501,D373,Clients!$S$2:$S$501,"Paid")&gt;0,AND(H373&lt;&gt;"",COUNTIFS(Clients!$E$2:$E$501,H373,Clients!$S$2:$S$501,"Paid")&gt;0)),"⚠ Refunded before – no free video",IF(OR(R373="Contract signed + paid",R373="Closed – No response",R373="Lost"),"",IF(R373="","Set a stage",IF(AND(R373="Proposal sent",SUMIFS(Scoresheet!$N$2:$N$501,Scoresheet!$C$2:$C$501,A373,Scoresheet!$U$2:$U$501,1)&lt;6),"Score this lead – fill the call scoresheet",IF(N(T373)&gt;=Settings!$S$3,"Close – 4 follow-ups sent",IF(U373="",IF(S373="","Make first contact",""),IF(TODAY()&gt;U373,"OVERDUE follow-up",IF(TODAY()=U373,"Follow up today","")))))))))</f>
        <v/>
      </c>
    </row>
    <row r="374" customFormat="false" ht="15" hidden="false" customHeight="false" outlineLevel="0" collapsed="false">
      <c r="A374" s="17"/>
      <c r="B374" s="40"/>
      <c r="C374" s="17"/>
      <c r="D374" s="17"/>
      <c r="E374" s="17"/>
      <c r="F374" s="17"/>
      <c r="G374" s="17"/>
      <c r="H374" s="42"/>
      <c r="I374" s="17"/>
      <c r="J374" s="17"/>
      <c r="K374" s="17"/>
      <c r="L374" s="17"/>
      <c r="M374" s="17"/>
      <c r="N374" s="44" t="str">
        <f aca="false">IF(OR(D374="",A374="",COUNTIFS(Scoresheet!$C$2:$C$501,A374,Scoresheet!$U$2:$U$501,1)=0),"",SUMIFS(Scoresheet!$O$2:$O$501,Scoresheet!$C$2:$C$501,A374,Scoresheet!$U$2:$U$501,1))</f>
        <v/>
      </c>
      <c r="O374" s="44" t="str">
        <f aca="false">IF(D374="","",IF(OR(A374="",COUNTIFS(Scoresheet!$C$2:$C$501,A374,Scoresheet!$U$2:$U$501,1)=0),"No scoresheet yet",IF(SUMIFS(Scoresheet!$N$2:$N$501,Scoresheet!$C$2:$C$501,A374,Scoresheet!$U$2:$U$501,1)&lt;6,"Partly scored ("&amp;SUMIFS(Scoresheet!$N$2:$N$501,Scoresheet!$C$2:$C$501,A374,Scoresheet!$U$2:$U$501,1)&amp;"/6)",IF(N374&gt;=Settings!$S$8,"Hot",IF(N374&gt;=Settings!$S$9,"Warm","Cold")))))</f>
        <v/>
      </c>
      <c r="P374" s="44" t="str">
        <f aca="false">IF(OR(D374="",A374=""),"",IF(AND(COUNTIFS(Scoresheet!$C$2:$C$501,A374,Scoresheet!$U$2:$U$501,1,Scoresheet!$H$2:$H$501,"No")&gt;0,COUNTIFS(Scoresheet!$C$2:$C$501,A374,Scoresheet!$U$2:$U$501,1,Scoresheet!$J$2:$J$501,"No")&gt;0),"🚩 Budget  ·  🚩 No one on camera",IF(COUNTIFS(Scoresheet!$C$2:$C$501,A374,Scoresheet!$U$2:$U$501,1,Scoresheet!$H$2:$H$501,"No")&gt;0,"🚩 Budget under AED 5k",IF(COUNTIFS(Scoresheet!$C$2:$C$501,A374,Scoresheet!$U$2:$U$501,1,Scoresheet!$J$2:$J$501,"No")&gt;0,"🚩 No one on camera",""))))</f>
        <v/>
      </c>
      <c r="Q374" s="17"/>
      <c r="R374" s="17"/>
      <c r="S374" s="40"/>
      <c r="T374" s="17"/>
      <c r="U374" s="45" t="str">
        <f aca="false">IF(OR(D374="",S374="",OR(R374="Contract signed + paid",R374="Closed – No response",R374="Lost"),N(T374)&gt;=Settings!$S$3),"",S374+Settings!$S$2)</f>
        <v/>
      </c>
      <c r="V374" s="40"/>
      <c r="W374" s="41"/>
      <c r="X374" s="17"/>
      <c r="Y374" s="17"/>
      <c r="Z374" s="17"/>
      <c r="AA374" s="46" t="str">
        <f aca="true">IF(OR(D374="",B374=""),"",INT(TODAY()-B374))</f>
        <v/>
      </c>
      <c r="AB374" s="44" t="str">
        <f aca="true">IF(D374="","",IF(OR(COUNTIFS(Clients!$C$2:$C$501,D374,Clients!$S$2:$S$501,"Paid")&gt;0,AND(H374&lt;&gt;"",COUNTIFS(Clients!$E$2:$E$501,H374,Clients!$S$2:$S$501,"Paid")&gt;0)),"⚠ Refunded before – no free video",IF(OR(R374="Contract signed + paid",R374="Closed – No response",R374="Lost"),"",IF(R374="","Set a stage",IF(AND(R374="Proposal sent",SUMIFS(Scoresheet!$N$2:$N$501,Scoresheet!$C$2:$C$501,A374,Scoresheet!$U$2:$U$501,1)&lt;6),"Score this lead – fill the call scoresheet",IF(N(T374)&gt;=Settings!$S$3,"Close – 4 follow-ups sent",IF(U374="",IF(S374="","Make first contact",""),IF(TODAY()&gt;U374,"OVERDUE follow-up",IF(TODAY()=U374,"Follow up today","")))))))))</f>
        <v/>
      </c>
    </row>
    <row r="375" customFormat="false" ht="15" hidden="false" customHeight="false" outlineLevel="0" collapsed="false">
      <c r="A375" s="17"/>
      <c r="B375" s="40"/>
      <c r="C375" s="17"/>
      <c r="D375" s="17"/>
      <c r="E375" s="17"/>
      <c r="F375" s="17"/>
      <c r="G375" s="17"/>
      <c r="H375" s="42"/>
      <c r="I375" s="17"/>
      <c r="J375" s="17"/>
      <c r="K375" s="17"/>
      <c r="L375" s="17"/>
      <c r="M375" s="17"/>
      <c r="N375" s="44" t="str">
        <f aca="false">IF(OR(D375="",A375="",COUNTIFS(Scoresheet!$C$2:$C$501,A375,Scoresheet!$U$2:$U$501,1)=0),"",SUMIFS(Scoresheet!$O$2:$O$501,Scoresheet!$C$2:$C$501,A375,Scoresheet!$U$2:$U$501,1))</f>
        <v/>
      </c>
      <c r="O375" s="44" t="str">
        <f aca="false">IF(D375="","",IF(OR(A375="",COUNTIFS(Scoresheet!$C$2:$C$501,A375,Scoresheet!$U$2:$U$501,1)=0),"No scoresheet yet",IF(SUMIFS(Scoresheet!$N$2:$N$501,Scoresheet!$C$2:$C$501,A375,Scoresheet!$U$2:$U$501,1)&lt;6,"Partly scored ("&amp;SUMIFS(Scoresheet!$N$2:$N$501,Scoresheet!$C$2:$C$501,A375,Scoresheet!$U$2:$U$501,1)&amp;"/6)",IF(N375&gt;=Settings!$S$8,"Hot",IF(N375&gt;=Settings!$S$9,"Warm","Cold")))))</f>
        <v/>
      </c>
      <c r="P375" s="44" t="str">
        <f aca="false">IF(OR(D375="",A375=""),"",IF(AND(COUNTIFS(Scoresheet!$C$2:$C$501,A375,Scoresheet!$U$2:$U$501,1,Scoresheet!$H$2:$H$501,"No")&gt;0,COUNTIFS(Scoresheet!$C$2:$C$501,A375,Scoresheet!$U$2:$U$501,1,Scoresheet!$J$2:$J$501,"No")&gt;0),"🚩 Budget  ·  🚩 No one on camera",IF(COUNTIFS(Scoresheet!$C$2:$C$501,A375,Scoresheet!$U$2:$U$501,1,Scoresheet!$H$2:$H$501,"No")&gt;0,"🚩 Budget under AED 5k",IF(COUNTIFS(Scoresheet!$C$2:$C$501,A375,Scoresheet!$U$2:$U$501,1,Scoresheet!$J$2:$J$501,"No")&gt;0,"🚩 No one on camera",""))))</f>
        <v/>
      </c>
      <c r="Q375" s="17"/>
      <c r="R375" s="17"/>
      <c r="S375" s="40"/>
      <c r="T375" s="17"/>
      <c r="U375" s="45" t="str">
        <f aca="false">IF(OR(D375="",S375="",OR(R375="Contract signed + paid",R375="Closed – No response",R375="Lost"),N(T375)&gt;=Settings!$S$3),"",S375+Settings!$S$2)</f>
        <v/>
      </c>
      <c r="V375" s="40"/>
      <c r="W375" s="41"/>
      <c r="X375" s="17"/>
      <c r="Y375" s="17"/>
      <c r="Z375" s="17"/>
      <c r="AA375" s="46" t="str">
        <f aca="true">IF(OR(D375="",B375=""),"",INT(TODAY()-B375))</f>
        <v/>
      </c>
      <c r="AB375" s="44" t="str">
        <f aca="true">IF(D375="","",IF(OR(COUNTIFS(Clients!$C$2:$C$501,D375,Clients!$S$2:$S$501,"Paid")&gt;0,AND(H375&lt;&gt;"",COUNTIFS(Clients!$E$2:$E$501,H375,Clients!$S$2:$S$501,"Paid")&gt;0)),"⚠ Refunded before – no free video",IF(OR(R375="Contract signed + paid",R375="Closed – No response",R375="Lost"),"",IF(R375="","Set a stage",IF(AND(R375="Proposal sent",SUMIFS(Scoresheet!$N$2:$N$501,Scoresheet!$C$2:$C$501,A375,Scoresheet!$U$2:$U$501,1)&lt;6),"Score this lead – fill the call scoresheet",IF(N(T375)&gt;=Settings!$S$3,"Close – 4 follow-ups sent",IF(U375="",IF(S375="","Make first contact",""),IF(TODAY()&gt;U375,"OVERDUE follow-up",IF(TODAY()=U375,"Follow up today","")))))))))</f>
        <v/>
      </c>
    </row>
    <row r="376" customFormat="false" ht="15" hidden="false" customHeight="false" outlineLevel="0" collapsed="false">
      <c r="A376" s="17"/>
      <c r="B376" s="40"/>
      <c r="C376" s="17"/>
      <c r="D376" s="17"/>
      <c r="E376" s="17"/>
      <c r="F376" s="17"/>
      <c r="G376" s="17"/>
      <c r="H376" s="42"/>
      <c r="I376" s="17"/>
      <c r="J376" s="17"/>
      <c r="K376" s="17"/>
      <c r="L376" s="17"/>
      <c r="M376" s="17"/>
      <c r="N376" s="44" t="str">
        <f aca="false">IF(OR(D376="",A376="",COUNTIFS(Scoresheet!$C$2:$C$501,A376,Scoresheet!$U$2:$U$501,1)=0),"",SUMIFS(Scoresheet!$O$2:$O$501,Scoresheet!$C$2:$C$501,A376,Scoresheet!$U$2:$U$501,1))</f>
        <v/>
      </c>
      <c r="O376" s="44" t="str">
        <f aca="false">IF(D376="","",IF(OR(A376="",COUNTIFS(Scoresheet!$C$2:$C$501,A376,Scoresheet!$U$2:$U$501,1)=0),"No scoresheet yet",IF(SUMIFS(Scoresheet!$N$2:$N$501,Scoresheet!$C$2:$C$501,A376,Scoresheet!$U$2:$U$501,1)&lt;6,"Partly scored ("&amp;SUMIFS(Scoresheet!$N$2:$N$501,Scoresheet!$C$2:$C$501,A376,Scoresheet!$U$2:$U$501,1)&amp;"/6)",IF(N376&gt;=Settings!$S$8,"Hot",IF(N376&gt;=Settings!$S$9,"Warm","Cold")))))</f>
        <v/>
      </c>
      <c r="P376" s="44" t="str">
        <f aca="false">IF(OR(D376="",A376=""),"",IF(AND(COUNTIFS(Scoresheet!$C$2:$C$501,A376,Scoresheet!$U$2:$U$501,1,Scoresheet!$H$2:$H$501,"No")&gt;0,COUNTIFS(Scoresheet!$C$2:$C$501,A376,Scoresheet!$U$2:$U$501,1,Scoresheet!$J$2:$J$501,"No")&gt;0),"🚩 Budget  ·  🚩 No one on camera",IF(COUNTIFS(Scoresheet!$C$2:$C$501,A376,Scoresheet!$U$2:$U$501,1,Scoresheet!$H$2:$H$501,"No")&gt;0,"🚩 Budget under AED 5k",IF(COUNTIFS(Scoresheet!$C$2:$C$501,A376,Scoresheet!$U$2:$U$501,1,Scoresheet!$J$2:$J$501,"No")&gt;0,"🚩 No one on camera",""))))</f>
        <v/>
      </c>
      <c r="Q376" s="17"/>
      <c r="R376" s="17"/>
      <c r="S376" s="40"/>
      <c r="T376" s="17"/>
      <c r="U376" s="45" t="str">
        <f aca="false">IF(OR(D376="",S376="",OR(R376="Contract signed + paid",R376="Closed – No response",R376="Lost"),N(T376)&gt;=Settings!$S$3),"",S376+Settings!$S$2)</f>
        <v/>
      </c>
      <c r="V376" s="40"/>
      <c r="W376" s="41"/>
      <c r="X376" s="17"/>
      <c r="Y376" s="17"/>
      <c r="Z376" s="17"/>
      <c r="AA376" s="46" t="str">
        <f aca="true">IF(OR(D376="",B376=""),"",INT(TODAY()-B376))</f>
        <v/>
      </c>
      <c r="AB376" s="44" t="str">
        <f aca="true">IF(D376="","",IF(OR(COUNTIFS(Clients!$C$2:$C$501,D376,Clients!$S$2:$S$501,"Paid")&gt;0,AND(H376&lt;&gt;"",COUNTIFS(Clients!$E$2:$E$501,H376,Clients!$S$2:$S$501,"Paid")&gt;0)),"⚠ Refunded before – no free video",IF(OR(R376="Contract signed + paid",R376="Closed – No response",R376="Lost"),"",IF(R376="","Set a stage",IF(AND(R376="Proposal sent",SUMIFS(Scoresheet!$N$2:$N$501,Scoresheet!$C$2:$C$501,A376,Scoresheet!$U$2:$U$501,1)&lt;6),"Score this lead – fill the call scoresheet",IF(N(T376)&gt;=Settings!$S$3,"Close – 4 follow-ups sent",IF(U376="",IF(S376="","Make first contact",""),IF(TODAY()&gt;U376,"OVERDUE follow-up",IF(TODAY()=U376,"Follow up today","")))))))))</f>
        <v/>
      </c>
    </row>
    <row r="377" customFormat="false" ht="15" hidden="false" customHeight="false" outlineLevel="0" collapsed="false">
      <c r="A377" s="17"/>
      <c r="B377" s="40"/>
      <c r="C377" s="17"/>
      <c r="D377" s="17"/>
      <c r="E377" s="17"/>
      <c r="F377" s="17"/>
      <c r="G377" s="17"/>
      <c r="H377" s="42"/>
      <c r="I377" s="17"/>
      <c r="J377" s="17"/>
      <c r="K377" s="17"/>
      <c r="L377" s="17"/>
      <c r="M377" s="17"/>
      <c r="N377" s="44" t="str">
        <f aca="false">IF(OR(D377="",A377="",COUNTIFS(Scoresheet!$C$2:$C$501,A377,Scoresheet!$U$2:$U$501,1)=0),"",SUMIFS(Scoresheet!$O$2:$O$501,Scoresheet!$C$2:$C$501,A377,Scoresheet!$U$2:$U$501,1))</f>
        <v/>
      </c>
      <c r="O377" s="44" t="str">
        <f aca="false">IF(D377="","",IF(OR(A377="",COUNTIFS(Scoresheet!$C$2:$C$501,A377,Scoresheet!$U$2:$U$501,1)=0),"No scoresheet yet",IF(SUMIFS(Scoresheet!$N$2:$N$501,Scoresheet!$C$2:$C$501,A377,Scoresheet!$U$2:$U$501,1)&lt;6,"Partly scored ("&amp;SUMIFS(Scoresheet!$N$2:$N$501,Scoresheet!$C$2:$C$501,A377,Scoresheet!$U$2:$U$501,1)&amp;"/6)",IF(N377&gt;=Settings!$S$8,"Hot",IF(N377&gt;=Settings!$S$9,"Warm","Cold")))))</f>
        <v/>
      </c>
      <c r="P377" s="44" t="str">
        <f aca="false">IF(OR(D377="",A377=""),"",IF(AND(COUNTIFS(Scoresheet!$C$2:$C$501,A377,Scoresheet!$U$2:$U$501,1,Scoresheet!$H$2:$H$501,"No")&gt;0,COUNTIFS(Scoresheet!$C$2:$C$501,A377,Scoresheet!$U$2:$U$501,1,Scoresheet!$J$2:$J$501,"No")&gt;0),"🚩 Budget  ·  🚩 No one on camera",IF(COUNTIFS(Scoresheet!$C$2:$C$501,A377,Scoresheet!$U$2:$U$501,1,Scoresheet!$H$2:$H$501,"No")&gt;0,"🚩 Budget under AED 5k",IF(COUNTIFS(Scoresheet!$C$2:$C$501,A377,Scoresheet!$U$2:$U$501,1,Scoresheet!$J$2:$J$501,"No")&gt;0,"🚩 No one on camera",""))))</f>
        <v/>
      </c>
      <c r="Q377" s="17"/>
      <c r="R377" s="17"/>
      <c r="S377" s="40"/>
      <c r="T377" s="17"/>
      <c r="U377" s="45" t="str">
        <f aca="false">IF(OR(D377="",S377="",OR(R377="Contract signed + paid",R377="Closed – No response",R377="Lost"),N(T377)&gt;=Settings!$S$3),"",S377+Settings!$S$2)</f>
        <v/>
      </c>
      <c r="V377" s="40"/>
      <c r="W377" s="41"/>
      <c r="X377" s="17"/>
      <c r="Y377" s="17"/>
      <c r="Z377" s="17"/>
      <c r="AA377" s="46" t="str">
        <f aca="true">IF(OR(D377="",B377=""),"",INT(TODAY()-B377))</f>
        <v/>
      </c>
      <c r="AB377" s="44" t="str">
        <f aca="true">IF(D377="","",IF(OR(COUNTIFS(Clients!$C$2:$C$501,D377,Clients!$S$2:$S$501,"Paid")&gt;0,AND(H377&lt;&gt;"",COUNTIFS(Clients!$E$2:$E$501,H377,Clients!$S$2:$S$501,"Paid")&gt;0)),"⚠ Refunded before – no free video",IF(OR(R377="Contract signed + paid",R377="Closed – No response",R377="Lost"),"",IF(R377="","Set a stage",IF(AND(R377="Proposal sent",SUMIFS(Scoresheet!$N$2:$N$501,Scoresheet!$C$2:$C$501,A377,Scoresheet!$U$2:$U$501,1)&lt;6),"Score this lead – fill the call scoresheet",IF(N(T377)&gt;=Settings!$S$3,"Close – 4 follow-ups sent",IF(U377="",IF(S377="","Make first contact",""),IF(TODAY()&gt;U377,"OVERDUE follow-up",IF(TODAY()=U377,"Follow up today","")))))))))</f>
        <v/>
      </c>
    </row>
    <row r="378" customFormat="false" ht="15" hidden="false" customHeight="false" outlineLevel="0" collapsed="false">
      <c r="A378" s="17"/>
      <c r="B378" s="40"/>
      <c r="C378" s="17"/>
      <c r="D378" s="17"/>
      <c r="E378" s="17"/>
      <c r="F378" s="17"/>
      <c r="G378" s="17"/>
      <c r="H378" s="42"/>
      <c r="I378" s="17"/>
      <c r="J378" s="17"/>
      <c r="K378" s="17"/>
      <c r="L378" s="17"/>
      <c r="M378" s="17"/>
      <c r="N378" s="44" t="str">
        <f aca="false">IF(OR(D378="",A378="",COUNTIFS(Scoresheet!$C$2:$C$501,A378,Scoresheet!$U$2:$U$501,1)=0),"",SUMIFS(Scoresheet!$O$2:$O$501,Scoresheet!$C$2:$C$501,A378,Scoresheet!$U$2:$U$501,1))</f>
        <v/>
      </c>
      <c r="O378" s="44" t="str">
        <f aca="false">IF(D378="","",IF(OR(A378="",COUNTIFS(Scoresheet!$C$2:$C$501,A378,Scoresheet!$U$2:$U$501,1)=0),"No scoresheet yet",IF(SUMIFS(Scoresheet!$N$2:$N$501,Scoresheet!$C$2:$C$501,A378,Scoresheet!$U$2:$U$501,1)&lt;6,"Partly scored ("&amp;SUMIFS(Scoresheet!$N$2:$N$501,Scoresheet!$C$2:$C$501,A378,Scoresheet!$U$2:$U$501,1)&amp;"/6)",IF(N378&gt;=Settings!$S$8,"Hot",IF(N378&gt;=Settings!$S$9,"Warm","Cold")))))</f>
        <v/>
      </c>
      <c r="P378" s="44" t="str">
        <f aca="false">IF(OR(D378="",A378=""),"",IF(AND(COUNTIFS(Scoresheet!$C$2:$C$501,A378,Scoresheet!$U$2:$U$501,1,Scoresheet!$H$2:$H$501,"No")&gt;0,COUNTIFS(Scoresheet!$C$2:$C$501,A378,Scoresheet!$U$2:$U$501,1,Scoresheet!$J$2:$J$501,"No")&gt;0),"🚩 Budget  ·  🚩 No one on camera",IF(COUNTIFS(Scoresheet!$C$2:$C$501,A378,Scoresheet!$U$2:$U$501,1,Scoresheet!$H$2:$H$501,"No")&gt;0,"🚩 Budget under AED 5k",IF(COUNTIFS(Scoresheet!$C$2:$C$501,A378,Scoresheet!$U$2:$U$501,1,Scoresheet!$J$2:$J$501,"No")&gt;0,"🚩 No one on camera",""))))</f>
        <v/>
      </c>
      <c r="Q378" s="17"/>
      <c r="R378" s="17"/>
      <c r="S378" s="40"/>
      <c r="T378" s="17"/>
      <c r="U378" s="45" t="str">
        <f aca="false">IF(OR(D378="",S378="",OR(R378="Contract signed + paid",R378="Closed – No response",R378="Lost"),N(T378)&gt;=Settings!$S$3),"",S378+Settings!$S$2)</f>
        <v/>
      </c>
      <c r="V378" s="40"/>
      <c r="W378" s="41"/>
      <c r="X378" s="17"/>
      <c r="Y378" s="17"/>
      <c r="Z378" s="17"/>
      <c r="AA378" s="46" t="str">
        <f aca="true">IF(OR(D378="",B378=""),"",INT(TODAY()-B378))</f>
        <v/>
      </c>
      <c r="AB378" s="44" t="str">
        <f aca="true">IF(D378="","",IF(OR(COUNTIFS(Clients!$C$2:$C$501,D378,Clients!$S$2:$S$501,"Paid")&gt;0,AND(H378&lt;&gt;"",COUNTIFS(Clients!$E$2:$E$501,H378,Clients!$S$2:$S$501,"Paid")&gt;0)),"⚠ Refunded before – no free video",IF(OR(R378="Contract signed + paid",R378="Closed – No response",R378="Lost"),"",IF(R378="","Set a stage",IF(AND(R378="Proposal sent",SUMIFS(Scoresheet!$N$2:$N$501,Scoresheet!$C$2:$C$501,A378,Scoresheet!$U$2:$U$501,1)&lt;6),"Score this lead – fill the call scoresheet",IF(N(T378)&gt;=Settings!$S$3,"Close – 4 follow-ups sent",IF(U378="",IF(S378="","Make first contact",""),IF(TODAY()&gt;U378,"OVERDUE follow-up",IF(TODAY()=U378,"Follow up today","")))))))))</f>
        <v/>
      </c>
    </row>
    <row r="379" customFormat="false" ht="15" hidden="false" customHeight="false" outlineLevel="0" collapsed="false">
      <c r="A379" s="17"/>
      <c r="B379" s="40"/>
      <c r="C379" s="17"/>
      <c r="D379" s="17"/>
      <c r="E379" s="17"/>
      <c r="F379" s="17"/>
      <c r="G379" s="17"/>
      <c r="H379" s="42"/>
      <c r="I379" s="17"/>
      <c r="J379" s="17"/>
      <c r="K379" s="17"/>
      <c r="L379" s="17"/>
      <c r="M379" s="17"/>
      <c r="N379" s="44" t="str">
        <f aca="false">IF(OR(D379="",A379="",COUNTIFS(Scoresheet!$C$2:$C$501,A379,Scoresheet!$U$2:$U$501,1)=0),"",SUMIFS(Scoresheet!$O$2:$O$501,Scoresheet!$C$2:$C$501,A379,Scoresheet!$U$2:$U$501,1))</f>
        <v/>
      </c>
      <c r="O379" s="44" t="str">
        <f aca="false">IF(D379="","",IF(OR(A379="",COUNTIFS(Scoresheet!$C$2:$C$501,A379,Scoresheet!$U$2:$U$501,1)=0),"No scoresheet yet",IF(SUMIFS(Scoresheet!$N$2:$N$501,Scoresheet!$C$2:$C$501,A379,Scoresheet!$U$2:$U$501,1)&lt;6,"Partly scored ("&amp;SUMIFS(Scoresheet!$N$2:$N$501,Scoresheet!$C$2:$C$501,A379,Scoresheet!$U$2:$U$501,1)&amp;"/6)",IF(N379&gt;=Settings!$S$8,"Hot",IF(N379&gt;=Settings!$S$9,"Warm","Cold")))))</f>
        <v/>
      </c>
      <c r="P379" s="44" t="str">
        <f aca="false">IF(OR(D379="",A379=""),"",IF(AND(COUNTIFS(Scoresheet!$C$2:$C$501,A379,Scoresheet!$U$2:$U$501,1,Scoresheet!$H$2:$H$501,"No")&gt;0,COUNTIFS(Scoresheet!$C$2:$C$501,A379,Scoresheet!$U$2:$U$501,1,Scoresheet!$J$2:$J$501,"No")&gt;0),"🚩 Budget  ·  🚩 No one on camera",IF(COUNTIFS(Scoresheet!$C$2:$C$501,A379,Scoresheet!$U$2:$U$501,1,Scoresheet!$H$2:$H$501,"No")&gt;0,"🚩 Budget under AED 5k",IF(COUNTIFS(Scoresheet!$C$2:$C$501,A379,Scoresheet!$U$2:$U$501,1,Scoresheet!$J$2:$J$501,"No")&gt;0,"🚩 No one on camera",""))))</f>
        <v/>
      </c>
      <c r="Q379" s="17"/>
      <c r="R379" s="17"/>
      <c r="S379" s="40"/>
      <c r="T379" s="17"/>
      <c r="U379" s="45" t="str">
        <f aca="false">IF(OR(D379="",S379="",OR(R379="Contract signed + paid",R379="Closed – No response",R379="Lost"),N(T379)&gt;=Settings!$S$3),"",S379+Settings!$S$2)</f>
        <v/>
      </c>
      <c r="V379" s="40"/>
      <c r="W379" s="41"/>
      <c r="X379" s="17"/>
      <c r="Y379" s="17"/>
      <c r="Z379" s="17"/>
      <c r="AA379" s="46" t="str">
        <f aca="true">IF(OR(D379="",B379=""),"",INT(TODAY()-B379))</f>
        <v/>
      </c>
      <c r="AB379" s="44" t="str">
        <f aca="true">IF(D379="","",IF(OR(COUNTIFS(Clients!$C$2:$C$501,D379,Clients!$S$2:$S$501,"Paid")&gt;0,AND(H379&lt;&gt;"",COUNTIFS(Clients!$E$2:$E$501,H379,Clients!$S$2:$S$501,"Paid")&gt;0)),"⚠ Refunded before – no free video",IF(OR(R379="Contract signed + paid",R379="Closed – No response",R379="Lost"),"",IF(R379="","Set a stage",IF(AND(R379="Proposal sent",SUMIFS(Scoresheet!$N$2:$N$501,Scoresheet!$C$2:$C$501,A379,Scoresheet!$U$2:$U$501,1)&lt;6),"Score this lead – fill the call scoresheet",IF(N(T379)&gt;=Settings!$S$3,"Close – 4 follow-ups sent",IF(U379="",IF(S379="","Make first contact",""),IF(TODAY()&gt;U379,"OVERDUE follow-up",IF(TODAY()=U379,"Follow up today","")))))))))</f>
        <v/>
      </c>
    </row>
    <row r="380" customFormat="false" ht="15" hidden="false" customHeight="false" outlineLevel="0" collapsed="false">
      <c r="A380" s="17"/>
      <c r="B380" s="40"/>
      <c r="C380" s="17"/>
      <c r="D380" s="17"/>
      <c r="E380" s="17"/>
      <c r="F380" s="17"/>
      <c r="G380" s="17"/>
      <c r="H380" s="42"/>
      <c r="I380" s="17"/>
      <c r="J380" s="17"/>
      <c r="K380" s="17"/>
      <c r="L380" s="17"/>
      <c r="M380" s="17"/>
      <c r="N380" s="44" t="str">
        <f aca="false">IF(OR(D380="",A380="",COUNTIFS(Scoresheet!$C$2:$C$501,A380,Scoresheet!$U$2:$U$501,1)=0),"",SUMIFS(Scoresheet!$O$2:$O$501,Scoresheet!$C$2:$C$501,A380,Scoresheet!$U$2:$U$501,1))</f>
        <v/>
      </c>
      <c r="O380" s="44" t="str">
        <f aca="false">IF(D380="","",IF(OR(A380="",COUNTIFS(Scoresheet!$C$2:$C$501,A380,Scoresheet!$U$2:$U$501,1)=0),"No scoresheet yet",IF(SUMIFS(Scoresheet!$N$2:$N$501,Scoresheet!$C$2:$C$501,A380,Scoresheet!$U$2:$U$501,1)&lt;6,"Partly scored ("&amp;SUMIFS(Scoresheet!$N$2:$N$501,Scoresheet!$C$2:$C$501,A380,Scoresheet!$U$2:$U$501,1)&amp;"/6)",IF(N380&gt;=Settings!$S$8,"Hot",IF(N380&gt;=Settings!$S$9,"Warm","Cold")))))</f>
        <v/>
      </c>
      <c r="P380" s="44" t="str">
        <f aca="false">IF(OR(D380="",A380=""),"",IF(AND(COUNTIFS(Scoresheet!$C$2:$C$501,A380,Scoresheet!$U$2:$U$501,1,Scoresheet!$H$2:$H$501,"No")&gt;0,COUNTIFS(Scoresheet!$C$2:$C$501,A380,Scoresheet!$U$2:$U$501,1,Scoresheet!$J$2:$J$501,"No")&gt;0),"🚩 Budget  ·  🚩 No one on camera",IF(COUNTIFS(Scoresheet!$C$2:$C$501,A380,Scoresheet!$U$2:$U$501,1,Scoresheet!$H$2:$H$501,"No")&gt;0,"🚩 Budget under AED 5k",IF(COUNTIFS(Scoresheet!$C$2:$C$501,A380,Scoresheet!$U$2:$U$501,1,Scoresheet!$J$2:$J$501,"No")&gt;0,"🚩 No one on camera",""))))</f>
        <v/>
      </c>
      <c r="Q380" s="17"/>
      <c r="R380" s="17"/>
      <c r="S380" s="40"/>
      <c r="T380" s="17"/>
      <c r="U380" s="45" t="str">
        <f aca="false">IF(OR(D380="",S380="",OR(R380="Contract signed + paid",R380="Closed – No response",R380="Lost"),N(T380)&gt;=Settings!$S$3),"",S380+Settings!$S$2)</f>
        <v/>
      </c>
      <c r="V380" s="40"/>
      <c r="W380" s="41"/>
      <c r="X380" s="17"/>
      <c r="Y380" s="17"/>
      <c r="Z380" s="17"/>
      <c r="AA380" s="46" t="str">
        <f aca="true">IF(OR(D380="",B380=""),"",INT(TODAY()-B380))</f>
        <v/>
      </c>
      <c r="AB380" s="44" t="str">
        <f aca="true">IF(D380="","",IF(OR(COUNTIFS(Clients!$C$2:$C$501,D380,Clients!$S$2:$S$501,"Paid")&gt;0,AND(H380&lt;&gt;"",COUNTIFS(Clients!$E$2:$E$501,H380,Clients!$S$2:$S$501,"Paid")&gt;0)),"⚠ Refunded before – no free video",IF(OR(R380="Contract signed + paid",R380="Closed – No response",R380="Lost"),"",IF(R380="","Set a stage",IF(AND(R380="Proposal sent",SUMIFS(Scoresheet!$N$2:$N$501,Scoresheet!$C$2:$C$501,A380,Scoresheet!$U$2:$U$501,1)&lt;6),"Score this lead – fill the call scoresheet",IF(N(T380)&gt;=Settings!$S$3,"Close – 4 follow-ups sent",IF(U380="",IF(S380="","Make first contact",""),IF(TODAY()&gt;U380,"OVERDUE follow-up",IF(TODAY()=U380,"Follow up today","")))))))))</f>
        <v/>
      </c>
    </row>
    <row r="381" customFormat="false" ht="15" hidden="false" customHeight="false" outlineLevel="0" collapsed="false">
      <c r="A381" s="17"/>
      <c r="B381" s="40"/>
      <c r="C381" s="17"/>
      <c r="D381" s="17"/>
      <c r="E381" s="17"/>
      <c r="F381" s="17"/>
      <c r="G381" s="17"/>
      <c r="H381" s="42"/>
      <c r="I381" s="17"/>
      <c r="J381" s="17"/>
      <c r="K381" s="17"/>
      <c r="L381" s="17"/>
      <c r="M381" s="17"/>
      <c r="N381" s="44" t="str">
        <f aca="false">IF(OR(D381="",A381="",COUNTIFS(Scoresheet!$C$2:$C$501,A381,Scoresheet!$U$2:$U$501,1)=0),"",SUMIFS(Scoresheet!$O$2:$O$501,Scoresheet!$C$2:$C$501,A381,Scoresheet!$U$2:$U$501,1))</f>
        <v/>
      </c>
      <c r="O381" s="44" t="str">
        <f aca="false">IF(D381="","",IF(OR(A381="",COUNTIFS(Scoresheet!$C$2:$C$501,A381,Scoresheet!$U$2:$U$501,1)=0),"No scoresheet yet",IF(SUMIFS(Scoresheet!$N$2:$N$501,Scoresheet!$C$2:$C$501,A381,Scoresheet!$U$2:$U$501,1)&lt;6,"Partly scored ("&amp;SUMIFS(Scoresheet!$N$2:$N$501,Scoresheet!$C$2:$C$501,A381,Scoresheet!$U$2:$U$501,1)&amp;"/6)",IF(N381&gt;=Settings!$S$8,"Hot",IF(N381&gt;=Settings!$S$9,"Warm","Cold")))))</f>
        <v/>
      </c>
      <c r="P381" s="44" t="str">
        <f aca="false">IF(OR(D381="",A381=""),"",IF(AND(COUNTIFS(Scoresheet!$C$2:$C$501,A381,Scoresheet!$U$2:$U$501,1,Scoresheet!$H$2:$H$501,"No")&gt;0,COUNTIFS(Scoresheet!$C$2:$C$501,A381,Scoresheet!$U$2:$U$501,1,Scoresheet!$J$2:$J$501,"No")&gt;0),"🚩 Budget  ·  🚩 No one on camera",IF(COUNTIFS(Scoresheet!$C$2:$C$501,A381,Scoresheet!$U$2:$U$501,1,Scoresheet!$H$2:$H$501,"No")&gt;0,"🚩 Budget under AED 5k",IF(COUNTIFS(Scoresheet!$C$2:$C$501,A381,Scoresheet!$U$2:$U$501,1,Scoresheet!$J$2:$J$501,"No")&gt;0,"🚩 No one on camera",""))))</f>
        <v/>
      </c>
      <c r="Q381" s="17"/>
      <c r="R381" s="17"/>
      <c r="S381" s="40"/>
      <c r="T381" s="17"/>
      <c r="U381" s="45" t="str">
        <f aca="false">IF(OR(D381="",S381="",OR(R381="Contract signed + paid",R381="Closed – No response",R381="Lost"),N(T381)&gt;=Settings!$S$3),"",S381+Settings!$S$2)</f>
        <v/>
      </c>
      <c r="V381" s="40"/>
      <c r="W381" s="41"/>
      <c r="X381" s="17"/>
      <c r="Y381" s="17"/>
      <c r="Z381" s="17"/>
      <c r="AA381" s="46" t="str">
        <f aca="true">IF(OR(D381="",B381=""),"",INT(TODAY()-B381))</f>
        <v/>
      </c>
      <c r="AB381" s="44" t="str">
        <f aca="true">IF(D381="","",IF(OR(COUNTIFS(Clients!$C$2:$C$501,D381,Clients!$S$2:$S$501,"Paid")&gt;0,AND(H381&lt;&gt;"",COUNTIFS(Clients!$E$2:$E$501,H381,Clients!$S$2:$S$501,"Paid")&gt;0)),"⚠ Refunded before – no free video",IF(OR(R381="Contract signed + paid",R381="Closed – No response",R381="Lost"),"",IF(R381="","Set a stage",IF(AND(R381="Proposal sent",SUMIFS(Scoresheet!$N$2:$N$501,Scoresheet!$C$2:$C$501,A381,Scoresheet!$U$2:$U$501,1)&lt;6),"Score this lead – fill the call scoresheet",IF(N(T381)&gt;=Settings!$S$3,"Close – 4 follow-ups sent",IF(U381="",IF(S381="","Make first contact",""),IF(TODAY()&gt;U381,"OVERDUE follow-up",IF(TODAY()=U381,"Follow up today","")))))))))</f>
        <v/>
      </c>
    </row>
    <row r="382" customFormat="false" ht="15" hidden="false" customHeight="false" outlineLevel="0" collapsed="false">
      <c r="A382" s="17"/>
      <c r="B382" s="40"/>
      <c r="C382" s="17"/>
      <c r="D382" s="17"/>
      <c r="E382" s="17"/>
      <c r="F382" s="17"/>
      <c r="G382" s="17"/>
      <c r="H382" s="42"/>
      <c r="I382" s="17"/>
      <c r="J382" s="17"/>
      <c r="K382" s="17"/>
      <c r="L382" s="17"/>
      <c r="M382" s="17"/>
      <c r="N382" s="44" t="str">
        <f aca="false">IF(OR(D382="",A382="",COUNTIFS(Scoresheet!$C$2:$C$501,A382,Scoresheet!$U$2:$U$501,1)=0),"",SUMIFS(Scoresheet!$O$2:$O$501,Scoresheet!$C$2:$C$501,A382,Scoresheet!$U$2:$U$501,1))</f>
        <v/>
      </c>
      <c r="O382" s="44" t="str">
        <f aca="false">IF(D382="","",IF(OR(A382="",COUNTIFS(Scoresheet!$C$2:$C$501,A382,Scoresheet!$U$2:$U$501,1)=0),"No scoresheet yet",IF(SUMIFS(Scoresheet!$N$2:$N$501,Scoresheet!$C$2:$C$501,A382,Scoresheet!$U$2:$U$501,1)&lt;6,"Partly scored ("&amp;SUMIFS(Scoresheet!$N$2:$N$501,Scoresheet!$C$2:$C$501,A382,Scoresheet!$U$2:$U$501,1)&amp;"/6)",IF(N382&gt;=Settings!$S$8,"Hot",IF(N382&gt;=Settings!$S$9,"Warm","Cold")))))</f>
        <v/>
      </c>
      <c r="P382" s="44" t="str">
        <f aca="false">IF(OR(D382="",A382=""),"",IF(AND(COUNTIFS(Scoresheet!$C$2:$C$501,A382,Scoresheet!$U$2:$U$501,1,Scoresheet!$H$2:$H$501,"No")&gt;0,COUNTIFS(Scoresheet!$C$2:$C$501,A382,Scoresheet!$U$2:$U$501,1,Scoresheet!$J$2:$J$501,"No")&gt;0),"🚩 Budget  ·  🚩 No one on camera",IF(COUNTIFS(Scoresheet!$C$2:$C$501,A382,Scoresheet!$U$2:$U$501,1,Scoresheet!$H$2:$H$501,"No")&gt;0,"🚩 Budget under AED 5k",IF(COUNTIFS(Scoresheet!$C$2:$C$501,A382,Scoresheet!$U$2:$U$501,1,Scoresheet!$J$2:$J$501,"No")&gt;0,"🚩 No one on camera",""))))</f>
        <v/>
      </c>
      <c r="Q382" s="17"/>
      <c r="R382" s="17"/>
      <c r="S382" s="40"/>
      <c r="T382" s="17"/>
      <c r="U382" s="45" t="str">
        <f aca="false">IF(OR(D382="",S382="",OR(R382="Contract signed + paid",R382="Closed – No response",R382="Lost"),N(T382)&gt;=Settings!$S$3),"",S382+Settings!$S$2)</f>
        <v/>
      </c>
      <c r="V382" s="40"/>
      <c r="W382" s="41"/>
      <c r="X382" s="17"/>
      <c r="Y382" s="17"/>
      <c r="Z382" s="17"/>
      <c r="AA382" s="46" t="str">
        <f aca="true">IF(OR(D382="",B382=""),"",INT(TODAY()-B382))</f>
        <v/>
      </c>
      <c r="AB382" s="44" t="str">
        <f aca="true">IF(D382="","",IF(OR(COUNTIFS(Clients!$C$2:$C$501,D382,Clients!$S$2:$S$501,"Paid")&gt;0,AND(H382&lt;&gt;"",COUNTIFS(Clients!$E$2:$E$501,H382,Clients!$S$2:$S$501,"Paid")&gt;0)),"⚠ Refunded before – no free video",IF(OR(R382="Contract signed + paid",R382="Closed – No response",R382="Lost"),"",IF(R382="","Set a stage",IF(AND(R382="Proposal sent",SUMIFS(Scoresheet!$N$2:$N$501,Scoresheet!$C$2:$C$501,A382,Scoresheet!$U$2:$U$501,1)&lt;6),"Score this lead – fill the call scoresheet",IF(N(T382)&gt;=Settings!$S$3,"Close – 4 follow-ups sent",IF(U382="",IF(S382="","Make first contact",""),IF(TODAY()&gt;U382,"OVERDUE follow-up",IF(TODAY()=U382,"Follow up today","")))))))))</f>
        <v/>
      </c>
    </row>
    <row r="383" customFormat="false" ht="15" hidden="false" customHeight="false" outlineLevel="0" collapsed="false">
      <c r="A383" s="17"/>
      <c r="B383" s="40"/>
      <c r="C383" s="17"/>
      <c r="D383" s="17"/>
      <c r="E383" s="17"/>
      <c r="F383" s="17"/>
      <c r="G383" s="17"/>
      <c r="H383" s="42"/>
      <c r="I383" s="17"/>
      <c r="J383" s="17"/>
      <c r="K383" s="17"/>
      <c r="L383" s="17"/>
      <c r="M383" s="17"/>
      <c r="N383" s="44" t="str">
        <f aca="false">IF(OR(D383="",A383="",COUNTIFS(Scoresheet!$C$2:$C$501,A383,Scoresheet!$U$2:$U$501,1)=0),"",SUMIFS(Scoresheet!$O$2:$O$501,Scoresheet!$C$2:$C$501,A383,Scoresheet!$U$2:$U$501,1))</f>
        <v/>
      </c>
      <c r="O383" s="44" t="str">
        <f aca="false">IF(D383="","",IF(OR(A383="",COUNTIFS(Scoresheet!$C$2:$C$501,A383,Scoresheet!$U$2:$U$501,1)=0),"No scoresheet yet",IF(SUMIFS(Scoresheet!$N$2:$N$501,Scoresheet!$C$2:$C$501,A383,Scoresheet!$U$2:$U$501,1)&lt;6,"Partly scored ("&amp;SUMIFS(Scoresheet!$N$2:$N$501,Scoresheet!$C$2:$C$501,A383,Scoresheet!$U$2:$U$501,1)&amp;"/6)",IF(N383&gt;=Settings!$S$8,"Hot",IF(N383&gt;=Settings!$S$9,"Warm","Cold")))))</f>
        <v/>
      </c>
      <c r="P383" s="44" t="str">
        <f aca="false">IF(OR(D383="",A383=""),"",IF(AND(COUNTIFS(Scoresheet!$C$2:$C$501,A383,Scoresheet!$U$2:$U$501,1,Scoresheet!$H$2:$H$501,"No")&gt;0,COUNTIFS(Scoresheet!$C$2:$C$501,A383,Scoresheet!$U$2:$U$501,1,Scoresheet!$J$2:$J$501,"No")&gt;0),"🚩 Budget  ·  🚩 No one on camera",IF(COUNTIFS(Scoresheet!$C$2:$C$501,A383,Scoresheet!$U$2:$U$501,1,Scoresheet!$H$2:$H$501,"No")&gt;0,"🚩 Budget under AED 5k",IF(COUNTIFS(Scoresheet!$C$2:$C$501,A383,Scoresheet!$U$2:$U$501,1,Scoresheet!$J$2:$J$501,"No")&gt;0,"🚩 No one on camera",""))))</f>
        <v/>
      </c>
      <c r="Q383" s="17"/>
      <c r="R383" s="17"/>
      <c r="S383" s="40"/>
      <c r="T383" s="17"/>
      <c r="U383" s="45" t="str">
        <f aca="false">IF(OR(D383="",S383="",OR(R383="Contract signed + paid",R383="Closed – No response",R383="Lost"),N(T383)&gt;=Settings!$S$3),"",S383+Settings!$S$2)</f>
        <v/>
      </c>
      <c r="V383" s="40"/>
      <c r="W383" s="41"/>
      <c r="X383" s="17"/>
      <c r="Y383" s="17"/>
      <c r="Z383" s="17"/>
      <c r="AA383" s="46" t="str">
        <f aca="true">IF(OR(D383="",B383=""),"",INT(TODAY()-B383))</f>
        <v/>
      </c>
      <c r="AB383" s="44" t="str">
        <f aca="true">IF(D383="","",IF(OR(COUNTIFS(Clients!$C$2:$C$501,D383,Clients!$S$2:$S$501,"Paid")&gt;0,AND(H383&lt;&gt;"",COUNTIFS(Clients!$E$2:$E$501,H383,Clients!$S$2:$S$501,"Paid")&gt;0)),"⚠ Refunded before – no free video",IF(OR(R383="Contract signed + paid",R383="Closed – No response",R383="Lost"),"",IF(R383="","Set a stage",IF(AND(R383="Proposal sent",SUMIFS(Scoresheet!$N$2:$N$501,Scoresheet!$C$2:$C$501,A383,Scoresheet!$U$2:$U$501,1)&lt;6),"Score this lead – fill the call scoresheet",IF(N(T383)&gt;=Settings!$S$3,"Close – 4 follow-ups sent",IF(U383="",IF(S383="","Make first contact",""),IF(TODAY()&gt;U383,"OVERDUE follow-up",IF(TODAY()=U383,"Follow up today","")))))))))</f>
        <v/>
      </c>
    </row>
    <row r="384" customFormat="false" ht="15" hidden="false" customHeight="false" outlineLevel="0" collapsed="false">
      <c r="A384" s="17"/>
      <c r="B384" s="40"/>
      <c r="C384" s="17"/>
      <c r="D384" s="17"/>
      <c r="E384" s="17"/>
      <c r="F384" s="17"/>
      <c r="G384" s="17"/>
      <c r="H384" s="42"/>
      <c r="I384" s="17"/>
      <c r="J384" s="17"/>
      <c r="K384" s="17"/>
      <c r="L384" s="17"/>
      <c r="M384" s="17"/>
      <c r="N384" s="44" t="str">
        <f aca="false">IF(OR(D384="",A384="",COUNTIFS(Scoresheet!$C$2:$C$501,A384,Scoresheet!$U$2:$U$501,1)=0),"",SUMIFS(Scoresheet!$O$2:$O$501,Scoresheet!$C$2:$C$501,A384,Scoresheet!$U$2:$U$501,1))</f>
        <v/>
      </c>
      <c r="O384" s="44" t="str">
        <f aca="false">IF(D384="","",IF(OR(A384="",COUNTIFS(Scoresheet!$C$2:$C$501,A384,Scoresheet!$U$2:$U$501,1)=0),"No scoresheet yet",IF(SUMIFS(Scoresheet!$N$2:$N$501,Scoresheet!$C$2:$C$501,A384,Scoresheet!$U$2:$U$501,1)&lt;6,"Partly scored ("&amp;SUMIFS(Scoresheet!$N$2:$N$501,Scoresheet!$C$2:$C$501,A384,Scoresheet!$U$2:$U$501,1)&amp;"/6)",IF(N384&gt;=Settings!$S$8,"Hot",IF(N384&gt;=Settings!$S$9,"Warm","Cold")))))</f>
        <v/>
      </c>
      <c r="P384" s="44" t="str">
        <f aca="false">IF(OR(D384="",A384=""),"",IF(AND(COUNTIFS(Scoresheet!$C$2:$C$501,A384,Scoresheet!$U$2:$U$501,1,Scoresheet!$H$2:$H$501,"No")&gt;0,COUNTIFS(Scoresheet!$C$2:$C$501,A384,Scoresheet!$U$2:$U$501,1,Scoresheet!$J$2:$J$501,"No")&gt;0),"🚩 Budget  ·  🚩 No one on camera",IF(COUNTIFS(Scoresheet!$C$2:$C$501,A384,Scoresheet!$U$2:$U$501,1,Scoresheet!$H$2:$H$501,"No")&gt;0,"🚩 Budget under AED 5k",IF(COUNTIFS(Scoresheet!$C$2:$C$501,A384,Scoresheet!$U$2:$U$501,1,Scoresheet!$J$2:$J$501,"No")&gt;0,"🚩 No one on camera",""))))</f>
        <v/>
      </c>
      <c r="Q384" s="17"/>
      <c r="R384" s="17"/>
      <c r="S384" s="40"/>
      <c r="T384" s="17"/>
      <c r="U384" s="45" t="str">
        <f aca="false">IF(OR(D384="",S384="",OR(R384="Contract signed + paid",R384="Closed – No response",R384="Lost"),N(T384)&gt;=Settings!$S$3),"",S384+Settings!$S$2)</f>
        <v/>
      </c>
      <c r="V384" s="40"/>
      <c r="W384" s="41"/>
      <c r="X384" s="17"/>
      <c r="Y384" s="17"/>
      <c r="Z384" s="17"/>
      <c r="AA384" s="46" t="str">
        <f aca="true">IF(OR(D384="",B384=""),"",INT(TODAY()-B384))</f>
        <v/>
      </c>
      <c r="AB384" s="44" t="str">
        <f aca="true">IF(D384="","",IF(OR(COUNTIFS(Clients!$C$2:$C$501,D384,Clients!$S$2:$S$501,"Paid")&gt;0,AND(H384&lt;&gt;"",COUNTIFS(Clients!$E$2:$E$501,H384,Clients!$S$2:$S$501,"Paid")&gt;0)),"⚠ Refunded before – no free video",IF(OR(R384="Contract signed + paid",R384="Closed – No response",R384="Lost"),"",IF(R384="","Set a stage",IF(AND(R384="Proposal sent",SUMIFS(Scoresheet!$N$2:$N$501,Scoresheet!$C$2:$C$501,A384,Scoresheet!$U$2:$U$501,1)&lt;6),"Score this lead – fill the call scoresheet",IF(N(T384)&gt;=Settings!$S$3,"Close – 4 follow-ups sent",IF(U384="",IF(S384="","Make first contact",""),IF(TODAY()&gt;U384,"OVERDUE follow-up",IF(TODAY()=U384,"Follow up today","")))))))))</f>
        <v/>
      </c>
    </row>
    <row r="385" customFormat="false" ht="15" hidden="false" customHeight="false" outlineLevel="0" collapsed="false">
      <c r="A385" s="17"/>
      <c r="B385" s="40"/>
      <c r="C385" s="17"/>
      <c r="D385" s="17"/>
      <c r="E385" s="17"/>
      <c r="F385" s="17"/>
      <c r="G385" s="17"/>
      <c r="H385" s="42"/>
      <c r="I385" s="17"/>
      <c r="J385" s="17"/>
      <c r="K385" s="17"/>
      <c r="L385" s="17"/>
      <c r="M385" s="17"/>
      <c r="N385" s="44" t="str">
        <f aca="false">IF(OR(D385="",A385="",COUNTIFS(Scoresheet!$C$2:$C$501,A385,Scoresheet!$U$2:$U$501,1)=0),"",SUMIFS(Scoresheet!$O$2:$O$501,Scoresheet!$C$2:$C$501,A385,Scoresheet!$U$2:$U$501,1))</f>
        <v/>
      </c>
      <c r="O385" s="44" t="str">
        <f aca="false">IF(D385="","",IF(OR(A385="",COUNTIFS(Scoresheet!$C$2:$C$501,A385,Scoresheet!$U$2:$U$501,1)=0),"No scoresheet yet",IF(SUMIFS(Scoresheet!$N$2:$N$501,Scoresheet!$C$2:$C$501,A385,Scoresheet!$U$2:$U$501,1)&lt;6,"Partly scored ("&amp;SUMIFS(Scoresheet!$N$2:$N$501,Scoresheet!$C$2:$C$501,A385,Scoresheet!$U$2:$U$501,1)&amp;"/6)",IF(N385&gt;=Settings!$S$8,"Hot",IF(N385&gt;=Settings!$S$9,"Warm","Cold")))))</f>
        <v/>
      </c>
      <c r="P385" s="44" t="str">
        <f aca="false">IF(OR(D385="",A385=""),"",IF(AND(COUNTIFS(Scoresheet!$C$2:$C$501,A385,Scoresheet!$U$2:$U$501,1,Scoresheet!$H$2:$H$501,"No")&gt;0,COUNTIFS(Scoresheet!$C$2:$C$501,A385,Scoresheet!$U$2:$U$501,1,Scoresheet!$J$2:$J$501,"No")&gt;0),"🚩 Budget  ·  🚩 No one on camera",IF(COUNTIFS(Scoresheet!$C$2:$C$501,A385,Scoresheet!$U$2:$U$501,1,Scoresheet!$H$2:$H$501,"No")&gt;0,"🚩 Budget under AED 5k",IF(COUNTIFS(Scoresheet!$C$2:$C$501,A385,Scoresheet!$U$2:$U$501,1,Scoresheet!$J$2:$J$501,"No")&gt;0,"🚩 No one on camera",""))))</f>
        <v/>
      </c>
      <c r="Q385" s="17"/>
      <c r="R385" s="17"/>
      <c r="S385" s="40"/>
      <c r="T385" s="17"/>
      <c r="U385" s="45" t="str">
        <f aca="false">IF(OR(D385="",S385="",OR(R385="Contract signed + paid",R385="Closed – No response",R385="Lost"),N(T385)&gt;=Settings!$S$3),"",S385+Settings!$S$2)</f>
        <v/>
      </c>
      <c r="V385" s="40"/>
      <c r="W385" s="41"/>
      <c r="X385" s="17"/>
      <c r="Y385" s="17"/>
      <c r="Z385" s="17"/>
      <c r="AA385" s="46" t="str">
        <f aca="true">IF(OR(D385="",B385=""),"",INT(TODAY()-B385))</f>
        <v/>
      </c>
      <c r="AB385" s="44" t="str">
        <f aca="true">IF(D385="","",IF(OR(COUNTIFS(Clients!$C$2:$C$501,D385,Clients!$S$2:$S$501,"Paid")&gt;0,AND(H385&lt;&gt;"",COUNTIFS(Clients!$E$2:$E$501,H385,Clients!$S$2:$S$501,"Paid")&gt;0)),"⚠ Refunded before – no free video",IF(OR(R385="Contract signed + paid",R385="Closed – No response",R385="Lost"),"",IF(R385="","Set a stage",IF(AND(R385="Proposal sent",SUMIFS(Scoresheet!$N$2:$N$501,Scoresheet!$C$2:$C$501,A385,Scoresheet!$U$2:$U$501,1)&lt;6),"Score this lead – fill the call scoresheet",IF(N(T385)&gt;=Settings!$S$3,"Close – 4 follow-ups sent",IF(U385="",IF(S385="","Make first contact",""),IF(TODAY()&gt;U385,"OVERDUE follow-up",IF(TODAY()=U385,"Follow up today","")))))))))</f>
        <v/>
      </c>
    </row>
    <row r="386" customFormat="false" ht="15" hidden="false" customHeight="false" outlineLevel="0" collapsed="false">
      <c r="A386" s="17"/>
      <c r="B386" s="40"/>
      <c r="C386" s="17"/>
      <c r="D386" s="17"/>
      <c r="E386" s="17"/>
      <c r="F386" s="17"/>
      <c r="G386" s="17"/>
      <c r="H386" s="42"/>
      <c r="I386" s="17"/>
      <c r="J386" s="17"/>
      <c r="K386" s="17"/>
      <c r="L386" s="17"/>
      <c r="M386" s="17"/>
      <c r="N386" s="44" t="str">
        <f aca="false">IF(OR(D386="",A386="",COUNTIFS(Scoresheet!$C$2:$C$501,A386,Scoresheet!$U$2:$U$501,1)=0),"",SUMIFS(Scoresheet!$O$2:$O$501,Scoresheet!$C$2:$C$501,A386,Scoresheet!$U$2:$U$501,1))</f>
        <v/>
      </c>
      <c r="O386" s="44" t="str">
        <f aca="false">IF(D386="","",IF(OR(A386="",COUNTIFS(Scoresheet!$C$2:$C$501,A386,Scoresheet!$U$2:$U$501,1)=0),"No scoresheet yet",IF(SUMIFS(Scoresheet!$N$2:$N$501,Scoresheet!$C$2:$C$501,A386,Scoresheet!$U$2:$U$501,1)&lt;6,"Partly scored ("&amp;SUMIFS(Scoresheet!$N$2:$N$501,Scoresheet!$C$2:$C$501,A386,Scoresheet!$U$2:$U$501,1)&amp;"/6)",IF(N386&gt;=Settings!$S$8,"Hot",IF(N386&gt;=Settings!$S$9,"Warm","Cold")))))</f>
        <v/>
      </c>
      <c r="P386" s="44" t="str">
        <f aca="false">IF(OR(D386="",A386=""),"",IF(AND(COUNTIFS(Scoresheet!$C$2:$C$501,A386,Scoresheet!$U$2:$U$501,1,Scoresheet!$H$2:$H$501,"No")&gt;0,COUNTIFS(Scoresheet!$C$2:$C$501,A386,Scoresheet!$U$2:$U$501,1,Scoresheet!$J$2:$J$501,"No")&gt;0),"🚩 Budget  ·  🚩 No one on camera",IF(COUNTIFS(Scoresheet!$C$2:$C$501,A386,Scoresheet!$U$2:$U$501,1,Scoresheet!$H$2:$H$501,"No")&gt;0,"🚩 Budget under AED 5k",IF(COUNTIFS(Scoresheet!$C$2:$C$501,A386,Scoresheet!$U$2:$U$501,1,Scoresheet!$J$2:$J$501,"No")&gt;0,"🚩 No one on camera",""))))</f>
        <v/>
      </c>
      <c r="Q386" s="17"/>
      <c r="R386" s="17"/>
      <c r="S386" s="40"/>
      <c r="T386" s="17"/>
      <c r="U386" s="45" t="str">
        <f aca="false">IF(OR(D386="",S386="",OR(R386="Contract signed + paid",R386="Closed – No response",R386="Lost"),N(T386)&gt;=Settings!$S$3),"",S386+Settings!$S$2)</f>
        <v/>
      </c>
      <c r="V386" s="40"/>
      <c r="W386" s="41"/>
      <c r="X386" s="17"/>
      <c r="Y386" s="17"/>
      <c r="Z386" s="17"/>
      <c r="AA386" s="46" t="str">
        <f aca="true">IF(OR(D386="",B386=""),"",INT(TODAY()-B386))</f>
        <v/>
      </c>
      <c r="AB386" s="44" t="str">
        <f aca="true">IF(D386="","",IF(OR(COUNTIFS(Clients!$C$2:$C$501,D386,Clients!$S$2:$S$501,"Paid")&gt;0,AND(H386&lt;&gt;"",COUNTIFS(Clients!$E$2:$E$501,H386,Clients!$S$2:$S$501,"Paid")&gt;0)),"⚠ Refunded before – no free video",IF(OR(R386="Contract signed + paid",R386="Closed – No response",R386="Lost"),"",IF(R386="","Set a stage",IF(AND(R386="Proposal sent",SUMIFS(Scoresheet!$N$2:$N$501,Scoresheet!$C$2:$C$501,A386,Scoresheet!$U$2:$U$501,1)&lt;6),"Score this lead – fill the call scoresheet",IF(N(T386)&gt;=Settings!$S$3,"Close – 4 follow-ups sent",IF(U386="",IF(S386="","Make first contact",""),IF(TODAY()&gt;U386,"OVERDUE follow-up",IF(TODAY()=U386,"Follow up today","")))))))))</f>
        <v/>
      </c>
    </row>
    <row r="387" customFormat="false" ht="15" hidden="false" customHeight="false" outlineLevel="0" collapsed="false">
      <c r="A387" s="17"/>
      <c r="B387" s="40"/>
      <c r="C387" s="17"/>
      <c r="D387" s="17"/>
      <c r="E387" s="17"/>
      <c r="F387" s="17"/>
      <c r="G387" s="17"/>
      <c r="H387" s="42"/>
      <c r="I387" s="17"/>
      <c r="J387" s="17"/>
      <c r="K387" s="17"/>
      <c r="L387" s="17"/>
      <c r="M387" s="17"/>
      <c r="N387" s="44" t="str">
        <f aca="false">IF(OR(D387="",A387="",COUNTIFS(Scoresheet!$C$2:$C$501,A387,Scoresheet!$U$2:$U$501,1)=0),"",SUMIFS(Scoresheet!$O$2:$O$501,Scoresheet!$C$2:$C$501,A387,Scoresheet!$U$2:$U$501,1))</f>
        <v/>
      </c>
      <c r="O387" s="44" t="str">
        <f aca="false">IF(D387="","",IF(OR(A387="",COUNTIFS(Scoresheet!$C$2:$C$501,A387,Scoresheet!$U$2:$U$501,1)=0),"No scoresheet yet",IF(SUMIFS(Scoresheet!$N$2:$N$501,Scoresheet!$C$2:$C$501,A387,Scoresheet!$U$2:$U$501,1)&lt;6,"Partly scored ("&amp;SUMIFS(Scoresheet!$N$2:$N$501,Scoresheet!$C$2:$C$501,A387,Scoresheet!$U$2:$U$501,1)&amp;"/6)",IF(N387&gt;=Settings!$S$8,"Hot",IF(N387&gt;=Settings!$S$9,"Warm","Cold")))))</f>
        <v/>
      </c>
      <c r="P387" s="44" t="str">
        <f aca="false">IF(OR(D387="",A387=""),"",IF(AND(COUNTIFS(Scoresheet!$C$2:$C$501,A387,Scoresheet!$U$2:$U$501,1,Scoresheet!$H$2:$H$501,"No")&gt;0,COUNTIFS(Scoresheet!$C$2:$C$501,A387,Scoresheet!$U$2:$U$501,1,Scoresheet!$J$2:$J$501,"No")&gt;0),"🚩 Budget  ·  🚩 No one on camera",IF(COUNTIFS(Scoresheet!$C$2:$C$501,A387,Scoresheet!$U$2:$U$501,1,Scoresheet!$H$2:$H$501,"No")&gt;0,"🚩 Budget under AED 5k",IF(COUNTIFS(Scoresheet!$C$2:$C$501,A387,Scoresheet!$U$2:$U$501,1,Scoresheet!$J$2:$J$501,"No")&gt;0,"🚩 No one on camera",""))))</f>
        <v/>
      </c>
      <c r="Q387" s="17"/>
      <c r="R387" s="17"/>
      <c r="S387" s="40"/>
      <c r="T387" s="17"/>
      <c r="U387" s="45" t="str">
        <f aca="false">IF(OR(D387="",S387="",OR(R387="Contract signed + paid",R387="Closed – No response",R387="Lost"),N(T387)&gt;=Settings!$S$3),"",S387+Settings!$S$2)</f>
        <v/>
      </c>
      <c r="V387" s="40"/>
      <c r="W387" s="41"/>
      <c r="X387" s="17"/>
      <c r="Y387" s="17"/>
      <c r="Z387" s="17"/>
      <c r="AA387" s="46" t="str">
        <f aca="true">IF(OR(D387="",B387=""),"",INT(TODAY()-B387))</f>
        <v/>
      </c>
      <c r="AB387" s="44" t="str">
        <f aca="true">IF(D387="","",IF(OR(COUNTIFS(Clients!$C$2:$C$501,D387,Clients!$S$2:$S$501,"Paid")&gt;0,AND(H387&lt;&gt;"",COUNTIFS(Clients!$E$2:$E$501,H387,Clients!$S$2:$S$501,"Paid")&gt;0)),"⚠ Refunded before – no free video",IF(OR(R387="Contract signed + paid",R387="Closed – No response",R387="Lost"),"",IF(R387="","Set a stage",IF(AND(R387="Proposal sent",SUMIFS(Scoresheet!$N$2:$N$501,Scoresheet!$C$2:$C$501,A387,Scoresheet!$U$2:$U$501,1)&lt;6),"Score this lead – fill the call scoresheet",IF(N(T387)&gt;=Settings!$S$3,"Close – 4 follow-ups sent",IF(U387="",IF(S387="","Make first contact",""),IF(TODAY()&gt;U387,"OVERDUE follow-up",IF(TODAY()=U387,"Follow up today","")))))))))</f>
        <v/>
      </c>
    </row>
    <row r="388" customFormat="false" ht="15" hidden="false" customHeight="false" outlineLevel="0" collapsed="false">
      <c r="A388" s="17"/>
      <c r="B388" s="40"/>
      <c r="C388" s="17"/>
      <c r="D388" s="17"/>
      <c r="E388" s="17"/>
      <c r="F388" s="17"/>
      <c r="G388" s="17"/>
      <c r="H388" s="42"/>
      <c r="I388" s="17"/>
      <c r="J388" s="17"/>
      <c r="K388" s="17"/>
      <c r="L388" s="17"/>
      <c r="M388" s="17"/>
      <c r="N388" s="44" t="str">
        <f aca="false">IF(OR(D388="",A388="",COUNTIFS(Scoresheet!$C$2:$C$501,A388,Scoresheet!$U$2:$U$501,1)=0),"",SUMIFS(Scoresheet!$O$2:$O$501,Scoresheet!$C$2:$C$501,A388,Scoresheet!$U$2:$U$501,1))</f>
        <v/>
      </c>
      <c r="O388" s="44" t="str">
        <f aca="false">IF(D388="","",IF(OR(A388="",COUNTIFS(Scoresheet!$C$2:$C$501,A388,Scoresheet!$U$2:$U$501,1)=0),"No scoresheet yet",IF(SUMIFS(Scoresheet!$N$2:$N$501,Scoresheet!$C$2:$C$501,A388,Scoresheet!$U$2:$U$501,1)&lt;6,"Partly scored ("&amp;SUMIFS(Scoresheet!$N$2:$N$501,Scoresheet!$C$2:$C$501,A388,Scoresheet!$U$2:$U$501,1)&amp;"/6)",IF(N388&gt;=Settings!$S$8,"Hot",IF(N388&gt;=Settings!$S$9,"Warm","Cold")))))</f>
        <v/>
      </c>
      <c r="P388" s="44" t="str">
        <f aca="false">IF(OR(D388="",A388=""),"",IF(AND(COUNTIFS(Scoresheet!$C$2:$C$501,A388,Scoresheet!$U$2:$U$501,1,Scoresheet!$H$2:$H$501,"No")&gt;0,COUNTIFS(Scoresheet!$C$2:$C$501,A388,Scoresheet!$U$2:$U$501,1,Scoresheet!$J$2:$J$501,"No")&gt;0),"🚩 Budget  ·  🚩 No one on camera",IF(COUNTIFS(Scoresheet!$C$2:$C$501,A388,Scoresheet!$U$2:$U$501,1,Scoresheet!$H$2:$H$501,"No")&gt;0,"🚩 Budget under AED 5k",IF(COUNTIFS(Scoresheet!$C$2:$C$501,A388,Scoresheet!$U$2:$U$501,1,Scoresheet!$J$2:$J$501,"No")&gt;0,"🚩 No one on camera",""))))</f>
        <v/>
      </c>
      <c r="Q388" s="17"/>
      <c r="R388" s="17"/>
      <c r="S388" s="40"/>
      <c r="T388" s="17"/>
      <c r="U388" s="45" t="str">
        <f aca="false">IF(OR(D388="",S388="",OR(R388="Contract signed + paid",R388="Closed – No response",R388="Lost"),N(T388)&gt;=Settings!$S$3),"",S388+Settings!$S$2)</f>
        <v/>
      </c>
      <c r="V388" s="40"/>
      <c r="W388" s="41"/>
      <c r="X388" s="17"/>
      <c r="Y388" s="17"/>
      <c r="Z388" s="17"/>
      <c r="AA388" s="46" t="str">
        <f aca="true">IF(OR(D388="",B388=""),"",INT(TODAY()-B388))</f>
        <v/>
      </c>
      <c r="AB388" s="44" t="str">
        <f aca="true">IF(D388="","",IF(OR(COUNTIFS(Clients!$C$2:$C$501,D388,Clients!$S$2:$S$501,"Paid")&gt;0,AND(H388&lt;&gt;"",COUNTIFS(Clients!$E$2:$E$501,H388,Clients!$S$2:$S$501,"Paid")&gt;0)),"⚠ Refunded before – no free video",IF(OR(R388="Contract signed + paid",R388="Closed – No response",R388="Lost"),"",IF(R388="","Set a stage",IF(AND(R388="Proposal sent",SUMIFS(Scoresheet!$N$2:$N$501,Scoresheet!$C$2:$C$501,A388,Scoresheet!$U$2:$U$501,1)&lt;6),"Score this lead – fill the call scoresheet",IF(N(T388)&gt;=Settings!$S$3,"Close – 4 follow-ups sent",IF(U388="",IF(S388="","Make first contact",""),IF(TODAY()&gt;U388,"OVERDUE follow-up",IF(TODAY()=U388,"Follow up today","")))))))))</f>
        <v/>
      </c>
    </row>
    <row r="389" customFormat="false" ht="15" hidden="false" customHeight="false" outlineLevel="0" collapsed="false">
      <c r="A389" s="17"/>
      <c r="B389" s="40"/>
      <c r="C389" s="17"/>
      <c r="D389" s="17"/>
      <c r="E389" s="17"/>
      <c r="F389" s="17"/>
      <c r="G389" s="17"/>
      <c r="H389" s="42"/>
      <c r="I389" s="17"/>
      <c r="J389" s="17"/>
      <c r="K389" s="17"/>
      <c r="L389" s="17"/>
      <c r="M389" s="17"/>
      <c r="N389" s="44" t="str">
        <f aca="false">IF(OR(D389="",A389="",COUNTIFS(Scoresheet!$C$2:$C$501,A389,Scoresheet!$U$2:$U$501,1)=0),"",SUMIFS(Scoresheet!$O$2:$O$501,Scoresheet!$C$2:$C$501,A389,Scoresheet!$U$2:$U$501,1))</f>
        <v/>
      </c>
      <c r="O389" s="44" t="str">
        <f aca="false">IF(D389="","",IF(OR(A389="",COUNTIFS(Scoresheet!$C$2:$C$501,A389,Scoresheet!$U$2:$U$501,1)=0),"No scoresheet yet",IF(SUMIFS(Scoresheet!$N$2:$N$501,Scoresheet!$C$2:$C$501,A389,Scoresheet!$U$2:$U$501,1)&lt;6,"Partly scored ("&amp;SUMIFS(Scoresheet!$N$2:$N$501,Scoresheet!$C$2:$C$501,A389,Scoresheet!$U$2:$U$501,1)&amp;"/6)",IF(N389&gt;=Settings!$S$8,"Hot",IF(N389&gt;=Settings!$S$9,"Warm","Cold")))))</f>
        <v/>
      </c>
      <c r="P389" s="44" t="str">
        <f aca="false">IF(OR(D389="",A389=""),"",IF(AND(COUNTIFS(Scoresheet!$C$2:$C$501,A389,Scoresheet!$U$2:$U$501,1,Scoresheet!$H$2:$H$501,"No")&gt;0,COUNTIFS(Scoresheet!$C$2:$C$501,A389,Scoresheet!$U$2:$U$501,1,Scoresheet!$J$2:$J$501,"No")&gt;0),"🚩 Budget  ·  🚩 No one on camera",IF(COUNTIFS(Scoresheet!$C$2:$C$501,A389,Scoresheet!$U$2:$U$501,1,Scoresheet!$H$2:$H$501,"No")&gt;0,"🚩 Budget under AED 5k",IF(COUNTIFS(Scoresheet!$C$2:$C$501,A389,Scoresheet!$U$2:$U$501,1,Scoresheet!$J$2:$J$501,"No")&gt;0,"🚩 No one on camera",""))))</f>
        <v/>
      </c>
      <c r="Q389" s="17"/>
      <c r="R389" s="17"/>
      <c r="S389" s="40"/>
      <c r="T389" s="17"/>
      <c r="U389" s="45" t="str">
        <f aca="false">IF(OR(D389="",S389="",OR(R389="Contract signed + paid",R389="Closed – No response",R389="Lost"),N(T389)&gt;=Settings!$S$3),"",S389+Settings!$S$2)</f>
        <v/>
      </c>
      <c r="V389" s="40"/>
      <c r="W389" s="41"/>
      <c r="X389" s="17"/>
      <c r="Y389" s="17"/>
      <c r="Z389" s="17"/>
      <c r="AA389" s="46" t="str">
        <f aca="true">IF(OR(D389="",B389=""),"",INT(TODAY()-B389))</f>
        <v/>
      </c>
      <c r="AB389" s="44" t="str">
        <f aca="true">IF(D389="","",IF(OR(COUNTIFS(Clients!$C$2:$C$501,D389,Clients!$S$2:$S$501,"Paid")&gt;0,AND(H389&lt;&gt;"",COUNTIFS(Clients!$E$2:$E$501,H389,Clients!$S$2:$S$501,"Paid")&gt;0)),"⚠ Refunded before – no free video",IF(OR(R389="Contract signed + paid",R389="Closed – No response",R389="Lost"),"",IF(R389="","Set a stage",IF(AND(R389="Proposal sent",SUMIFS(Scoresheet!$N$2:$N$501,Scoresheet!$C$2:$C$501,A389,Scoresheet!$U$2:$U$501,1)&lt;6),"Score this lead – fill the call scoresheet",IF(N(T389)&gt;=Settings!$S$3,"Close – 4 follow-ups sent",IF(U389="",IF(S389="","Make first contact",""),IF(TODAY()&gt;U389,"OVERDUE follow-up",IF(TODAY()=U389,"Follow up today","")))))))))</f>
        <v/>
      </c>
    </row>
    <row r="390" customFormat="false" ht="15" hidden="false" customHeight="false" outlineLevel="0" collapsed="false">
      <c r="A390" s="17"/>
      <c r="B390" s="40"/>
      <c r="C390" s="17"/>
      <c r="D390" s="17"/>
      <c r="E390" s="17"/>
      <c r="F390" s="17"/>
      <c r="G390" s="17"/>
      <c r="H390" s="42"/>
      <c r="I390" s="17"/>
      <c r="J390" s="17"/>
      <c r="K390" s="17"/>
      <c r="L390" s="17"/>
      <c r="M390" s="17"/>
      <c r="N390" s="44" t="str">
        <f aca="false">IF(OR(D390="",A390="",COUNTIFS(Scoresheet!$C$2:$C$501,A390,Scoresheet!$U$2:$U$501,1)=0),"",SUMIFS(Scoresheet!$O$2:$O$501,Scoresheet!$C$2:$C$501,A390,Scoresheet!$U$2:$U$501,1))</f>
        <v/>
      </c>
      <c r="O390" s="44" t="str">
        <f aca="false">IF(D390="","",IF(OR(A390="",COUNTIFS(Scoresheet!$C$2:$C$501,A390,Scoresheet!$U$2:$U$501,1)=0),"No scoresheet yet",IF(SUMIFS(Scoresheet!$N$2:$N$501,Scoresheet!$C$2:$C$501,A390,Scoresheet!$U$2:$U$501,1)&lt;6,"Partly scored ("&amp;SUMIFS(Scoresheet!$N$2:$N$501,Scoresheet!$C$2:$C$501,A390,Scoresheet!$U$2:$U$501,1)&amp;"/6)",IF(N390&gt;=Settings!$S$8,"Hot",IF(N390&gt;=Settings!$S$9,"Warm","Cold")))))</f>
        <v/>
      </c>
      <c r="P390" s="44" t="str">
        <f aca="false">IF(OR(D390="",A390=""),"",IF(AND(COUNTIFS(Scoresheet!$C$2:$C$501,A390,Scoresheet!$U$2:$U$501,1,Scoresheet!$H$2:$H$501,"No")&gt;0,COUNTIFS(Scoresheet!$C$2:$C$501,A390,Scoresheet!$U$2:$U$501,1,Scoresheet!$J$2:$J$501,"No")&gt;0),"🚩 Budget  ·  🚩 No one on camera",IF(COUNTIFS(Scoresheet!$C$2:$C$501,A390,Scoresheet!$U$2:$U$501,1,Scoresheet!$H$2:$H$501,"No")&gt;0,"🚩 Budget under AED 5k",IF(COUNTIFS(Scoresheet!$C$2:$C$501,A390,Scoresheet!$U$2:$U$501,1,Scoresheet!$J$2:$J$501,"No")&gt;0,"🚩 No one on camera",""))))</f>
        <v/>
      </c>
      <c r="Q390" s="17"/>
      <c r="R390" s="17"/>
      <c r="S390" s="40"/>
      <c r="T390" s="17"/>
      <c r="U390" s="45" t="str">
        <f aca="false">IF(OR(D390="",S390="",OR(R390="Contract signed + paid",R390="Closed – No response",R390="Lost"),N(T390)&gt;=Settings!$S$3),"",S390+Settings!$S$2)</f>
        <v/>
      </c>
      <c r="V390" s="40"/>
      <c r="W390" s="41"/>
      <c r="X390" s="17"/>
      <c r="Y390" s="17"/>
      <c r="Z390" s="17"/>
      <c r="AA390" s="46" t="str">
        <f aca="true">IF(OR(D390="",B390=""),"",INT(TODAY()-B390))</f>
        <v/>
      </c>
      <c r="AB390" s="44" t="str">
        <f aca="true">IF(D390="","",IF(OR(COUNTIFS(Clients!$C$2:$C$501,D390,Clients!$S$2:$S$501,"Paid")&gt;0,AND(H390&lt;&gt;"",COUNTIFS(Clients!$E$2:$E$501,H390,Clients!$S$2:$S$501,"Paid")&gt;0)),"⚠ Refunded before – no free video",IF(OR(R390="Contract signed + paid",R390="Closed – No response",R390="Lost"),"",IF(R390="","Set a stage",IF(AND(R390="Proposal sent",SUMIFS(Scoresheet!$N$2:$N$501,Scoresheet!$C$2:$C$501,A390,Scoresheet!$U$2:$U$501,1)&lt;6),"Score this lead – fill the call scoresheet",IF(N(T390)&gt;=Settings!$S$3,"Close – 4 follow-ups sent",IF(U390="",IF(S390="","Make first contact",""),IF(TODAY()&gt;U390,"OVERDUE follow-up",IF(TODAY()=U390,"Follow up today","")))))))))</f>
        <v/>
      </c>
    </row>
    <row r="391" customFormat="false" ht="15" hidden="false" customHeight="false" outlineLevel="0" collapsed="false">
      <c r="A391" s="17"/>
      <c r="B391" s="40"/>
      <c r="C391" s="17"/>
      <c r="D391" s="17"/>
      <c r="E391" s="17"/>
      <c r="F391" s="17"/>
      <c r="G391" s="17"/>
      <c r="H391" s="42"/>
      <c r="I391" s="17"/>
      <c r="J391" s="17"/>
      <c r="K391" s="17"/>
      <c r="L391" s="17"/>
      <c r="M391" s="17"/>
      <c r="N391" s="44" t="str">
        <f aca="false">IF(OR(D391="",A391="",COUNTIFS(Scoresheet!$C$2:$C$501,A391,Scoresheet!$U$2:$U$501,1)=0),"",SUMIFS(Scoresheet!$O$2:$O$501,Scoresheet!$C$2:$C$501,A391,Scoresheet!$U$2:$U$501,1))</f>
        <v/>
      </c>
      <c r="O391" s="44" t="str">
        <f aca="false">IF(D391="","",IF(OR(A391="",COUNTIFS(Scoresheet!$C$2:$C$501,A391,Scoresheet!$U$2:$U$501,1)=0),"No scoresheet yet",IF(SUMIFS(Scoresheet!$N$2:$N$501,Scoresheet!$C$2:$C$501,A391,Scoresheet!$U$2:$U$501,1)&lt;6,"Partly scored ("&amp;SUMIFS(Scoresheet!$N$2:$N$501,Scoresheet!$C$2:$C$501,A391,Scoresheet!$U$2:$U$501,1)&amp;"/6)",IF(N391&gt;=Settings!$S$8,"Hot",IF(N391&gt;=Settings!$S$9,"Warm","Cold")))))</f>
        <v/>
      </c>
      <c r="P391" s="44" t="str">
        <f aca="false">IF(OR(D391="",A391=""),"",IF(AND(COUNTIFS(Scoresheet!$C$2:$C$501,A391,Scoresheet!$U$2:$U$501,1,Scoresheet!$H$2:$H$501,"No")&gt;0,COUNTIFS(Scoresheet!$C$2:$C$501,A391,Scoresheet!$U$2:$U$501,1,Scoresheet!$J$2:$J$501,"No")&gt;0),"🚩 Budget  ·  🚩 No one on camera",IF(COUNTIFS(Scoresheet!$C$2:$C$501,A391,Scoresheet!$U$2:$U$501,1,Scoresheet!$H$2:$H$501,"No")&gt;0,"🚩 Budget under AED 5k",IF(COUNTIFS(Scoresheet!$C$2:$C$501,A391,Scoresheet!$U$2:$U$501,1,Scoresheet!$J$2:$J$501,"No")&gt;0,"🚩 No one on camera",""))))</f>
        <v/>
      </c>
      <c r="Q391" s="17"/>
      <c r="R391" s="17"/>
      <c r="S391" s="40"/>
      <c r="T391" s="17"/>
      <c r="U391" s="45" t="str">
        <f aca="false">IF(OR(D391="",S391="",OR(R391="Contract signed + paid",R391="Closed – No response",R391="Lost"),N(T391)&gt;=Settings!$S$3),"",S391+Settings!$S$2)</f>
        <v/>
      </c>
      <c r="V391" s="40"/>
      <c r="W391" s="41"/>
      <c r="X391" s="17"/>
      <c r="Y391" s="17"/>
      <c r="Z391" s="17"/>
      <c r="AA391" s="46" t="str">
        <f aca="true">IF(OR(D391="",B391=""),"",INT(TODAY()-B391))</f>
        <v/>
      </c>
      <c r="AB391" s="44" t="str">
        <f aca="true">IF(D391="","",IF(OR(COUNTIFS(Clients!$C$2:$C$501,D391,Clients!$S$2:$S$501,"Paid")&gt;0,AND(H391&lt;&gt;"",COUNTIFS(Clients!$E$2:$E$501,H391,Clients!$S$2:$S$501,"Paid")&gt;0)),"⚠ Refunded before – no free video",IF(OR(R391="Contract signed + paid",R391="Closed – No response",R391="Lost"),"",IF(R391="","Set a stage",IF(AND(R391="Proposal sent",SUMIFS(Scoresheet!$N$2:$N$501,Scoresheet!$C$2:$C$501,A391,Scoresheet!$U$2:$U$501,1)&lt;6),"Score this lead – fill the call scoresheet",IF(N(T391)&gt;=Settings!$S$3,"Close – 4 follow-ups sent",IF(U391="",IF(S391="","Make first contact",""),IF(TODAY()&gt;U391,"OVERDUE follow-up",IF(TODAY()=U391,"Follow up today","")))))))))</f>
        <v/>
      </c>
    </row>
    <row r="392" customFormat="false" ht="15" hidden="false" customHeight="false" outlineLevel="0" collapsed="false">
      <c r="A392" s="17"/>
      <c r="B392" s="40"/>
      <c r="C392" s="17"/>
      <c r="D392" s="17"/>
      <c r="E392" s="17"/>
      <c r="F392" s="17"/>
      <c r="G392" s="17"/>
      <c r="H392" s="42"/>
      <c r="I392" s="17"/>
      <c r="J392" s="17"/>
      <c r="K392" s="17"/>
      <c r="L392" s="17"/>
      <c r="M392" s="17"/>
      <c r="N392" s="44" t="str">
        <f aca="false">IF(OR(D392="",A392="",COUNTIFS(Scoresheet!$C$2:$C$501,A392,Scoresheet!$U$2:$U$501,1)=0),"",SUMIFS(Scoresheet!$O$2:$O$501,Scoresheet!$C$2:$C$501,A392,Scoresheet!$U$2:$U$501,1))</f>
        <v/>
      </c>
      <c r="O392" s="44" t="str">
        <f aca="false">IF(D392="","",IF(OR(A392="",COUNTIFS(Scoresheet!$C$2:$C$501,A392,Scoresheet!$U$2:$U$501,1)=0),"No scoresheet yet",IF(SUMIFS(Scoresheet!$N$2:$N$501,Scoresheet!$C$2:$C$501,A392,Scoresheet!$U$2:$U$501,1)&lt;6,"Partly scored ("&amp;SUMIFS(Scoresheet!$N$2:$N$501,Scoresheet!$C$2:$C$501,A392,Scoresheet!$U$2:$U$501,1)&amp;"/6)",IF(N392&gt;=Settings!$S$8,"Hot",IF(N392&gt;=Settings!$S$9,"Warm","Cold")))))</f>
        <v/>
      </c>
      <c r="P392" s="44" t="str">
        <f aca="false">IF(OR(D392="",A392=""),"",IF(AND(COUNTIFS(Scoresheet!$C$2:$C$501,A392,Scoresheet!$U$2:$U$501,1,Scoresheet!$H$2:$H$501,"No")&gt;0,COUNTIFS(Scoresheet!$C$2:$C$501,A392,Scoresheet!$U$2:$U$501,1,Scoresheet!$J$2:$J$501,"No")&gt;0),"🚩 Budget  ·  🚩 No one on camera",IF(COUNTIFS(Scoresheet!$C$2:$C$501,A392,Scoresheet!$U$2:$U$501,1,Scoresheet!$H$2:$H$501,"No")&gt;0,"🚩 Budget under AED 5k",IF(COUNTIFS(Scoresheet!$C$2:$C$501,A392,Scoresheet!$U$2:$U$501,1,Scoresheet!$J$2:$J$501,"No")&gt;0,"🚩 No one on camera",""))))</f>
        <v/>
      </c>
      <c r="Q392" s="17"/>
      <c r="R392" s="17"/>
      <c r="S392" s="40"/>
      <c r="T392" s="17"/>
      <c r="U392" s="45" t="str">
        <f aca="false">IF(OR(D392="",S392="",OR(R392="Contract signed + paid",R392="Closed – No response",R392="Lost"),N(T392)&gt;=Settings!$S$3),"",S392+Settings!$S$2)</f>
        <v/>
      </c>
      <c r="V392" s="40"/>
      <c r="W392" s="41"/>
      <c r="X392" s="17"/>
      <c r="Y392" s="17"/>
      <c r="Z392" s="17"/>
      <c r="AA392" s="46" t="str">
        <f aca="true">IF(OR(D392="",B392=""),"",INT(TODAY()-B392))</f>
        <v/>
      </c>
      <c r="AB392" s="44" t="str">
        <f aca="true">IF(D392="","",IF(OR(COUNTIFS(Clients!$C$2:$C$501,D392,Clients!$S$2:$S$501,"Paid")&gt;0,AND(H392&lt;&gt;"",COUNTIFS(Clients!$E$2:$E$501,H392,Clients!$S$2:$S$501,"Paid")&gt;0)),"⚠ Refunded before – no free video",IF(OR(R392="Contract signed + paid",R392="Closed – No response",R392="Lost"),"",IF(R392="","Set a stage",IF(AND(R392="Proposal sent",SUMIFS(Scoresheet!$N$2:$N$501,Scoresheet!$C$2:$C$501,A392,Scoresheet!$U$2:$U$501,1)&lt;6),"Score this lead – fill the call scoresheet",IF(N(T392)&gt;=Settings!$S$3,"Close – 4 follow-ups sent",IF(U392="",IF(S392="","Make first contact",""),IF(TODAY()&gt;U392,"OVERDUE follow-up",IF(TODAY()=U392,"Follow up today","")))))))))</f>
        <v/>
      </c>
    </row>
    <row r="393" customFormat="false" ht="15" hidden="false" customHeight="false" outlineLevel="0" collapsed="false">
      <c r="A393" s="17"/>
      <c r="B393" s="40"/>
      <c r="C393" s="17"/>
      <c r="D393" s="17"/>
      <c r="E393" s="17"/>
      <c r="F393" s="17"/>
      <c r="G393" s="17"/>
      <c r="H393" s="42"/>
      <c r="I393" s="17"/>
      <c r="J393" s="17"/>
      <c r="K393" s="17"/>
      <c r="L393" s="17"/>
      <c r="M393" s="17"/>
      <c r="N393" s="44" t="str">
        <f aca="false">IF(OR(D393="",A393="",COUNTIFS(Scoresheet!$C$2:$C$501,A393,Scoresheet!$U$2:$U$501,1)=0),"",SUMIFS(Scoresheet!$O$2:$O$501,Scoresheet!$C$2:$C$501,A393,Scoresheet!$U$2:$U$501,1))</f>
        <v/>
      </c>
      <c r="O393" s="44" t="str">
        <f aca="false">IF(D393="","",IF(OR(A393="",COUNTIFS(Scoresheet!$C$2:$C$501,A393,Scoresheet!$U$2:$U$501,1)=0),"No scoresheet yet",IF(SUMIFS(Scoresheet!$N$2:$N$501,Scoresheet!$C$2:$C$501,A393,Scoresheet!$U$2:$U$501,1)&lt;6,"Partly scored ("&amp;SUMIFS(Scoresheet!$N$2:$N$501,Scoresheet!$C$2:$C$501,A393,Scoresheet!$U$2:$U$501,1)&amp;"/6)",IF(N393&gt;=Settings!$S$8,"Hot",IF(N393&gt;=Settings!$S$9,"Warm","Cold")))))</f>
        <v/>
      </c>
      <c r="P393" s="44" t="str">
        <f aca="false">IF(OR(D393="",A393=""),"",IF(AND(COUNTIFS(Scoresheet!$C$2:$C$501,A393,Scoresheet!$U$2:$U$501,1,Scoresheet!$H$2:$H$501,"No")&gt;0,COUNTIFS(Scoresheet!$C$2:$C$501,A393,Scoresheet!$U$2:$U$501,1,Scoresheet!$J$2:$J$501,"No")&gt;0),"🚩 Budget  ·  🚩 No one on camera",IF(COUNTIFS(Scoresheet!$C$2:$C$501,A393,Scoresheet!$U$2:$U$501,1,Scoresheet!$H$2:$H$501,"No")&gt;0,"🚩 Budget under AED 5k",IF(COUNTIFS(Scoresheet!$C$2:$C$501,A393,Scoresheet!$U$2:$U$501,1,Scoresheet!$J$2:$J$501,"No")&gt;0,"🚩 No one on camera",""))))</f>
        <v/>
      </c>
      <c r="Q393" s="17"/>
      <c r="R393" s="17"/>
      <c r="S393" s="40"/>
      <c r="T393" s="17"/>
      <c r="U393" s="45" t="str">
        <f aca="false">IF(OR(D393="",S393="",OR(R393="Contract signed + paid",R393="Closed – No response",R393="Lost"),N(T393)&gt;=Settings!$S$3),"",S393+Settings!$S$2)</f>
        <v/>
      </c>
      <c r="V393" s="40"/>
      <c r="W393" s="41"/>
      <c r="X393" s="17"/>
      <c r="Y393" s="17"/>
      <c r="Z393" s="17"/>
      <c r="AA393" s="46" t="str">
        <f aca="true">IF(OR(D393="",B393=""),"",INT(TODAY()-B393))</f>
        <v/>
      </c>
      <c r="AB393" s="44" t="str">
        <f aca="true">IF(D393="","",IF(OR(COUNTIFS(Clients!$C$2:$C$501,D393,Clients!$S$2:$S$501,"Paid")&gt;0,AND(H393&lt;&gt;"",COUNTIFS(Clients!$E$2:$E$501,H393,Clients!$S$2:$S$501,"Paid")&gt;0)),"⚠ Refunded before – no free video",IF(OR(R393="Contract signed + paid",R393="Closed – No response",R393="Lost"),"",IF(R393="","Set a stage",IF(AND(R393="Proposal sent",SUMIFS(Scoresheet!$N$2:$N$501,Scoresheet!$C$2:$C$501,A393,Scoresheet!$U$2:$U$501,1)&lt;6),"Score this lead – fill the call scoresheet",IF(N(T393)&gt;=Settings!$S$3,"Close – 4 follow-ups sent",IF(U393="",IF(S393="","Make first contact",""),IF(TODAY()&gt;U393,"OVERDUE follow-up",IF(TODAY()=U393,"Follow up today","")))))))))</f>
        <v/>
      </c>
    </row>
    <row r="394" customFormat="false" ht="15" hidden="false" customHeight="false" outlineLevel="0" collapsed="false">
      <c r="A394" s="17"/>
      <c r="B394" s="40"/>
      <c r="C394" s="17"/>
      <c r="D394" s="17"/>
      <c r="E394" s="17"/>
      <c r="F394" s="17"/>
      <c r="G394" s="17"/>
      <c r="H394" s="42"/>
      <c r="I394" s="17"/>
      <c r="J394" s="17"/>
      <c r="K394" s="17"/>
      <c r="L394" s="17"/>
      <c r="M394" s="17"/>
      <c r="N394" s="44" t="str">
        <f aca="false">IF(OR(D394="",A394="",COUNTIFS(Scoresheet!$C$2:$C$501,A394,Scoresheet!$U$2:$U$501,1)=0),"",SUMIFS(Scoresheet!$O$2:$O$501,Scoresheet!$C$2:$C$501,A394,Scoresheet!$U$2:$U$501,1))</f>
        <v/>
      </c>
      <c r="O394" s="44" t="str">
        <f aca="false">IF(D394="","",IF(OR(A394="",COUNTIFS(Scoresheet!$C$2:$C$501,A394,Scoresheet!$U$2:$U$501,1)=0),"No scoresheet yet",IF(SUMIFS(Scoresheet!$N$2:$N$501,Scoresheet!$C$2:$C$501,A394,Scoresheet!$U$2:$U$501,1)&lt;6,"Partly scored ("&amp;SUMIFS(Scoresheet!$N$2:$N$501,Scoresheet!$C$2:$C$501,A394,Scoresheet!$U$2:$U$501,1)&amp;"/6)",IF(N394&gt;=Settings!$S$8,"Hot",IF(N394&gt;=Settings!$S$9,"Warm","Cold")))))</f>
        <v/>
      </c>
      <c r="P394" s="44" t="str">
        <f aca="false">IF(OR(D394="",A394=""),"",IF(AND(COUNTIFS(Scoresheet!$C$2:$C$501,A394,Scoresheet!$U$2:$U$501,1,Scoresheet!$H$2:$H$501,"No")&gt;0,COUNTIFS(Scoresheet!$C$2:$C$501,A394,Scoresheet!$U$2:$U$501,1,Scoresheet!$J$2:$J$501,"No")&gt;0),"🚩 Budget  ·  🚩 No one on camera",IF(COUNTIFS(Scoresheet!$C$2:$C$501,A394,Scoresheet!$U$2:$U$501,1,Scoresheet!$H$2:$H$501,"No")&gt;0,"🚩 Budget under AED 5k",IF(COUNTIFS(Scoresheet!$C$2:$C$501,A394,Scoresheet!$U$2:$U$501,1,Scoresheet!$J$2:$J$501,"No")&gt;0,"🚩 No one on camera",""))))</f>
        <v/>
      </c>
      <c r="Q394" s="17"/>
      <c r="R394" s="17"/>
      <c r="S394" s="40"/>
      <c r="T394" s="17"/>
      <c r="U394" s="45" t="str">
        <f aca="false">IF(OR(D394="",S394="",OR(R394="Contract signed + paid",R394="Closed – No response",R394="Lost"),N(T394)&gt;=Settings!$S$3),"",S394+Settings!$S$2)</f>
        <v/>
      </c>
      <c r="V394" s="40"/>
      <c r="W394" s="41"/>
      <c r="X394" s="17"/>
      <c r="Y394" s="17"/>
      <c r="Z394" s="17"/>
      <c r="AA394" s="46" t="str">
        <f aca="true">IF(OR(D394="",B394=""),"",INT(TODAY()-B394))</f>
        <v/>
      </c>
      <c r="AB394" s="44" t="str">
        <f aca="true">IF(D394="","",IF(OR(COUNTIFS(Clients!$C$2:$C$501,D394,Clients!$S$2:$S$501,"Paid")&gt;0,AND(H394&lt;&gt;"",COUNTIFS(Clients!$E$2:$E$501,H394,Clients!$S$2:$S$501,"Paid")&gt;0)),"⚠ Refunded before – no free video",IF(OR(R394="Contract signed + paid",R394="Closed – No response",R394="Lost"),"",IF(R394="","Set a stage",IF(AND(R394="Proposal sent",SUMIFS(Scoresheet!$N$2:$N$501,Scoresheet!$C$2:$C$501,A394,Scoresheet!$U$2:$U$501,1)&lt;6),"Score this lead – fill the call scoresheet",IF(N(T394)&gt;=Settings!$S$3,"Close – 4 follow-ups sent",IF(U394="",IF(S394="","Make first contact",""),IF(TODAY()&gt;U394,"OVERDUE follow-up",IF(TODAY()=U394,"Follow up today","")))))))))</f>
        <v/>
      </c>
    </row>
    <row r="395" customFormat="false" ht="15" hidden="false" customHeight="false" outlineLevel="0" collapsed="false">
      <c r="A395" s="17"/>
      <c r="B395" s="40"/>
      <c r="C395" s="17"/>
      <c r="D395" s="17"/>
      <c r="E395" s="17"/>
      <c r="F395" s="17"/>
      <c r="G395" s="17"/>
      <c r="H395" s="42"/>
      <c r="I395" s="17"/>
      <c r="J395" s="17"/>
      <c r="K395" s="17"/>
      <c r="L395" s="17"/>
      <c r="M395" s="17"/>
      <c r="N395" s="44" t="str">
        <f aca="false">IF(OR(D395="",A395="",COUNTIFS(Scoresheet!$C$2:$C$501,A395,Scoresheet!$U$2:$U$501,1)=0),"",SUMIFS(Scoresheet!$O$2:$O$501,Scoresheet!$C$2:$C$501,A395,Scoresheet!$U$2:$U$501,1))</f>
        <v/>
      </c>
      <c r="O395" s="44" t="str">
        <f aca="false">IF(D395="","",IF(OR(A395="",COUNTIFS(Scoresheet!$C$2:$C$501,A395,Scoresheet!$U$2:$U$501,1)=0),"No scoresheet yet",IF(SUMIFS(Scoresheet!$N$2:$N$501,Scoresheet!$C$2:$C$501,A395,Scoresheet!$U$2:$U$501,1)&lt;6,"Partly scored ("&amp;SUMIFS(Scoresheet!$N$2:$N$501,Scoresheet!$C$2:$C$501,A395,Scoresheet!$U$2:$U$501,1)&amp;"/6)",IF(N395&gt;=Settings!$S$8,"Hot",IF(N395&gt;=Settings!$S$9,"Warm","Cold")))))</f>
        <v/>
      </c>
      <c r="P395" s="44" t="str">
        <f aca="false">IF(OR(D395="",A395=""),"",IF(AND(COUNTIFS(Scoresheet!$C$2:$C$501,A395,Scoresheet!$U$2:$U$501,1,Scoresheet!$H$2:$H$501,"No")&gt;0,COUNTIFS(Scoresheet!$C$2:$C$501,A395,Scoresheet!$U$2:$U$501,1,Scoresheet!$J$2:$J$501,"No")&gt;0),"🚩 Budget  ·  🚩 No one on camera",IF(COUNTIFS(Scoresheet!$C$2:$C$501,A395,Scoresheet!$U$2:$U$501,1,Scoresheet!$H$2:$H$501,"No")&gt;0,"🚩 Budget under AED 5k",IF(COUNTIFS(Scoresheet!$C$2:$C$501,A395,Scoresheet!$U$2:$U$501,1,Scoresheet!$J$2:$J$501,"No")&gt;0,"🚩 No one on camera",""))))</f>
        <v/>
      </c>
      <c r="Q395" s="17"/>
      <c r="R395" s="17"/>
      <c r="S395" s="40"/>
      <c r="T395" s="17"/>
      <c r="U395" s="45" t="str">
        <f aca="false">IF(OR(D395="",S395="",OR(R395="Contract signed + paid",R395="Closed – No response",R395="Lost"),N(T395)&gt;=Settings!$S$3),"",S395+Settings!$S$2)</f>
        <v/>
      </c>
      <c r="V395" s="40"/>
      <c r="W395" s="41"/>
      <c r="X395" s="17"/>
      <c r="Y395" s="17"/>
      <c r="Z395" s="17"/>
      <c r="AA395" s="46" t="str">
        <f aca="true">IF(OR(D395="",B395=""),"",INT(TODAY()-B395))</f>
        <v/>
      </c>
      <c r="AB395" s="44" t="str">
        <f aca="true">IF(D395="","",IF(OR(COUNTIFS(Clients!$C$2:$C$501,D395,Clients!$S$2:$S$501,"Paid")&gt;0,AND(H395&lt;&gt;"",COUNTIFS(Clients!$E$2:$E$501,H395,Clients!$S$2:$S$501,"Paid")&gt;0)),"⚠ Refunded before – no free video",IF(OR(R395="Contract signed + paid",R395="Closed – No response",R395="Lost"),"",IF(R395="","Set a stage",IF(AND(R395="Proposal sent",SUMIFS(Scoresheet!$N$2:$N$501,Scoresheet!$C$2:$C$501,A395,Scoresheet!$U$2:$U$501,1)&lt;6),"Score this lead – fill the call scoresheet",IF(N(T395)&gt;=Settings!$S$3,"Close – 4 follow-ups sent",IF(U395="",IF(S395="","Make first contact",""),IF(TODAY()&gt;U395,"OVERDUE follow-up",IF(TODAY()=U395,"Follow up today","")))))))))</f>
        <v/>
      </c>
    </row>
    <row r="396" customFormat="false" ht="15" hidden="false" customHeight="false" outlineLevel="0" collapsed="false">
      <c r="A396" s="17"/>
      <c r="B396" s="40"/>
      <c r="C396" s="17"/>
      <c r="D396" s="17"/>
      <c r="E396" s="17"/>
      <c r="F396" s="17"/>
      <c r="G396" s="17"/>
      <c r="H396" s="42"/>
      <c r="I396" s="17"/>
      <c r="J396" s="17"/>
      <c r="K396" s="17"/>
      <c r="L396" s="17"/>
      <c r="M396" s="17"/>
      <c r="N396" s="44" t="str">
        <f aca="false">IF(OR(D396="",A396="",COUNTIFS(Scoresheet!$C$2:$C$501,A396,Scoresheet!$U$2:$U$501,1)=0),"",SUMIFS(Scoresheet!$O$2:$O$501,Scoresheet!$C$2:$C$501,A396,Scoresheet!$U$2:$U$501,1))</f>
        <v/>
      </c>
      <c r="O396" s="44" t="str">
        <f aca="false">IF(D396="","",IF(OR(A396="",COUNTIFS(Scoresheet!$C$2:$C$501,A396,Scoresheet!$U$2:$U$501,1)=0),"No scoresheet yet",IF(SUMIFS(Scoresheet!$N$2:$N$501,Scoresheet!$C$2:$C$501,A396,Scoresheet!$U$2:$U$501,1)&lt;6,"Partly scored ("&amp;SUMIFS(Scoresheet!$N$2:$N$501,Scoresheet!$C$2:$C$501,A396,Scoresheet!$U$2:$U$501,1)&amp;"/6)",IF(N396&gt;=Settings!$S$8,"Hot",IF(N396&gt;=Settings!$S$9,"Warm","Cold")))))</f>
        <v/>
      </c>
      <c r="P396" s="44" t="str">
        <f aca="false">IF(OR(D396="",A396=""),"",IF(AND(COUNTIFS(Scoresheet!$C$2:$C$501,A396,Scoresheet!$U$2:$U$501,1,Scoresheet!$H$2:$H$501,"No")&gt;0,COUNTIFS(Scoresheet!$C$2:$C$501,A396,Scoresheet!$U$2:$U$501,1,Scoresheet!$J$2:$J$501,"No")&gt;0),"🚩 Budget  ·  🚩 No one on camera",IF(COUNTIFS(Scoresheet!$C$2:$C$501,A396,Scoresheet!$U$2:$U$501,1,Scoresheet!$H$2:$H$501,"No")&gt;0,"🚩 Budget under AED 5k",IF(COUNTIFS(Scoresheet!$C$2:$C$501,A396,Scoresheet!$U$2:$U$501,1,Scoresheet!$J$2:$J$501,"No")&gt;0,"🚩 No one on camera",""))))</f>
        <v/>
      </c>
      <c r="Q396" s="17"/>
      <c r="R396" s="17"/>
      <c r="S396" s="40"/>
      <c r="T396" s="17"/>
      <c r="U396" s="45" t="str">
        <f aca="false">IF(OR(D396="",S396="",OR(R396="Contract signed + paid",R396="Closed – No response",R396="Lost"),N(T396)&gt;=Settings!$S$3),"",S396+Settings!$S$2)</f>
        <v/>
      </c>
      <c r="V396" s="40"/>
      <c r="W396" s="41"/>
      <c r="X396" s="17"/>
      <c r="Y396" s="17"/>
      <c r="Z396" s="17"/>
      <c r="AA396" s="46" t="str">
        <f aca="true">IF(OR(D396="",B396=""),"",INT(TODAY()-B396))</f>
        <v/>
      </c>
      <c r="AB396" s="44" t="str">
        <f aca="true">IF(D396="","",IF(OR(COUNTIFS(Clients!$C$2:$C$501,D396,Clients!$S$2:$S$501,"Paid")&gt;0,AND(H396&lt;&gt;"",COUNTIFS(Clients!$E$2:$E$501,H396,Clients!$S$2:$S$501,"Paid")&gt;0)),"⚠ Refunded before – no free video",IF(OR(R396="Contract signed + paid",R396="Closed – No response",R396="Lost"),"",IF(R396="","Set a stage",IF(AND(R396="Proposal sent",SUMIFS(Scoresheet!$N$2:$N$501,Scoresheet!$C$2:$C$501,A396,Scoresheet!$U$2:$U$501,1)&lt;6),"Score this lead – fill the call scoresheet",IF(N(T396)&gt;=Settings!$S$3,"Close – 4 follow-ups sent",IF(U396="",IF(S396="","Make first contact",""),IF(TODAY()&gt;U396,"OVERDUE follow-up",IF(TODAY()=U396,"Follow up today","")))))))))</f>
        <v/>
      </c>
    </row>
    <row r="397" customFormat="false" ht="15" hidden="false" customHeight="false" outlineLevel="0" collapsed="false">
      <c r="A397" s="17"/>
      <c r="B397" s="40"/>
      <c r="C397" s="17"/>
      <c r="D397" s="17"/>
      <c r="E397" s="17"/>
      <c r="F397" s="17"/>
      <c r="G397" s="17"/>
      <c r="H397" s="42"/>
      <c r="I397" s="17"/>
      <c r="J397" s="17"/>
      <c r="K397" s="17"/>
      <c r="L397" s="17"/>
      <c r="M397" s="17"/>
      <c r="N397" s="44" t="str">
        <f aca="false">IF(OR(D397="",A397="",COUNTIFS(Scoresheet!$C$2:$C$501,A397,Scoresheet!$U$2:$U$501,1)=0),"",SUMIFS(Scoresheet!$O$2:$O$501,Scoresheet!$C$2:$C$501,A397,Scoresheet!$U$2:$U$501,1))</f>
        <v/>
      </c>
      <c r="O397" s="44" t="str">
        <f aca="false">IF(D397="","",IF(OR(A397="",COUNTIFS(Scoresheet!$C$2:$C$501,A397,Scoresheet!$U$2:$U$501,1)=0),"No scoresheet yet",IF(SUMIFS(Scoresheet!$N$2:$N$501,Scoresheet!$C$2:$C$501,A397,Scoresheet!$U$2:$U$501,1)&lt;6,"Partly scored ("&amp;SUMIFS(Scoresheet!$N$2:$N$501,Scoresheet!$C$2:$C$501,A397,Scoresheet!$U$2:$U$501,1)&amp;"/6)",IF(N397&gt;=Settings!$S$8,"Hot",IF(N397&gt;=Settings!$S$9,"Warm","Cold")))))</f>
        <v/>
      </c>
      <c r="P397" s="44" t="str">
        <f aca="false">IF(OR(D397="",A397=""),"",IF(AND(COUNTIFS(Scoresheet!$C$2:$C$501,A397,Scoresheet!$U$2:$U$501,1,Scoresheet!$H$2:$H$501,"No")&gt;0,COUNTIFS(Scoresheet!$C$2:$C$501,A397,Scoresheet!$U$2:$U$501,1,Scoresheet!$J$2:$J$501,"No")&gt;0),"🚩 Budget  ·  🚩 No one on camera",IF(COUNTIFS(Scoresheet!$C$2:$C$501,A397,Scoresheet!$U$2:$U$501,1,Scoresheet!$H$2:$H$501,"No")&gt;0,"🚩 Budget under AED 5k",IF(COUNTIFS(Scoresheet!$C$2:$C$501,A397,Scoresheet!$U$2:$U$501,1,Scoresheet!$J$2:$J$501,"No")&gt;0,"🚩 No one on camera",""))))</f>
        <v/>
      </c>
      <c r="Q397" s="17"/>
      <c r="R397" s="17"/>
      <c r="S397" s="40"/>
      <c r="T397" s="17"/>
      <c r="U397" s="45" t="str">
        <f aca="false">IF(OR(D397="",S397="",OR(R397="Contract signed + paid",R397="Closed – No response",R397="Lost"),N(T397)&gt;=Settings!$S$3),"",S397+Settings!$S$2)</f>
        <v/>
      </c>
      <c r="V397" s="40"/>
      <c r="W397" s="41"/>
      <c r="X397" s="17"/>
      <c r="Y397" s="17"/>
      <c r="Z397" s="17"/>
      <c r="AA397" s="46" t="str">
        <f aca="true">IF(OR(D397="",B397=""),"",INT(TODAY()-B397))</f>
        <v/>
      </c>
      <c r="AB397" s="44" t="str">
        <f aca="true">IF(D397="","",IF(OR(COUNTIFS(Clients!$C$2:$C$501,D397,Clients!$S$2:$S$501,"Paid")&gt;0,AND(H397&lt;&gt;"",COUNTIFS(Clients!$E$2:$E$501,H397,Clients!$S$2:$S$501,"Paid")&gt;0)),"⚠ Refunded before – no free video",IF(OR(R397="Contract signed + paid",R397="Closed – No response",R397="Lost"),"",IF(R397="","Set a stage",IF(AND(R397="Proposal sent",SUMIFS(Scoresheet!$N$2:$N$501,Scoresheet!$C$2:$C$501,A397,Scoresheet!$U$2:$U$501,1)&lt;6),"Score this lead – fill the call scoresheet",IF(N(T397)&gt;=Settings!$S$3,"Close – 4 follow-ups sent",IF(U397="",IF(S397="","Make first contact",""),IF(TODAY()&gt;U397,"OVERDUE follow-up",IF(TODAY()=U397,"Follow up today","")))))))))</f>
        <v/>
      </c>
    </row>
    <row r="398" customFormat="false" ht="15" hidden="false" customHeight="false" outlineLevel="0" collapsed="false">
      <c r="A398" s="17"/>
      <c r="B398" s="40"/>
      <c r="C398" s="17"/>
      <c r="D398" s="17"/>
      <c r="E398" s="17"/>
      <c r="F398" s="17"/>
      <c r="G398" s="17"/>
      <c r="H398" s="42"/>
      <c r="I398" s="17"/>
      <c r="J398" s="17"/>
      <c r="K398" s="17"/>
      <c r="L398" s="17"/>
      <c r="M398" s="17"/>
      <c r="N398" s="44" t="str">
        <f aca="false">IF(OR(D398="",A398="",COUNTIFS(Scoresheet!$C$2:$C$501,A398,Scoresheet!$U$2:$U$501,1)=0),"",SUMIFS(Scoresheet!$O$2:$O$501,Scoresheet!$C$2:$C$501,A398,Scoresheet!$U$2:$U$501,1))</f>
        <v/>
      </c>
      <c r="O398" s="44" t="str">
        <f aca="false">IF(D398="","",IF(OR(A398="",COUNTIFS(Scoresheet!$C$2:$C$501,A398,Scoresheet!$U$2:$U$501,1)=0),"No scoresheet yet",IF(SUMIFS(Scoresheet!$N$2:$N$501,Scoresheet!$C$2:$C$501,A398,Scoresheet!$U$2:$U$501,1)&lt;6,"Partly scored ("&amp;SUMIFS(Scoresheet!$N$2:$N$501,Scoresheet!$C$2:$C$501,A398,Scoresheet!$U$2:$U$501,1)&amp;"/6)",IF(N398&gt;=Settings!$S$8,"Hot",IF(N398&gt;=Settings!$S$9,"Warm","Cold")))))</f>
        <v/>
      </c>
      <c r="P398" s="44" t="str">
        <f aca="false">IF(OR(D398="",A398=""),"",IF(AND(COUNTIFS(Scoresheet!$C$2:$C$501,A398,Scoresheet!$U$2:$U$501,1,Scoresheet!$H$2:$H$501,"No")&gt;0,COUNTIFS(Scoresheet!$C$2:$C$501,A398,Scoresheet!$U$2:$U$501,1,Scoresheet!$J$2:$J$501,"No")&gt;0),"🚩 Budget  ·  🚩 No one on camera",IF(COUNTIFS(Scoresheet!$C$2:$C$501,A398,Scoresheet!$U$2:$U$501,1,Scoresheet!$H$2:$H$501,"No")&gt;0,"🚩 Budget under AED 5k",IF(COUNTIFS(Scoresheet!$C$2:$C$501,A398,Scoresheet!$U$2:$U$501,1,Scoresheet!$J$2:$J$501,"No")&gt;0,"🚩 No one on camera",""))))</f>
        <v/>
      </c>
      <c r="Q398" s="17"/>
      <c r="R398" s="17"/>
      <c r="S398" s="40"/>
      <c r="T398" s="17"/>
      <c r="U398" s="45" t="str">
        <f aca="false">IF(OR(D398="",S398="",OR(R398="Contract signed + paid",R398="Closed – No response",R398="Lost"),N(T398)&gt;=Settings!$S$3),"",S398+Settings!$S$2)</f>
        <v/>
      </c>
      <c r="V398" s="40"/>
      <c r="W398" s="41"/>
      <c r="X398" s="17"/>
      <c r="Y398" s="17"/>
      <c r="Z398" s="17"/>
      <c r="AA398" s="46" t="str">
        <f aca="true">IF(OR(D398="",B398=""),"",INT(TODAY()-B398))</f>
        <v/>
      </c>
      <c r="AB398" s="44" t="str">
        <f aca="true">IF(D398="","",IF(OR(COUNTIFS(Clients!$C$2:$C$501,D398,Clients!$S$2:$S$501,"Paid")&gt;0,AND(H398&lt;&gt;"",COUNTIFS(Clients!$E$2:$E$501,H398,Clients!$S$2:$S$501,"Paid")&gt;0)),"⚠ Refunded before – no free video",IF(OR(R398="Contract signed + paid",R398="Closed – No response",R398="Lost"),"",IF(R398="","Set a stage",IF(AND(R398="Proposal sent",SUMIFS(Scoresheet!$N$2:$N$501,Scoresheet!$C$2:$C$501,A398,Scoresheet!$U$2:$U$501,1)&lt;6),"Score this lead – fill the call scoresheet",IF(N(T398)&gt;=Settings!$S$3,"Close – 4 follow-ups sent",IF(U398="",IF(S398="","Make first contact",""),IF(TODAY()&gt;U398,"OVERDUE follow-up",IF(TODAY()=U398,"Follow up today","")))))))))</f>
        <v/>
      </c>
    </row>
    <row r="399" customFormat="false" ht="15" hidden="false" customHeight="false" outlineLevel="0" collapsed="false">
      <c r="A399" s="17"/>
      <c r="B399" s="40"/>
      <c r="C399" s="17"/>
      <c r="D399" s="17"/>
      <c r="E399" s="17"/>
      <c r="F399" s="17"/>
      <c r="G399" s="17"/>
      <c r="H399" s="42"/>
      <c r="I399" s="17"/>
      <c r="J399" s="17"/>
      <c r="K399" s="17"/>
      <c r="L399" s="17"/>
      <c r="M399" s="17"/>
      <c r="N399" s="44" t="str">
        <f aca="false">IF(OR(D399="",A399="",COUNTIFS(Scoresheet!$C$2:$C$501,A399,Scoresheet!$U$2:$U$501,1)=0),"",SUMIFS(Scoresheet!$O$2:$O$501,Scoresheet!$C$2:$C$501,A399,Scoresheet!$U$2:$U$501,1))</f>
        <v/>
      </c>
      <c r="O399" s="44" t="str">
        <f aca="false">IF(D399="","",IF(OR(A399="",COUNTIFS(Scoresheet!$C$2:$C$501,A399,Scoresheet!$U$2:$U$501,1)=0),"No scoresheet yet",IF(SUMIFS(Scoresheet!$N$2:$N$501,Scoresheet!$C$2:$C$501,A399,Scoresheet!$U$2:$U$501,1)&lt;6,"Partly scored ("&amp;SUMIFS(Scoresheet!$N$2:$N$501,Scoresheet!$C$2:$C$501,A399,Scoresheet!$U$2:$U$501,1)&amp;"/6)",IF(N399&gt;=Settings!$S$8,"Hot",IF(N399&gt;=Settings!$S$9,"Warm","Cold")))))</f>
        <v/>
      </c>
      <c r="P399" s="44" t="str">
        <f aca="false">IF(OR(D399="",A399=""),"",IF(AND(COUNTIFS(Scoresheet!$C$2:$C$501,A399,Scoresheet!$U$2:$U$501,1,Scoresheet!$H$2:$H$501,"No")&gt;0,COUNTIFS(Scoresheet!$C$2:$C$501,A399,Scoresheet!$U$2:$U$501,1,Scoresheet!$J$2:$J$501,"No")&gt;0),"🚩 Budget  ·  🚩 No one on camera",IF(COUNTIFS(Scoresheet!$C$2:$C$501,A399,Scoresheet!$U$2:$U$501,1,Scoresheet!$H$2:$H$501,"No")&gt;0,"🚩 Budget under AED 5k",IF(COUNTIFS(Scoresheet!$C$2:$C$501,A399,Scoresheet!$U$2:$U$501,1,Scoresheet!$J$2:$J$501,"No")&gt;0,"🚩 No one on camera",""))))</f>
        <v/>
      </c>
      <c r="Q399" s="17"/>
      <c r="R399" s="17"/>
      <c r="S399" s="40"/>
      <c r="T399" s="17"/>
      <c r="U399" s="45" t="str">
        <f aca="false">IF(OR(D399="",S399="",OR(R399="Contract signed + paid",R399="Closed – No response",R399="Lost"),N(T399)&gt;=Settings!$S$3),"",S399+Settings!$S$2)</f>
        <v/>
      </c>
      <c r="V399" s="40"/>
      <c r="W399" s="41"/>
      <c r="X399" s="17"/>
      <c r="Y399" s="17"/>
      <c r="Z399" s="17"/>
      <c r="AA399" s="46" t="str">
        <f aca="true">IF(OR(D399="",B399=""),"",INT(TODAY()-B399))</f>
        <v/>
      </c>
      <c r="AB399" s="44" t="str">
        <f aca="true">IF(D399="","",IF(OR(COUNTIFS(Clients!$C$2:$C$501,D399,Clients!$S$2:$S$501,"Paid")&gt;0,AND(H399&lt;&gt;"",COUNTIFS(Clients!$E$2:$E$501,H399,Clients!$S$2:$S$501,"Paid")&gt;0)),"⚠ Refunded before – no free video",IF(OR(R399="Contract signed + paid",R399="Closed – No response",R399="Lost"),"",IF(R399="","Set a stage",IF(AND(R399="Proposal sent",SUMIFS(Scoresheet!$N$2:$N$501,Scoresheet!$C$2:$C$501,A399,Scoresheet!$U$2:$U$501,1)&lt;6),"Score this lead – fill the call scoresheet",IF(N(T399)&gt;=Settings!$S$3,"Close – 4 follow-ups sent",IF(U399="",IF(S399="","Make first contact",""),IF(TODAY()&gt;U399,"OVERDUE follow-up",IF(TODAY()=U399,"Follow up today","")))))))))</f>
        <v/>
      </c>
    </row>
    <row r="400" customFormat="false" ht="15" hidden="false" customHeight="false" outlineLevel="0" collapsed="false">
      <c r="A400" s="17"/>
      <c r="B400" s="40"/>
      <c r="C400" s="17"/>
      <c r="D400" s="17"/>
      <c r="E400" s="17"/>
      <c r="F400" s="17"/>
      <c r="G400" s="17"/>
      <c r="H400" s="42"/>
      <c r="I400" s="17"/>
      <c r="J400" s="17"/>
      <c r="K400" s="17"/>
      <c r="L400" s="17"/>
      <c r="M400" s="17"/>
      <c r="N400" s="44" t="str">
        <f aca="false">IF(OR(D400="",A400="",COUNTIFS(Scoresheet!$C$2:$C$501,A400,Scoresheet!$U$2:$U$501,1)=0),"",SUMIFS(Scoresheet!$O$2:$O$501,Scoresheet!$C$2:$C$501,A400,Scoresheet!$U$2:$U$501,1))</f>
        <v/>
      </c>
      <c r="O400" s="44" t="str">
        <f aca="false">IF(D400="","",IF(OR(A400="",COUNTIFS(Scoresheet!$C$2:$C$501,A400,Scoresheet!$U$2:$U$501,1)=0),"No scoresheet yet",IF(SUMIFS(Scoresheet!$N$2:$N$501,Scoresheet!$C$2:$C$501,A400,Scoresheet!$U$2:$U$501,1)&lt;6,"Partly scored ("&amp;SUMIFS(Scoresheet!$N$2:$N$501,Scoresheet!$C$2:$C$501,A400,Scoresheet!$U$2:$U$501,1)&amp;"/6)",IF(N400&gt;=Settings!$S$8,"Hot",IF(N400&gt;=Settings!$S$9,"Warm","Cold")))))</f>
        <v/>
      </c>
      <c r="P400" s="44" t="str">
        <f aca="false">IF(OR(D400="",A400=""),"",IF(AND(COUNTIFS(Scoresheet!$C$2:$C$501,A400,Scoresheet!$U$2:$U$501,1,Scoresheet!$H$2:$H$501,"No")&gt;0,COUNTIFS(Scoresheet!$C$2:$C$501,A400,Scoresheet!$U$2:$U$501,1,Scoresheet!$J$2:$J$501,"No")&gt;0),"🚩 Budget  ·  🚩 No one on camera",IF(COUNTIFS(Scoresheet!$C$2:$C$501,A400,Scoresheet!$U$2:$U$501,1,Scoresheet!$H$2:$H$501,"No")&gt;0,"🚩 Budget under AED 5k",IF(COUNTIFS(Scoresheet!$C$2:$C$501,A400,Scoresheet!$U$2:$U$501,1,Scoresheet!$J$2:$J$501,"No")&gt;0,"🚩 No one on camera",""))))</f>
        <v/>
      </c>
      <c r="Q400" s="17"/>
      <c r="R400" s="17"/>
      <c r="S400" s="40"/>
      <c r="T400" s="17"/>
      <c r="U400" s="45" t="str">
        <f aca="false">IF(OR(D400="",S400="",OR(R400="Contract signed + paid",R400="Closed – No response",R400="Lost"),N(T400)&gt;=Settings!$S$3),"",S400+Settings!$S$2)</f>
        <v/>
      </c>
      <c r="V400" s="40"/>
      <c r="W400" s="41"/>
      <c r="X400" s="17"/>
      <c r="Y400" s="17"/>
      <c r="Z400" s="17"/>
      <c r="AA400" s="46" t="str">
        <f aca="true">IF(OR(D400="",B400=""),"",INT(TODAY()-B400))</f>
        <v/>
      </c>
      <c r="AB400" s="44" t="str">
        <f aca="true">IF(D400="","",IF(OR(COUNTIFS(Clients!$C$2:$C$501,D400,Clients!$S$2:$S$501,"Paid")&gt;0,AND(H400&lt;&gt;"",COUNTIFS(Clients!$E$2:$E$501,H400,Clients!$S$2:$S$501,"Paid")&gt;0)),"⚠ Refunded before – no free video",IF(OR(R400="Contract signed + paid",R400="Closed – No response",R400="Lost"),"",IF(R400="","Set a stage",IF(AND(R400="Proposal sent",SUMIFS(Scoresheet!$N$2:$N$501,Scoresheet!$C$2:$C$501,A400,Scoresheet!$U$2:$U$501,1)&lt;6),"Score this lead – fill the call scoresheet",IF(N(T400)&gt;=Settings!$S$3,"Close – 4 follow-ups sent",IF(U400="",IF(S400="","Make first contact",""),IF(TODAY()&gt;U400,"OVERDUE follow-up",IF(TODAY()=U400,"Follow up today","")))))))))</f>
        <v/>
      </c>
    </row>
    <row r="401" customFormat="false" ht="15" hidden="false" customHeight="false" outlineLevel="0" collapsed="false">
      <c r="A401" s="17"/>
      <c r="B401" s="40"/>
      <c r="C401" s="17"/>
      <c r="D401" s="17"/>
      <c r="E401" s="17"/>
      <c r="F401" s="17"/>
      <c r="G401" s="17"/>
      <c r="H401" s="42"/>
      <c r="I401" s="17"/>
      <c r="J401" s="17"/>
      <c r="K401" s="17"/>
      <c r="L401" s="17"/>
      <c r="M401" s="17"/>
      <c r="N401" s="44" t="str">
        <f aca="false">IF(OR(D401="",A401="",COUNTIFS(Scoresheet!$C$2:$C$501,A401,Scoresheet!$U$2:$U$501,1)=0),"",SUMIFS(Scoresheet!$O$2:$O$501,Scoresheet!$C$2:$C$501,A401,Scoresheet!$U$2:$U$501,1))</f>
        <v/>
      </c>
      <c r="O401" s="44" t="str">
        <f aca="false">IF(D401="","",IF(OR(A401="",COUNTIFS(Scoresheet!$C$2:$C$501,A401,Scoresheet!$U$2:$U$501,1)=0),"No scoresheet yet",IF(SUMIFS(Scoresheet!$N$2:$N$501,Scoresheet!$C$2:$C$501,A401,Scoresheet!$U$2:$U$501,1)&lt;6,"Partly scored ("&amp;SUMIFS(Scoresheet!$N$2:$N$501,Scoresheet!$C$2:$C$501,A401,Scoresheet!$U$2:$U$501,1)&amp;"/6)",IF(N401&gt;=Settings!$S$8,"Hot",IF(N401&gt;=Settings!$S$9,"Warm","Cold")))))</f>
        <v/>
      </c>
      <c r="P401" s="44" t="str">
        <f aca="false">IF(OR(D401="",A401=""),"",IF(AND(COUNTIFS(Scoresheet!$C$2:$C$501,A401,Scoresheet!$U$2:$U$501,1,Scoresheet!$H$2:$H$501,"No")&gt;0,COUNTIFS(Scoresheet!$C$2:$C$501,A401,Scoresheet!$U$2:$U$501,1,Scoresheet!$J$2:$J$501,"No")&gt;0),"🚩 Budget  ·  🚩 No one on camera",IF(COUNTIFS(Scoresheet!$C$2:$C$501,A401,Scoresheet!$U$2:$U$501,1,Scoresheet!$H$2:$H$501,"No")&gt;0,"🚩 Budget under AED 5k",IF(COUNTIFS(Scoresheet!$C$2:$C$501,A401,Scoresheet!$U$2:$U$501,1,Scoresheet!$J$2:$J$501,"No")&gt;0,"🚩 No one on camera",""))))</f>
        <v/>
      </c>
      <c r="Q401" s="17"/>
      <c r="R401" s="17"/>
      <c r="S401" s="40"/>
      <c r="T401" s="17"/>
      <c r="U401" s="45" t="str">
        <f aca="false">IF(OR(D401="",S401="",OR(R401="Contract signed + paid",R401="Closed – No response",R401="Lost"),N(T401)&gt;=Settings!$S$3),"",S401+Settings!$S$2)</f>
        <v/>
      </c>
      <c r="V401" s="40"/>
      <c r="W401" s="41"/>
      <c r="X401" s="17"/>
      <c r="Y401" s="17"/>
      <c r="Z401" s="17"/>
      <c r="AA401" s="46" t="str">
        <f aca="true">IF(OR(D401="",B401=""),"",INT(TODAY()-B401))</f>
        <v/>
      </c>
      <c r="AB401" s="44" t="str">
        <f aca="true">IF(D401="","",IF(OR(COUNTIFS(Clients!$C$2:$C$501,D401,Clients!$S$2:$S$501,"Paid")&gt;0,AND(H401&lt;&gt;"",COUNTIFS(Clients!$E$2:$E$501,H401,Clients!$S$2:$S$501,"Paid")&gt;0)),"⚠ Refunded before – no free video",IF(OR(R401="Contract signed + paid",R401="Closed – No response",R401="Lost"),"",IF(R401="","Set a stage",IF(AND(R401="Proposal sent",SUMIFS(Scoresheet!$N$2:$N$501,Scoresheet!$C$2:$C$501,A401,Scoresheet!$U$2:$U$501,1)&lt;6),"Score this lead – fill the call scoresheet",IF(N(T401)&gt;=Settings!$S$3,"Close – 4 follow-ups sent",IF(U401="",IF(S401="","Make first contact",""),IF(TODAY()&gt;U401,"OVERDUE follow-up",IF(TODAY()=U401,"Follow up today","")))))))))</f>
        <v/>
      </c>
    </row>
    <row r="402" customFormat="false" ht="15" hidden="false" customHeight="false" outlineLevel="0" collapsed="false">
      <c r="A402" s="17"/>
      <c r="B402" s="40"/>
      <c r="C402" s="17"/>
      <c r="D402" s="17"/>
      <c r="E402" s="17"/>
      <c r="F402" s="17"/>
      <c r="G402" s="17"/>
      <c r="H402" s="42"/>
      <c r="I402" s="17"/>
      <c r="J402" s="17"/>
      <c r="K402" s="17"/>
      <c r="L402" s="17"/>
      <c r="M402" s="17"/>
      <c r="N402" s="44" t="str">
        <f aca="false">IF(OR(D402="",A402="",COUNTIFS(Scoresheet!$C$2:$C$501,A402,Scoresheet!$U$2:$U$501,1)=0),"",SUMIFS(Scoresheet!$O$2:$O$501,Scoresheet!$C$2:$C$501,A402,Scoresheet!$U$2:$U$501,1))</f>
        <v/>
      </c>
      <c r="O402" s="44" t="str">
        <f aca="false">IF(D402="","",IF(OR(A402="",COUNTIFS(Scoresheet!$C$2:$C$501,A402,Scoresheet!$U$2:$U$501,1)=0),"No scoresheet yet",IF(SUMIFS(Scoresheet!$N$2:$N$501,Scoresheet!$C$2:$C$501,A402,Scoresheet!$U$2:$U$501,1)&lt;6,"Partly scored ("&amp;SUMIFS(Scoresheet!$N$2:$N$501,Scoresheet!$C$2:$C$501,A402,Scoresheet!$U$2:$U$501,1)&amp;"/6)",IF(N402&gt;=Settings!$S$8,"Hot",IF(N402&gt;=Settings!$S$9,"Warm","Cold")))))</f>
        <v/>
      </c>
      <c r="P402" s="44" t="str">
        <f aca="false">IF(OR(D402="",A402=""),"",IF(AND(COUNTIFS(Scoresheet!$C$2:$C$501,A402,Scoresheet!$U$2:$U$501,1,Scoresheet!$H$2:$H$501,"No")&gt;0,COUNTIFS(Scoresheet!$C$2:$C$501,A402,Scoresheet!$U$2:$U$501,1,Scoresheet!$J$2:$J$501,"No")&gt;0),"🚩 Budget  ·  🚩 No one on camera",IF(COUNTIFS(Scoresheet!$C$2:$C$501,A402,Scoresheet!$U$2:$U$501,1,Scoresheet!$H$2:$H$501,"No")&gt;0,"🚩 Budget under AED 5k",IF(COUNTIFS(Scoresheet!$C$2:$C$501,A402,Scoresheet!$U$2:$U$501,1,Scoresheet!$J$2:$J$501,"No")&gt;0,"🚩 No one on camera",""))))</f>
        <v/>
      </c>
      <c r="Q402" s="17"/>
      <c r="R402" s="17"/>
      <c r="S402" s="40"/>
      <c r="T402" s="17"/>
      <c r="U402" s="45" t="str">
        <f aca="false">IF(OR(D402="",S402="",OR(R402="Contract signed + paid",R402="Closed – No response",R402="Lost"),N(T402)&gt;=Settings!$S$3),"",S402+Settings!$S$2)</f>
        <v/>
      </c>
      <c r="V402" s="40"/>
      <c r="W402" s="41"/>
      <c r="X402" s="17"/>
      <c r="Y402" s="17"/>
      <c r="Z402" s="17"/>
      <c r="AA402" s="46" t="str">
        <f aca="true">IF(OR(D402="",B402=""),"",INT(TODAY()-B402))</f>
        <v/>
      </c>
      <c r="AB402" s="44" t="str">
        <f aca="true">IF(D402="","",IF(OR(COUNTIFS(Clients!$C$2:$C$501,D402,Clients!$S$2:$S$501,"Paid")&gt;0,AND(H402&lt;&gt;"",COUNTIFS(Clients!$E$2:$E$501,H402,Clients!$S$2:$S$501,"Paid")&gt;0)),"⚠ Refunded before – no free video",IF(OR(R402="Contract signed + paid",R402="Closed – No response",R402="Lost"),"",IF(R402="","Set a stage",IF(AND(R402="Proposal sent",SUMIFS(Scoresheet!$N$2:$N$501,Scoresheet!$C$2:$C$501,A402,Scoresheet!$U$2:$U$501,1)&lt;6),"Score this lead – fill the call scoresheet",IF(N(T402)&gt;=Settings!$S$3,"Close – 4 follow-ups sent",IF(U402="",IF(S402="","Make first contact",""),IF(TODAY()&gt;U402,"OVERDUE follow-up",IF(TODAY()=U402,"Follow up today","")))))))))</f>
        <v/>
      </c>
    </row>
    <row r="403" customFormat="false" ht="15" hidden="false" customHeight="false" outlineLevel="0" collapsed="false">
      <c r="A403" s="17"/>
      <c r="B403" s="40"/>
      <c r="C403" s="17"/>
      <c r="D403" s="17"/>
      <c r="E403" s="17"/>
      <c r="F403" s="17"/>
      <c r="G403" s="17"/>
      <c r="H403" s="42"/>
      <c r="I403" s="17"/>
      <c r="J403" s="17"/>
      <c r="K403" s="17"/>
      <c r="L403" s="17"/>
      <c r="M403" s="17"/>
      <c r="N403" s="44" t="str">
        <f aca="false">IF(OR(D403="",A403="",COUNTIFS(Scoresheet!$C$2:$C$501,A403,Scoresheet!$U$2:$U$501,1)=0),"",SUMIFS(Scoresheet!$O$2:$O$501,Scoresheet!$C$2:$C$501,A403,Scoresheet!$U$2:$U$501,1))</f>
        <v/>
      </c>
      <c r="O403" s="44" t="str">
        <f aca="false">IF(D403="","",IF(OR(A403="",COUNTIFS(Scoresheet!$C$2:$C$501,A403,Scoresheet!$U$2:$U$501,1)=0),"No scoresheet yet",IF(SUMIFS(Scoresheet!$N$2:$N$501,Scoresheet!$C$2:$C$501,A403,Scoresheet!$U$2:$U$501,1)&lt;6,"Partly scored ("&amp;SUMIFS(Scoresheet!$N$2:$N$501,Scoresheet!$C$2:$C$501,A403,Scoresheet!$U$2:$U$501,1)&amp;"/6)",IF(N403&gt;=Settings!$S$8,"Hot",IF(N403&gt;=Settings!$S$9,"Warm","Cold")))))</f>
        <v/>
      </c>
      <c r="P403" s="44" t="str">
        <f aca="false">IF(OR(D403="",A403=""),"",IF(AND(COUNTIFS(Scoresheet!$C$2:$C$501,A403,Scoresheet!$U$2:$U$501,1,Scoresheet!$H$2:$H$501,"No")&gt;0,COUNTIFS(Scoresheet!$C$2:$C$501,A403,Scoresheet!$U$2:$U$501,1,Scoresheet!$J$2:$J$501,"No")&gt;0),"🚩 Budget  ·  🚩 No one on camera",IF(COUNTIFS(Scoresheet!$C$2:$C$501,A403,Scoresheet!$U$2:$U$501,1,Scoresheet!$H$2:$H$501,"No")&gt;0,"🚩 Budget under AED 5k",IF(COUNTIFS(Scoresheet!$C$2:$C$501,A403,Scoresheet!$U$2:$U$501,1,Scoresheet!$J$2:$J$501,"No")&gt;0,"🚩 No one on camera",""))))</f>
        <v/>
      </c>
      <c r="Q403" s="17"/>
      <c r="R403" s="17"/>
      <c r="S403" s="40"/>
      <c r="T403" s="17"/>
      <c r="U403" s="45" t="str">
        <f aca="false">IF(OR(D403="",S403="",OR(R403="Contract signed + paid",R403="Closed – No response",R403="Lost"),N(T403)&gt;=Settings!$S$3),"",S403+Settings!$S$2)</f>
        <v/>
      </c>
      <c r="V403" s="40"/>
      <c r="W403" s="41"/>
      <c r="X403" s="17"/>
      <c r="Y403" s="17"/>
      <c r="Z403" s="17"/>
      <c r="AA403" s="46" t="str">
        <f aca="true">IF(OR(D403="",B403=""),"",INT(TODAY()-B403))</f>
        <v/>
      </c>
      <c r="AB403" s="44" t="str">
        <f aca="true">IF(D403="","",IF(OR(COUNTIFS(Clients!$C$2:$C$501,D403,Clients!$S$2:$S$501,"Paid")&gt;0,AND(H403&lt;&gt;"",COUNTIFS(Clients!$E$2:$E$501,H403,Clients!$S$2:$S$501,"Paid")&gt;0)),"⚠ Refunded before – no free video",IF(OR(R403="Contract signed + paid",R403="Closed – No response",R403="Lost"),"",IF(R403="","Set a stage",IF(AND(R403="Proposal sent",SUMIFS(Scoresheet!$N$2:$N$501,Scoresheet!$C$2:$C$501,A403,Scoresheet!$U$2:$U$501,1)&lt;6),"Score this lead – fill the call scoresheet",IF(N(T403)&gt;=Settings!$S$3,"Close – 4 follow-ups sent",IF(U403="",IF(S403="","Make first contact",""),IF(TODAY()&gt;U403,"OVERDUE follow-up",IF(TODAY()=U403,"Follow up today","")))))))))</f>
        <v/>
      </c>
    </row>
    <row r="404" customFormat="false" ht="15" hidden="false" customHeight="false" outlineLevel="0" collapsed="false">
      <c r="A404" s="17"/>
      <c r="B404" s="40"/>
      <c r="C404" s="17"/>
      <c r="D404" s="17"/>
      <c r="E404" s="17"/>
      <c r="F404" s="17"/>
      <c r="G404" s="17"/>
      <c r="H404" s="42"/>
      <c r="I404" s="17"/>
      <c r="J404" s="17"/>
      <c r="K404" s="17"/>
      <c r="L404" s="17"/>
      <c r="M404" s="17"/>
      <c r="N404" s="44" t="str">
        <f aca="false">IF(OR(D404="",A404="",COUNTIFS(Scoresheet!$C$2:$C$501,A404,Scoresheet!$U$2:$U$501,1)=0),"",SUMIFS(Scoresheet!$O$2:$O$501,Scoresheet!$C$2:$C$501,A404,Scoresheet!$U$2:$U$501,1))</f>
        <v/>
      </c>
      <c r="O404" s="44" t="str">
        <f aca="false">IF(D404="","",IF(OR(A404="",COUNTIFS(Scoresheet!$C$2:$C$501,A404,Scoresheet!$U$2:$U$501,1)=0),"No scoresheet yet",IF(SUMIFS(Scoresheet!$N$2:$N$501,Scoresheet!$C$2:$C$501,A404,Scoresheet!$U$2:$U$501,1)&lt;6,"Partly scored ("&amp;SUMIFS(Scoresheet!$N$2:$N$501,Scoresheet!$C$2:$C$501,A404,Scoresheet!$U$2:$U$501,1)&amp;"/6)",IF(N404&gt;=Settings!$S$8,"Hot",IF(N404&gt;=Settings!$S$9,"Warm","Cold")))))</f>
        <v/>
      </c>
      <c r="P404" s="44" t="str">
        <f aca="false">IF(OR(D404="",A404=""),"",IF(AND(COUNTIFS(Scoresheet!$C$2:$C$501,A404,Scoresheet!$U$2:$U$501,1,Scoresheet!$H$2:$H$501,"No")&gt;0,COUNTIFS(Scoresheet!$C$2:$C$501,A404,Scoresheet!$U$2:$U$501,1,Scoresheet!$J$2:$J$501,"No")&gt;0),"🚩 Budget  ·  🚩 No one on camera",IF(COUNTIFS(Scoresheet!$C$2:$C$501,A404,Scoresheet!$U$2:$U$501,1,Scoresheet!$H$2:$H$501,"No")&gt;0,"🚩 Budget under AED 5k",IF(COUNTIFS(Scoresheet!$C$2:$C$501,A404,Scoresheet!$U$2:$U$501,1,Scoresheet!$J$2:$J$501,"No")&gt;0,"🚩 No one on camera",""))))</f>
        <v/>
      </c>
      <c r="Q404" s="17"/>
      <c r="R404" s="17"/>
      <c r="S404" s="40"/>
      <c r="T404" s="17"/>
      <c r="U404" s="45" t="str">
        <f aca="false">IF(OR(D404="",S404="",OR(R404="Contract signed + paid",R404="Closed – No response",R404="Lost"),N(T404)&gt;=Settings!$S$3),"",S404+Settings!$S$2)</f>
        <v/>
      </c>
      <c r="V404" s="40"/>
      <c r="W404" s="41"/>
      <c r="X404" s="17"/>
      <c r="Y404" s="17"/>
      <c r="Z404" s="17"/>
      <c r="AA404" s="46" t="str">
        <f aca="true">IF(OR(D404="",B404=""),"",INT(TODAY()-B404))</f>
        <v/>
      </c>
      <c r="AB404" s="44" t="str">
        <f aca="true">IF(D404="","",IF(OR(COUNTIFS(Clients!$C$2:$C$501,D404,Clients!$S$2:$S$501,"Paid")&gt;0,AND(H404&lt;&gt;"",COUNTIFS(Clients!$E$2:$E$501,H404,Clients!$S$2:$S$501,"Paid")&gt;0)),"⚠ Refunded before – no free video",IF(OR(R404="Contract signed + paid",R404="Closed – No response",R404="Lost"),"",IF(R404="","Set a stage",IF(AND(R404="Proposal sent",SUMIFS(Scoresheet!$N$2:$N$501,Scoresheet!$C$2:$C$501,A404,Scoresheet!$U$2:$U$501,1)&lt;6),"Score this lead – fill the call scoresheet",IF(N(T404)&gt;=Settings!$S$3,"Close – 4 follow-ups sent",IF(U404="",IF(S404="","Make first contact",""),IF(TODAY()&gt;U404,"OVERDUE follow-up",IF(TODAY()=U404,"Follow up today","")))))))))</f>
        <v/>
      </c>
    </row>
    <row r="405" customFormat="false" ht="15" hidden="false" customHeight="false" outlineLevel="0" collapsed="false">
      <c r="A405" s="17"/>
      <c r="B405" s="40"/>
      <c r="C405" s="17"/>
      <c r="D405" s="17"/>
      <c r="E405" s="17"/>
      <c r="F405" s="17"/>
      <c r="G405" s="17"/>
      <c r="H405" s="42"/>
      <c r="I405" s="17"/>
      <c r="J405" s="17"/>
      <c r="K405" s="17"/>
      <c r="L405" s="17"/>
      <c r="M405" s="17"/>
      <c r="N405" s="44" t="str">
        <f aca="false">IF(OR(D405="",A405="",COUNTIFS(Scoresheet!$C$2:$C$501,A405,Scoresheet!$U$2:$U$501,1)=0),"",SUMIFS(Scoresheet!$O$2:$O$501,Scoresheet!$C$2:$C$501,A405,Scoresheet!$U$2:$U$501,1))</f>
        <v/>
      </c>
      <c r="O405" s="44" t="str">
        <f aca="false">IF(D405="","",IF(OR(A405="",COUNTIFS(Scoresheet!$C$2:$C$501,A405,Scoresheet!$U$2:$U$501,1)=0),"No scoresheet yet",IF(SUMIFS(Scoresheet!$N$2:$N$501,Scoresheet!$C$2:$C$501,A405,Scoresheet!$U$2:$U$501,1)&lt;6,"Partly scored ("&amp;SUMIFS(Scoresheet!$N$2:$N$501,Scoresheet!$C$2:$C$501,A405,Scoresheet!$U$2:$U$501,1)&amp;"/6)",IF(N405&gt;=Settings!$S$8,"Hot",IF(N405&gt;=Settings!$S$9,"Warm","Cold")))))</f>
        <v/>
      </c>
      <c r="P405" s="44" t="str">
        <f aca="false">IF(OR(D405="",A405=""),"",IF(AND(COUNTIFS(Scoresheet!$C$2:$C$501,A405,Scoresheet!$U$2:$U$501,1,Scoresheet!$H$2:$H$501,"No")&gt;0,COUNTIFS(Scoresheet!$C$2:$C$501,A405,Scoresheet!$U$2:$U$501,1,Scoresheet!$J$2:$J$501,"No")&gt;0),"🚩 Budget  ·  🚩 No one on camera",IF(COUNTIFS(Scoresheet!$C$2:$C$501,A405,Scoresheet!$U$2:$U$501,1,Scoresheet!$H$2:$H$501,"No")&gt;0,"🚩 Budget under AED 5k",IF(COUNTIFS(Scoresheet!$C$2:$C$501,A405,Scoresheet!$U$2:$U$501,1,Scoresheet!$J$2:$J$501,"No")&gt;0,"🚩 No one on camera",""))))</f>
        <v/>
      </c>
      <c r="Q405" s="17"/>
      <c r="R405" s="17"/>
      <c r="S405" s="40"/>
      <c r="T405" s="17"/>
      <c r="U405" s="45" t="str">
        <f aca="false">IF(OR(D405="",S405="",OR(R405="Contract signed + paid",R405="Closed – No response",R405="Lost"),N(T405)&gt;=Settings!$S$3),"",S405+Settings!$S$2)</f>
        <v/>
      </c>
      <c r="V405" s="40"/>
      <c r="W405" s="41"/>
      <c r="X405" s="17"/>
      <c r="Y405" s="17"/>
      <c r="Z405" s="17"/>
      <c r="AA405" s="46" t="str">
        <f aca="true">IF(OR(D405="",B405=""),"",INT(TODAY()-B405))</f>
        <v/>
      </c>
      <c r="AB405" s="44" t="str">
        <f aca="true">IF(D405="","",IF(OR(COUNTIFS(Clients!$C$2:$C$501,D405,Clients!$S$2:$S$501,"Paid")&gt;0,AND(H405&lt;&gt;"",COUNTIFS(Clients!$E$2:$E$501,H405,Clients!$S$2:$S$501,"Paid")&gt;0)),"⚠ Refunded before – no free video",IF(OR(R405="Contract signed + paid",R405="Closed – No response",R405="Lost"),"",IF(R405="","Set a stage",IF(AND(R405="Proposal sent",SUMIFS(Scoresheet!$N$2:$N$501,Scoresheet!$C$2:$C$501,A405,Scoresheet!$U$2:$U$501,1)&lt;6),"Score this lead – fill the call scoresheet",IF(N(T405)&gt;=Settings!$S$3,"Close – 4 follow-ups sent",IF(U405="",IF(S405="","Make first contact",""),IF(TODAY()&gt;U405,"OVERDUE follow-up",IF(TODAY()=U405,"Follow up today","")))))))))</f>
        <v/>
      </c>
    </row>
    <row r="406" customFormat="false" ht="15" hidden="false" customHeight="false" outlineLevel="0" collapsed="false">
      <c r="A406" s="17"/>
      <c r="B406" s="40"/>
      <c r="C406" s="17"/>
      <c r="D406" s="17"/>
      <c r="E406" s="17"/>
      <c r="F406" s="17"/>
      <c r="G406" s="17"/>
      <c r="H406" s="42"/>
      <c r="I406" s="17"/>
      <c r="J406" s="17"/>
      <c r="K406" s="17"/>
      <c r="L406" s="17"/>
      <c r="M406" s="17"/>
      <c r="N406" s="44" t="str">
        <f aca="false">IF(OR(D406="",A406="",COUNTIFS(Scoresheet!$C$2:$C$501,A406,Scoresheet!$U$2:$U$501,1)=0),"",SUMIFS(Scoresheet!$O$2:$O$501,Scoresheet!$C$2:$C$501,A406,Scoresheet!$U$2:$U$501,1))</f>
        <v/>
      </c>
      <c r="O406" s="44" t="str">
        <f aca="false">IF(D406="","",IF(OR(A406="",COUNTIFS(Scoresheet!$C$2:$C$501,A406,Scoresheet!$U$2:$U$501,1)=0),"No scoresheet yet",IF(SUMIFS(Scoresheet!$N$2:$N$501,Scoresheet!$C$2:$C$501,A406,Scoresheet!$U$2:$U$501,1)&lt;6,"Partly scored ("&amp;SUMIFS(Scoresheet!$N$2:$N$501,Scoresheet!$C$2:$C$501,A406,Scoresheet!$U$2:$U$501,1)&amp;"/6)",IF(N406&gt;=Settings!$S$8,"Hot",IF(N406&gt;=Settings!$S$9,"Warm","Cold")))))</f>
        <v/>
      </c>
      <c r="P406" s="44" t="str">
        <f aca="false">IF(OR(D406="",A406=""),"",IF(AND(COUNTIFS(Scoresheet!$C$2:$C$501,A406,Scoresheet!$U$2:$U$501,1,Scoresheet!$H$2:$H$501,"No")&gt;0,COUNTIFS(Scoresheet!$C$2:$C$501,A406,Scoresheet!$U$2:$U$501,1,Scoresheet!$J$2:$J$501,"No")&gt;0),"🚩 Budget  ·  🚩 No one on camera",IF(COUNTIFS(Scoresheet!$C$2:$C$501,A406,Scoresheet!$U$2:$U$501,1,Scoresheet!$H$2:$H$501,"No")&gt;0,"🚩 Budget under AED 5k",IF(COUNTIFS(Scoresheet!$C$2:$C$501,A406,Scoresheet!$U$2:$U$501,1,Scoresheet!$J$2:$J$501,"No")&gt;0,"🚩 No one on camera",""))))</f>
        <v/>
      </c>
      <c r="Q406" s="17"/>
      <c r="R406" s="17"/>
      <c r="S406" s="40"/>
      <c r="T406" s="17"/>
      <c r="U406" s="45" t="str">
        <f aca="false">IF(OR(D406="",S406="",OR(R406="Contract signed + paid",R406="Closed – No response",R406="Lost"),N(T406)&gt;=Settings!$S$3),"",S406+Settings!$S$2)</f>
        <v/>
      </c>
      <c r="V406" s="40"/>
      <c r="W406" s="41"/>
      <c r="X406" s="17"/>
      <c r="Y406" s="17"/>
      <c r="Z406" s="17"/>
      <c r="AA406" s="46" t="str">
        <f aca="true">IF(OR(D406="",B406=""),"",INT(TODAY()-B406))</f>
        <v/>
      </c>
      <c r="AB406" s="44" t="str">
        <f aca="true">IF(D406="","",IF(OR(COUNTIFS(Clients!$C$2:$C$501,D406,Clients!$S$2:$S$501,"Paid")&gt;0,AND(H406&lt;&gt;"",COUNTIFS(Clients!$E$2:$E$501,H406,Clients!$S$2:$S$501,"Paid")&gt;0)),"⚠ Refunded before – no free video",IF(OR(R406="Contract signed + paid",R406="Closed – No response",R406="Lost"),"",IF(R406="","Set a stage",IF(AND(R406="Proposal sent",SUMIFS(Scoresheet!$N$2:$N$501,Scoresheet!$C$2:$C$501,A406,Scoresheet!$U$2:$U$501,1)&lt;6),"Score this lead – fill the call scoresheet",IF(N(T406)&gt;=Settings!$S$3,"Close – 4 follow-ups sent",IF(U406="",IF(S406="","Make first contact",""),IF(TODAY()&gt;U406,"OVERDUE follow-up",IF(TODAY()=U406,"Follow up today","")))))))))</f>
        <v/>
      </c>
    </row>
    <row r="407" customFormat="false" ht="15" hidden="false" customHeight="false" outlineLevel="0" collapsed="false">
      <c r="A407" s="17"/>
      <c r="B407" s="40"/>
      <c r="C407" s="17"/>
      <c r="D407" s="17"/>
      <c r="E407" s="17"/>
      <c r="F407" s="17"/>
      <c r="G407" s="17"/>
      <c r="H407" s="42"/>
      <c r="I407" s="17"/>
      <c r="J407" s="17"/>
      <c r="K407" s="17"/>
      <c r="L407" s="17"/>
      <c r="M407" s="17"/>
      <c r="N407" s="44" t="str">
        <f aca="false">IF(OR(D407="",A407="",COUNTIFS(Scoresheet!$C$2:$C$501,A407,Scoresheet!$U$2:$U$501,1)=0),"",SUMIFS(Scoresheet!$O$2:$O$501,Scoresheet!$C$2:$C$501,A407,Scoresheet!$U$2:$U$501,1))</f>
        <v/>
      </c>
      <c r="O407" s="44" t="str">
        <f aca="false">IF(D407="","",IF(OR(A407="",COUNTIFS(Scoresheet!$C$2:$C$501,A407,Scoresheet!$U$2:$U$501,1)=0),"No scoresheet yet",IF(SUMIFS(Scoresheet!$N$2:$N$501,Scoresheet!$C$2:$C$501,A407,Scoresheet!$U$2:$U$501,1)&lt;6,"Partly scored ("&amp;SUMIFS(Scoresheet!$N$2:$N$501,Scoresheet!$C$2:$C$501,A407,Scoresheet!$U$2:$U$501,1)&amp;"/6)",IF(N407&gt;=Settings!$S$8,"Hot",IF(N407&gt;=Settings!$S$9,"Warm","Cold")))))</f>
        <v/>
      </c>
      <c r="P407" s="44" t="str">
        <f aca="false">IF(OR(D407="",A407=""),"",IF(AND(COUNTIFS(Scoresheet!$C$2:$C$501,A407,Scoresheet!$U$2:$U$501,1,Scoresheet!$H$2:$H$501,"No")&gt;0,COUNTIFS(Scoresheet!$C$2:$C$501,A407,Scoresheet!$U$2:$U$501,1,Scoresheet!$J$2:$J$501,"No")&gt;0),"🚩 Budget  ·  🚩 No one on camera",IF(COUNTIFS(Scoresheet!$C$2:$C$501,A407,Scoresheet!$U$2:$U$501,1,Scoresheet!$H$2:$H$501,"No")&gt;0,"🚩 Budget under AED 5k",IF(COUNTIFS(Scoresheet!$C$2:$C$501,A407,Scoresheet!$U$2:$U$501,1,Scoresheet!$J$2:$J$501,"No")&gt;0,"🚩 No one on camera",""))))</f>
        <v/>
      </c>
      <c r="Q407" s="17"/>
      <c r="R407" s="17"/>
      <c r="S407" s="40"/>
      <c r="T407" s="17"/>
      <c r="U407" s="45" t="str">
        <f aca="false">IF(OR(D407="",S407="",OR(R407="Contract signed + paid",R407="Closed – No response",R407="Lost"),N(T407)&gt;=Settings!$S$3),"",S407+Settings!$S$2)</f>
        <v/>
      </c>
      <c r="V407" s="40"/>
      <c r="W407" s="41"/>
      <c r="X407" s="17"/>
      <c r="Y407" s="17"/>
      <c r="Z407" s="17"/>
      <c r="AA407" s="46" t="str">
        <f aca="true">IF(OR(D407="",B407=""),"",INT(TODAY()-B407))</f>
        <v/>
      </c>
      <c r="AB407" s="44" t="str">
        <f aca="true">IF(D407="","",IF(OR(COUNTIFS(Clients!$C$2:$C$501,D407,Clients!$S$2:$S$501,"Paid")&gt;0,AND(H407&lt;&gt;"",COUNTIFS(Clients!$E$2:$E$501,H407,Clients!$S$2:$S$501,"Paid")&gt;0)),"⚠ Refunded before – no free video",IF(OR(R407="Contract signed + paid",R407="Closed – No response",R407="Lost"),"",IF(R407="","Set a stage",IF(AND(R407="Proposal sent",SUMIFS(Scoresheet!$N$2:$N$501,Scoresheet!$C$2:$C$501,A407,Scoresheet!$U$2:$U$501,1)&lt;6),"Score this lead – fill the call scoresheet",IF(N(T407)&gt;=Settings!$S$3,"Close – 4 follow-ups sent",IF(U407="",IF(S407="","Make first contact",""),IF(TODAY()&gt;U407,"OVERDUE follow-up",IF(TODAY()=U407,"Follow up today","")))))))))</f>
        <v/>
      </c>
    </row>
    <row r="408" customFormat="false" ht="15" hidden="false" customHeight="false" outlineLevel="0" collapsed="false">
      <c r="A408" s="17"/>
      <c r="B408" s="40"/>
      <c r="C408" s="17"/>
      <c r="D408" s="17"/>
      <c r="E408" s="17"/>
      <c r="F408" s="17"/>
      <c r="G408" s="17"/>
      <c r="H408" s="42"/>
      <c r="I408" s="17"/>
      <c r="J408" s="17"/>
      <c r="K408" s="17"/>
      <c r="L408" s="17"/>
      <c r="M408" s="17"/>
      <c r="N408" s="44" t="str">
        <f aca="false">IF(OR(D408="",A408="",COUNTIFS(Scoresheet!$C$2:$C$501,A408,Scoresheet!$U$2:$U$501,1)=0),"",SUMIFS(Scoresheet!$O$2:$O$501,Scoresheet!$C$2:$C$501,A408,Scoresheet!$U$2:$U$501,1))</f>
        <v/>
      </c>
      <c r="O408" s="44" t="str">
        <f aca="false">IF(D408="","",IF(OR(A408="",COUNTIFS(Scoresheet!$C$2:$C$501,A408,Scoresheet!$U$2:$U$501,1)=0),"No scoresheet yet",IF(SUMIFS(Scoresheet!$N$2:$N$501,Scoresheet!$C$2:$C$501,A408,Scoresheet!$U$2:$U$501,1)&lt;6,"Partly scored ("&amp;SUMIFS(Scoresheet!$N$2:$N$501,Scoresheet!$C$2:$C$501,A408,Scoresheet!$U$2:$U$501,1)&amp;"/6)",IF(N408&gt;=Settings!$S$8,"Hot",IF(N408&gt;=Settings!$S$9,"Warm","Cold")))))</f>
        <v/>
      </c>
      <c r="P408" s="44" t="str">
        <f aca="false">IF(OR(D408="",A408=""),"",IF(AND(COUNTIFS(Scoresheet!$C$2:$C$501,A408,Scoresheet!$U$2:$U$501,1,Scoresheet!$H$2:$H$501,"No")&gt;0,COUNTIFS(Scoresheet!$C$2:$C$501,A408,Scoresheet!$U$2:$U$501,1,Scoresheet!$J$2:$J$501,"No")&gt;0),"🚩 Budget  ·  🚩 No one on camera",IF(COUNTIFS(Scoresheet!$C$2:$C$501,A408,Scoresheet!$U$2:$U$501,1,Scoresheet!$H$2:$H$501,"No")&gt;0,"🚩 Budget under AED 5k",IF(COUNTIFS(Scoresheet!$C$2:$C$501,A408,Scoresheet!$U$2:$U$501,1,Scoresheet!$J$2:$J$501,"No")&gt;0,"🚩 No one on camera",""))))</f>
        <v/>
      </c>
      <c r="Q408" s="17"/>
      <c r="R408" s="17"/>
      <c r="S408" s="40"/>
      <c r="T408" s="17"/>
      <c r="U408" s="45" t="str">
        <f aca="false">IF(OR(D408="",S408="",OR(R408="Contract signed + paid",R408="Closed – No response",R408="Lost"),N(T408)&gt;=Settings!$S$3),"",S408+Settings!$S$2)</f>
        <v/>
      </c>
      <c r="V408" s="40"/>
      <c r="W408" s="41"/>
      <c r="X408" s="17"/>
      <c r="Y408" s="17"/>
      <c r="Z408" s="17"/>
      <c r="AA408" s="46" t="str">
        <f aca="true">IF(OR(D408="",B408=""),"",INT(TODAY()-B408))</f>
        <v/>
      </c>
      <c r="AB408" s="44" t="str">
        <f aca="true">IF(D408="","",IF(OR(COUNTIFS(Clients!$C$2:$C$501,D408,Clients!$S$2:$S$501,"Paid")&gt;0,AND(H408&lt;&gt;"",COUNTIFS(Clients!$E$2:$E$501,H408,Clients!$S$2:$S$501,"Paid")&gt;0)),"⚠ Refunded before – no free video",IF(OR(R408="Contract signed + paid",R408="Closed – No response",R408="Lost"),"",IF(R408="","Set a stage",IF(AND(R408="Proposal sent",SUMIFS(Scoresheet!$N$2:$N$501,Scoresheet!$C$2:$C$501,A408,Scoresheet!$U$2:$U$501,1)&lt;6),"Score this lead – fill the call scoresheet",IF(N(T408)&gt;=Settings!$S$3,"Close – 4 follow-ups sent",IF(U408="",IF(S408="","Make first contact",""),IF(TODAY()&gt;U408,"OVERDUE follow-up",IF(TODAY()=U408,"Follow up today","")))))))))</f>
        <v/>
      </c>
    </row>
    <row r="409" customFormat="false" ht="15" hidden="false" customHeight="false" outlineLevel="0" collapsed="false">
      <c r="A409" s="17"/>
      <c r="B409" s="40"/>
      <c r="C409" s="17"/>
      <c r="D409" s="17"/>
      <c r="E409" s="17"/>
      <c r="F409" s="17"/>
      <c r="G409" s="17"/>
      <c r="H409" s="42"/>
      <c r="I409" s="17"/>
      <c r="J409" s="17"/>
      <c r="K409" s="17"/>
      <c r="L409" s="17"/>
      <c r="M409" s="17"/>
      <c r="N409" s="44" t="str">
        <f aca="false">IF(OR(D409="",A409="",COUNTIFS(Scoresheet!$C$2:$C$501,A409,Scoresheet!$U$2:$U$501,1)=0),"",SUMIFS(Scoresheet!$O$2:$O$501,Scoresheet!$C$2:$C$501,A409,Scoresheet!$U$2:$U$501,1))</f>
        <v/>
      </c>
      <c r="O409" s="44" t="str">
        <f aca="false">IF(D409="","",IF(OR(A409="",COUNTIFS(Scoresheet!$C$2:$C$501,A409,Scoresheet!$U$2:$U$501,1)=0),"No scoresheet yet",IF(SUMIFS(Scoresheet!$N$2:$N$501,Scoresheet!$C$2:$C$501,A409,Scoresheet!$U$2:$U$501,1)&lt;6,"Partly scored ("&amp;SUMIFS(Scoresheet!$N$2:$N$501,Scoresheet!$C$2:$C$501,A409,Scoresheet!$U$2:$U$501,1)&amp;"/6)",IF(N409&gt;=Settings!$S$8,"Hot",IF(N409&gt;=Settings!$S$9,"Warm","Cold")))))</f>
        <v/>
      </c>
      <c r="P409" s="44" t="str">
        <f aca="false">IF(OR(D409="",A409=""),"",IF(AND(COUNTIFS(Scoresheet!$C$2:$C$501,A409,Scoresheet!$U$2:$U$501,1,Scoresheet!$H$2:$H$501,"No")&gt;0,COUNTIFS(Scoresheet!$C$2:$C$501,A409,Scoresheet!$U$2:$U$501,1,Scoresheet!$J$2:$J$501,"No")&gt;0),"🚩 Budget  ·  🚩 No one on camera",IF(COUNTIFS(Scoresheet!$C$2:$C$501,A409,Scoresheet!$U$2:$U$501,1,Scoresheet!$H$2:$H$501,"No")&gt;0,"🚩 Budget under AED 5k",IF(COUNTIFS(Scoresheet!$C$2:$C$501,A409,Scoresheet!$U$2:$U$501,1,Scoresheet!$J$2:$J$501,"No")&gt;0,"🚩 No one on camera",""))))</f>
        <v/>
      </c>
      <c r="Q409" s="17"/>
      <c r="R409" s="17"/>
      <c r="S409" s="40"/>
      <c r="T409" s="17"/>
      <c r="U409" s="45" t="str">
        <f aca="false">IF(OR(D409="",S409="",OR(R409="Contract signed + paid",R409="Closed – No response",R409="Lost"),N(T409)&gt;=Settings!$S$3),"",S409+Settings!$S$2)</f>
        <v/>
      </c>
      <c r="V409" s="40"/>
      <c r="W409" s="41"/>
      <c r="X409" s="17"/>
      <c r="Y409" s="17"/>
      <c r="Z409" s="17"/>
      <c r="AA409" s="46" t="str">
        <f aca="true">IF(OR(D409="",B409=""),"",INT(TODAY()-B409))</f>
        <v/>
      </c>
      <c r="AB409" s="44" t="str">
        <f aca="true">IF(D409="","",IF(OR(COUNTIFS(Clients!$C$2:$C$501,D409,Clients!$S$2:$S$501,"Paid")&gt;0,AND(H409&lt;&gt;"",COUNTIFS(Clients!$E$2:$E$501,H409,Clients!$S$2:$S$501,"Paid")&gt;0)),"⚠ Refunded before – no free video",IF(OR(R409="Contract signed + paid",R409="Closed – No response",R409="Lost"),"",IF(R409="","Set a stage",IF(AND(R409="Proposal sent",SUMIFS(Scoresheet!$N$2:$N$501,Scoresheet!$C$2:$C$501,A409,Scoresheet!$U$2:$U$501,1)&lt;6),"Score this lead – fill the call scoresheet",IF(N(T409)&gt;=Settings!$S$3,"Close – 4 follow-ups sent",IF(U409="",IF(S409="","Make first contact",""),IF(TODAY()&gt;U409,"OVERDUE follow-up",IF(TODAY()=U409,"Follow up today","")))))))))</f>
        <v/>
      </c>
    </row>
    <row r="410" customFormat="false" ht="15" hidden="false" customHeight="false" outlineLevel="0" collapsed="false">
      <c r="A410" s="17"/>
      <c r="B410" s="40"/>
      <c r="C410" s="17"/>
      <c r="D410" s="17"/>
      <c r="E410" s="17"/>
      <c r="F410" s="17"/>
      <c r="G410" s="17"/>
      <c r="H410" s="42"/>
      <c r="I410" s="17"/>
      <c r="J410" s="17"/>
      <c r="K410" s="17"/>
      <c r="L410" s="17"/>
      <c r="M410" s="17"/>
      <c r="N410" s="44" t="str">
        <f aca="false">IF(OR(D410="",A410="",COUNTIFS(Scoresheet!$C$2:$C$501,A410,Scoresheet!$U$2:$U$501,1)=0),"",SUMIFS(Scoresheet!$O$2:$O$501,Scoresheet!$C$2:$C$501,A410,Scoresheet!$U$2:$U$501,1))</f>
        <v/>
      </c>
      <c r="O410" s="44" t="str">
        <f aca="false">IF(D410="","",IF(OR(A410="",COUNTIFS(Scoresheet!$C$2:$C$501,A410,Scoresheet!$U$2:$U$501,1)=0),"No scoresheet yet",IF(SUMIFS(Scoresheet!$N$2:$N$501,Scoresheet!$C$2:$C$501,A410,Scoresheet!$U$2:$U$501,1)&lt;6,"Partly scored ("&amp;SUMIFS(Scoresheet!$N$2:$N$501,Scoresheet!$C$2:$C$501,A410,Scoresheet!$U$2:$U$501,1)&amp;"/6)",IF(N410&gt;=Settings!$S$8,"Hot",IF(N410&gt;=Settings!$S$9,"Warm","Cold")))))</f>
        <v/>
      </c>
      <c r="P410" s="44" t="str">
        <f aca="false">IF(OR(D410="",A410=""),"",IF(AND(COUNTIFS(Scoresheet!$C$2:$C$501,A410,Scoresheet!$U$2:$U$501,1,Scoresheet!$H$2:$H$501,"No")&gt;0,COUNTIFS(Scoresheet!$C$2:$C$501,A410,Scoresheet!$U$2:$U$501,1,Scoresheet!$J$2:$J$501,"No")&gt;0),"🚩 Budget  ·  🚩 No one on camera",IF(COUNTIFS(Scoresheet!$C$2:$C$501,A410,Scoresheet!$U$2:$U$501,1,Scoresheet!$H$2:$H$501,"No")&gt;0,"🚩 Budget under AED 5k",IF(COUNTIFS(Scoresheet!$C$2:$C$501,A410,Scoresheet!$U$2:$U$501,1,Scoresheet!$J$2:$J$501,"No")&gt;0,"🚩 No one on camera",""))))</f>
        <v/>
      </c>
      <c r="Q410" s="17"/>
      <c r="R410" s="17"/>
      <c r="S410" s="40"/>
      <c r="T410" s="17"/>
      <c r="U410" s="45" t="str">
        <f aca="false">IF(OR(D410="",S410="",OR(R410="Contract signed + paid",R410="Closed – No response",R410="Lost"),N(T410)&gt;=Settings!$S$3),"",S410+Settings!$S$2)</f>
        <v/>
      </c>
      <c r="V410" s="40"/>
      <c r="W410" s="41"/>
      <c r="X410" s="17"/>
      <c r="Y410" s="17"/>
      <c r="Z410" s="17"/>
      <c r="AA410" s="46" t="str">
        <f aca="true">IF(OR(D410="",B410=""),"",INT(TODAY()-B410))</f>
        <v/>
      </c>
      <c r="AB410" s="44" t="str">
        <f aca="true">IF(D410="","",IF(OR(COUNTIFS(Clients!$C$2:$C$501,D410,Clients!$S$2:$S$501,"Paid")&gt;0,AND(H410&lt;&gt;"",COUNTIFS(Clients!$E$2:$E$501,H410,Clients!$S$2:$S$501,"Paid")&gt;0)),"⚠ Refunded before – no free video",IF(OR(R410="Contract signed + paid",R410="Closed – No response",R410="Lost"),"",IF(R410="","Set a stage",IF(AND(R410="Proposal sent",SUMIFS(Scoresheet!$N$2:$N$501,Scoresheet!$C$2:$C$501,A410,Scoresheet!$U$2:$U$501,1)&lt;6),"Score this lead – fill the call scoresheet",IF(N(T410)&gt;=Settings!$S$3,"Close – 4 follow-ups sent",IF(U410="",IF(S410="","Make first contact",""),IF(TODAY()&gt;U410,"OVERDUE follow-up",IF(TODAY()=U410,"Follow up today","")))))))))</f>
        <v/>
      </c>
    </row>
    <row r="411" customFormat="false" ht="15" hidden="false" customHeight="false" outlineLevel="0" collapsed="false">
      <c r="A411" s="17"/>
      <c r="B411" s="40"/>
      <c r="C411" s="17"/>
      <c r="D411" s="17"/>
      <c r="E411" s="17"/>
      <c r="F411" s="17"/>
      <c r="G411" s="17"/>
      <c r="H411" s="42"/>
      <c r="I411" s="17"/>
      <c r="J411" s="17"/>
      <c r="K411" s="17"/>
      <c r="L411" s="17"/>
      <c r="M411" s="17"/>
      <c r="N411" s="44" t="str">
        <f aca="false">IF(OR(D411="",A411="",COUNTIFS(Scoresheet!$C$2:$C$501,A411,Scoresheet!$U$2:$U$501,1)=0),"",SUMIFS(Scoresheet!$O$2:$O$501,Scoresheet!$C$2:$C$501,A411,Scoresheet!$U$2:$U$501,1))</f>
        <v/>
      </c>
      <c r="O411" s="44" t="str">
        <f aca="false">IF(D411="","",IF(OR(A411="",COUNTIFS(Scoresheet!$C$2:$C$501,A411,Scoresheet!$U$2:$U$501,1)=0),"No scoresheet yet",IF(SUMIFS(Scoresheet!$N$2:$N$501,Scoresheet!$C$2:$C$501,A411,Scoresheet!$U$2:$U$501,1)&lt;6,"Partly scored ("&amp;SUMIFS(Scoresheet!$N$2:$N$501,Scoresheet!$C$2:$C$501,A411,Scoresheet!$U$2:$U$501,1)&amp;"/6)",IF(N411&gt;=Settings!$S$8,"Hot",IF(N411&gt;=Settings!$S$9,"Warm","Cold")))))</f>
        <v/>
      </c>
      <c r="P411" s="44" t="str">
        <f aca="false">IF(OR(D411="",A411=""),"",IF(AND(COUNTIFS(Scoresheet!$C$2:$C$501,A411,Scoresheet!$U$2:$U$501,1,Scoresheet!$H$2:$H$501,"No")&gt;0,COUNTIFS(Scoresheet!$C$2:$C$501,A411,Scoresheet!$U$2:$U$501,1,Scoresheet!$J$2:$J$501,"No")&gt;0),"🚩 Budget  ·  🚩 No one on camera",IF(COUNTIFS(Scoresheet!$C$2:$C$501,A411,Scoresheet!$U$2:$U$501,1,Scoresheet!$H$2:$H$501,"No")&gt;0,"🚩 Budget under AED 5k",IF(COUNTIFS(Scoresheet!$C$2:$C$501,A411,Scoresheet!$U$2:$U$501,1,Scoresheet!$J$2:$J$501,"No")&gt;0,"🚩 No one on camera",""))))</f>
        <v/>
      </c>
      <c r="Q411" s="17"/>
      <c r="R411" s="17"/>
      <c r="S411" s="40"/>
      <c r="T411" s="17"/>
      <c r="U411" s="45" t="str">
        <f aca="false">IF(OR(D411="",S411="",OR(R411="Contract signed + paid",R411="Closed – No response",R411="Lost"),N(T411)&gt;=Settings!$S$3),"",S411+Settings!$S$2)</f>
        <v/>
      </c>
      <c r="V411" s="40"/>
      <c r="W411" s="41"/>
      <c r="X411" s="17"/>
      <c r="Y411" s="17"/>
      <c r="Z411" s="17"/>
      <c r="AA411" s="46" t="str">
        <f aca="true">IF(OR(D411="",B411=""),"",INT(TODAY()-B411))</f>
        <v/>
      </c>
      <c r="AB411" s="44" t="str">
        <f aca="true">IF(D411="","",IF(OR(COUNTIFS(Clients!$C$2:$C$501,D411,Clients!$S$2:$S$501,"Paid")&gt;0,AND(H411&lt;&gt;"",COUNTIFS(Clients!$E$2:$E$501,H411,Clients!$S$2:$S$501,"Paid")&gt;0)),"⚠ Refunded before – no free video",IF(OR(R411="Contract signed + paid",R411="Closed – No response",R411="Lost"),"",IF(R411="","Set a stage",IF(AND(R411="Proposal sent",SUMIFS(Scoresheet!$N$2:$N$501,Scoresheet!$C$2:$C$501,A411,Scoresheet!$U$2:$U$501,1)&lt;6),"Score this lead – fill the call scoresheet",IF(N(T411)&gt;=Settings!$S$3,"Close – 4 follow-ups sent",IF(U411="",IF(S411="","Make first contact",""),IF(TODAY()&gt;U411,"OVERDUE follow-up",IF(TODAY()=U411,"Follow up today","")))))))))</f>
        <v/>
      </c>
    </row>
    <row r="412" customFormat="false" ht="15" hidden="false" customHeight="false" outlineLevel="0" collapsed="false">
      <c r="A412" s="17"/>
      <c r="B412" s="40"/>
      <c r="C412" s="17"/>
      <c r="D412" s="17"/>
      <c r="E412" s="17"/>
      <c r="F412" s="17"/>
      <c r="G412" s="17"/>
      <c r="H412" s="42"/>
      <c r="I412" s="17"/>
      <c r="J412" s="17"/>
      <c r="K412" s="17"/>
      <c r="L412" s="17"/>
      <c r="M412" s="17"/>
      <c r="N412" s="44" t="str">
        <f aca="false">IF(OR(D412="",A412="",COUNTIFS(Scoresheet!$C$2:$C$501,A412,Scoresheet!$U$2:$U$501,1)=0),"",SUMIFS(Scoresheet!$O$2:$O$501,Scoresheet!$C$2:$C$501,A412,Scoresheet!$U$2:$U$501,1))</f>
        <v/>
      </c>
      <c r="O412" s="44" t="str">
        <f aca="false">IF(D412="","",IF(OR(A412="",COUNTIFS(Scoresheet!$C$2:$C$501,A412,Scoresheet!$U$2:$U$501,1)=0),"No scoresheet yet",IF(SUMIFS(Scoresheet!$N$2:$N$501,Scoresheet!$C$2:$C$501,A412,Scoresheet!$U$2:$U$501,1)&lt;6,"Partly scored ("&amp;SUMIFS(Scoresheet!$N$2:$N$501,Scoresheet!$C$2:$C$501,A412,Scoresheet!$U$2:$U$501,1)&amp;"/6)",IF(N412&gt;=Settings!$S$8,"Hot",IF(N412&gt;=Settings!$S$9,"Warm","Cold")))))</f>
        <v/>
      </c>
      <c r="P412" s="44" t="str">
        <f aca="false">IF(OR(D412="",A412=""),"",IF(AND(COUNTIFS(Scoresheet!$C$2:$C$501,A412,Scoresheet!$U$2:$U$501,1,Scoresheet!$H$2:$H$501,"No")&gt;0,COUNTIFS(Scoresheet!$C$2:$C$501,A412,Scoresheet!$U$2:$U$501,1,Scoresheet!$J$2:$J$501,"No")&gt;0),"🚩 Budget  ·  🚩 No one on camera",IF(COUNTIFS(Scoresheet!$C$2:$C$501,A412,Scoresheet!$U$2:$U$501,1,Scoresheet!$H$2:$H$501,"No")&gt;0,"🚩 Budget under AED 5k",IF(COUNTIFS(Scoresheet!$C$2:$C$501,A412,Scoresheet!$U$2:$U$501,1,Scoresheet!$J$2:$J$501,"No")&gt;0,"🚩 No one on camera",""))))</f>
        <v/>
      </c>
      <c r="Q412" s="17"/>
      <c r="R412" s="17"/>
      <c r="S412" s="40"/>
      <c r="T412" s="17"/>
      <c r="U412" s="45" t="str">
        <f aca="false">IF(OR(D412="",S412="",OR(R412="Contract signed + paid",R412="Closed – No response",R412="Lost"),N(T412)&gt;=Settings!$S$3),"",S412+Settings!$S$2)</f>
        <v/>
      </c>
      <c r="V412" s="40"/>
      <c r="W412" s="41"/>
      <c r="X412" s="17"/>
      <c r="Y412" s="17"/>
      <c r="Z412" s="17"/>
      <c r="AA412" s="46" t="str">
        <f aca="true">IF(OR(D412="",B412=""),"",INT(TODAY()-B412))</f>
        <v/>
      </c>
      <c r="AB412" s="44" t="str">
        <f aca="true">IF(D412="","",IF(OR(COUNTIFS(Clients!$C$2:$C$501,D412,Clients!$S$2:$S$501,"Paid")&gt;0,AND(H412&lt;&gt;"",COUNTIFS(Clients!$E$2:$E$501,H412,Clients!$S$2:$S$501,"Paid")&gt;0)),"⚠ Refunded before – no free video",IF(OR(R412="Contract signed + paid",R412="Closed – No response",R412="Lost"),"",IF(R412="","Set a stage",IF(AND(R412="Proposal sent",SUMIFS(Scoresheet!$N$2:$N$501,Scoresheet!$C$2:$C$501,A412,Scoresheet!$U$2:$U$501,1)&lt;6),"Score this lead – fill the call scoresheet",IF(N(T412)&gt;=Settings!$S$3,"Close – 4 follow-ups sent",IF(U412="",IF(S412="","Make first contact",""),IF(TODAY()&gt;U412,"OVERDUE follow-up",IF(TODAY()=U412,"Follow up today","")))))))))</f>
        <v/>
      </c>
    </row>
    <row r="413" customFormat="false" ht="15" hidden="false" customHeight="false" outlineLevel="0" collapsed="false">
      <c r="A413" s="17"/>
      <c r="B413" s="40"/>
      <c r="C413" s="17"/>
      <c r="D413" s="17"/>
      <c r="E413" s="17"/>
      <c r="F413" s="17"/>
      <c r="G413" s="17"/>
      <c r="H413" s="42"/>
      <c r="I413" s="17"/>
      <c r="J413" s="17"/>
      <c r="K413" s="17"/>
      <c r="L413" s="17"/>
      <c r="M413" s="17"/>
      <c r="N413" s="44" t="str">
        <f aca="false">IF(OR(D413="",A413="",COUNTIFS(Scoresheet!$C$2:$C$501,A413,Scoresheet!$U$2:$U$501,1)=0),"",SUMIFS(Scoresheet!$O$2:$O$501,Scoresheet!$C$2:$C$501,A413,Scoresheet!$U$2:$U$501,1))</f>
        <v/>
      </c>
      <c r="O413" s="44" t="str">
        <f aca="false">IF(D413="","",IF(OR(A413="",COUNTIFS(Scoresheet!$C$2:$C$501,A413,Scoresheet!$U$2:$U$501,1)=0),"No scoresheet yet",IF(SUMIFS(Scoresheet!$N$2:$N$501,Scoresheet!$C$2:$C$501,A413,Scoresheet!$U$2:$U$501,1)&lt;6,"Partly scored ("&amp;SUMIFS(Scoresheet!$N$2:$N$501,Scoresheet!$C$2:$C$501,A413,Scoresheet!$U$2:$U$501,1)&amp;"/6)",IF(N413&gt;=Settings!$S$8,"Hot",IF(N413&gt;=Settings!$S$9,"Warm","Cold")))))</f>
        <v/>
      </c>
      <c r="P413" s="44" t="str">
        <f aca="false">IF(OR(D413="",A413=""),"",IF(AND(COUNTIFS(Scoresheet!$C$2:$C$501,A413,Scoresheet!$U$2:$U$501,1,Scoresheet!$H$2:$H$501,"No")&gt;0,COUNTIFS(Scoresheet!$C$2:$C$501,A413,Scoresheet!$U$2:$U$501,1,Scoresheet!$J$2:$J$501,"No")&gt;0),"🚩 Budget  ·  🚩 No one on camera",IF(COUNTIFS(Scoresheet!$C$2:$C$501,A413,Scoresheet!$U$2:$U$501,1,Scoresheet!$H$2:$H$501,"No")&gt;0,"🚩 Budget under AED 5k",IF(COUNTIFS(Scoresheet!$C$2:$C$501,A413,Scoresheet!$U$2:$U$501,1,Scoresheet!$J$2:$J$501,"No")&gt;0,"🚩 No one on camera",""))))</f>
        <v/>
      </c>
      <c r="Q413" s="17"/>
      <c r="R413" s="17"/>
      <c r="S413" s="40"/>
      <c r="T413" s="17"/>
      <c r="U413" s="45" t="str">
        <f aca="false">IF(OR(D413="",S413="",OR(R413="Contract signed + paid",R413="Closed – No response",R413="Lost"),N(T413)&gt;=Settings!$S$3),"",S413+Settings!$S$2)</f>
        <v/>
      </c>
      <c r="V413" s="40"/>
      <c r="W413" s="41"/>
      <c r="X413" s="17"/>
      <c r="Y413" s="17"/>
      <c r="Z413" s="17"/>
      <c r="AA413" s="46" t="str">
        <f aca="true">IF(OR(D413="",B413=""),"",INT(TODAY()-B413))</f>
        <v/>
      </c>
      <c r="AB413" s="44" t="str">
        <f aca="true">IF(D413="","",IF(OR(COUNTIFS(Clients!$C$2:$C$501,D413,Clients!$S$2:$S$501,"Paid")&gt;0,AND(H413&lt;&gt;"",COUNTIFS(Clients!$E$2:$E$501,H413,Clients!$S$2:$S$501,"Paid")&gt;0)),"⚠ Refunded before – no free video",IF(OR(R413="Contract signed + paid",R413="Closed – No response",R413="Lost"),"",IF(R413="","Set a stage",IF(AND(R413="Proposal sent",SUMIFS(Scoresheet!$N$2:$N$501,Scoresheet!$C$2:$C$501,A413,Scoresheet!$U$2:$U$501,1)&lt;6),"Score this lead – fill the call scoresheet",IF(N(T413)&gt;=Settings!$S$3,"Close – 4 follow-ups sent",IF(U413="",IF(S413="","Make first contact",""),IF(TODAY()&gt;U413,"OVERDUE follow-up",IF(TODAY()=U413,"Follow up today","")))))))))</f>
        <v/>
      </c>
    </row>
    <row r="414" customFormat="false" ht="15" hidden="false" customHeight="false" outlineLevel="0" collapsed="false">
      <c r="A414" s="17"/>
      <c r="B414" s="40"/>
      <c r="C414" s="17"/>
      <c r="D414" s="17"/>
      <c r="E414" s="17"/>
      <c r="F414" s="17"/>
      <c r="G414" s="17"/>
      <c r="H414" s="42"/>
      <c r="I414" s="17"/>
      <c r="J414" s="17"/>
      <c r="K414" s="17"/>
      <c r="L414" s="17"/>
      <c r="M414" s="17"/>
      <c r="N414" s="44" t="str">
        <f aca="false">IF(OR(D414="",A414="",COUNTIFS(Scoresheet!$C$2:$C$501,A414,Scoresheet!$U$2:$U$501,1)=0),"",SUMIFS(Scoresheet!$O$2:$O$501,Scoresheet!$C$2:$C$501,A414,Scoresheet!$U$2:$U$501,1))</f>
        <v/>
      </c>
      <c r="O414" s="44" t="str">
        <f aca="false">IF(D414="","",IF(OR(A414="",COUNTIFS(Scoresheet!$C$2:$C$501,A414,Scoresheet!$U$2:$U$501,1)=0),"No scoresheet yet",IF(SUMIFS(Scoresheet!$N$2:$N$501,Scoresheet!$C$2:$C$501,A414,Scoresheet!$U$2:$U$501,1)&lt;6,"Partly scored ("&amp;SUMIFS(Scoresheet!$N$2:$N$501,Scoresheet!$C$2:$C$501,A414,Scoresheet!$U$2:$U$501,1)&amp;"/6)",IF(N414&gt;=Settings!$S$8,"Hot",IF(N414&gt;=Settings!$S$9,"Warm","Cold")))))</f>
        <v/>
      </c>
      <c r="P414" s="44" t="str">
        <f aca="false">IF(OR(D414="",A414=""),"",IF(AND(COUNTIFS(Scoresheet!$C$2:$C$501,A414,Scoresheet!$U$2:$U$501,1,Scoresheet!$H$2:$H$501,"No")&gt;0,COUNTIFS(Scoresheet!$C$2:$C$501,A414,Scoresheet!$U$2:$U$501,1,Scoresheet!$J$2:$J$501,"No")&gt;0),"🚩 Budget  ·  🚩 No one on camera",IF(COUNTIFS(Scoresheet!$C$2:$C$501,A414,Scoresheet!$U$2:$U$501,1,Scoresheet!$H$2:$H$501,"No")&gt;0,"🚩 Budget under AED 5k",IF(COUNTIFS(Scoresheet!$C$2:$C$501,A414,Scoresheet!$U$2:$U$501,1,Scoresheet!$J$2:$J$501,"No")&gt;0,"🚩 No one on camera",""))))</f>
        <v/>
      </c>
      <c r="Q414" s="17"/>
      <c r="R414" s="17"/>
      <c r="S414" s="40"/>
      <c r="T414" s="17"/>
      <c r="U414" s="45" t="str">
        <f aca="false">IF(OR(D414="",S414="",OR(R414="Contract signed + paid",R414="Closed – No response",R414="Lost"),N(T414)&gt;=Settings!$S$3),"",S414+Settings!$S$2)</f>
        <v/>
      </c>
      <c r="V414" s="40"/>
      <c r="W414" s="41"/>
      <c r="X414" s="17"/>
      <c r="Y414" s="17"/>
      <c r="Z414" s="17"/>
      <c r="AA414" s="46" t="str">
        <f aca="true">IF(OR(D414="",B414=""),"",INT(TODAY()-B414))</f>
        <v/>
      </c>
      <c r="AB414" s="44" t="str">
        <f aca="true">IF(D414="","",IF(OR(COUNTIFS(Clients!$C$2:$C$501,D414,Clients!$S$2:$S$501,"Paid")&gt;0,AND(H414&lt;&gt;"",COUNTIFS(Clients!$E$2:$E$501,H414,Clients!$S$2:$S$501,"Paid")&gt;0)),"⚠ Refunded before – no free video",IF(OR(R414="Contract signed + paid",R414="Closed – No response",R414="Lost"),"",IF(R414="","Set a stage",IF(AND(R414="Proposal sent",SUMIFS(Scoresheet!$N$2:$N$501,Scoresheet!$C$2:$C$501,A414,Scoresheet!$U$2:$U$501,1)&lt;6),"Score this lead – fill the call scoresheet",IF(N(T414)&gt;=Settings!$S$3,"Close – 4 follow-ups sent",IF(U414="",IF(S414="","Make first contact",""),IF(TODAY()&gt;U414,"OVERDUE follow-up",IF(TODAY()=U414,"Follow up today","")))))))))</f>
        <v/>
      </c>
    </row>
    <row r="415" customFormat="false" ht="15" hidden="false" customHeight="false" outlineLevel="0" collapsed="false">
      <c r="A415" s="17"/>
      <c r="B415" s="40"/>
      <c r="C415" s="17"/>
      <c r="D415" s="17"/>
      <c r="E415" s="17"/>
      <c r="F415" s="17"/>
      <c r="G415" s="17"/>
      <c r="H415" s="42"/>
      <c r="I415" s="17"/>
      <c r="J415" s="17"/>
      <c r="K415" s="17"/>
      <c r="L415" s="17"/>
      <c r="M415" s="17"/>
      <c r="N415" s="44" t="str">
        <f aca="false">IF(OR(D415="",A415="",COUNTIFS(Scoresheet!$C$2:$C$501,A415,Scoresheet!$U$2:$U$501,1)=0),"",SUMIFS(Scoresheet!$O$2:$O$501,Scoresheet!$C$2:$C$501,A415,Scoresheet!$U$2:$U$501,1))</f>
        <v/>
      </c>
      <c r="O415" s="44" t="str">
        <f aca="false">IF(D415="","",IF(OR(A415="",COUNTIFS(Scoresheet!$C$2:$C$501,A415,Scoresheet!$U$2:$U$501,1)=0),"No scoresheet yet",IF(SUMIFS(Scoresheet!$N$2:$N$501,Scoresheet!$C$2:$C$501,A415,Scoresheet!$U$2:$U$501,1)&lt;6,"Partly scored ("&amp;SUMIFS(Scoresheet!$N$2:$N$501,Scoresheet!$C$2:$C$501,A415,Scoresheet!$U$2:$U$501,1)&amp;"/6)",IF(N415&gt;=Settings!$S$8,"Hot",IF(N415&gt;=Settings!$S$9,"Warm","Cold")))))</f>
        <v/>
      </c>
      <c r="P415" s="44" t="str">
        <f aca="false">IF(OR(D415="",A415=""),"",IF(AND(COUNTIFS(Scoresheet!$C$2:$C$501,A415,Scoresheet!$U$2:$U$501,1,Scoresheet!$H$2:$H$501,"No")&gt;0,COUNTIFS(Scoresheet!$C$2:$C$501,A415,Scoresheet!$U$2:$U$501,1,Scoresheet!$J$2:$J$501,"No")&gt;0),"🚩 Budget  ·  🚩 No one on camera",IF(COUNTIFS(Scoresheet!$C$2:$C$501,A415,Scoresheet!$U$2:$U$501,1,Scoresheet!$H$2:$H$501,"No")&gt;0,"🚩 Budget under AED 5k",IF(COUNTIFS(Scoresheet!$C$2:$C$501,A415,Scoresheet!$U$2:$U$501,1,Scoresheet!$J$2:$J$501,"No")&gt;0,"🚩 No one on camera",""))))</f>
        <v/>
      </c>
      <c r="Q415" s="17"/>
      <c r="R415" s="17"/>
      <c r="S415" s="40"/>
      <c r="T415" s="17"/>
      <c r="U415" s="45" t="str">
        <f aca="false">IF(OR(D415="",S415="",OR(R415="Contract signed + paid",R415="Closed – No response",R415="Lost"),N(T415)&gt;=Settings!$S$3),"",S415+Settings!$S$2)</f>
        <v/>
      </c>
      <c r="V415" s="40"/>
      <c r="W415" s="41"/>
      <c r="X415" s="17"/>
      <c r="Y415" s="17"/>
      <c r="Z415" s="17"/>
      <c r="AA415" s="46" t="str">
        <f aca="true">IF(OR(D415="",B415=""),"",INT(TODAY()-B415))</f>
        <v/>
      </c>
      <c r="AB415" s="44" t="str">
        <f aca="true">IF(D415="","",IF(OR(COUNTIFS(Clients!$C$2:$C$501,D415,Clients!$S$2:$S$501,"Paid")&gt;0,AND(H415&lt;&gt;"",COUNTIFS(Clients!$E$2:$E$501,H415,Clients!$S$2:$S$501,"Paid")&gt;0)),"⚠ Refunded before – no free video",IF(OR(R415="Contract signed + paid",R415="Closed – No response",R415="Lost"),"",IF(R415="","Set a stage",IF(AND(R415="Proposal sent",SUMIFS(Scoresheet!$N$2:$N$501,Scoresheet!$C$2:$C$501,A415,Scoresheet!$U$2:$U$501,1)&lt;6),"Score this lead – fill the call scoresheet",IF(N(T415)&gt;=Settings!$S$3,"Close – 4 follow-ups sent",IF(U415="",IF(S415="","Make first contact",""),IF(TODAY()&gt;U415,"OVERDUE follow-up",IF(TODAY()=U415,"Follow up today","")))))))))</f>
        <v/>
      </c>
    </row>
    <row r="416" customFormat="false" ht="15" hidden="false" customHeight="false" outlineLevel="0" collapsed="false">
      <c r="A416" s="17"/>
      <c r="B416" s="40"/>
      <c r="C416" s="17"/>
      <c r="D416" s="17"/>
      <c r="E416" s="17"/>
      <c r="F416" s="17"/>
      <c r="G416" s="17"/>
      <c r="H416" s="42"/>
      <c r="I416" s="17"/>
      <c r="J416" s="17"/>
      <c r="K416" s="17"/>
      <c r="L416" s="17"/>
      <c r="M416" s="17"/>
      <c r="N416" s="44" t="str">
        <f aca="false">IF(OR(D416="",A416="",COUNTIFS(Scoresheet!$C$2:$C$501,A416,Scoresheet!$U$2:$U$501,1)=0),"",SUMIFS(Scoresheet!$O$2:$O$501,Scoresheet!$C$2:$C$501,A416,Scoresheet!$U$2:$U$501,1))</f>
        <v/>
      </c>
      <c r="O416" s="44" t="str">
        <f aca="false">IF(D416="","",IF(OR(A416="",COUNTIFS(Scoresheet!$C$2:$C$501,A416,Scoresheet!$U$2:$U$501,1)=0),"No scoresheet yet",IF(SUMIFS(Scoresheet!$N$2:$N$501,Scoresheet!$C$2:$C$501,A416,Scoresheet!$U$2:$U$501,1)&lt;6,"Partly scored ("&amp;SUMIFS(Scoresheet!$N$2:$N$501,Scoresheet!$C$2:$C$501,A416,Scoresheet!$U$2:$U$501,1)&amp;"/6)",IF(N416&gt;=Settings!$S$8,"Hot",IF(N416&gt;=Settings!$S$9,"Warm","Cold")))))</f>
        <v/>
      </c>
      <c r="P416" s="44" t="str">
        <f aca="false">IF(OR(D416="",A416=""),"",IF(AND(COUNTIFS(Scoresheet!$C$2:$C$501,A416,Scoresheet!$U$2:$U$501,1,Scoresheet!$H$2:$H$501,"No")&gt;0,COUNTIFS(Scoresheet!$C$2:$C$501,A416,Scoresheet!$U$2:$U$501,1,Scoresheet!$J$2:$J$501,"No")&gt;0),"🚩 Budget  ·  🚩 No one on camera",IF(COUNTIFS(Scoresheet!$C$2:$C$501,A416,Scoresheet!$U$2:$U$501,1,Scoresheet!$H$2:$H$501,"No")&gt;0,"🚩 Budget under AED 5k",IF(COUNTIFS(Scoresheet!$C$2:$C$501,A416,Scoresheet!$U$2:$U$501,1,Scoresheet!$J$2:$J$501,"No")&gt;0,"🚩 No one on camera",""))))</f>
        <v/>
      </c>
      <c r="Q416" s="17"/>
      <c r="R416" s="17"/>
      <c r="S416" s="40"/>
      <c r="T416" s="17"/>
      <c r="U416" s="45" t="str">
        <f aca="false">IF(OR(D416="",S416="",OR(R416="Contract signed + paid",R416="Closed – No response",R416="Lost"),N(T416)&gt;=Settings!$S$3),"",S416+Settings!$S$2)</f>
        <v/>
      </c>
      <c r="V416" s="40"/>
      <c r="W416" s="41"/>
      <c r="X416" s="17"/>
      <c r="Y416" s="17"/>
      <c r="Z416" s="17"/>
      <c r="AA416" s="46" t="str">
        <f aca="true">IF(OR(D416="",B416=""),"",INT(TODAY()-B416))</f>
        <v/>
      </c>
      <c r="AB416" s="44" t="str">
        <f aca="true">IF(D416="","",IF(OR(COUNTIFS(Clients!$C$2:$C$501,D416,Clients!$S$2:$S$501,"Paid")&gt;0,AND(H416&lt;&gt;"",COUNTIFS(Clients!$E$2:$E$501,H416,Clients!$S$2:$S$501,"Paid")&gt;0)),"⚠ Refunded before – no free video",IF(OR(R416="Contract signed + paid",R416="Closed – No response",R416="Lost"),"",IF(R416="","Set a stage",IF(AND(R416="Proposal sent",SUMIFS(Scoresheet!$N$2:$N$501,Scoresheet!$C$2:$C$501,A416,Scoresheet!$U$2:$U$501,1)&lt;6),"Score this lead – fill the call scoresheet",IF(N(T416)&gt;=Settings!$S$3,"Close – 4 follow-ups sent",IF(U416="",IF(S416="","Make first contact",""),IF(TODAY()&gt;U416,"OVERDUE follow-up",IF(TODAY()=U416,"Follow up today","")))))))))</f>
        <v/>
      </c>
    </row>
    <row r="417" customFormat="false" ht="15" hidden="false" customHeight="false" outlineLevel="0" collapsed="false">
      <c r="A417" s="17"/>
      <c r="B417" s="40"/>
      <c r="C417" s="17"/>
      <c r="D417" s="17"/>
      <c r="E417" s="17"/>
      <c r="F417" s="17"/>
      <c r="G417" s="17"/>
      <c r="H417" s="42"/>
      <c r="I417" s="17"/>
      <c r="J417" s="17"/>
      <c r="K417" s="17"/>
      <c r="L417" s="17"/>
      <c r="M417" s="17"/>
      <c r="N417" s="44" t="str">
        <f aca="false">IF(OR(D417="",A417="",COUNTIFS(Scoresheet!$C$2:$C$501,A417,Scoresheet!$U$2:$U$501,1)=0),"",SUMIFS(Scoresheet!$O$2:$O$501,Scoresheet!$C$2:$C$501,A417,Scoresheet!$U$2:$U$501,1))</f>
        <v/>
      </c>
      <c r="O417" s="44" t="str">
        <f aca="false">IF(D417="","",IF(OR(A417="",COUNTIFS(Scoresheet!$C$2:$C$501,A417,Scoresheet!$U$2:$U$501,1)=0),"No scoresheet yet",IF(SUMIFS(Scoresheet!$N$2:$N$501,Scoresheet!$C$2:$C$501,A417,Scoresheet!$U$2:$U$501,1)&lt;6,"Partly scored ("&amp;SUMIFS(Scoresheet!$N$2:$N$501,Scoresheet!$C$2:$C$501,A417,Scoresheet!$U$2:$U$501,1)&amp;"/6)",IF(N417&gt;=Settings!$S$8,"Hot",IF(N417&gt;=Settings!$S$9,"Warm","Cold")))))</f>
        <v/>
      </c>
      <c r="P417" s="44" t="str">
        <f aca="false">IF(OR(D417="",A417=""),"",IF(AND(COUNTIFS(Scoresheet!$C$2:$C$501,A417,Scoresheet!$U$2:$U$501,1,Scoresheet!$H$2:$H$501,"No")&gt;0,COUNTIFS(Scoresheet!$C$2:$C$501,A417,Scoresheet!$U$2:$U$501,1,Scoresheet!$J$2:$J$501,"No")&gt;0),"🚩 Budget  ·  🚩 No one on camera",IF(COUNTIFS(Scoresheet!$C$2:$C$501,A417,Scoresheet!$U$2:$U$501,1,Scoresheet!$H$2:$H$501,"No")&gt;0,"🚩 Budget under AED 5k",IF(COUNTIFS(Scoresheet!$C$2:$C$501,A417,Scoresheet!$U$2:$U$501,1,Scoresheet!$J$2:$J$501,"No")&gt;0,"🚩 No one on camera",""))))</f>
        <v/>
      </c>
      <c r="Q417" s="17"/>
      <c r="R417" s="17"/>
      <c r="S417" s="40"/>
      <c r="T417" s="17"/>
      <c r="U417" s="45" t="str">
        <f aca="false">IF(OR(D417="",S417="",OR(R417="Contract signed + paid",R417="Closed – No response",R417="Lost"),N(T417)&gt;=Settings!$S$3),"",S417+Settings!$S$2)</f>
        <v/>
      </c>
      <c r="V417" s="40"/>
      <c r="W417" s="41"/>
      <c r="X417" s="17"/>
      <c r="Y417" s="17"/>
      <c r="Z417" s="17"/>
      <c r="AA417" s="46" t="str">
        <f aca="true">IF(OR(D417="",B417=""),"",INT(TODAY()-B417))</f>
        <v/>
      </c>
      <c r="AB417" s="44" t="str">
        <f aca="true">IF(D417="","",IF(OR(COUNTIFS(Clients!$C$2:$C$501,D417,Clients!$S$2:$S$501,"Paid")&gt;0,AND(H417&lt;&gt;"",COUNTIFS(Clients!$E$2:$E$501,H417,Clients!$S$2:$S$501,"Paid")&gt;0)),"⚠ Refunded before – no free video",IF(OR(R417="Contract signed + paid",R417="Closed – No response",R417="Lost"),"",IF(R417="","Set a stage",IF(AND(R417="Proposal sent",SUMIFS(Scoresheet!$N$2:$N$501,Scoresheet!$C$2:$C$501,A417,Scoresheet!$U$2:$U$501,1)&lt;6),"Score this lead – fill the call scoresheet",IF(N(T417)&gt;=Settings!$S$3,"Close – 4 follow-ups sent",IF(U417="",IF(S417="","Make first contact",""),IF(TODAY()&gt;U417,"OVERDUE follow-up",IF(TODAY()=U417,"Follow up today","")))))))))</f>
        <v/>
      </c>
    </row>
    <row r="418" customFormat="false" ht="15" hidden="false" customHeight="false" outlineLevel="0" collapsed="false">
      <c r="A418" s="17"/>
      <c r="B418" s="40"/>
      <c r="C418" s="17"/>
      <c r="D418" s="17"/>
      <c r="E418" s="17"/>
      <c r="F418" s="17"/>
      <c r="G418" s="17"/>
      <c r="H418" s="42"/>
      <c r="I418" s="17"/>
      <c r="J418" s="17"/>
      <c r="K418" s="17"/>
      <c r="L418" s="17"/>
      <c r="M418" s="17"/>
      <c r="N418" s="44" t="str">
        <f aca="false">IF(OR(D418="",A418="",COUNTIFS(Scoresheet!$C$2:$C$501,A418,Scoresheet!$U$2:$U$501,1)=0),"",SUMIFS(Scoresheet!$O$2:$O$501,Scoresheet!$C$2:$C$501,A418,Scoresheet!$U$2:$U$501,1))</f>
        <v/>
      </c>
      <c r="O418" s="44" t="str">
        <f aca="false">IF(D418="","",IF(OR(A418="",COUNTIFS(Scoresheet!$C$2:$C$501,A418,Scoresheet!$U$2:$U$501,1)=0),"No scoresheet yet",IF(SUMIFS(Scoresheet!$N$2:$N$501,Scoresheet!$C$2:$C$501,A418,Scoresheet!$U$2:$U$501,1)&lt;6,"Partly scored ("&amp;SUMIFS(Scoresheet!$N$2:$N$501,Scoresheet!$C$2:$C$501,A418,Scoresheet!$U$2:$U$501,1)&amp;"/6)",IF(N418&gt;=Settings!$S$8,"Hot",IF(N418&gt;=Settings!$S$9,"Warm","Cold")))))</f>
        <v/>
      </c>
      <c r="P418" s="44" t="str">
        <f aca="false">IF(OR(D418="",A418=""),"",IF(AND(COUNTIFS(Scoresheet!$C$2:$C$501,A418,Scoresheet!$U$2:$U$501,1,Scoresheet!$H$2:$H$501,"No")&gt;0,COUNTIFS(Scoresheet!$C$2:$C$501,A418,Scoresheet!$U$2:$U$501,1,Scoresheet!$J$2:$J$501,"No")&gt;0),"🚩 Budget  ·  🚩 No one on camera",IF(COUNTIFS(Scoresheet!$C$2:$C$501,A418,Scoresheet!$U$2:$U$501,1,Scoresheet!$H$2:$H$501,"No")&gt;0,"🚩 Budget under AED 5k",IF(COUNTIFS(Scoresheet!$C$2:$C$501,A418,Scoresheet!$U$2:$U$501,1,Scoresheet!$J$2:$J$501,"No")&gt;0,"🚩 No one on camera",""))))</f>
        <v/>
      </c>
      <c r="Q418" s="17"/>
      <c r="R418" s="17"/>
      <c r="S418" s="40"/>
      <c r="T418" s="17"/>
      <c r="U418" s="45" t="str">
        <f aca="false">IF(OR(D418="",S418="",OR(R418="Contract signed + paid",R418="Closed – No response",R418="Lost"),N(T418)&gt;=Settings!$S$3),"",S418+Settings!$S$2)</f>
        <v/>
      </c>
      <c r="V418" s="40"/>
      <c r="W418" s="41"/>
      <c r="X418" s="17"/>
      <c r="Y418" s="17"/>
      <c r="Z418" s="17"/>
      <c r="AA418" s="46" t="str">
        <f aca="true">IF(OR(D418="",B418=""),"",INT(TODAY()-B418))</f>
        <v/>
      </c>
      <c r="AB418" s="44" t="str">
        <f aca="true">IF(D418="","",IF(OR(COUNTIFS(Clients!$C$2:$C$501,D418,Clients!$S$2:$S$501,"Paid")&gt;0,AND(H418&lt;&gt;"",COUNTIFS(Clients!$E$2:$E$501,H418,Clients!$S$2:$S$501,"Paid")&gt;0)),"⚠ Refunded before – no free video",IF(OR(R418="Contract signed + paid",R418="Closed – No response",R418="Lost"),"",IF(R418="","Set a stage",IF(AND(R418="Proposal sent",SUMIFS(Scoresheet!$N$2:$N$501,Scoresheet!$C$2:$C$501,A418,Scoresheet!$U$2:$U$501,1)&lt;6),"Score this lead – fill the call scoresheet",IF(N(T418)&gt;=Settings!$S$3,"Close – 4 follow-ups sent",IF(U418="",IF(S418="","Make first contact",""),IF(TODAY()&gt;U418,"OVERDUE follow-up",IF(TODAY()=U418,"Follow up today","")))))))))</f>
        <v/>
      </c>
    </row>
    <row r="419" customFormat="false" ht="15" hidden="false" customHeight="false" outlineLevel="0" collapsed="false">
      <c r="A419" s="17"/>
      <c r="B419" s="40"/>
      <c r="C419" s="17"/>
      <c r="D419" s="17"/>
      <c r="E419" s="17"/>
      <c r="F419" s="17"/>
      <c r="G419" s="17"/>
      <c r="H419" s="42"/>
      <c r="I419" s="17"/>
      <c r="J419" s="17"/>
      <c r="K419" s="17"/>
      <c r="L419" s="17"/>
      <c r="M419" s="17"/>
      <c r="N419" s="44" t="str">
        <f aca="false">IF(OR(D419="",A419="",COUNTIFS(Scoresheet!$C$2:$C$501,A419,Scoresheet!$U$2:$U$501,1)=0),"",SUMIFS(Scoresheet!$O$2:$O$501,Scoresheet!$C$2:$C$501,A419,Scoresheet!$U$2:$U$501,1))</f>
        <v/>
      </c>
      <c r="O419" s="44" t="str">
        <f aca="false">IF(D419="","",IF(OR(A419="",COUNTIFS(Scoresheet!$C$2:$C$501,A419,Scoresheet!$U$2:$U$501,1)=0),"No scoresheet yet",IF(SUMIFS(Scoresheet!$N$2:$N$501,Scoresheet!$C$2:$C$501,A419,Scoresheet!$U$2:$U$501,1)&lt;6,"Partly scored ("&amp;SUMIFS(Scoresheet!$N$2:$N$501,Scoresheet!$C$2:$C$501,A419,Scoresheet!$U$2:$U$501,1)&amp;"/6)",IF(N419&gt;=Settings!$S$8,"Hot",IF(N419&gt;=Settings!$S$9,"Warm","Cold")))))</f>
        <v/>
      </c>
      <c r="P419" s="44" t="str">
        <f aca="false">IF(OR(D419="",A419=""),"",IF(AND(COUNTIFS(Scoresheet!$C$2:$C$501,A419,Scoresheet!$U$2:$U$501,1,Scoresheet!$H$2:$H$501,"No")&gt;0,COUNTIFS(Scoresheet!$C$2:$C$501,A419,Scoresheet!$U$2:$U$501,1,Scoresheet!$J$2:$J$501,"No")&gt;0),"🚩 Budget  ·  🚩 No one on camera",IF(COUNTIFS(Scoresheet!$C$2:$C$501,A419,Scoresheet!$U$2:$U$501,1,Scoresheet!$H$2:$H$501,"No")&gt;0,"🚩 Budget under AED 5k",IF(COUNTIFS(Scoresheet!$C$2:$C$501,A419,Scoresheet!$U$2:$U$501,1,Scoresheet!$J$2:$J$501,"No")&gt;0,"🚩 No one on camera",""))))</f>
        <v/>
      </c>
      <c r="Q419" s="17"/>
      <c r="R419" s="17"/>
      <c r="S419" s="40"/>
      <c r="T419" s="17"/>
      <c r="U419" s="45" t="str">
        <f aca="false">IF(OR(D419="",S419="",OR(R419="Contract signed + paid",R419="Closed – No response",R419="Lost"),N(T419)&gt;=Settings!$S$3),"",S419+Settings!$S$2)</f>
        <v/>
      </c>
      <c r="V419" s="40"/>
      <c r="W419" s="41"/>
      <c r="X419" s="17"/>
      <c r="Y419" s="17"/>
      <c r="Z419" s="17"/>
      <c r="AA419" s="46" t="str">
        <f aca="true">IF(OR(D419="",B419=""),"",INT(TODAY()-B419))</f>
        <v/>
      </c>
      <c r="AB419" s="44" t="str">
        <f aca="true">IF(D419="","",IF(OR(COUNTIFS(Clients!$C$2:$C$501,D419,Clients!$S$2:$S$501,"Paid")&gt;0,AND(H419&lt;&gt;"",COUNTIFS(Clients!$E$2:$E$501,H419,Clients!$S$2:$S$501,"Paid")&gt;0)),"⚠ Refunded before – no free video",IF(OR(R419="Contract signed + paid",R419="Closed – No response",R419="Lost"),"",IF(R419="","Set a stage",IF(AND(R419="Proposal sent",SUMIFS(Scoresheet!$N$2:$N$501,Scoresheet!$C$2:$C$501,A419,Scoresheet!$U$2:$U$501,1)&lt;6),"Score this lead – fill the call scoresheet",IF(N(T419)&gt;=Settings!$S$3,"Close – 4 follow-ups sent",IF(U419="",IF(S419="","Make first contact",""),IF(TODAY()&gt;U419,"OVERDUE follow-up",IF(TODAY()=U419,"Follow up today","")))))))))</f>
        <v/>
      </c>
    </row>
    <row r="420" customFormat="false" ht="15" hidden="false" customHeight="false" outlineLevel="0" collapsed="false">
      <c r="A420" s="17"/>
      <c r="B420" s="40"/>
      <c r="C420" s="17"/>
      <c r="D420" s="17"/>
      <c r="E420" s="17"/>
      <c r="F420" s="17"/>
      <c r="G420" s="17"/>
      <c r="H420" s="42"/>
      <c r="I420" s="17"/>
      <c r="J420" s="17"/>
      <c r="K420" s="17"/>
      <c r="L420" s="17"/>
      <c r="M420" s="17"/>
      <c r="N420" s="44" t="str">
        <f aca="false">IF(OR(D420="",A420="",COUNTIFS(Scoresheet!$C$2:$C$501,A420,Scoresheet!$U$2:$U$501,1)=0),"",SUMIFS(Scoresheet!$O$2:$O$501,Scoresheet!$C$2:$C$501,A420,Scoresheet!$U$2:$U$501,1))</f>
        <v/>
      </c>
      <c r="O420" s="44" t="str">
        <f aca="false">IF(D420="","",IF(OR(A420="",COUNTIFS(Scoresheet!$C$2:$C$501,A420,Scoresheet!$U$2:$U$501,1)=0),"No scoresheet yet",IF(SUMIFS(Scoresheet!$N$2:$N$501,Scoresheet!$C$2:$C$501,A420,Scoresheet!$U$2:$U$501,1)&lt;6,"Partly scored ("&amp;SUMIFS(Scoresheet!$N$2:$N$501,Scoresheet!$C$2:$C$501,A420,Scoresheet!$U$2:$U$501,1)&amp;"/6)",IF(N420&gt;=Settings!$S$8,"Hot",IF(N420&gt;=Settings!$S$9,"Warm","Cold")))))</f>
        <v/>
      </c>
      <c r="P420" s="44" t="str">
        <f aca="false">IF(OR(D420="",A420=""),"",IF(AND(COUNTIFS(Scoresheet!$C$2:$C$501,A420,Scoresheet!$U$2:$U$501,1,Scoresheet!$H$2:$H$501,"No")&gt;0,COUNTIFS(Scoresheet!$C$2:$C$501,A420,Scoresheet!$U$2:$U$501,1,Scoresheet!$J$2:$J$501,"No")&gt;0),"🚩 Budget  ·  🚩 No one on camera",IF(COUNTIFS(Scoresheet!$C$2:$C$501,A420,Scoresheet!$U$2:$U$501,1,Scoresheet!$H$2:$H$501,"No")&gt;0,"🚩 Budget under AED 5k",IF(COUNTIFS(Scoresheet!$C$2:$C$501,A420,Scoresheet!$U$2:$U$501,1,Scoresheet!$J$2:$J$501,"No")&gt;0,"🚩 No one on camera",""))))</f>
        <v/>
      </c>
      <c r="Q420" s="17"/>
      <c r="R420" s="17"/>
      <c r="S420" s="40"/>
      <c r="T420" s="17"/>
      <c r="U420" s="45" t="str">
        <f aca="false">IF(OR(D420="",S420="",OR(R420="Contract signed + paid",R420="Closed – No response",R420="Lost"),N(T420)&gt;=Settings!$S$3),"",S420+Settings!$S$2)</f>
        <v/>
      </c>
      <c r="V420" s="40"/>
      <c r="W420" s="41"/>
      <c r="X420" s="17"/>
      <c r="Y420" s="17"/>
      <c r="Z420" s="17"/>
      <c r="AA420" s="46" t="str">
        <f aca="true">IF(OR(D420="",B420=""),"",INT(TODAY()-B420))</f>
        <v/>
      </c>
      <c r="AB420" s="44" t="str">
        <f aca="true">IF(D420="","",IF(OR(COUNTIFS(Clients!$C$2:$C$501,D420,Clients!$S$2:$S$501,"Paid")&gt;0,AND(H420&lt;&gt;"",COUNTIFS(Clients!$E$2:$E$501,H420,Clients!$S$2:$S$501,"Paid")&gt;0)),"⚠ Refunded before – no free video",IF(OR(R420="Contract signed + paid",R420="Closed – No response",R420="Lost"),"",IF(R420="","Set a stage",IF(AND(R420="Proposal sent",SUMIFS(Scoresheet!$N$2:$N$501,Scoresheet!$C$2:$C$501,A420,Scoresheet!$U$2:$U$501,1)&lt;6),"Score this lead – fill the call scoresheet",IF(N(T420)&gt;=Settings!$S$3,"Close – 4 follow-ups sent",IF(U420="",IF(S420="","Make first contact",""),IF(TODAY()&gt;U420,"OVERDUE follow-up",IF(TODAY()=U420,"Follow up today","")))))))))</f>
        <v/>
      </c>
    </row>
    <row r="421" customFormat="false" ht="15" hidden="false" customHeight="false" outlineLevel="0" collapsed="false">
      <c r="A421" s="17"/>
      <c r="B421" s="40"/>
      <c r="C421" s="17"/>
      <c r="D421" s="17"/>
      <c r="E421" s="17"/>
      <c r="F421" s="17"/>
      <c r="G421" s="17"/>
      <c r="H421" s="42"/>
      <c r="I421" s="17"/>
      <c r="J421" s="17"/>
      <c r="K421" s="17"/>
      <c r="L421" s="17"/>
      <c r="M421" s="17"/>
      <c r="N421" s="44" t="str">
        <f aca="false">IF(OR(D421="",A421="",COUNTIFS(Scoresheet!$C$2:$C$501,A421,Scoresheet!$U$2:$U$501,1)=0),"",SUMIFS(Scoresheet!$O$2:$O$501,Scoresheet!$C$2:$C$501,A421,Scoresheet!$U$2:$U$501,1))</f>
        <v/>
      </c>
      <c r="O421" s="44" t="str">
        <f aca="false">IF(D421="","",IF(OR(A421="",COUNTIFS(Scoresheet!$C$2:$C$501,A421,Scoresheet!$U$2:$U$501,1)=0),"No scoresheet yet",IF(SUMIFS(Scoresheet!$N$2:$N$501,Scoresheet!$C$2:$C$501,A421,Scoresheet!$U$2:$U$501,1)&lt;6,"Partly scored ("&amp;SUMIFS(Scoresheet!$N$2:$N$501,Scoresheet!$C$2:$C$501,A421,Scoresheet!$U$2:$U$501,1)&amp;"/6)",IF(N421&gt;=Settings!$S$8,"Hot",IF(N421&gt;=Settings!$S$9,"Warm","Cold")))))</f>
        <v/>
      </c>
      <c r="P421" s="44" t="str">
        <f aca="false">IF(OR(D421="",A421=""),"",IF(AND(COUNTIFS(Scoresheet!$C$2:$C$501,A421,Scoresheet!$U$2:$U$501,1,Scoresheet!$H$2:$H$501,"No")&gt;0,COUNTIFS(Scoresheet!$C$2:$C$501,A421,Scoresheet!$U$2:$U$501,1,Scoresheet!$J$2:$J$501,"No")&gt;0),"🚩 Budget  ·  🚩 No one on camera",IF(COUNTIFS(Scoresheet!$C$2:$C$501,A421,Scoresheet!$U$2:$U$501,1,Scoresheet!$H$2:$H$501,"No")&gt;0,"🚩 Budget under AED 5k",IF(COUNTIFS(Scoresheet!$C$2:$C$501,A421,Scoresheet!$U$2:$U$501,1,Scoresheet!$J$2:$J$501,"No")&gt;0,"🚩 No one on camera",""))))</f>
        <v/>
      </c>
      <c r="Q421" s="17"/>
      <c r="R421" s="17"/>
      <c r="S421" s="40"/>
      <c r="T421" s="17"/>
      <c r="U421" s="45" t="str">
        <f aca="false">IF(OR(D421="",S421="",OR(R421="Contract signed + paid",R421="Closed – No response",R421="Lost"),N(T421)&gt;=Settings!$S$3),"",S421+Settings!$S$2)</f>
        <v/>
      </c>
      <c r="V421" s="40"/>
      <c r="W421" s="41"/>
      <c r="X421" s="17"/>
      <c r="Y421" s="17"/>
      <c r="Z421" s="17"/>
      <c r="AA421" s="46" t="str">
        <f aca="true">IF(OR(D421="",B421=""),"",INT(TODAY()-B421))</f>
        <v/>
      </c>
      <c r="AB421" s="44" t="str">
        <f aca="true">IF(D421="","",IF(OR(COUNTIFS(Clients!$C$2:$C$501,D421,Clients!$S$2:$S$501,"Paid")&gt;0,AND(H421&lt;&gt;"",COUNTIFS(Clients!$E$2:$E$501,H421,Clients!$S$2:$S$501,"Paid")&gt;0)),"⚠ Refunded before – no free video",IF(OR(R421="Contract signed + paid",R421="Closed – No response",R421="Lost"),"",IF(R421="","Set a stage",IF(AND(R421="Proposal sent",SUMIFS(Scoresheet!$N$2:$N$501,Scoresheet!$C$2:$C$501,A421,Scoresheet!$U$2:$U$501,1)&lt;6),"Score this lead – fill the call scoresheet",IF(N(T421)&gt;=Settings!$S$3,"Close – 4 follow-ups sent",IF(U421="",IF(S421="","Make first contact",""),IF(TODAY()&gt;U421,"OVERDUE follow-up",IF(TODAY()=U421,"Follow up today","")))))))))</f>
        <v/>
      </c>
    </row>
    <row r="422" customFormat="false" ht="15" hidden="false" customHeight="false" outlineLevel="0" collapsed="false">
      <c r="A422" s="17"/>
      <c r="B422" s="40"/>
      <c r="C422" s="17"/>
      <c r="D422" s="17"/>
      <c r="E422" s="17"/>
      <c r="F422" s="17"/>
      <c r="G422" s="17"/>
      <c r="H422" s="42"/>
      <c r="I422" s="17"/>
      <c r="J422" s="17"/>
      <c r="K422" s="17"/>
      <c r="L422" s="17"/>
      <c r="M422" s="17"/>
      <c r="N422" s="44" t="str">
        <f aca="false">IF(OR(D422="",A422="",COUNTIFS(Scoresheet!$C$2:$C$501,A422,Scoresheet!$U$2:$U$501,1)=0),"",SUMIFS(Scoresheet!$O$2:$O$501,Scoresheet!$C$2:$C$501,A422,Scoresheet!$U$2:$U$501,1))</f>
        <v/>
      </c>
      <c r="O422" s="44" t="str">
        <f aca="false">IF(D422="","",IF(OR(A422="",COUNTIFS(Scoresheet!$C$2:$C$501,A422,Scoresheet!$U$2:$U$501,1)=0),"No scoresheet yet",IF(SUMIFS(Scoresheet!$N$2:$N$501,Scoresheet!$C$2:$C$501,A422,Scoresheet!$U$2:$U$501,1)&lt;6,"Partly scored ("&amp;SUMIFS(Scoresheet!$N$2:$N$501,Scoresheet!$C$2:$C$501,A422,Scoresheet!$U$2:$U$501,1)&amp;"/6)",IF(N422&gt;=Settings!$S$8,"Hot",IF(N422&gt;=Settings!$S$9,"Warm","Cold")))))</f>
        <v/>
      </c>
      <c r="P422" s="44" t="str">
        <f aca="false">IF(OR(D422="",A422=""),"",IF(AND(COUNTIFS(Scoresheet!$C$2:$C$501,A422,Scoresheet!$U$2:$U$501,1,Scoresheet!$H$2:$H$501,"No")&gt;0,COUNTIFS(Scoresheet!$C$2:$C$501,A422,Scoresheet!$U$2:$U$501,1,Scoresheet!$J$2:$J$501,"No")&gt;0),"🚩 Budget  ·  🚩 No one on camera",IF(COUNTIFS(Scoresheet!$C$2:$C$501,A422,Scoresheet!$U$2:$U$501,1,Scoresheet!$H$2:$H$501,"No")&gt;0,"🚩 Budget under AED 5k",IF(COUNTIFS(Scoresheet!$C$2:$C$501,A422,Scoresheet!$U$2:$U$501,1,Scoresheet!$J$2:$J$501,"No")&gt;0,"🚩 No one on camera",""))))</f>
        <v/>
      </c>
      <c r="Q422" s="17"/>
      <c r="R422" s="17"/>
      <c r="S422" s="40"/>
      <c r="T422" s="17"/>
      <c r="U422" s="45" t="str">
        <f aca="false">IF(OR(D422="",S422="",OR(R422="Contract signed + paid",R422="Closed – No response",R422="Lost"),N(T422)&gt;=Settings!$S$3),"",S422+Settings!$S$2)</f>
        <v/>
      </c>
      <c r="V422" s="40"/>
      <c r="W422" s="41"/>
      <c r="X422" s="17"/>
      <c r="Y422" s="17"/>
      <c r="Z422" s="17"/>
      <c r="AA422" s="46" t="str">
        <f aca="true">IF(OR(D422="",B422=""),"",INT(TODAY()-B422))</f>
        <v/>
      </c>
      <c r="AB422" s="44" t="str">
        <f aca="true">IF(D422="","",IF(OR(COUNTIFS(Clients!$C$2:$C$501,D422,Clients!$S$2:$S$501,"Paid")&gt;0,AND(H422&lt;&gt;"",COUNTIFS(Clients!$E$2:$E$501,H422,Clients!$S$2:$S$501,"Paid")&gt;0)),"⚠ Refunded before – no free video",IF(OR(R422="Contract signed + paid",R422="Closed – No response",R422="Lost"),"",IF(R422="","Set a stage",IF(AND(R422="Proposal sent",SUMIFS(Scoresheet!$N$2:$N$501,Scoresheet!$C$2:$C$501,A422,Scoresheet!$U$2:$U$501,1)&lt;6),"Score this lead – fill the call scoresheet",IF(N(T422)&gt;=Settings!$S$3,"Close – 4 follow-ups sent",IF(U422="",IF(S422="","Make first contact",""),IF(TODAY()&gt;U422,"OVERDUE follow-up",IF(TODAY()=U422,"Follow up today","")))))))))</f>
        <v/>
      </c>
    </row>
    <row r="423" customFormat="false" ht="15" hidden="false" customHeight="false" outlineLevel="0" collapsed="false">
      <c r="A423" s="17"/>
      <c r="B423" s="40"/>
      <c r="C423" s="17"/>
      <c r="D423" s="17"/>
      <c r="E423" s="17"/>
      <c r="F423" s="17"/>
      <c r="G423" s="17"/>
      <c r="H423" s="42"/>
      <c r="I423" s="17"/>
      <c r="J423" s="17"/>
      <c r="K423" s="17"/>
      <c r="L423" s="17"/>
      <c r="M423" s="17"/>
      <c r="N423" s="44" t="str">
        <f aca="false">IF(OR(D423="",A423="",COUNTIFS(Scoresheet!$C$2:$C$501,A423,Scoresheet!$U$2:$U$501,1)=0),"",SUMIFS(Scoresheet!$O$2:$O$501,Scoresheet!$C$2:$C$501,A423,Scoresheet!$U$2:$U$501,1))</f>
        <v/>
      </c>
      <c r="O423" s="44" t="str">
        <f aca="false">IF(D423="","",IF(OR(A423="",COUNTIFS(Scoresheet!$C$2:$C$501,A423,Scoresheet!$U$2:$U$501,1)=0),"No scoresheet yet",IF(SUMIFS(Scoresheet!$N$2:$N$501,Scoresheet!$C$2:$C$501,A423,Scoresheet!$U$2:$U$501,1)&lt;6,"Partly scored ("&amp;SUMIFS(Scoresheet!$N$2:$N$501,Scoresheet!$C$2:$C$501,A423,Scoresheet!$U$2:$U$501,1)&amp;"/6)",IF(N423&gt;=Settings!$S$8,"Hot",IF(N423&gt;=Settings!$S$9,"Warm","Cold")))))</f>
        <v/>
      </c>
      <c r="P423" s="44" t="str">
        <f aca="false">IF(OR(D423="",A423=""),"",IF(AND(COUNTIFS(Scoresheet!$C$2:$C$501,A423,Scoresheet!$U$2:$U$501,1,Scoresheet!$H$2:$H$501,"No")&gt;0,COUNTIFS(Scoresheet!$C$2:$C$501,A423,Scoresheet!$U$2:$U$501,1,Scoresheet!$J$2:$J$501,"No")&gt;0),"🚩 Budget  ·  🚩 No one on camera",IF(COUNTIFS(Scoresheet!$C$2:$C$501,A423,Scoresheet!$U$2:$U$501,1,Scoresheet!$H$2:$H$501,"No")&gt;0,"🚩 Budget under AED 5k",IF(COUNTIFS(Scoresheet!$C$2:$C$501,A423,Scoresheet!$U$2:$U$501,1,Scoresheet!$J$2:$J$501,"No")&gt;0,"🚩 No one on camera",""))))</f>
        <v/>
      </c>
      <c r="Q423" s="17"/>
      <c r="R423" s="17"/>
      <c r="S423" s="40"/>
      <c r="T423" s="17"/>
      <c r="U423" s="45" t="str">
        <f aca="false">IF(OR(D423="",S423="",OR(R423="Contract signed + paid",R423="Closed – No response",R423="Lost"),N(T423)&gt;=Settings!$S$3),"",S423+Settings!$S$2)</f>
        <v/>
      </c>
      <c r="V423" s="40"/>
      <c r="W423" s="41"/>
      <c r="X423" s="17"/>
      <c r="Y423" s="17"/>
      <c r="Z423" s="17"/>
      <c r="AA423" s="46" t="str">
        <f aca="true">IF(OR(D423="",B423=""),"",INT(TODAY()-B423))</f>
        <v/>
      </c>
      <c r="AB423" s="44" t="str">
        <f aca="true">IF(D423="","",IF(OR(COUNTIFS(Clients!$C$2:$C$501,D423,Clients!$S$2:$S$501,"Paid")&gt;0,AND(H423&lt;&gt;"",COUNTIFS(Clients!$E$2:$E$501,H423,Clients!$S$2:$S$501,"Paid")&gt;0)),"⚠ Refunded before – no free video",IF(OR(R423="Contract signed + paid",R423="Closed – No response",R423="Lost"),"",IF(R423="","Set a stage",IF(AND(R423="Proposal sent",SUMIFS(Scoresheet!$N$2:$N$501,Scoresheet!$C$2:$C$501,A423,Scoresheet!$U$2:$U$501,1)&lt;6),"Score this lead – fill the call scoresheet",IF(N(T423)&gt;=Settings!$S$3,"Close – 4 follow-ups sent",IF(U423="",IF(S423="","Make first contact",""),IF(TODAY()&gt;U423,"OVERDUE follow-up",IF(TODAY()=U423,"Follow up today","")))))))))</f>
        <v/>
      </c>
    </row>
    <row r="424" customFormat="false" ht="15" hidden="false" customHeight="false" outlineLevel="0" collapsed="false">
      <c r="A424" s="17"/>
      <c r="B424" s="40"/>
      <c r="C424" s="17"/>
      <c r="D424" s="17"/>
      <c r="E424" s="17"/>
      <c r="F424" s="17"/>
      <c r="G424" s="17"/>
      <c r="H424" s="42"/>
      <c r="I424" s="17"/>
      <c r="J424" s="17"/>
      <c r="K424" s="17"/>
      <c r="L424" s="17"/>
      <c r="M424" s="17"/>
      <c r="N424" s="44" t="str">
        <f aca="false">IF(OR(D424="",A424="",COUNTIFS(Scoresheet!$C$2:$C$501,A424,Scoresheet!$U$2:$U$501,1)=0),"",SUMIFS(Scoresheet!$O$2:$O$501,Scoresheet!$C$2:$C$501,A424,Scoresheet!$U$2:$U$501,1))</f>
        <v/>
      </c>
      <c r="O424" s="44" t="str">
        <f aca="false">IF(D424="","",IF(OR(A424="",COUNTIFS(Scoresheet!$C$2:$C$501,A424,Scoresheet!$U$2:$U$501,1)=0),"No scoresheet yet",IF(SUMIFS(Scoresheet!$N$2:$N$501,Scoresheet!$C$2:$C$501,A424,Scoresheet!$U$2:$U$501,1)&lt;6,"Partly scored ("&amp;SUMIFS(Scoresheet!$N$2:$N$501,Scoresheet!$C$2:$C$501,A424,Scoresheet!$U$2:$U$501,1)&amp;"/6)",IF(N424&gt;=Settings!$S$8,"Hot",IF(N424&gt;=Settings!$S$9,"Warm","Cold")))))</f>
        <v/>
      </c>
      <c r="P424" s="44" t="str">
        <f aca="false">IF(OR(D424="",A424=""),"",IF(AND(COUNTIFS(Scoresheet!$C$2:$C$501,A424,Scoresheet!$U$2:$U$501,1,Scoresheet!$H$2:$H$501,"No")&gt;0,COUNTIFS(Scoresheet!$C$2:$C$501,A424,Scoresheet!$U$2:$U$501,1,Scoresheet!$J$2:$J$501,"No")&gt;0),"🚩 Budget  ·  🚩 No one on camera",IF(COUNTIFS(Scoresheet!$C$2:$C$501,A424,Scoresheet!$U$2:$U$501,1,Scoresheet!$H$2:$H$501,"No")&gt;0,"🚩 Budget under AED 5k",IF(COUNTIFS(Scoresheet!$C$2:$C$501,A424,Scoresheet!$U$2:$U$501,1,Scoresheet!$J$2:$J$501,"No")&gt;0,"🚩 No one on camera",""))))</f>
        <v/>
      </c>
      <c r="Q424" s="17"/>
      <c r="R424" s="17"/>
      <c r="S424" s="40"/>
      <c r="T424" s="17"/>
      <c r="U424" s="45" t="str">
        <f aca="false">IF(OR(D424="",S424="",OR(R424="Contract signed + paid",R424="Closed – No response",R424="Lost"),N(T424)&gt;=Settings!$S$3),"",S424+Settings!$S$2)</f>
        <v/>
      </c>
      <c r="V424" s="40"/>
      <c r="W424" s="41"/>
      <c r="X424" s="17"/>
      <c r="Y424" s="17"/>
      <c r="Z424" s="17"/>
      <c r="AA424" s="46" t="str">
        <f aca="true">IF(OR(D424="",B424=""),"",INT(TODAY()-B424))</f>
        <v/>
      </c>
      <c r="AB424" s="44" t="str">
        <f aca="true">IF(D424="","",IF(OR(COUNTIFS(Clients!$C$2:$C$501,D424,Clients!$S$2:$S$501,"Paid")&gt;0,AND(H424&lt;&gt;"",COUNTIFS(Clients!$E$2:$E$501,H424,Clients!$S$2:$S$501,"Paid")&gt;0)),"⚠ Refunded before – no free video",IF(OR(R424="Contract signed + paid",R424="Closed – No response",R424="Lost"),"",IF(R424="","Set a stage",IF(AND(R424="Proposal sent",SUMIFS(Scoresheet!$N$2:$N$501,Scoresheet!$C$2:$C$501,A424,Scoresheet!$U$2:$U$501,1)&lt;6),"Score this lead – fill the call scoresheet",IF(N(T424)&gt;=Settings!$S$3,"Close – 4 follow-ups sent",IF(U424="",IF(S424="","Make first contact",""),IF(TODAY()&gt;U424,"OVERDUE follow-up",IF(TODAY()=U424,"Follow up today","")))))))))</f>
        <v/>
      </c>
    </row>
    <row r="425" customFormat="false" ht="15" hidden="false" customHeight="false" outlineLevel="0" collapsed="false">
      <c r="A425" s="17"/>
      <c r="B425" s="40"/>
      <c r="C425" s="17"/>
      <c r="D425" s="17"/>
      <c r="E425" s="17"/>
      <c r="F425" s="17"/>
      <c r="G425" s="17"/>
      <c r="H425" s="42"/>
      <c r="I425" s="17"/>
      <c r="J425" s="17"/>
      <c r="K425" s="17"/>
      <c r="L425" s="17"/>
      <c r="M425" s="17"/>
      <c r="N425" s="44" t="str">
        <f aca="false">IF(OR(D425="",A425="",COUNTIFS(Scoresheet!$C$2:$C$501,A425,Scoresheet!$U$2:$U$501,1)=0),"",SUMIFS(Scoresheet!$O$2:$O$501,Scoresheet!$C$2:$C$501,A425,Scoresheet!$U$2:$U$501,1))</f>
        <v/>
      </c>
      <c r="O425" s="44" t="str">
        <f aca="false">IF(D425="","",IF(OR(A425="",COUNTIFS(Scoresheet!$C$2:$C$501,A425,Scoresheet!$U$2:$U$501,1)=0),"No scoresheet yet",IF(SUMIFS(Scoresheet!$N$2:$N$501,Scoresheet!$C$2:$C$501,A425,Scoresheet!$U$2:$U$501,1)&lt;6,"Partly scored ("&amp;SUMIFS(Scoresheet!$N$2:$N$501,Scoresheet!$C$2:$C$501,A425,Scoresheet!$U$2:$U$501,1)&amp;"/6)",IF(N425&gt;=Settings!$S$8,"Hot",IF(N425&gt;=Settings!$S$9,"Warm","Cold")))))</f>
        <v/>
      </c>
      <c r="P425" s="44" t="str">
        <f aca="false">IF(OR(D425="",A425=""),"",IF(AND(COUNTIFS(Scoresheet!$C$2:$C$501,A425,Scoresheet!$U$2:$U$501,1,Scoresheet!$H$2:$H$501,"No")&gt;0,COUNTIFS(Scoresheet!$C$2:$C$501,A425,Scoresheet!$U$2:$U$501,1,Scoresheet!$J$2:$J$501,"No")&gt;0),"🚩 Budget  ·  🚩 No one on camera",IF(COUNTIFS(Scoresheet!$C$2:$C$501,A425,Scoresheet!$U$2:$U$501,1,Scoresheet!$H$2:$H$501,"No")&gt;0,"🚩 Budget under AED 5k",IF(COUNTIFS(Scoresheet!$C$2:$C$501,A425,Scoresheet!$U$2:$U$501,1,Scoresheet!$J$2:$J$501,"No")&gt;0,"🚩 No one on camera",""))))</f>
        <v/>
      </c>
      <c r="Q425" s="17"/>
      <c r="R425" s="17"/>
      <c r="S425" s="40"/>
      <c r="T425" s="17"/>
      <c r="U425" s="45" t="str">
        <f aca="false">IF(OR(D425="",S425="",OR(R425="Contract signed + paid",R425="Closed – No response",R425="Lost"),N(T425)&gt;=Settings!$S$3),"",S425+Settings!$S$2)</f>
        <v/>
      </c>
      <c r="V425" s="40"/>
      <c r="W425" s="41"/>
      <c r="X425" s="17"/>
      <c r="Y425" s="17"/>
      <c r="Z425" s="17"/>
      <c r="AA425" s="46" t="str">
        <f aca="true">IF(OR(D425="",B425=""),"",INT(TODAY()-B425))</f>
        <v/>
      </c>
      <c r="AB425" s="44" t="str">
        <f aca="true">IF(D425="","",IF(OR(COUNTIFS(Clients!$C$2:$C$501,D425,Clients!$S$2:$S$501,"Paid")&gt;0,AND(H425&lt;&gt;"",COUNTIFS(Clients!$E$2:$E$501,H425,Clients!$S$2:$S$501,"Paid")&gt;0)),"⚠ Refunded before – no free video",IF(OR(R425="Contract signed + paid",R425="Closed – No response",R425="Lost"),"",IF(R425="","Set a stage",IF(AND(R425="Proposal sent",SUMIFS(Scoresheet!$N$2:$N$501,Scoresheet!$C$2:$C$501,A425,Scoresheet!$U$2:$U$501,1)&lt;6),"Score this lead – fill the call scoresheet",IF(N(T425)&gt;=Settings!$S$3,"Close – 4 follow-ups sent",IF(U425="",IF(S425="","Make first contact",""),IF(TODAY()&gt;U425,"OVERDUE follow-up",IF(TODAY()=U425,"Follow up today","")))))))))</f>
        <v/>
      </c>
    </row>
    <row r="426" customFormat="false" ht="15" hidden="false" customHeight="false" outlineLevel="0" collapsed="false">
      <c r="A426" s="17"/>
      <c r="B426" s="40"/>
      <c r="C426" s="17"/>
      <c r="D426" s="17"/>
      <c r="E426" s="17"/>
      <c r="F426" s="17"/>
      <c r="G426" s="17"/>
      <c r="H426" s="42"/>
      <c r="I426" s="17"/>
      <c r="J426" s="17"/>
      <c r="K426" s="17"/>
      <c r="L426" s="17"/>
      <c r="M426" s="17"/>
      <c r="N426" s="44" t="str">
        <f aca="false">IF(OR(D426="",A426="",COUNTIFS(Scoresheet!$C$2:$C$501,A426,Scoresheet!$U$2:$U$501,1)=0),"",SUMIFS(Scoresheet!$O$2:$O$501,Scoresheet!$C$2:$C$501,A426,Scoresheet!$U$2:$U$501,1))</f>
        <v/>
      </c>
      <c r="O426" s="44" t="str">
        <f aca="false">IF(D426="","",IF(OR(A426="",COUNTIFS(Scoresheet!$C$2:$C$501,A426,Scoresheet!$U$2:$U$501,1)=0),"No scoresheet yet",IF(SUMIFS(Scoresheet!$N$2:$N$501,Scoresheet!$C$2:$C$501,A426,Scoresheet!$U$2:$U$501,1)&lt;6,"Partly scored ("&amp;SUMIFS(Scoresheet!$N$2:$N$501,Scoresheet!$C$2:$C$501,A426,Scoresheet!$U$2:$U$501,1)&amp;"/6)",IF(N426&gt;=Settings!$S$8,"Hot",IF(N426&gt;=Settings!$S$9,"Warm","Cold")))))</f>
        <v/>
      </c>
      <c r="P426" s="44" t="str">
        <f aca="false">IF(OR(D426="",A426=""),"",IF(AND(COUNTIFS(Scoresheet!$C$2:$C$501,A426,Scoresheet!$U$2:$U$501,1,Scoresheet!$H$2:$H$501,"No")&gt;0,COUNTIFS(Scoresheet!$C$2:$C$501,A426,Scoresheet!$U$2:$U$501,1,Scoresheet!$J$2:$J$501,"No")&gt;0),"🚩 Budget  ·  🚩 No one on camera",IF(COUNTIFS(Scoresheet!$C$2:$C$501,A426,Scoresheet!$U$2:$U$501,1,Scoresheet!$H$2:$H$501,"No")&gt;0,"🚩 Budget under AED 5k",IF(COUNTIFS(Scoresheet!$C$2:$C$501,A426,Scoresheet!$U$2:$U$501,1,Scoresheet!$J$2:$J$501,"No")&gt;0,"🚩 No one on camera",""))))</f>
        <v/>
      </c>
      <c r="Q426" s="17"/>
      <c r="R426" s="17"/>
      <c r="S426" s="40"/>
      <c r="T426" s="17"/>
      <c r="U426" s="45" t="str">
        <f aca="false">IF(OR(D426="",S426="",OR(R426="Contract signed + paid",R426="Closed – No response",R426="Lost"),N(T426)&gt;=Settings!$S$3),"",S426+Settings!$S$2)</f>
        <v/>
      </c>
      <c r="V426" s="40"/>
      <c r="W426" s="41"/>
      <c r="X426" s="17"/>
      <c r="Y426" s="17"/>
      <c r="Z426" s="17"/>
      <c r="AA426" s="46" t="str">
        <f aca="true">IF(OR(D426="",B426=""),"",INT(TODAY()-B426))</f>
        <v/>
      </c>
      <c r="AB426" s="44" t="str">
        <f aca="true">IF(D426="","",IF(OR(COUNTIFS(Clients!$C$2:$C$501,D426,Clients!$S$2:$S$501,"Paid")&gt;0,AND(H426&lt;&gt;"",COUNTIFS(Clients!$E$2:$E$501,H426,Clients!$S$2:$S$501,"Paid")&gt;0)),"⚠ Refunded before – no free video",IF(OR(R426="Contract signed + paid",R426="Closed – No response",R426="Lost"),"",IF(R426="","Set a stage",IF(AND(R426="Proposal sent",SUMIFS(Scoresheet!$N$2:$N$501,Scoresheet!$C$2:$C$501,A426,Scoresheet!$U$2:$U$501,1)&lt;6),"Score this lead – fill the call scoresheet",IF(N(T426)&gt;=Settings!$S$3,"Close – 4 follow-ups sent",IF(U426="",IF(S426="","Make first contact",""),IF(TODAY()&gt;U426,"OVERDUE follow-up",IF(TODAY()=U426,"Follow up today","")))))))))</f>
        <v/>
      </c>
    </row>
    <row r="427" customFormat="false" ht="15" hidden="false" customHeight="false" outlineLevel="0" collapsed="false">
      <c r="A427" s="17"/>
      <c r="B427" s="40"/>
      <c r="C427" s="17"/>
      <c r="D427" s="17"/>
      <c r="E427" s="17"/>
      <c r="F427" s="17"/>
      <c r="G427" s="17"/>
      <c r="H427" s="42"/>
      <c r="I427" s="17"/>
      <c r="J427" s="17"/>
      <c r="K427" s="17"/>
      <c r="L427" s="17"/>
      <c r="M427" s="17"/>
      <c r="N427" s="44" t="str">
        <f aca="false">IF(OR(D427="",A427="",COUNTIFS(Scoresheet!$C$2:$C$501,A427,Scoresheet!$U$2:$U$501,1)=0),"",SUMIFS(Scoresheet!$O$2:$O$501,Scoresheet!$C$2:$C$501,A427,Scoresheet!$U$2:$U$501,1))</f>
        <v/>
      </c>
      <c r="O427" s="44" t="str">
        <f aca="false">IF(D427="","",IF(OR(A427="",COUNTIFS(Scoresheet!$C$2:$C$501,A427,Scoresheet!$U$2:$U$501,1)=0),"No scoresheet yet",IF(SUMIFS(Scoresheet!$N$2:$N$501,Scoresheet!$C$2:$C$501,A427,Scoresheet!$U$2:$U$501,1)&lt;6,"Partly scored ("&amp;SUMIFS(Scoresheet!$N$2:$N$501,Scoresheet!$C$2:$C$501,A427,Scoresheet!$U$2:$U$501,1)&amp;"/6)",IF(N427&gt;=Settings!$S$8,"Hot",IF(N427&gt;=Settings!$S$9,"Warm","Cold")))))</f>
        <v/>
      </c>
      <c r="P427" s="44" t="str">
        <f aca="false">IF(OR(D427="",A427=""),"",IF(AND(COUNTIFS(Scoresheet!$C$2:$C$501,A427,Scoresheet!$U$2:$U$501,1,Scoresheet!$H$2:$H$501,"No")&gt;0,COUNTIFS(Scoresheet!$C$2:$C$501,A427,Scoresheet!$U$2:$U$501,1,Scoresheet!$J$2:$J$501,"No")&gt;0),"🚩 Budget  ·  🚩 No one on camera",IF(COUNTIFS(Scoresheet!$C$2:$C$501,A427,Scoresheet!$U$2:$U$501,1,Scoresheet!$H$2:$H$501,"No")&gt;0,"🚩 Budget under AED 5k",IF(COUNTIFS(Scoresheet!$C$2:$C$501,A427,Scoresheet!$U$2:$U$501,1,Scoresheet!$J$2:$J$501,"No")&gt;0,"🚩 No one on camera",""))))</f>
        <v/>
      </c>
      <c r="Q427" s="17"/>
      <c r="R427" s="17"/>
      <c r="S427" s="40"/>
      <c r="T427" s="17"/>
      <c r="U427" s="45" t="str">
        <f aca="false">IF(OR(D427="",S427="",OR(R427="Contract signed + paid",R427="Closed – No response",R427="Lost"),N(T427)&gt;=Settings!$S$3),"",S427+Settings!$S$2)</f>
        <v/>
      </c>
      <c r="V427" s="40"/>
      <c r="W427" s="41"/>
      <c r="X427" s="17"/>
      <c r="Y427" s="17"/>
      <c r="Z427" s="17"/>
      <c r="AA427" s="46" t="str">
        <f aca="true">IF(OR(D427="",B427=""),"",INT(TODAY()-B427))</f>
        <v/>
      </c>
      <c r="AB427" s="44" t="str">
        <f aca="true">IF(D427="","",IF(OR(COUNTIFS(Clients!$C$2:$C$501,D427,Clients!$S$2:$S$501,"Paid")&gt;0,AND(H427&lt;&gt;"",COUNTIFS(Clients!$E$2:$E$501,H427,Clients!$S$2:$S$501,"Paid")&gt;0)),"⚠ Refunded before – no free video",IF(OR(R427="Contract signed + paid",R427="Closed – No response",R427="Lost"),"",IF(R427="","Set a stage",IF(AND(R427="Proposal sent",SUMIFS(Scoresheet!$N$2:$N$501,Scoresheet!$C$2:$C$501,A427,Scoresheet!$U$2:$U$501,1)&lt;6),"Score this lead – fill the call scoresheet",IF(N(T427)&gt;=Settings!$S$3,"Close – 4 follow-ups sent",IF(U427="",IF(S427="","Make first contact",""),IF(TODAY()&gt;U427,"OVERDUE follow-up",IF(TODAY()=U427,"Follow up today","")))))))))</f>
        <v/>
      </c>
    </row>
    <row r="428" customFormat="false" ht="15" hidden="false" customHeight="false" outlineLevel="0" collapsed="false">
      <c r="A428" s="17"/>
      <c r="B428" s="40"/>
      <c r="C428" s="17"/>
      <c r="D428" s="17"/>
      <c r="E428" s="17"/>
      <c r="F428" s="17"/>
      <c r="G428" s="17"/>
      <c r="H428" s="42"/>
      <c r="I428" s="17"/>
      <c r="J428" s="17"/>
      <c r="K428" s="17"/>
      <c r="L428" s="17"/>
      <c r="M428" s="17"/>
      <c r="N428" s="44" t="str">
        <f aca="false">IF(OR(D428="",A428="",COUNTIFS(Scoresheet!$C$2:$C$501,A428,Scoresheet!$U$2:$U$501,1)=0),"",SUMIFS(Scoresheet!$O$2:$O$501,Scoresheet!$C$2:$C$501,A428,Scoresheet!$U$2:$U$501,1))</f>
        <v/>
      </c>
      <c r="O428" s="44" t="str">
        <f aca="false">IF(D428="","",IF(OR(A428="",COUNTIFS(Scoresheet!$C$2:$C$501,A428,Scoresheet!$U$2:$U$501,1)=0),"No scoresheet yet",IF(SUMIFS(Scoresheet!$N$2:$N$501,Scoresheet!$C$2:$C$501,A428,Scoresheet!$U$2:$U$501,1)&lt;6,"Partly scored ("&amp;SUMIFS(Scoresheet!$N$2:$N$501,Scoresheet!$C$2:$C$501,A428,Scoresheet!$U$2:$U$501,1)&amp;"/6)",IF(N428&gt;=Settings!$S$8,"Hot",IF(N428&gt;=Settings!$S$9,"Warm","Cold")))))</f>
        <v/>
      </c>
      <c r="P428" s="44" t="str">
        <f aca="false">IF(OR(D428="",A428=""),"",IF(AND(COUNTIFS(Scoresheet!$C$2:$C$501,A428,Scoresheet!$U$2:$U$501,1,Scoresheet!$H$2:$H$501,"No")&gt;0,COUNTIFS(Scoresheet!$C$2:$C$501,A428,Scoresheet!$U$2:$U$501,1,Scoresheet!$J$2:$J$501,"No")&gt;0),"🚩 Budget  ·  🚩 No one on camera",IF(COUNTIFS(Scoresheet!$C$2:$C$501,A428,Scoresheet!$U$2:$U$501,1,Scoresheet!$H$2:$H$501,"No")&gt;0,"🚩 Budget under AED 5k",IF(COUNTIFS(Scoresheet!$C$2:$C$501,A428,Scoresheet!$U$2:$U$501,1,Scoresheet!$J$2:$J$501,"No")&gt;0,"🚩 No one on camera",""))))</f>
        <v/>
      </c>
      <c r="Q428" s="17"/>
      <c r="R428" s="17"/>
      <c r="S428" s="40"/>
      <c r="T428" s="17"/>
      <c r="U428" s="45" t="str">
        <f aca="false">IF(OR(D428="",S428="",OR(R428="Contract signed + paid",R428="Closed – No response",R428="Lost"),N(T428)&gt;=Settings!$S$3),"",S428+Settings!$S$2)</f>
        <v/>
      </c>
      <c r="V428" s="40"/>
      <c r="W428" s="41"/>
      <c r="X428" s="17"/>
      <c r="Y428" s="17"/>
      <c r="Z428" s="17"/>
      <c r="AA428" s="46" t="str">
        <f aca="true">IF(OR(D428="",B428=""),"",INT(TODAY()-B428))</f>
        <v/>
      </c>
      <c r="AB428" s="44" t="str">
        <f aca="true">IF(D428="","",IF(OR(COUNTIFS(Clients!$C$2:$C$501,D428,Clients!$S$2:$S$501,"Paid")&gt;0,AND(H428&lt;&gt;"",COUNTIFS(Clients!$E$2:$E$501,H428,Clients!$S$2:$S$501,"Paid")&gt;0)),"⚠ Refunded before – no free video",IF(OR(R428="Contract signed + paid",R428="Closed – No response",R428="Lost"),"",IF(R428="","Set a stage",IF(AND(R428="Proposal sent",SUMIFS(Scoresheet!$N$2:$N$501,Scoresheet!$C$2:$C$501,A428,Scoresheet!$U$2:$U$501,1)&lt;6),"Score this lead – fill the call scoresheet",IF(N(T428)&gt;=Settings!$S$3,"Close – 4 follow-ups sent",IF(U428="",IF(S428="","Make first contact",""),IF(TODAY()&gt;U428,"OVERDUE follow-up",IF(TODAY()=U428,"Follow up today","")))))))))</f>
        <v/>
      </c>
    </row>
    <row r="429" customFormat="false" ht="15" hidden="false" customHeight="false" outlineLevel="0" collapsed="false">
      <c r="A429" s="17"/>
      <c r="B429" s="40"/>
      <c r="C429" s="17"/>
      <c r="D429" s="17"/>
      <c r="E429" s="17"/>
      <c r="F429" s="17"/>
      <c r="G429" s="17"/>
      <c r="H429" s="42"/>
      <c r="I429" s="17"/>
      <c r="J429" s="17"/>
      <c r="K429" s="17"/>
      <c r="L429" s="17"/>
      <c r="M429" s="17"/>
      <c r="N429" s="44" t="str">
        <f aca="false">IF(OR(D429="",A429="",COUNTIFS(Scoresheet!$C$2:$C$501,A429,Scoresheet!$U$2:$U$501,1)=0),"",SUMIFS(Scoresheet!$O$2:$O$501,Scoresheet!$C$2:$C$501,A429,Scoresheet!$U$2:$U$501,1))</f>
        <v/>
      </c>
      <c r="O429" s="44" t="str">
        <f aca="false">IF(D429="","",IF(OR(A429="",COUNTIFS(Scoresheet!$C$2:$C$501,A429,Scoresheet!$U$2:$U$501,1)=0),"No scoresheet yet",IF(SUMIFS(Scoresheet!$N$2:$N$501,Scoresheet!$C$2:$C$501,A429,Scoresheet!$U$2:$U$501,1)&lt;6,"Partly scored ("&amp;SUMIFS(Scoresheet!$N$2:$N$501,Scoresheet!$C$2:$C$501,A429,Scoresheet!$U$2:$U$501,1)&amp;"/6)",IF(N429&gt;=Settings!$S$8,"Hot",IF(N429&gt;=Settings!$S$9,"Warm","Cold")))))</f>
        <v/>
      </c>
      <c r="P429" s="44" t="str">
        <f aca="false">IF(OR(D429="",A429=""),"",IF(AND(COUNTIFS(Scoresheet!$C$2:$C$501,A429,Scoresheet!$U$2:$U$501,1,Scoresheet!$H$2:$H$501,"No")&gt;0,COUNTIFS(Scoresheet!$C$2:$C$501,A429,Scoresheet!$U$2:$U$501,1,Scoresheet!$J$2:$J$501,"No")&gt;0),"🚩 Budget  ·  🚩 No one on camera",IF(COUNTIFS(Scoresheet!$C$2:$C$501,A429,Scoresheet!$U$2:$U$501,1,Scoresheet!$H$2:$H$501,"No")&gt;0,"🚩 Budget under AED 5k",IF(COUNTIFS(Scoresheet!$C$2:$C$501,A429,Scoresheet!$U$2:$U$501,1,Scoresheet!$J$2:$J$501,"No")&gt;0,"🚩 No one on camera",""))))</f>
        <v/>
      </c>
      <c r="Q429" s="17"/>
      <c r="R429" s="17"/>
      <c r="S429" s="40"/>
      <c r="T429" s="17"/>
      <c r="U429" s="45" t="str">
        <f aca="false">IF(OR(D429="",S429="",OR(R429="Contract signed + paid",R429="Closed – No response",R429="Lost"),N(T429)&gt;=Settings!$S$3),"",S429+Settings!$S$2)</f>
        <v/>
      </c>
      <c r="V429" s="40"/>
      <c r="W429" s="41"/>
      <c r="X429" s="17"/>
      <c r="Y429" s="17"/>
      <c r="Z429" s="17"/>
      <c r="AA429" s="46" t="str">
        <f aca="true">IF(OR(D429="",B429=""),"",INT(TODAY()-B429))</f>
        <v/>
      </c>
      <c r="AB429" s="44" t="str">
        <f aca="true">IF(D429="","",IF(OR(COUNTIFS(Clients!$C$2:$C$501,D429,Clients!$S$2:$S$501,"Paid")&gt;0,AND(H429&lt;&gt;"",COUNTIFS(Clients!$E$2:$E$501,H429,Clients!$S$2:$S$501,"Paid")&gt;0)),"⚠ Refunded before – no free video",IF(OR(R429="Contract signed + paid",R429="Closed – No response",R429="Lost"),"",IF(R429="","Set a stage",IF(AND(R429="Proposal sent",SUMIFS(Scoresheet!$N$2:$N$501,Scoresheet!$C$2:$C$501,A429,Scoresheet!$U$2:$U$501,1)&lt;6),"Score this lead – fill the call scoresheet",IF(N(T429)&gt;=Settings!$S$3,"Close – 4 follow-ups sent",IF(U429="",IF(S429="","Make first contact",""),IF(TODAY()&gt;U429,"OVERDUE follow-up",IF(TODAY()=U429,"Follow up today","")))))))))</f>
        <v/>
      </c>
    </row>
    <row r="430" customFormat="false" ht="15" hidden="false" customHeight="false" outlineLevel="0" collapsed="false">
      <c r="A430" s="17"/>
      <c r="B430" s="40"/>
      <c r="C430" s="17"/>
      <c r="D430" s="17"/>
      <c r="E430" s="17"/>
      <c r="F430" s="17"/>
      <c r="G430" s="17"/>
      <c r="H430" s="42"/>
      <c r="I430" s="17"/>
      <c r="J430" s="17"/>
      <c r="K430" s="17"/>
      <c r="L430" s="17"/>
      <c r="M430" s="17"/>
      <c r="N430" s="44" t="str">
        <f aca="false">IF(OR(D430="",A430="",COUNTIFS(Scoresheet!$C$2:$C$501,A430,Scoresheet!$U$2:$U$501,1)=0),"",SUMIFS(Scoresheet!$O$2:$O$501,Scoresheet!$C$2:$C$501,A430,Scoresheet!$U$2:$U$501,1))</f>
        <v/>
      </c>
      <c r="O430" s="44" t="str">
        <f aca="false">IF(D430="","",IF(OR(A430="",COUNTIFS(Scoresheet!$C$2:$C$501,A430,Scoresheet!$U$2:$U$501,1)=0),"No scoresheet yet",IF(SUMIFS(Scoresheet!$N$2:$N$501,Scoresheet!$C$2:$C$501,A430,Scoresheet!$U$2:$U$501,1)&lt;6,"Partly scored ("&amp;SUMIFS(Scoresheet!$N$2:$N$501,Scoresheet!$C$2:$C$501,A430,Scoresheet!$U$2:$U$501,1)&amp;"/6)",IF(N430&gt;=Settings!$S$8,"Hot",IF(N430&gt;=Settings!$S$9,"Warm","Cold")))))</f>
        <v/>
      </c>
      <c r="P430" s="44" t="str">
        <f aca="false">IF(OR(D430="",A430=""),"",IF(AND(COUNTIFS(Scoresheet!$C$2:$C$501,A430,Scoresheet!$U$2:$U$501,1,Scoresheet!$H$2:$H$501,"No")&gt;0,COUNTIFS(Scoresheet!$C$2:$C$501,A430,Scoresheet!$U$2:$U$501,1,Scoresheet!$J$2:$J$501,"No")&gt;0),"🚩 Budget  ·  🚩 No one on camera",IF(COUNTIFS(Scoresheet!$C$2:$C$501,A430,Scoresheet!$U$2:$U$501,1,Scoresheet!$H$2:$H$501,"No")&gt;0,"🚩 Budget under AED 5k",IF(COUNTIFS(Scoresheet!$C$2:$C$501,A430,Scoresheet!$U$2:$U$501,1,Scoresheet!$J$2:$J$501,"No")&gt;0,"🚩 No one on camera",""))))</f>
        <v/>
      </c>
      <c r="Q430" s="17"/>
      <c r="R430" s="17"/>
      <c r="S430" s="40"/>
      <c r="T430" s="17"/>
      <c r="U430" s="45" t="str">
        <f aca="false">IF(OR(D430="",S430="",OR(R430="Contract signed + paid",R430="Closed – No response",R430="Lost"),N(T430)&gt;=Settings!$S$3),"",S430+Settings!$S$2)</f>
        <v/>
      </c>
      <c r="V430" s="40"/>
      <c r="W430" s="41"/>
      <c r="X430" s="17"/>
      <c r="Y430" s="17"/>
      <c r="Z430" s="17"/>
      <c r="AA430" s="46" t="str">
        <f aca="true">IF(OR(D430="",B430=""),"",INT(TODAY()-B430))</f>
        <v/>
      </c>
      <c r="AB430" s="44" t="str">
        <f aca="true">IF(D430="","",IF(OR(COUNTIFS(Clients!$C$2:$C$501,D430,Clients!$S$2:$S$501,"Paid")&gt;0,AND(H430&lt;&gt;"",COUNTIFS(Clients!$E$2:$E$501,H430,Clients!$S$2:$S$501,"Paid")&gt;0)),"⚠ Refunded before – no free video",IF(OR(R430="Contract signed + paid",R430="Closed – No response",R430="Lost"),"",IF(R430="","Set a stage",IF(AND(R430="Proposal sent",SUMIFS(Scoresheet!$N$2:$N$501,Scoresheet!$C$2:$C$501,A430,Scoresheet!$U$2:$U$501,1)&lt;6),"Score this lead – fill the call scoresheet",IF(N(T430)&gt;=Settings!$S$3,"Close – 4 follow-ups sent",IF(U430="",IF(S430="","Make first contact",""),IF(TODAY()&gt;U430,"OVERDUE follow-up",IF(TODAY()=U430,"Follow up today","")))))))))</f>
        <v/>
      </c>
    </row>
    <row r="431" customFormat="false" ht="15" hidden="false" customHeight="false" outlineLevel="0" collapsed="false">
      <c r="A431" s="17"/>
      <c r="B431" s="40"/>
      <c r="C431" s="17"/>
      <c r="D431" s="17"/>
      <c r="E431" s="17"/>
      <c r="F431" s="17"/>
      <c r="G431" s="17"/>
      <c r="H431" s="42"/>
      <c r="I431" s="17"/>
      <c r="J431" s="17"/>
      <c r="K431" s="17"/>
      <c r="L431" s="17"/>
      <c r="M431" s="17"/>
      <c r="N431" s="44" t="str">
        <f aca="false">IF(OR(D431="",A431="",COUNTIFS(Scoresheet!$C$2:$C$501,A431,Scoresheet!$U$2:$U$501,1)=0),"",SUMIFS(Scoresheet!$O$2:$O$501,Scoresheet!$C$2:$C$501,A431,Scoresheet!$U$2:$U$501,1))</f>
        <v/>
      </c>
      <c r="O431" s="44" t="str">
        <f aca="false">IF(D431="","",IF(OR(A431="",COUNTIFS(Scoresheet!$C$2:$C$501,A431,Scoresheet!$U$2:$U$501,1)=0),"No scoresheet yet",IF(SUMIFS(Scoresheet!$N$2:$N$501,Scoresheet!$C$2:$C$501,A431,Scoresheet!$U$2:$U$501,1)&lt;6,"Partly scored ("&amp;SUMIFS(Scoresheet!$N$2:$N$501,Scoresheet!$C$2:$C$501,A431,Scoresheet!$U$2:$U$501,1)&amp;"/6)",IF(N431&gt;=Settings!$S$8,"Hot",IF(N431&gt;=Settings!$S$9,"Warm","Cold")))))</f>
        <v/>
      </c>
      <c r="P431" s="44" t="str">
        <f aca="false">IF(OR(D431="",A431=""),"",IF(AND(COUNTIFS(Scoresheet!$C$2:$C$501,A431,Scoresheet!$U$2:$U$501,1,Scoresheet!$H$2:$H$501,"No")&gt;0,COUNTIFS(Scoresheet!$C$2:$C$501,A431,Scoresheet!$U$2:$U$501,1,Scoresheet!$J$2:$J$501,"No")&gt;0),"🚩 Budget  ·  🚩 No one on camera",IF(COUNTIFS(Scoresheet!$C$2:$C$501,A431,Scoresheet!$U$2:$U$501,1,Scoresheet!$H$2:$H$501,"No")&gt;0,"🚩 Budget under AED 5k",IF(COUNTIFS(Scoresheet!$C$2:$C$501,A431,Scoresheet!$U$2:$U$501,1,Scoresheet!$J$2:$J$501,"No")&gt;0,"🚩 No one on camera",""))))</f>
        <v/>
      </c>
      <c r="Q431" s="17"/>
      <c r="R431" s="17"/>
      <c r="S431" s="40"/>
      <c r="T431" s="17"/>
      <c r="U431" s="45" t="str">
        <f aca="false">IF(OR(D431="",S431="",OR(R431="Contract signed + paid",R431="Closed – No response",R431="Lost"),N(T431)&gt;=Settings!$S$3),"",S431+Settings!$S$2)</f>
        <v/>
      </c>
      <c r="V431" s="40"/>
      <c r="W431" s="41"/>
      <c r="X431" s="17"/>
      <c r="Y431" s="17"/>
      <c r="Z431" s="17"/>
      <c r="AA431" s="46" t="str">
        <f aca="true">IF(OR(D431="",B431=""),"",INT(TODAY()-B431))</f>
        <v/>
      </c>
      <c r="AB431" s="44" t="str">
        <f aca="true">IF(D431="","",IF(OR(COUNTIFS(Clients!$C$2:$C$501,D431,Clients!$S$2:$S$501,"Paid")&gt;0,AND(H431&lt;&gt;"",COUNTIFS(Clients!$E$2:$E$501,H431,Clients!$S$2:$S$501,"Paid")&gt;0)),"⚠ Refunded before – no free video",IF(OR(R431="Contract signed + paid",R431="Closed – No response",R431="Lost"),"",IF(R431="","Set a stage",IF(AND(R431="Proposal sent",SUMIFS(Scoresheet!$N$2:$N$501,Scoresheet!$C$2:$C$501,A431,Scoresheet!$U$2:$U$501,1)&lt;6),"Score this lead – fill the call scoresheet",IF(N(T431)&gt;=Settings!$S$3,"Close – 4 follow-ups sent",IF(U431="",IF(S431="","Make first contact",""),IF(TODAY()&gt;U431,"OVERDUE follow-up",IF(TODAY()=U431,"Follow up today","")))))))))</f>
        <v/>
      </c>
    </row>
    <row r="432" customFormat="false" ht="15" hidden="false" customHeight="false" outlineLevel="0" collapsed="false">
      <c r="A432" s="17"/>
      <c r="B432" s="40"/>
      <c r="C432" s="17"/>
      <c r="D432" s="17"/>
      <c r="E432" s="17"/>
      <c r="F432" s="17"/>
      <c r="G432" s="17"/>
      <c r="H432" s="42"/>
      <c r="I432" s="17"/>
      <c r="J432" s="17"/>
      <c r="K432" s="17"/>
      <c r="L432" s="17"/>
      <c r="M432" s="17"/>
      <c r="N432" s="44" t="str">
        <f aca="false">IF(OR(D432="",A432="",COUNTIFS(Scoresheet!$C$2:$C$501,A432,Scoresheet!$U$2:$U$501,1)=0),"",SUMIFS(Scoresheet!$O$2:$O$501,Scoresheet!$C$2:$C$501,A432,Scoresheet!$U$2:$U$501,1))</f>
        <v/>
      </c>
      <c r="O432" s="44" t="str">
        <f aca="false">IF(D432="","",IF(OR(A432="",COUNTIFS(Scoresheet!$C$2:$C$501,A432,Scoresheet!$U$2:$U$501,1)=0),"No scoresheet yet",IF(SUMIFS(Scoresheet!$N$2:$N$501,Scoresheet!$C$2:$C$501,A432,Scoresheet!$U$2:$U$501,1)&lt;6,"Partly scored ("&amp;SUMIFS(Scoresheet!$N$2:$N$501,Scoresheet!$C$2:$C$501,A432,Scoresheet!$U$2:$U$501,1)&amp;"/6)",IF(N432&gt;=Settings!$S$8,"Hot",IF(N432&gt;=Settings!$S$9,"Warm","Cold")))))</f>
        <v/>
      </c>
      <c r="P432" s="44" t="str">
        <f aca="false">IF(OR(D432="",A432=""),"",IF(AND(COUNTIFS(Scoresheet!$C$2:$C$501,A432,Scoresheet!$U$2:$U$501,1,Scoresheet!$H$2:$H$501,"No")&gt;0,COUNTIFS(Scoresheet!$C$2:$C$501,A432,Scoresheet!$U$2:$U$501,1,Scoresheet!$J$2:$J$501,"No")&gt;0),"🚩 Budget  ·  🚩 No one on camera",IF(COUNTIFS(Scoresheet!$C$2:$C$501,A432,Scoresheet!$U$2:$U$501,1,Scoresheet!$H$2:$H$501,"No")&gt;0,"🚩 Budget under AED 5k",IF(COUNTIFS(Scoresheet!$C$2:$C$501,A432,Scoresheet!$U$2:$U$501,1,Scoresheet!$J$2:$J$501,"No")&gt;0,"🚩 No one on camera",""))))</f>
        <v/>
      </c>
      <c r="Q432" s="17"/>
      <c r="R432" s="17"/>
      <c r="S432" s="40"/>
      <c r="T432" s="17"/>
      <c r="U432" s="45" t="str">
        <f aca="false">IF(OR(D432="",S432="",OR(R432="Contract signed + paid",R432="Closed – No response",R432="Lost"),N(T432)&gt;=Settings!$S$3),"",S432+Settings!$S$2)</f>
        <v/>
      </c>
      <c r="V432" s="40"/>
      <c r="W432" s="41"/>
      <c r="X432" s="17"/>
      <c r="Y432" s="17"/>
      <c r="Z432" s="17"/>
      <c r="AA432" s="46" t="str">
        <f aca="true">IF(OR(D432="",B432=""),"",INT(TODAY()-B432))</f>
        <v/>
      </c>
      <c r="AB432" s="44" t="str">
        <f aca="true">IF(D432="","",IF(OR(COUNTIFS(Clients!$C$2:$C$501,D432,Clients!$S$2:$S$501,"Paid")&gt;0,AND(H432&lt;&gt;"",COUNTIFS(Clients!$E$2:$E$501,H432,Clients!$S$2:$S$501,"Paid")&gt;0)),"⚠ Refunded before – no free video",IF(OR(R432="Contract signed + paid",R432="Closed – No response",R432="Lost"),"",IF(R432="","Set a stage",IF(AND(R432="Proposal sent",SUMIFS(Scoresheet!$N$2:$N$501,Scoresheet!$C$2:$C$501,A432,Scoresheet!$U$2:$U$501,1)&lt;6),"Score this lead – fill the call scoresheet",IF(N(T432)&gt;=Settings!$S$3,"Close – 4 follow-ups sent",IF(U432="",IF(S432="","Make first contact",""),IF(TODAY()&gt;U432,"OVERDUE follow-up",IF(TODAY()=U432,"Follow up today","")))))))))</f>
        <v/>
      </c>
    </row>
    <row r="433" customFormat="false" ht="15" hidden="false" customHeight="false" outlineLevel="0" collapsed="false">
      <c r="A433" s="17"/>
      <c r="B433" s="40"/>
      <c r="C433" s="17"/>
      <c r="D433" s="17"/>
      <c r="E433" s="17"/>
      <c r="F433" s="17"/>
      <c r="G433" s="17"/>
      <c r="H433" s="42"/>
      <c r="I433" s="17"/>
      <c r="J433" s="17"/>
      <c r="K433" s="17"/>
      <c r="L433" s="17"/>
      <c r="M433" s="17"/>
      <c r="N433" s="44" t="str">
        <f aca="false">IF(OR(D433="",A433="",COUNTIFS(Scoresheet!$C$2:$C$501,A433,Scoresheet!$U$2:$U$501,1)=0),"",SUMIFS(Scoresheet!$O$2:$O$501,Scoresheet!$C$2:$C$501,A433,Scoresheet!$U$2:$U$501,1))</f>
        <v/>
      </c>
      <c r="O433" s="44" t="str">
        <f aca="false">IF(D433="","",IF(OR(A433="",COUNTIFS(Scoresheet!$C$2:$C$501,A433,Scoresheet!$U$2:$U$501,1)=0),"No scoresheet yet",IF(SUMIFS(Scoresheet!$N$2:$N$501,Scoresheet!$C$2:$C$501,A433,Scoresheet!$U$2:$U$501,1)&lt;6,"Partly scored ("&amp;SUMIFS(Scoresheet!$N$2:$N$501,Scoresheet!$C$2:$C$501,A433,Scoresheet!$U$2:$U$501,1)&amp;"/6)",IF(N433&gt;=Settings!$S$8,"Hot",IF(N433&gt;=Settings!$S$9,"Warm","Cold")))))</f>
        <v/>
      </c>
      <c r="P433" s="44" t="str">
        <f aca="false">IF(OR(D433="",A433=""),"",IF(AND(COUNTIFS(Scoresheet!$C$2:$C$501,A433,Scoresheet!$U$2:$U$501,1,Scoresheet!$H$2:$H$501,"No")&gt;0,COUNTIFS(Scoresheet!$C$2:$C$501,A433,Scoresheet!$U$2:$U$501,1,Scoresheet!$J$2:$J$501,"No")&gt;0),"🚩 Budget  ·  🚩 No one on camera",IF(COUNTIFS(Scoresheet!$C$2:$C$501,A433,Scoresheet!$U$2:$U$501,1,Scoresheet!$H$2:$H$501,"No")&gt;0,"🚩 Budget under AED 5k",IF(COUNTIFS(Scoresheet!$C$2:$C$501,A433,Scoresheet!$U$2:$U$501,1,Scoresheet!$J$2:$J$501,"No")&gt;0,"🚩 No one on camera",""))))</f>
        <v/>
      </c>
      <c r="Q433" s="17"/>
      <c r="R433" s="17"/>
      <c r="S433" s="40"/>
      <c r="T433" s="17"/>
      <c r="U433" s="45" t="str">
        <f aca="false">IF(OR(D433="",S433="",OR(R433="Contract signed + paid",R433="Closed – No response",R433="Lost"),N(T433)&gt;=Settings!$S$3),"",S433+Settings!$S$2)</f>
        <v/>
      </c>
      <c r="V433" s="40"/>
      <c r="W433" s="41"/>
      <c r="X433" s="17"/>
      <c r="Y433" s="17"/>
      <c r="Z433" s="17"/>
      <c r="AA433" s="46" t="str">
        <f aca="true">IF(OR(D433="",B433=""),"",INT(TODAY()-B433))</f>
        <v/>
      </c>
      <c r="AB433" s="44" t="str">
        <f aca="true">IF(D433="","",IF(OR(COUNTIFS(Clients!$C$2:$C$501,D433,Clients!$S$2:$S$501,"Paid")&gt;0,AND(H433&lt;&gt;"",COUNTIFS(Clients!$E$2:$E$501,H433,Clients!$S$2:$S$501,"Paid")&gt;0)),"⚠ Refunded before – no free video",IF(OR(R433="Contract signed + paid",R433="Closed – No response",R433="Lost"),"",IF(R433="","Set a stage",IF(AND(R433="Proposal sent",SUMIFS(Scoresheet!$N$2:$N$501,Scoresheet!$C$2:$C$501,A433,Scoresheet!$U$2:$U$501,1)&lt;6),"Score this lead – fill the call scoresheet",IF(N(T433)&gt;=Settings!$S$3,"Close – 4 follow-ups sent",IF(U433="",IF(S433="","Make first contact",""),IF(TODAY()&gt;U433,"OVERDUE follow-up",IF(TODAY()=U433,"Follow up today","")))))))))</f>
        <v/>
      </c>
    </row>
    <row r="434" customFormat="false" ht="15" hidden="false" customHeight="false" outlineLevel="0" collapsed="false">
      <c r="A434" s="17"/>
      <c r="B434" s="40"/>
      <c r="C434" s="17"/>
      <c r="D434" s="17"/>
      <c r="E434" s="17"/>
      <c r="F434" s="17"/>
      <c r="G434" s="17"/>
      <c r="H434" s="42"/>
      <c r="I434" s="17"/>
      <c r="J434" s="17"/>
      <c r="K434" s="17"/>
      <c r="L434" s="17"/>
      <c r="M434" s="17"/>
      <c r="N434" s="44" t="str">
        <f aca="false">IF(OR(D434="",A434="",COUNTIFS(Scoresheet!$C$2:$C$501,A434,Scoresheet!$U$2:$U$501,1)=0),"",SUMIFS(Scoresheet!$O$2:$O$501,Scoresheet!$C$2:$C$501,A434,Scoresheet!$U$2:$U$501,1))</f>
        <v/>
      </c>
      <c r="O434" s="44" t="str">
        <f aca="false">IF(D434="","",IF(OR(A434="",COUNTIFS(Scoresheet!$C$2:$C$501,A434,Scoresheet!$U$2:$U$501,1)=0),"No scoresheet yet",IF(SUMIFS(Scoresheet!$N$2:$N$501,Scoresheet!$C$2:$C$501,A434,Scoresheet!$U$2:$U$501,1)&lt;6,"Partly scored ("&amp;SUMIFS(Scoresheet!$N$2:$N$501,Scoresheet!$C$2:$C$501,A434,Scoresheet!$U$2:$U$501,1)&amp;"/6)",IF(N434&gt;=Settings!$S$8,"Hot",IF(N434&gt;=Settings!$S$9,"Warm","Cold")))))</f>
        <v/>
      </c>
      <c r="P434" s="44" t="str">
        <f aca="false">IF(OR(D434="",A434=""),"",IF(AND(COUNTIFS(Scoresheet!$C$2:$C$501,A434,Scoresheet!$U$2:$U$501,1,Scoresheet!$H$2:$H$501,"No")&gt;0,COUNTIFS(Scoresheet!$C$2:$C$501,A434,Scoresheet!$U$2:$U$501,1,Scoresheet!$J$2:$J$501,"No")&gt;0),"🚩 Budget  ·  🚩 No one on camera",IF(COUNTIFS(Scoresheet!$C$2:$C$501,A434,Scoresheet!$U$2:$U$501,1,Scoresheet!$H$2:$H$501,"No")&gt;0,"🚩 Budget under AED 5k",IF(COUNTIFS(Scoresheet!$C$2:$C$501,A434,Scoresheet!$U$2:$U$501,1,Scoresheet!$J$2:$J$501,"No")&gt;0,"🚩 No one on camera",""))))</f>
        <v/>
      </c>
      <c r="Q434" s="17"/>
      <c r="R434" s="17"/>
      <c r="S434" s="40"/>
      <c r="T434" s="17"/>
      <c r="U434" s="45" t="str">
        <f aca="false">IF(OR(D434="",S434="",OR(R434="Contract signed + paid",R434="Closed – No response",R434="Lost"),N(T434)&gt;=Settings!$S$3),"",S434+Settings!$S$2)</f>
        <v/>
      </c>
      <c r="V434" s="40"/>
      <c r="W434" s="41"/>
      <c r="X434" s="17"/>
      <c r="Y434" s="17"/>
      <c r="Z434" s="17"/>
      <c r="AA434" s="46" t="str">
        <f aca="true">IF(OR(D434="",B434=""),"",INT(TODAY()-B434))</f>
        <v/>
      </c>
      <c r="AB434" s="44" t="str">
        <f aca="true">IF(D434="","",IF(OR(COUNTIFS(Clients!$C$2:$C$501,D434,Clients!$S$2:$S$501,"Paid")&gt;0,AND(H434&lt;&gt;"",COUNTIFS(Clients!$E$2:$E$501,H434,Clients!$S$2:$S$501,"Paid")&gt;0)),"⚠ Refunded before – no free video",IF(OR(R434="Contract signed + paid",R434="Closed – No response",R434="Lost"),"",IF(R434="","Set a stage",IF(AND(R434="Proposal sent",SUMIFS(Scoresheet!$N$2:$N$501,Scoresheet!$C$2:$C$501,A434,Scoresheet!$U$2:$U$501,1)&lt;6),"Score this lead – fill the call scoresheet",IF(N(T434)&gt;=Settings!$S$3,"Close – 4 follow-ups sent",IF(U434="",IF(S434="","Make first contact",""),IF(TODAY()&gt;U434,"OVERDUE follow-up",IF(TODAY()=U434,"Follow up today","")))))))))</f>
        <v/>
      </c>
    </row>
    <row r="435" customFormat="false" ht="15" hidden="false" customHeight="false" outlineLevel="0" collapsed="false">
      <c r="A435" s="17"/>
      <c r="B435" s="40"/>
      <c r="C435" s="17"/>
      <c r="D435" s="17"/>
      <c r="E435" s="17"/>
      <c r="F435" s="17"/>
      <c r="G435" s="17"/>
      <c r="H435" s="42"/>
      <c r="I435" s="17"/>
      <c r="J435" s="17"/>
      <c r="K435" s="17"/>
      <c r="L435" s="17"/>
      <c r="M435" s="17"/>
      <c r="N435" s="44" t="str">
        <f aca="false">IF(OR(D435="",A435="",COUNTIFS(Scoresheet!$C$2:$C$501,A435,Scoresheet!$U$2:$U$501,1)=0),"",SUMIFS(Scoresheet!$O$2:$O$501,Scoresheet!$C$2:$C$501,A435,Scoresheet!$U$2:$U$501,1))</f>
        <v/>
      </c>
      <c r="O435" s="44" t="str">
        <f aca="false">IF(D435="","",IF(OR(A435="",COUNTIFS(Scoresheet!$C$2:$C$501,A435,Scoresheet!$U$2:$U$501,1)=0),"No scoresheet yet",IF(SUMIFS(Scoresheet!$N$2:$N$501,Scoresheet!$C$2:$C$501,A435,Scoresheet!$U$2:$U$501,1)&lt;6,"Partly scored ("&amp;SUMIFS(Scoresheet!$N$2:$N$501,Scoresheet!$C$2:$C$501,A435,Scoresheet!$U$2:$U$501,1)&amp;"/6)",IF(N435&gt;=Settings!$S$8,"Hot",IF(N435&gt;=Settings!$S$9,"Warm","Cold")))))</f>
        <v/>
      </c>
      <c r="P435" s="44" t="str">
        <f aca="false">IF(OR(D435="",A435=""),"",IF(AND(COUNTIFS(Scoresheet!$C$2:$C$501,A435,Scoresheet!$U$2:$U$501,1,Scoresheet!$H$2:$H$501,"No")&gt;0,COUNTIFS(Scoresheet!$C$2:$C$501,A435,Scoresheet!$U$2:$U$501,1,Scoresheet!$J$2:$J$501,"No")&gt;0),"🚩 Budget  ·  🚩 No one on camera",IF(COUNTIFS(Scoresheet!$C$2:$C$501,A435,Scoresheet!$U$2:$U$501,1,Scoresheet!$H$2:$H$501,"No")&gt;0,"🚩 Budget under AED 5k",IF(COUNTIFS(Scoresheet!$C$2:$C$501,A435,Scoresheet!$U$2:$U$501,1,Scoresheet!$J$2:$J$501,"No")&gt;0,"🚩 No one on camera",""))))</f>
        <v/>
      </c>
      <c r="Q435" s="17"/>
      <c r="R435" s="17"/>
      <c r="S435" s="40"/>
      <c r="T435" s="17"/>
      <c r="U435" s="45" t="str">
        <f aca="false">IF(OR(D435="",S435="",OR(R435="Contract signed + paid",R435="Closed – No response",R435="Lost"),N(T435)&gt;=Settings!$S$3),"",S435+Settings!$S$2)</f>
        <v/>
      </c>
      <c r="V435" s="40"/>
      <c r="W435" s="41"/>
      <c r="X435" s="17"/>
      <c r="Y435" s="17"/>
      <c r="Z435" s="17"/>
      <c r="AA435" s="46" t="str">
        <f aca="true">IF(OR(D435="",B435=""),"",INT(TODAY()-B435))</f>
        <v/>
      </c>
      <c r="AB435" s="44" t="str">
        <f aca="true">IF(D435="","",IF(OR(COUNTIFS(Clients!$C$2:$C$501,D435,Clients!$S$2:$S$501,"Paid")&gt;0,AND(H435&lt;&gt;"",COUNTIFS(Clients!$E$2:$E$501,H435,Clients!$S$2:$S$501,"Paid")&gt;0)),"⚠ Refunded before – no free video",IF(OR(R435="Contract signed + paid",R435="Closed – No response",R435="Lost"),"",IF(R435="","Set a stage",IF(AND(R435="Proposal sent",SUMIFS(Scoresheet!$N$2:$N$501,Scoresheet!$C$2:$C$501,A435,Scoresheet!$U$2:$U$501,1)&lt;6),"Score this lead – fill the call scoresheet",IF(N(T435)&gt;=Settings!$S$3,"Close – 4 follow-ups sent",IF(U435="",IF(S435="","Make first contact",""),IF(TODAY()&gt;U435,"OVERDUE follow-up",IF(TODAY()=U435,"Follow up today","")))))))))</f>
        <v/>
      </c>
    </row>
    <row r="436" customFormat="false" ht="15" hidden="false" customHeight="false" outlineLevel="0" collapsed="false">
      <c r="A436" s="17"/>
      <c r="B436" s="40"/>
      <c r="C436" s="17"/>
      <c r="D436" s="17"/>
      <c r="E436" s="17"/>
      <c r="F436" s="17"/>
      <c r="G436" s="17"/>
      <c r="H436" s="42"/>
      <c r="I436" s="17"/>
      <c r="J436" s="17"/>
      <c r="K436" s="17"/>
      <c r="L436" s="17"/>
      <c r="M436" s="17"/>
      <c r="N436" s="44" t="str">
        <f aca="false">IF(OR(D436="",A436="",COUNTIFS(Scoresheet!$C$2:$C$501,A436,Scoresheet!$U$2:$U$501,1)=0),"",SUMIFS(Scoresheet!$O$2:$O$501,Scoresheet!$C$2:$C$501,A436,Scoresheet!$U$2:$U$501,1))</f>
        <v/>
      </c>
      <c r="O436" s="44" t="str">
        <f aca="false">IF(D436="","",IF(OR(A436="",COUNTIFS(Scoresheet!$C$2:$C$501,A436,Scoresheet!$U$2:$U$501,1)=0),"No scoresheet yet",IF(SUMIFS(Scoresheet!$N$2:$N$501,Scoresheet!$C$2:$C$501,A436,Scoresheet!$U$2:$U$501,1)&lt;6,"Partly scored ("&amp;SUMIFS(Scoresheet!$N$2:$N$501,Scoresheet!$C$2:$C$501,A436,Scoresheet!$U$2:$U$501,1)&amp;"/6)",IF(N436&gt;=Settings!$S$8,"Hot",IF(N436&gt;=Settings!$S$9,"Warm","Cold")))))</f>
        <v/>
      </c>
      <c r="P436" s="44" t="str">
        <f aca="false">IF(OR(D436="",A436=""),"",IF(AND(COUNTIFS(Scoresheet!$C$2:$C$501,A436,Scoresheet!$U$2:$U$501,1,Scoresheet!$H$2:$H$501,"No")&gt;0,COUNTIFS(Scoresheet!$C$2:$C$501,A436,Scoresheet!$U$2:$U$501,1,Scoresheet!$J$2:$J$501,"No")&gt;0),"🚩 Budget  ·  🚩 No one on camera",IF(COUNTIFS(Scoresheet!$C$2:$C$501,A436,Scoresheet!$U$2:$U$501,1,Scoresheet!$H$2:$H$501,"No")&gt;0,"🚩 Budget under AED 5k",IF(COUNTIFS(Scoresheet!$C$2:$C$501,A436,Scoresheet!$U$2:$U$501,1,Scoresheet!$J$2:$J$501,"No")&gt;0,"🚩 No one on camera",""))))</f>
        <v/>
      </c>
      <c r="Q436" s="17"/>
      <c r="R436" s="17"/>
      <c r="S436" s="40"/>
      <c r="T436" s="17"/>
      <c r="U436" s="45" t="str">
        <f aca="false">IF(OR(D436="",S436="",OR(R436="Contract signed + paid",R436="Closed – No response",R436="Lost"),N(T436)&gt;=Settings!$S$3),"",S436+Settings!$S$2)</f>
        <v/>
      </c>
      <c r="V436" s="40"/>
      <c r="W436" s="41"/>
      <c r="X436" s="17"/>
      <c r="Y436" s="17"/>
      <c r="Z436" s="17"/>
      <c r="AA436" s="46" t="str">
        <f aca="true">IF(OR(D436="",B436=""),"",INT(TODAY()-B436))</f>
        <v/>
      </c>
      <c r="AB436" s="44" t="str">
        <f aca="true">IF(D436="","",IF(OR(COUNTIFS(Clients!$C$2:$C$501,D436,Clients!$S$2:$S$501,"Paid")&gt;0,AND(H436&lt;&gt;"",COUNTIFS(Clients!$E$2:$E$501,H436,Clients!$S$2:$S$501,"Paid")&gt;0)),"⚠ Refunded before – no free video",IF(OR(R436="Contract signed + paid",R436="Closed – No response",R436="Lost"),"",IF(R436="","Set a stage",IF(AND(R436="Proposal sent",SUMIFS(Scoresheet!$N$2:$N$501,Scoresheet!$C$2:$C$501,A436,Scoresheet!$U$2:$U$501,1)&lt;6),"Score this lead – fill the call scoresheet",IF(N(T436)&gt;=Settings!$S$3,"Close – 4 follow-ups sent",IF(U436="",IF(S436="","Make first contact",""),IF(TODAY()&gt;U436,"OVERDUE follow-up",IF(TODAY()=U436,"Follow up today","")))))))))</f>
        <v/>
      </c>
    </row>
    <row r="437" customFormat="false" ht="15" hidden="false" customHeight="false" outlineLevel="0" collapsed="false">
      <c r="A437" s="17"/>
      <c r="B437" s="40"/>
      <c r="C437" s="17"/>
      <c r="D437" s="17"/>
      <c r="E437" s="17"/>
      <c r="F437" s="17"/>
      <c r="G437" s="17"/>
      <c r="H437" s="42"/>
      <c r="I437" s="17"/>
      <c r="J437" s="17"/>
      <c r="K437" s="17"/>
      <c r="L437" s="17"/>
      <c r="M437" s="17"/>
      <c r="N437" s="44" t="str">
        <f aca="false">IF(OR(D437="",A437="",COUNTIFS(Scoresheet!$C$2:$C$501,A437,Scoresheet!$U$2:$U$501,1)=0),"",SUMIFS(Scoresheet!$O$2:$O$501,Scoresheet!$C$2:$C$501,A437,Scoresheet!$U$2:$U$501,1))</f>
        <v/>
      </c>
      <c r="O437" s="44" t="str">
        <f aca="false">IF(D437="","",IF(OR(A437="",COUNTIFS(Scoresheet!$C$2:$C$501,A437,Scoresheet!$U$2:$U$501,1)=0),"No scoresheet yet",IF(SUMIFS(Scoresheet!$N$2:$N$501,Scoresheet!$C$2:$C$501,A437,Scoresheet!$U$2:$U$501,1)&lt;6,"Partly scored ("&amp;SUMIFS(Scoresheet!$N$2:$N$501,Scoresheet!$C$2:$C$501,A437,Scoresheet!$U$2:$U$501,1)&amp;"/6)",IF(N437&gt;=Settings!$S$8,"Hot",IF(N437&gt;=Settings!$S$9,"Warm","Cold")))))</f>
        <v/>
      </c>
      <c r="P437" s="44" t="str">
        <f aca="false">IF(OR(D437="",A437=""),"",IF(AND(COUNTIFS(Scoresheet!$C$2:$C$501,A437,Scoresheet!$U$2:$U$501,1,Scoresheet!$H$2:$H$501,"No")&gt;0,COUNTIFS(Scoresheet!$C$2:$C$501,A437,Scoresheet!$U$2:$U$501,1,Scoresheet!$J$2:$J$501,"No")&gt;0),"🚩 Budget  ·  🚩 No one on camera",IF(COUNTIFS(Scoresheet!$C$2:$C$501,A437,Scoresheet!$U$2:$U$501,1,Scoresheet!$H$2:$H$501,"No")&gt;0,"🚩 Budget under AED 5k",IF(COUNTIFS(Scoresheet!$C$2:$C$501,A437,Scoresheet!$U$2:$U$501,1,Scoresheet!$J$2:$J$501,"No")&gt;0,"🚩 No one on camera",""))))</f>
        <v/>
      </c>
      <c r="Q437" s="17"/>
      <c r="R437" s="17"/>
      <c r="S437" s="40"/>
      <c r="T437" s="17"/>
      <c r="U437" s="45" t="str">
        <f aca="false">IF(OR(D437="",S437="",OR(R437="Contract signed + paid",R437="Closed – No response",R437="Lost"),N(T437)&gt;=Settings!$S$3),"",S437+Settings!$S$2)</f>
        <v/>
      </c>
      <c r="V437" s="40"/>
      <c r="W437" s="41"/>
      <c r="X437" s="17"/>
      <c r="Y437" s="17"/>
      <c r="Z437" s="17"/>
      <c r="AA437" s="46" t="str">
        <f aca="true">IF(OR(D437="",B437=""),"",INT(TODAY()-B437))</f>
        <v/>
      </c>
      <c r="AB437" s="44" t="str">
        <f aca="true">IF(D437="","",IF(OR(COUNTIFS(Clients!$C$2:$C$501,D437,Clients!$S$2:$S$501,"Paid")&gt;0,AND(H437&lt;&gt;"",COUNTIFS(Clients!$E$2:$E$501,H437,Clients!$S$2:$S$501,"Paid")&gt;0)),"⚠ Refunded before – no free video",IF(OR(R437="Contract signed + paid",R437="Closed – No response",R437="Lost"),"",IF(R437="","Set a stage",IF(AND(R437="Proposal sent",SUMIFS(Scoresheet!$N$2:$N$501,Scoresheet!$C$2:$C$501,A437,Scoresheet!$U$2:$U$501,1)&lt;6),"Score this lead – fill the call scoresheet",IF(N(T437)&gt;=Settings!$S$3,"Close – 4 follow-ups sent",IF(U437="",IF(S437="","Make first contact",""),IF(TODAY()&gt;U437,"OVERDUE follow-up",IF(TODAY()=U437,"Follow up today","")))))))))</f>
        <v/>
      </c>
    </row>
    <row r="438" customFormat="false" ht="15" hidden="false" customHeight="false" outlineLevel="0" collapsed="false">
      <c r="A438" s="17"/>
      <c r="B438" s="40"/>
      <c r="C438" s="17"/>
      <c r="D438" s="17"/>
      <c r="E438" s="17"/>
      <c r="F438" s="17"/>
      <c r="G438" s="17"/>
      <c r="H438" s="42"/>
      <c r="I438" s="17"/>
      <c r="J438" s="17"/>
      <c r="K438" s="17"/>
      <c r="L438" s="17"/>
      <c r="M438" s="17"/>
      <c r="N438" s="44" t="str">
        <f aca="false">IF(OR(D438="",A438="",COUNTIFS(Scoresheet!$C$2:$C$501,A438,Scoresheet!$U$2:$U$501,1)=0),"",SUMIFS(Scoresheet!$O$2:$O$501,Scoresheet!$C$2:$C$501,A438,Scoresheet!$U$2:$U$501,1))</f>
        <v/>
      </c>
      <c r="O438" s="44" t="str">
        <f aca="false">IF(D438="","",IF(OR(A438="",COUNTIFS(Scoresheet!$C$2:$C$501,A438,Scoresheet!$U$2:$U$501,1)=0),"No scoresheet yet",IF(SUMIFS(Scoresheet!$N$2:$N$501,Scoresheet!$C$2:$C$501,A438,Scoresheet!$U$2:$U$501,1)&lt;6,"Partly scored ("&amp;SUMIFS(Scoresheet!$N$2:$N$501,Scoresheet!$C$2:$C$501,A438,Scoresheet!$U$2:$U$501,1)&amp;"/6)",IF(N438&gt;=Settings!$S$8,"Hot",IF(N438&gt;=Settings!$S$9,"Warm","Cold")))))</f>
        <v/>
      </c>
      <c r="P438" s="44" t="str">
        <f aca="false">IF(OR(D438="",A438=""),"",IF(AND(COUNTIFS(Scoresheet!$C$2:$C$501,A438,Scoresheet!$U$2:$U$501,1,Scoresheet!$H$2:$H$501,"No")&gt;0,COUNTIFS(Scoresheet!$C$2:$C$501,A438,Scoresheet!$U$2:$U$501,1,Scoresheet!$J$2:$J$501,"No")&gt;0),"🚩 Budget  ·  🚩 No one on camera",IF(COUNTIFS(Scoresheet!$C$2:$C$501,A438,Scoresheet!$U$2:$U$501,1,Scoresheet!$H$2:$H$501,"No")&gt;0,"🚩 Budget under AED 5k",IF(COUNTIFS(Scoresheet!$C$2:$C$501,A438,Scoresheet!$U$2:$U$501,1,Scoresheet!$J$2:$J$501,"No")&gt;0,"🚩 No one on camera",""))))</f>
        <v/>
      </c>
      <c r="Q438" s="17"/>
      <c r="R438" s="17"/>
      <c r="S438" s="40"/>
      <c r="T438" s="17"/>
      <c r="U438" s="45" t="str">
        <f aca="false">IF(OR(D438="",S438="",OR(R438="Contract signed + paid",R438="Closed – No response",R438="Lost"),N(T438)&gt;=Settings!$S$3),"",S438+Settings!$S$2)</f>
        <v/>
      </c>
      <c r="V438" s="40"/>
      <c r="W438" s="41"/>
      <c r="X438" s="17"/>
      <c r="Y438" s="17"/>
      <c r="Z438" s="17"/>
      <c r="AA438" s="46" t="str">
        <f aca="true">IF(OR(D438="",B438=""),"",INT(TODAY()-B438))</f>
        <v/>
      </c>
      <c r="AB438" s="44" t="str">
        <f aca="true">IF(D438="","",IF(OR(COUNTIFS(Clients!$C$2:$C$501,D438,Clients!$S$2:$S$501,"Paid")&gt;0,AND(H438&lt;&gt;"",COUNTIFS(Clients!$E$2:$E$501,H438,Clients!$S$2:$S$501,"Paid")&gt;0)),"⚠ Refunded before – no free video",IF(OR(R438="Contract signed + paid",R438="Closed – No response",R438="Lost"),"",IF(R438="","Set a stage",IF(AND(R438="Proposal sent",SUMIFS(Scoresheet!$N$2:$N$501,Scoresheet!$C$2:$C$501,A438,Scoresheet!$U$2:$U$501,1)&lt;6),"Score this lead – fill the call scoresheet",IF(N(T438)&gt;=Settings!$S$3,"Close – 4 follow-ups sent",IF(U438="",IF(S438="","Make first contact",""),IF(TODAY()&gt;U438,"OVERDUE follow-up",IF(TODAY()=U438,"Follow up today","")))))))))</f>
        <v/>
      </c>
    </row>
    <row r="439" customFormat="false" ht="15" hidden="false" customHeight="false" outlineLevel="0" collapsed="false">
      <c r="A439" s="17"/>
      <c r="B439" s="40"/>
      <c r="C439" s="17"/>
      <c r="D439" s="17"/>
      <c r="E439" s="17"/>
      <c r="F439" s="17"/>
      <c r="G439" s="17"/>
      <c r="H439" s="42"/>
      <c r="I439" s="17"/>
      <c r="J439" s="17"/>
      <c r="K439" s="17"/>
      <c r="L439" s="17"/>
      <c r="M439" s="17"/>
      <c r="N439" s="44" t="str">
        <f aca="false">IF(OR(D439="",A439="",COUNTIFS(Scoresheet!$C$2:$C$501,A439,Scoresheet!$U$2:$U$501,1)=0),"",SUMIFS(Scoresheet!$O$2:$O$501,Scoresheet!$C$2:$C$501,A439,Scoresheet!$U$2:$U$501,1))</f>
        <v/>
      </c>
      <c r="O439" s="44" t="str">
        <f aca="false">IF(D439="","",IF(OR(A439="",COUNTIFS(Scoresheet!$C$2:$C$501,A439,Scoresheet!$U$2:$U$501,1)=0),"No scoresheet yet",IF(SUMIFS(Scoresheet!$N$2:$N$501,Scoresheet!$C$2:$C$501,A439,Scoresheet!$U$2:$U$501,1)&lt;6,"Partly scored ("&amp;SUMIFS(Scoresheet!$N$2:$N$501,Scoresheet!$C$2:$C$501,A439,Scoresheet!$U$2:$U$501,1)&amp;"/6)",IF(N439&gt;=Settings!$S$8,"Hot",IF(N439&gt;=Settings!$S$9,"Warm","Cold")))))</f>
        <v/>
      </c>
      <c r="P439" s="44" t="str">
        <f aca="false">IF(OR(D439="",A439=""),"",IF(AND(COUNTIFS(Scoresheet!$C$2:$C$501,A439,Scoresheet!$U$2:$U$501,1,Scoresheet!$H$2:$H$501,"No")&gt;0,COUNTIFS(Scoresheet!$C$2:$C$501,A439,Scoresheet!$U$2:$U$501,1,Scoresheet!$J$2:$J$501,"No")&gt;0),"🚩 Budget  ·  🚩 No one on camera",IF(COUNTIFS(Scoresheet!$C$2:$C$501,A439,Scoresheet!$U$2:$U$501,1,Scoresheet!$H$2:$H$501,"No")&gt;0,"🚩 Budget under AED 5k",IF(COUNTIFS(Scoresheet!$C$2:$C$501,A439,Scoresheet!$U$2:$U$501,1,Scoresheet!$J$2:$J$501,"No")&gt;0,"🚩 No one on camera",""))))</f>
        <v/>
      </c>
      <c r="Q439" s="17"/>
      <c r="R439" s="17"/>
      <c r="S439" s="40"/>
      <c r="T439" s="17"/>
      <c r="U439" s="45" t="str">
        <f aca="false">IF(OR(D439="",S439="",OR(R439="Contract signed + paid",R439="Closed – No response",R439="Lost"),N(T439)&gt;=Settings!$S$3),"",S439+Settings!$S$2)</f>
        <v/>
      </c>
      <c r="V439" s="40"/>
      <c r="W439" s="41"/>
      <c r="X439" s="17"/>
      <c r="Y439" s="17"/>
      <c r="Z439" s="17"/>
      <c r="AA439" s="46" t="str">
        <f aca="true">IF(OR(D439="",B439=""),"",INT(TODAY()-B439))</f>
        <v/>
      </c>
      <c r="AB439" s="44" t="str">
        <f aca="true">IF(D439="","",IF(OR(COUNTIFS(Clients!$C$2:$C$501,D439,Clients!$S$2:$S$501,"Paid")&gt;0,AND(H439&lt;&gt;"",COUNTIFS(Clients!$E$2:$E$501,H439,Clients!$S$2:$S$501,"Paid")&gt;0)),"⚠ Refunded before – no free video",IF(OR(R439="Contract signed + paid",R439="Closed – No response",R439="Lost"),"",IF(R439="","Set a stage",IF(AND(R439="Proposal sent",SUMIFS(Scoresheet!$N$2:$N$501,Scoresheet!$C$2:$C$501,A439,Scoresheet!$U$2:$U$501,1)&lt;6),"Score this lead – fill the call scoresheet",IF(N(T439)&gt;=Settings!$S$3,"Close – 4 follow-ups sent",IF(U439="",IF(S439="","Make first contact",""),IF(TODAY()&gt;U439,"OVERDUE follow-up",IF(TODAY()=U439,"Follow up today","")))))))))</f>
        <v/>
      </c>
    </row>
    <row r="440" customFormat="false" ht="15" hidden="false" customHeight="false" outlineLevel="0" collapsed="false">
      <c r="A440" s="17"/>
      <c r="B440" s="40"/>
      <c r="C440" s="17"/>
      <c r="D440" s="17"/>
      <c r="E440" s="17"/>
      <c r="F440" s="17"/>
      <c r="G440" s="17"/>
      <c r="H440" s="42"/>
      <c r="I440" s="17"/>
      <c r="J440" s="17"/>
      <c r="K440" s="17"/>
      <c r="L440" s="17"/>
      <c r="M440" s="17"/>
      <c r="N440" s="44" t="str">
        <f aca="false">IF(OR(D440="",A440="",COUNTIFS(Scoresheet!$C$2:$C$501,A440,Scoresheet!$U$2:$U$501,1)=0),"",SUMIFS(Scoresheet!$O$2:$O$501,Scoresheet!$C$2:$C$501,A440,Scoresheet!$U$2:$U$501,1))</f>
        <v/>
      </c>
      <c r="O440" s="44" t="str">
        <f aca="false">IF(D440="","",IF(OR(A440="",COUNTIFS(Scoresheet!$C$2:$C$501,A440,Scoresheet!$U$2:$U$501,1)=0),"No scoresheet yet",IF(SUMIFS(Scoresheet!$N$2:$N$501,Scoresheet!$C$2:$C$501,A440,Scoresheet!$U$2:$U$501,1)&lt;6,"Partly scored ("&amp;SUMIFS(Scoresheet!$N$2:$N$501,Scoresheet!$C$2:$C$501,A440,Scoresheet!$U$2:$U$501,1)&amp;"/6)",IF(N440&gt;=Settings!$S$8,"Hot",IF(N440&gt;=Settings!$S$9,"Warm","Cold")))))</f>
        <v/>
      </c>
      <c r="P440" s="44" t="str">
        <f aca="false">IF(OR(D440="",A440=""),"",IF(AND(COUNTIFS(Scoresheet!$C$2:$C$501,A440,Scoresheet!$U$2:$U$501,1,Scoresheet!$H$2:$H$501,"No")&gt;0,COUNTIFS(Scoresheet!$C$2:$C$501,A440,Scoresheet!$U$2:$U$501,1,Scoresheet!$J$2:$J$501,"No")&gt;0),"🚩 Budget  ·  🚩 No one on camera",IF(COUNTIFS(Scoresheet!$C$2:$C$501,A440,Scoresheet!$U$2:$U$501,1,Scoresheet!$H$2:$H$501,"No")&gt;0,"🚩 Budget under AED 5k",IF(COUNTIFS(Scoresheet!$C$2:$C$501,A440,Scoresheet!$U$2:$U$501,1,Scoresheet!$J$2:$J$501,"No")&gt;0,"🚩 No one on camera",""))))</f>
        <v/>
      </c>
      <c r="Q440" s="17"/>
      <c r="R440" s="17"/>
      <c r="S440" s="40"/>
      <c r="T440" s="17"/>
      <c r="U440" s="45" t="str">
        <f aca="false">IF(OR(D440="",S440="",OR(R440="Contract signed + paid",R440="Closed – No response",R440="Lost"),N(T440)&gt;=Settings!$S$3),"",S440+Settings!$S$2)</f>
        <v/>
      </c>
      <c r="V440" s="40"/>
      <c r="W440" s="41"/>
      <c r="X440" s="17"/>
      <c r="Y440" s="17"/>
      <c r="Z440" s="17"/>
      <c r="AA440" s="46" t="str">
        <f aca="true">IF(OR(D440="",B440=""),"",INT(TODAY()-B440))</f>
        <v/>
      </c>
      <c r="AB440" s="44" t="str">
        <f aca="true">IF(D440="","",IF(OR(COUNTIFS(Clients!$C$2:$C$501,D440,Clients!$S$2:$S$501,"Paid")&gt;0,AND(H440&lt;&gt;"",COUNTIFS(Clients!$E$2:$E$501,H440,Clients!$S$2:$S$501,"Paid")&gt;0)),"⚠ Refunded before – no free video",IF(OR(R440="Contract signed + paid",R440="Closed – No response",R440="Lost"),"",IF(R440="","Set a stage",IF(AND(R440="Proposal sent",SUMIFS(Scoresheet!$N$2:$N$501,Scoresheet!$C$2:$C$501,A440,Scoresheet!$U$2:$U$501,1)&lt;6),"Score this lead – fill the call scoresheet",IF(N(T440)&gt;=Settings!$S$3,"Close – 4 follow-ups sent",IF(U440="",IF(S440="","Make first contact",""),IF(TODAY()&gt;U440,"OVERDUE follow-up",IF(TODAY()=U440,"Follow up today","")))))))))</f>
        <v/>
      </c>
    </row>
    <row r="441" customFormat="false" ht="15" hidden="false" customHeight="false" outlineLevel="0" collapsed="false">
      <c r="A441" s="17"/>
      <c r="B441" s="40"/>
      <c r="C441" s="17"/>
      <c r="D441" s="17"/>
      <c r="E441" s="17"/>
      <c r="F441" s="17"/>
      <c r="G441" s="17"/>
      <c r="H441" s="42"/>
      <c r="I441" s="17"/>
      <c r="J441" s="17"/>
      <c r="K441" s="17"/>
      <c r="L441" s="17"/>
      <c r="M441" s="17"/>
      <c r="N441" s="44" t="str">
        <f aca="false">IF(OR(D441="",A441="",COUNTIFS(Scoresheet!$C$2:$C$501,A441,Scoresheet!$U$2:$U$501,1)=0),"",SUMIFS(Scoresheet!$O$2:$O$501,Scoresheet!$C$2:$C$501,A441,Scoresheet!$U$2:$U$501,1))</f>
        <v/>
      </c>
      <c r="O441" s="44" t="str">
        <f aca="false">IF(D441="","",IF(OR(A441="",COUNTIFS(Scoresheet!$C$2:$C$501,A441,Scoresheet!$U$2:$U$501,1)=0),"No scoresheet yet",IF(SUMIFS(Scoresheet!$N$2:$N$501,Scoresheet!$C$2:$C$501,A441,Scoresheet!$U$2:$U$501,1)&lt;6,"Partly scored ("&amp;SUMIFS(Scoresheet!$N$2:$N$501,Scoresheet!$C$2:$C$501,A441,Scoresheet!$U$2:$U$501,1)&amp;"/6)",IF(N441&gt;=Settings!$S$8,"Hot",IF(N441&gt;=Settings!$S$9,"Warm","Cold")))))</f>
        <v/>
      </c>
      <c r="P441" s="44" t="str">
        <f aca="false">IF(OR(D441="",A441=""),"",IF(AND(COUNTIFS(Scoresheet!$C$2:$C$501,A441,Scoresheet!$U$2:$U$501,1,Scoresheet!$H$2:$H$501,"No")&gt;0,COUNTIFS(Scoresheet!$C$2:$C$501,A441,Scoresheet!$U$2:$U$501,1,Scoresheet!$J$2:$J$501,"No")&gt;0),"🚩 Budget  ·  🚩 No one on camera",IF(COUNTIFS(Scoresheet!$C$2:$C$501,A441,Scoresheet!$U$2:$U$501,1,Scoresheet!$H$2:$H$501,"No")&gt;0,"🚩 Budget under AED 5k",IF(COUNTIFS(Scoresheet!$C$2:$C$501,A441,Scoresheet!$U$2:$U$501,1,Scoresheet!$J$2:$J$501,"No")&gt;0,"🚩 No one on camera",""))))</f>
        <v/>
      </c>
      <c r="Q441" s="17"/>
      <c r="R441" s="17"/>
      <c r="S441" s="40"/>
      <c r="T441" s="17"/>
      <c r="U441" s="45" t="str">
        <f aca="false">IF(OR(D441="",S441="",OR(R441="Contract signed + paid",R441="Closed – No response",R441="Lost"),N(T441)&gt;=Settings!$S$3),"",S441+Settings!$S$2)</f>
        <v/>
      </c>
      <c r="V441" s="40"/>
      <c r="W441" s="41"/>
      <c r="X441" s="17"/>
      <c r="Y441" s="17"/>
      <c r="Z441" s="17"/>
      <c r="AA441" s="46" t="str">
        <f aca="true">IF(OR(D441="",B441=""),"",INT(TODAY()-B441))</f>
        <v/>
      </c>
      <c r="AB441" s="44" t="str">
        <f aca="true">IF(D441="","",IF(OR(COUNTIFS(Clients!$C$2:$C$501,D441,Clients!$S$2:$S$501,"Paid")&gt;0,AND(H441&lt;&gt;"",COUNTIFS(Clients!$E$2:$E$501,H441,Clients!$S$2:$S$501,"Paid")&gt;0)),"⚠ Refunded before – no free video",IF(OR(R441="Contract signed + paid",R441="Closed – No response",R441="Lost"),"",IF(R441="","Set a stage",IF(AND(R441="Proposal sent",SUMIFS(Scoresheet!$N$2:$N$501,Scoresheet!$C$2:$C$501,A441,Scoresheet!$U$2:$U$501,1)&lt;6),"Score this lead – fill the call scoresheet",IF(N(T441)&gt;=Settings!$S$3,"Close – 4 follow-ups sent",IF(U441="",IF(S441="","Make first contact",""),IF(TODAY()&gt;U441,"OVERDUE follow-up",IF(TODAY()=U441,"Follow up today","")))))))))</f>
        <v/>
      </c>
    </row>
    <row r="442" customFormat="false" ht="15" hidden="false" customHeight="false" outlineLevel="0" collapsed="false">
      <c r="A442" s="17"/>
      <c r="B442" s="40"/>
      <c r="C442" s="17"/>
      <c r="D442" s="17"/>
      <c r="E442" s="17"/>
      <c r="F442" s="17"/>
      <c r="G442" s="17"/>
      <c r="H442" s="42"/>
      <c r="I442" s="17"/>
      <c r="J442" s="17"/>
      <c r="K442" s="17"/>
      <c r="L442" s="17"/>
      <c r="M442" s="17"/>
      <c r="N442" s="44" t="str">
        <f aca="false">IF(OR(D442="",A442="",COUNTIFS(Scoresheet!$C$2:$C$501,A442,Scoresheet!$U$2:$U$501,1)=0),"",SUMIFS(Scoresheet!$O$2:$O$501,Scoresheet!$C$2:$C$501,A442,Scoresheet!$U$2:$U$501,1))</f>
        <v/>
      </c>
      <c r="O442" s="44" t="str">
        <f aca="false">IF(D442="","",IF(OR(A442="",COUNTIFS(Scoresheet!$C$2:$C$501,A442,Scoresheet!$U$2:$U$501,1)=0),"No scoresheet yet",IF(SUMIFS(Scoresheet!$N$2:$N$501,Scoresheet!$C$2:$C$501,A442,Scoresheet!$U$2:$U$501,1)&lt;6,"Partly scored ("&amp;SUMIFS(Scoresheet!$N$2:$N$501,Scoresheet!$C$2:$C$501,A442,Scoresheet!$U$2:$U$501,1)&amp;"/6)",IF(N442&gt;=Settings!$S$8,"Hot",IF(N442&gt;=Settings!$S$9,"Warm","Cold")))))</f>
        <v/>
      </c>
      <c r="P442" s="44" t="str">
        <f aca="false">IF(OR(D442="",A442=""),"",IF(AND(COUNTIFS(Scoresheet!$C$2:$C$501,A442,Scoresheet!$U$2:$U$501,1,Scoresheet!$H$2:$H$501,"No")&gt;0,COUNTIFS(Scoresheet!$C$2:$C$501,A442,Scoresheet!$U$2:$U$501,1,Scoresheet!$J$2:$J$501,"No")&gt;0),"🚩 Budget  ·  🚩 No one on camera",IF(COUNTIFS(Scoresheet!$C$2:$C$501,A442,Scoresheet!$U$2:$U$501,1,Scoresheet!$H$2:$H$501,"No")&gt;0,"🚩 Budget under AED 5k",IF(COUNTIFS(Scoresheet!$C$2:$C$501,A442,Scoresheet!$U$2:$U$501,1,Scoresheet!$J$2:$J$501,"No")&gt;0,"🚩 No one on camera",""))))</f>
        <v/>
      </c>
      <c r="Q442" s="17"/>
      <c r="R442" s="17"/>
      <c r="S442" s="40"/>
      <c r="T442" s="17"/>
      <c r="U442" s="45" t="str">
        <f aca="false">IF(OR(D442="",S442="",OR(R442="Contract signed + paid",R442="Closed – No response",R442="Lost"),N(T442)&gt;=Settings!$S$3),"",S442+Settings!$S$2)</f>
        <v/>
      </c>
      <c r="V442" s="40"/>
      <c r="W442" s="41"/>
      <c r="X442" s="17"/>
      <c r="Y442" s="17"/>
      <c r="Z442" s="17"/>
      <c r="AA442" s="46" t="str">
        <f aca="true">IF(OR(D442="",B442=""),"",INT(TODAY()-B442))</f>
        <v/>
      </c>
      <c r="AB442" s="44" t="str">
        <f aca="true">IF(D442="","",IF(OR(COUNTIFS(Clients!$C$2:$C$501,D442,Clients!$S$2:$S$501,"Paid")&gt;0,AND(H442&lt;&gt;"",COUNTIFS(Clients!$E$2:$E$501,H442,Clients!$S$2:$S$501,"Paid")&gt;0)),"⚠ Refunded before – no free video",IF(OR(R442="Contract signed + paid",R442="Closed – No response",R442="Lost"),"",IF(R442="","Set a stage",IF(AND(R442="Proposal sent",SUMIFS(Scoresheet!$N$2:$N$501,Scoresheet!$C$2:$C$501,A442,Scoresheet!$U$2:$U$501,1)&lt;6),"Score this lead – fill the call scoresheet",IF(N(T442)&gt;=Settings!$S$3,"Close – 4 follow-ups sent",IF(U442="",IF(S442="","Make first contact",""),IF(TODAY()&gt;U442,"OVERDUE follow-up",IF(TODAY()=U442,"Follow up today","")))))))))</f>
        <v/>
      </c>
    </row>
    <row r="443" customFormat="false" ht="15" hidden="false" customHeight="false" outlineLevel="0" collapsed="false">
      <c r="A443" s="17"/>
      <c r="B443" s="40"/>
      <c r="C443" s="17"/>
      <c r="D443" s="17"/>
      <c r="E443" s="17"/>
      <c r="F443" s="17"/>
      <c r="G443" s="17"/>
      <c r="H443" s="42"/>
      <c r="I443" s="17"/>
      <c r="J443" s="17"/>
      <c r="K443" s="17"/>
      <c r="L443" s="17"/>
      <c r="M443" s="17"/>
      <c r="N443" s="44" t="str">
        <f aca="false">IF(OR(D443="",A443="",COUNTIFS(Scoresheet!$C$2:$C$501,A443,Scoresheet!$U$2:$U$501,1)=0),"",SUMIFS(Scoresheet!$O$2:$O$501,Scoresheet!$C$2:$C$501,A443,Scoresheet!$U$2:$U$501,1))</f>
        <v/>
      </c>
      <c r="O443" s="44" t="str">
        <f aca="false">IF(D443="","",IF(OR(A443="",COUNTIFS(Scoresheet!$C$2:$C$501,A443,Scoresheet!$U$2:$U$501,1)=0),"No scoresheet yet",IF(SUMIFS(Scoresheet!$N$2:$N$501,Scoresheet!$C$2:$C$501,A443,Scoresheet!$U$2:$U$501,1)&lt;6,"Partly scored ("&amp;SUMIFS(Scoresheet!$N$2:$N$501,Scoresheet!$C$2:$C$501,A443,Scoresheet!$U$2:$U$501,1)&amp;"/6)",IF(N443&gt;=Settings!$S$8,"Hot",IF(N443&gt;=Settings!$S$9,"Warm","Cold")))))</f>
        <v/>
      </c>
      <c r="P443" s="44" t="str">
        <f aca="false">IF(OR(D443="",A443=""),"",IF(AND(COUNTIFS(Scoresheet!$C$2:$C$501,A443,Scoresheet!$U$2:$U$501,1,Scoresheet!$H$2:$H$501,"No")&gt;0,COUNTIFS(Scoresheet!$C$2:$C$501,A443,Scoresheet!$U$2:$U$501,1,Scoresheet!$J$2:$J$501,"No")&gt;0),"🚩 Budget  ·  🚩 No one on camera",IF(COUNTIFS(Scoresheet!$C$2:$C$501,A443,Scoresheet!$U$2:$U$501,1,Scoresheet!$H$2:$H$501,"No")&gt;0,"🚩 Budget under AED 5k",IF(COUNTIFS(Scoresheet!$C$2:$C$501,A443,Scoresheet!$U$2:$U$501,1,Scoresheet!$J$2:$J$501,"No")&gt;0,"🚩 No one on camera",""))))</f>
        <v/>
      </c>
      <c r="Q443" s="17"/>
      <c r="R443" s="17"/>
      <c r="S443" s="40"/>
      <c r="T443" s="17"/>
      <c r="U443" s="45" t="str">
        <f aca="false">IF(OR(D443="",S443="",OR(R443="Contract signed + paid",R443="Closed – No response",R443="Lost"),N(T443)&gt;=Settings!$S$3),"",S443+Settings!$S$2)</f>
        <v/>
      </c>
      <c r="V443" s="40"/>
      <c r="W443" s="41"/>
      <c r="X443" s="17"/>
      <c r="Y443" s="17"/>
      <c r="Z443" s="17"/>
      <c r="AA443" s="46" t="str">
        <f aca="true">IF(OR(D443="",B443=""),"",INT(TODAY()-B443))</f>
        <v/>
      </c>
      <c r="AB443" s="44" t="str">
        <f aca="true">IF(D443="","",IF(OR(COUNTIFS(Clients!$C$2:$C$501,D443,Clients!$S$2:$S$501,"Paid")&gt;0,AND(H443&lt;&gt;"",COUNTIFS(Clients!$E$2:$E$501,H443,Clients!$S$2:$S$501,"Paid")&gt;0)),"⚠ Refunded before – no free video",IF(OR(R443="Contract signed + paid",R443="Closed – No response",R443="Lost"),"",IF(R443="","Set a stage",IF(AND(R443="Proposal sent",SUMIFS(Scoresheet!$N$2:$N$501,Scoresheet!$C$2:$C$501,A443,Scoresheet!$U$2:$U$501,1)&lt;6),"Score this lead – fill the call scoresheet",IF(N(T443)&gt;=Settings!$S$3,"Close – 4 follow-ups sent",IF(U443="",IF(S443="","Make first contact",""),IF(TODAY()&gt;U443,"OVERDUE follow-up",IF(TODAY()=U443,"Follow up today","")))))))))</f>
        <v/>
      </c>
    </row>
    <row r="444" customFormat="false" ht="15" hidden="false" customHeight="false" outlineLevel="0" collapsed="false">
      <c r="A444" s="17"/>
      <c r="B444" s="40"/>
      <c r="C444" s="17"/>
      <c r="D444" s="17"/>
      <c r="E444" s="17"/>
      <c r="F444" s="17"/>
      <c r="G444" s="17"/>
      <c r="H444" s="42"/>
      <c r="I444" s="17"/>
      <c r="J444" s="17"/>
      <c r="K444" s="17"/>
      <c r="L444" s="17"/>
      <c r="M444" s="17"/>
      <c r="N444" s="44" t="str">
        <f aca="false">IF(OR(D444="",A444="",COUNTIFS(Scoresheet!$C$2:$C$501,A444,Scoresheet!$U$2:$U$501,1)=0),"",SUMIFS(Scoresheet!$O$2:$O$501,Scoresheet!$C$2:$C$501,A444,Scoresheet!$U$2:$U$501,1))</f>
        <v/>
      </c>
      <c r="O444" s="44" t="str">
        <f aca="false">IF(D444="","",IF(OR(A444="",COUNTIFS(Scoresheet!$C$2:$C$501,A444,Scoresheet!$U$2:$U$501,1)=0),"No scoresheet yet",IF(SUMIFS(Scoresheet!$N$2:$N$501,Scoresheet!$C$2:$C$501,A444,Scoresheet!$U$2:$U$501,1)&lt;6,"Partly scored ("&amp;SUMIFS(Scoresheet!$N$2:$N$501,Scoresheet!$C$2:$C$501,A444,Scoresheet!$U$2:$U$501,1)&amp;"/6)",IF(N444&gt;=Settings!$S$8,"Hot",IF(N444&gt;=Settings!$S$9,"Warm","Cold")))))</f>
        <v/>
      </c>
      <c r="P444" s="44" t="str">
        <f aca="false">IF(OR(D444="",A444=""),"",IF(AND(COUNTIFS(Scoresheet!$C$2:$C$501,A444,Scoresheet!$U$2:$U$501,1,Scoresheet!$H$2:$H$501,"No")&gt;0,COUNTIFS(Scoresheet!$C$2:$C$501,A444,Scoresheet!$U$2:$U$501,1,Scoresheet!$J$2:$J$501,"No")&gt;0),"🚩 Budget  ·  🚩 No one on camera",IF(COUNTIFS(Scoresheet!$C$2:$C$501,A444,Scoresheet!$U$2:$U$501,1,Scoresheet!$H$2:$H$501,"No")&gt;0,"🚩 Budget under AED 5k",IF(COUNTIFS(Scoresheet!$C$2:$C$501,A444,Scoresheet!$U$2:$U$501,1,Scoresheet!$J$2:$J$501,"No")&gt;0,"🚩 No one on camera",""))))</f>
        <v/>
      </c>
      <c r="Q444" s="17"/>
      <c r="R444" s="17"/>
      <c r="S444" s="40"/>
      <c r="T444" s="17"/>
      <c r="U444" s="45" t="str">
        <f aca="false">IF(OR(D444="",S444="",OR(R444="Contract signed + paid",R444="Closed – No response",R444="Lost"),N(T444)&gt;=Settings!$S$3),"",S444+Settings!$S$2)</f>
        <v/>
      </c>
      <c r="V444" s="40"/>
      <c r="W444" s="41"/>
      <c r="X444" s="17"/>
      <c r="Y444" s="17"/>
      <c r="Z444" s="17"/>
      <c r="AA444" s="46" t="str">
        <f aca="true">IF(OR(D444="",B444=""),"",INT(TODAY()-B444))</f>
        <v/>
      </c>
      <c r="AB444" s="44" t="str">
        <f aca="true">IF(D444="","",IF(OR(COUNTIFS(Clients!$C$2:$C$501,D444,Clients!$S$2:$S$501,"Paid")&gt;0,AND(H444&lt;&gt;"",COUNTIFS(Clients!$E$2:$E$501,H444,Clients!$S$2:$S$501,"Paid")&gt;0)),"⚠ Refunded before – no free video",IF(OR(R444="Contract signed + paid",R444="Closed – No response",R444="Lost"),"",IF(R444="","Set a stage",IF(AND(R444="Proposal sent",SUMIFS(Scoresheet!$N$2:$N$501,Scoresheet!$C$2:$C$501,A444,Scoresheet!$U$2:$U$501,1)&lt;6),"Score this lead – fill the call scoresheet",IF(N(T444)&gt;=Settings!$S$3,"Close – 4 follow-ups sent",IF(U444="",IF(S444="","Make first contact",""),IF(TODAY()&gt;U444,"OVERDUE follow-up",IF(TODAY()=U444,"Follow up today","")))))))))</f>
        <v/>
      </c>
    </row>
    <row r="445" customFormat="false" ht="15" hidden="false" customHeight="false" outlineLevel="0" collapsed="false">
      <c r="A445" s="17"/>
      <c r="B445" s="40"/>
      <c r="C445" s="17"/>
      <c r="D445" s="17"/>
      <c r="E445" s="17"/>
      <c r="F445" s="17"/>
      <c r="G445" s="17"/>
      <c r="H445" s="42"/>
      <c r="I445" s="17"/>
      <c r="J445" s="17"/>
      <c r="K445" s="17"/>
      <c r="L445" s="17"/>
      <c r="M445" s="17"/>
      <c r="N445" s="44" t="str">
        <f aca="false">IF(OR(D445="",A445="",COUNTIFS(Scoresheet!$C$2:$C$501,A445,Scoresheet!$U$2:$U$501,1)=0),"",SUMIFS(Scoresheet!$O$2:$O$501,Scoresheet!$C$2:$C$501,A445,Scoresheet!$U$2:$U$501,1))</f>
        <v/>
      </c>
      <c r="O445" s="44" t="str">
        <f aca="false">IF(D445="","",IF(OR(A445="",COUNTIFS(Scoresheet!$C$2:$C$501,A445,Scoresheet!$U$2:$U$501,1)=0),"No scoresheet yet",IF(SUMIFS(Scoresheet!$N$2:$N$501,Scoresheet!$C$2:$C$501,A445,Scoresheet!$U$2:$U$501,1)&lt;6,"Partly scored ("&amp;SUMIFS(Scoresheet!$N$2:$N$501,Scoresheet!$C$2:$C$501,A445,Scoresheet!$U$2:$U$501,1)&amp;"/6)",IF(N445&gt;=Settings!$S$8,"Hot",IF(N445&gt;=Settings!$S$9,"Warm","Cold")))))</f>
        <v/>
      </c>
      <c r="P445" s="44" t="str">
        <f aca="false">IF(OR(D445="",A445=""),"",IF(AND(COUNTIFS(Scoresheet!$C$2:$C$501,A445,Scoresheet!$U$2:$U$501,1,Scoresheet!$H$2:$H$501,"No")&gt;0,COUNTIFS(Scoresheet!$C$2:$C$501,A445,Scoresheet!$U$2:$U$501,1,Scoresheet!$J$2:$J$501,"No")&gt;0),"🚩 Budget  ·  🚩 No one on camera",IF(COUNTIFS(Scoresheet!$C$2:$C$501,A445,Scoresheet!$U$2:$U$501,1,Scoresheet!$H$2:$H$501,"No")&gt;0,"🚩 Budget under AED 5k",IF(COUNTIFS(Scoresheet!$C$2:$C$501,A445,Scoresheet!$U$2:$U$501,1,Scoresheet!$J$2:$J$501,"No")&gt;0,"🚩 No one on camera",""))))</f>
        <v/>
      </c>
      <c r="Q445" s="17"/>
      <c r="R445" s="17"/>
      <c r="S445" s="40"/>
      <c r="T445" s="17"/>
      <c r="U445" s="45" t="str">
        <f aca="false">IF(OR(D445="",S445="",OR(R445="Contract signed + paid",R445="Closed – No response",R445="Lost"),N(T445)&gt;=Settings!$S$3),"",S445+Settings!$S$2)</f>
        <v/>
      </c>
      <c r="V445" s="40"/>
      <c r="W445" s="41"/>
      <c r="X445" s="17"/>
      <c r="Y445" s="17"/>
      <c r="Z445" s="17"/>
      <c r="AA445" s="46" t="str">
        <f aca="true">IF(OR(D445="",B445=""),"",INT(TODAY()-B445))</f>
        <v/>
      </c>
      <c r="AB445" s="44" t="str">
        <f aca="true">IF(D445="","",IF(OR(COUNTIFS(Clients!$C$2:$C$501,D445,Clients!$S$2:$S$501,"Paid")&gt;0,AND(H445&lt;&gt;"",COUNTIFS(Clients!$E$2:$E$501,H445,Clients!$S$2:$S$501,"Paid")&gt;0)),"⚠ Refunded before – no free video",IF(OR(R445="Contract signed + paid",R445="Closed – No response",R445="Lost"),"",IF(R445="","Set a stage",IF(AND(R445="Proposal sent",SUMIFS(Scoresheet!$N$2:$N$501,Scoresheet!$C$2:$C$501,A445,Scoresheet!$U$2:$U$501,1)&lt;6),"Score this lead – fill the call scoresheet",IF(N(T445)&gt;=Settings!$S$3,"Close – 4 follow-ups sent",IF(U445="",IF(S445="","Make first contact",""),IF(TODAY()&gt;U445,"OVERDUE follow-up",IF(TODAY()=U445,"Follow up today","")))))))))</f>
        <v/>
      </c>
    </row>
    <row r="446" customFormat="false" ht="15" hidden="false" customHeight="false" outlineLevel="0" collapsed="false">
      <c r="A446" s="17"/>
      <c r="B446" s="40"/>
      <c r="C446" s="17"/>
      <c r="D446" s="17"/>
      <c r="E446" s="17"/>
      <c r="F446" s="17"/>
      <c r="G446" s="17"/>
      <c r="H446" s="42"/>
      <c r="I446" s="17"/>
      <c r="J446" s="17"/>
      <c r="K446" s="17"/>
      <c r="L446" s="17"/>
      <c r="M446" s="17"/>
      <c r="N446" s="44" t="str">
        <f aca="false">IF(OR(D446="",A446="",COUNTIFS(Scoresheet!$C$2:$C$501,A446,Scoresheet!$U$2:$U$501,1)=0),"",SUMIFS(Scoresheet!$O$2:$O$501,Scoresheet!$C$2:$C$501,A446,Scoresheet!$U$2:$U$501,1))</f>
        <v/>
      </c>
      <c r="O446" s="44" t="str">
        <f aca="false">IF(D446="","",IF(OR(A446="",COUNTIFS(Scoresheet!$C$2:$C$501,A446,Scoresheet!$U$2:$U$501,1)=0),"No scoresheet yet",IF(SUMIFS(Scoresheet!$N$2:$N$501,Scoresheet!$C$2:$C$501,A446,Scoresheet!$U$2:$U$501,1)&lt;6,"Partly scored ("&amp;SUMIFS(Scoresheet!$N$2:$N$501,Scoresheet!$C$2:$C$501,A446,Scoresheet!$U$2:$U$501,1)&amp;"/6)",IF(N446&gt;=Settings!$S$8,"Hot",IF(N446&gt;=Settings!$S$9,"Warm","Cold")))))</f>
        <v/>
      </c>
      <c r="P446" s="44" t="str">
        <f aca="false">IF(OR(D446="",A446=""),"",IF(AND(COUNTIFS(Scoresheet!$C$2:$C$501,A446,Scoresheet!$U$2:$U$501,1,Scoresheet!$H$2:$H$501,"No")&gt;0,COUNTIFS(Scoresheet!$C$2:$C$501,A446,Scoresheet!$U$2:$U$501,1,Scoresheet!$J$2:$J$501,"No")&gt;0),"🚩 Budget  ·  🚩 No one on camera",IF(COUNTIFS(Scoresheet!$C$2:$C$501,A446,Scoresheet!$U$2:$U$501,1,Scoresheet!$H$2:$H$501,"No")&gt;0,"🚩 Budget under AED 5k",IF(COUNTIFS(Scoresheet!$C$2:$C$501,A446,Scoresheet!$U$2:$U$501,1,Scoresheet!$J$2:$J$501,"No")&gt;0,"🚩 No one on camera",""))))</f>
        <v/>
      </c>
      <c r="Q446" s="17"/>
      <c r="R446" s="17"/>
      <c r="S446" s="40"/>
      <c r="T446" s="17"/>
      <c r="U446" s="45" t="str">
        <f aca="false">IF(OR(D446="",S446="",OR(R446="Contract signed + paid",R446="Closed – No response",R446="Lost"),N(T446)&gt;=Settings!$S$3),"",S446+Settings!$S$2)</f>
        <v/>
      </c>
      <c r="V446" s="40"/>
      <c r="W446" s="41"/>
      <c r="X446" s="17"/>
      <c r="Y446" s="17"/>
      <c r="Z446" s="17"/>
      <c r="AA446" s="46" t="str">
        <f aca="true">IF(OR(D446="",B446=""),"",INT(TODAY()-B446))</f>
        <v/>
      </c>
      <c r="AB446" s="44" t="str">
        <f aca="true">IF(D446="","",IF(OR(COUNTIFS(Clients!$C$2:$C$501,D446,Clients!$S$2:$S$501,"Paid")&gt;0,AND(H446&lt;&gt;"",COUNTIFS(Clients!$E$2:$E$501,H446,Clients!$S$2:$S$501,"Paid")&gt;0)),"⚠ Refunded before – no free video",IF(OR(R446="Contract signed + paid",R446="Closed – No response",R446="Lost"),"",IF(R446="","Set a stage",IF(AND(R446="Proposal sent",SUMIFS(Scoresheet!$N$2:$N$501,Scoresheet!$C$2:$C$501,A446,Scoresheet!$U$2:$U$501,1)&lt;6),"Score this lead – fill the call scoresheet",IF(N(T446)&gt;=Settings!$S$3,"Close – 4 follow-ups sent",IF(U446="",IF(S446="","Make first contact",""),IF(TODAY()&gt;U446,"OVERDUE follow-up",IF(TODAY()=U446,"Follow up today","")))))))))</f>
        <v/>
      </c>
    </row>
    <row r="447" customFormat="false" ht="15" hidden="false" customHeight="false" outlineLevel="0" collapsed="false">
      <c r="A447" s="17"/>
      <c r="B447" s="40"/>
      <c r="C447" s="17"/>
      <c r="D447" s="17"/>
      <c r="E447" s="17"/>
      <c r="F447" s="17"/>
      <c r="G447" s="17"/>
      <c r="H447" s="42"/>
      <c r="I447" s="17"/>
      <c r="J447" s="17"/>
      <c r="K447" s="17"/>
      <c r="L447" s="17"/>
      <c r="M447" s="17"/>
      <c r="N447" s="44" t="str">
        <f aca="false">IF(OR(D447="",A447="",COUNTIFS(Scoresheet!$C$2:$C$501,A447,Scoresheet!$U$2:$U$501,1)=0),"",SUMIFS(Scoresheet!$O$2:$O$501,Scoresheet!$C$2:$C$501,A447,Scoresheet!$U$2:$U$501,1))</f>
        <v/>
      </c>
      <c r="O447" s="44" t="str">
        <f aca="false">IF(D447="","",IF(OR(A447="",COUNTIFS(Scoresheet!$C$2:$C$501,A447,Scoresheet!$U$2:$U$501,1)=0),"No scoresheet yet",IF(SUMIFS(Scoresheet!$N$2:$N$501,Scoresheet!$C$2:$C$501,A447,Scoresheet!$U$2:$U$501,1)&lt;6,"Partly scored ("&amp;SUMIFS(Scoresheet!$N$2:$N$501,Scoresheet!$C$2:$C$501,A447,Scoresheet!$U$2:$U$501,1)&amp;"/6)",IF(N447&gt;=Settings!$S$8,"Hot",IF(N447&gt;=Settings!$S$9,"Warm","Cold")))))</f>
        <v/>
      </c>
      <c r="P447" s="44" t="str">
        <f aca="false">IF(OR(D447="",A447=""),"",IF(AND(COUNTIFS(Scoresheet!$C$2:$C$501,A447,Scoresheet!$U$2:$U$501,1,Scoresheet!$H$2:$H$501,"No")&gt;0,COUNTIFS(Scoresheet!$C$2:$C$501,A447,Scoresheet!$U$2:$U$501,1,Scoresheet!$J$2:$J$501,"No")&gt;0),"🚩 Budget  ·  🚩 No one on camera",IF(COUNTIFS(Scoresheet!$C$2:$C$501,A447,Scoresheet!$U$2:$U$501,1,Scoresheet!$H$2:$H$501,"No")&gt;0,"🚩 Budget under AED 5k",IF(COUNTIFS(Scoresheet!$C$2:$C$501,A447,Scoresheet!$U$2:$U$501,1,Scoresheet!$J$2:$J$501,"No")&gt;0,"🚩 No one on camera",""))))</f>
        <v/>
      </c>
      <c r="Q447" s="17"/>
      <c r="R447" s="17"/>
      <c r="S447" s="40"/>
      <c r="T447" s="17"/>
      <c r="U447" s="45" t="str">
        <f aca="false">IF(OR(D447="",S447="",OR(R447="Contract signed + paid",R447="Closed – No response",R447="Lost"),N(T447)&gt;=Settings!$S$3),"",S447+Settings!$S$2)</f>
        <v/>
      </c>
      <c r="V447" s="40"/>
      <c r="W447" s="41"/>
      <c r="X447" s="17"/>
      <c r="Y447" s="17"/>
      <c r="Z447" s="17"/>
      <c r="AA447" s="46" t="str">
        <f aca="true">IF(OR(D447="",B447=""),"",INT(TODAY()-B447))</f>
        <v/>
      </c>
      <c r="AB447" s="44" t="str">
        <f aca="true">IF(D447="","",IF(OR(COUNTIFS(Clients!$C$2:$C$501,D447,Clients!$S$2:$S$501,"Paid")&gt;0,AND(H447&lt;&gt;"",COUNTIFS(Clients!$E$2:$E$501,H447,Clients!$S$2:$S$501,"Paid")&gt;0)),"⚠ Refunded before – no free video",IF(OR(R447="Contract signed + paid",R447="Closed – No response",R447="Lost"),"",IF(R447="","Set a stage",IF(AND(R447="Proposal sent",SUMIFS(Scoresheet!$N$2:$N$501,Scoresheet!$C$2:$C$501,A447,Scoresheet!$U$2:$U$501,1)&lt;6),"Score this lead – fill the call scoresheet",IF(N(T447)&gt;=Settings!$S$3,"Close – 4 follow-ups sent",IF(U447="",IF(S447="","Make first contact",""),IF(TODAY()&gt;U447,"OVERDUE follow-up",IF(TODAY()=U447,"Follow up today","")))))))))</f>
        <v/>
      </c>
    </row>
    <row r="448" customFormat="false" ht="15" hidden="false" customHeight="false" outlineLevel="0" collapsed="false">
      <c r="A448" s="17"/>
      <c r="B448" s="40"/>
      <c r="C448" s="17"/>
      <c r="D448" s="17"/>
      <c r="E448" s="17"/>
      <c r="F448" s="17"/>
      <c r="G448" s="17"/>
      <c r="H448" s="42"/>
      <c r="I448" s="17"/>
      <c r="J448" s="17"/>
      <c r="K448" s="17"/>
      <c r="L448" s="17"/>
      <c r="M448" s="17"/>
      <c r="N448" s="44" t="str">
        <f aca="false">IF(OR(D448="",A448="",COUNTIFS(Scoresheet!$C$2:$C$501,A448,Scoresheet!$U$2:$U$501,1)=0),"",SUMIFS(Scoresheet!$O$2:$O$501,Scoresheet!$C$2:$C$501,A448,Scoresheet!$U$2:$U$501,1))</f>
        <v/>
      </c>
      <c r="O448" s="44" t="str">
        <f aca="false">IF(D448="","",IF(OR(A448="",COUNTIFS(Scoresheet!$C$2:$C$501,A448,Scoresheet!$U$2:$U$501,1)=0),"No scoresheet yet",IF(SUMIFS(Scoresheet!$N$2:$N$501,Scoresheet!$C$2:$C$501,A448,Scoresheet!$U$2:$U$501,1)&lt;6,"Partly scored ("&amp;SUMIFS(Scoresheet!$N$2:$N$501,Scoresheet!$C$2:$C$501,A448,Scoresheet!$U$2:$U$501,1)&amp;"/6)",IF(N448&gt;=Settings!$S$8,"Hot",IF(N448&gt;=Settings!$S$9,"Warm","Cold")))))</f>
        <v/>
      </c>
      <c r="P448" s="44" t="str">
        <f aca="false">IF(OR(D448="",A448=""),"",IF(AND(COUNTIFS(Scoresheet!$C$2:$C$501,A448,Scoresheet!$U$2:$U$501,1,Scoresheet!$H$2:$H$501,"No")&gt;0,COUNTIFS(Scoresheet!$C$2:$C$501,A448,Scoresheet!$U$2:$U$501,1,Scoresheet!$J$2:$J$501,"No")&gt;0),"🚩 Budget  ·  🚩 No one on camera",IF(COUNTIFS(Scoresheet!$C$2:$C$501,A448,Scoresheet!$U$2:$U$501,1,Scoresheet!$H$2:$H$501,"No")&gt;0,"🚩 Budget under AED 5k",IF(COUNTIFS(Scoresheet!$C$2:$C$501,A448,Scoresheet!$U$2:$U$501,1,Scoresheet!$J$2:$J$501,"No")&gt;0,"🚩 No one on camera",""))))</f>
        <v/>
      </c>
      <c r="Q448" s="17"/>
      <c r="R448" s="17"/>
      <c r="S448" s="40"/>
      <c r="T448" s="17"/>
      <c r="U448" s="45" t="str">
        <f aca="false">IF(OR(D448="",S448="",OR(R448="Contract signed + paid",R448="Closed – No response",R448="Lost"),N(T448)&gt;=Settings!$S$3),"",S448+Settings!$S$2)</f>
        <v/>
      </c>
      <c r="V448" s="40"/>
      <c r="W448" s="41"/>
      <c r="X448" s="17"/>
      <c r="Y448" s="17"/>
      <c r="Z448" s="17"/>
      <c r="AA448" s="46" t="str">
        <f aca="true">IF(OR(D448="",B448=""),"",INT(TODAY()-B448))</f>
        <v/>
      </c>
      <c r="AB448" s="44" t="str">
        <f aca="true">IF(D448="","",IF(OR(COUNTIFS(Clients!$C$2:$C$501,D448,Clients!$S$2:$S$501,"Paid")&gt;0,AND(H448&lt;&gt;"",COUNTIFS(Clients!$E$2:$E$501,H448,Clients!$S$2:$S$501,"Paid")&gt;0)),"⚠ Refunded before – no free video",IF(OR(R448="Contract signed + paid",R448="Closed – No response",R448="Lost"),"",IF(R448="","Set a stage",IF(AND(R448="Proposal sent",SUMIFS(Scoresheet!$N$2:$N$501,Scoresheet!$C$2:$C$501,A448,Scoresheet!$U$2:$U$501,1)&lt;6),"Score this lead – fill the call scoresheet",IF(N(T448)&gt;=Settings!$S$3,"Close – 4 follow-ups sent",IF(U448="",IF(S448="","Make first contact",""),IF(TODAY()&gt;U448,"OVERDUE follow-up",IF(TODAY()=U448,"Follow up today","")))))))))</f>
        <v/>
      </c>
    </row>
    <row r="449" customFormat="false" ht="15" hidden="false" customHeight="false" outlineLevel="0" collapsed="false">
      <c r="A449" s="17"/>
      <c r="B449" s="40"/>
      <c r="C449" s="17"/>
      <c r="D449" s="17"/>
      <c r="E449" s="17"/>
      <c r="F449" s="17"/>
      <c r="G449" s="17"/>
      <c r="H449" s="42"/>
      <c r="I449" s="17"/>
      <c r="J449" s="17"/>
      <c r="K449" s="17"/>
      <c r="L449" s="17"/>
      <c r="M449" s="17"/>
      <c r="N449" s="44" t="str">
        <f aca="false">IF(OR(D449="",A449="",COUNTIFS(Scoresheet!$C$2:$C$501,A449,Scoresheet!$U$2:$U$501,1)=0),"",SUMIFS(Scoresheet!$O$2:$O$501,Scoresheet!$C$2:$C$501,A449,Scoresheet!$U$2:$U$501,1))</f>
        <v/>
      </c>
      <c r="O449" s="44" t="str">
        <f aca="false">IF(D449="","",IF(OR(A449="",COUNTIFS(Scoresheet!$C$2:$C$501,A449,Scoresheet!$U$2:$U$501,1)=0),"No scoresheet yet",IF(SUMIFS(Scoresheet!$N$2:$N$501,Scoresheet!$C$2:$C$501,A449,Scoresheet!$U$2:$U$501,1)&lt;6,"Partly scored ("&amp;SUMIFS(Scoresheet!$N$2:$N$501,Scoresheet!$C$2:$C$501,A449,Scoresheet!$U$2:$U$501,1)&amp;"/6)",IF(N449&gt;=Settings!$S$8,"Hot",IF(N449&gt;=Settings!$S$9,"Warm","Cold")))))</f>
        <v/>
      </c>
      <c r="P449" s="44" t="str">
        <f aca="false">IF(OR(D449="",A449=""),"",IF(AND(COUNTIFS(Scoresheet!$C$2:$C$501,A449,Scoresheet!$U$2:$U$501,1,Scoresheet!$H$2:$H$501,"No")&gt;0,COUNTIFS(Scoresheet!$C$2:$C$501,A449,Scoresheet!$U$2:$U$501,1,Scoresheet!$J$2:$J$501,"No")&gt;0),"🚩 Budget  ·  🚩 No one on camera",IF(COUNTIFS(Scoresheet!$C$2:$C$501,A449,Scoresheet!$U$2:$U$501,1,Scoresheet!$H$2:$H$501,"No")&gt;0,"🚩 Budget under AED 5k",IF(COUNTIFS(Scoresheet!$C$2:$C$501,A449,Scoresheet!$U$2:$U$501,1,Scoresheet!$J$2:$J$501,"No")&gt;0,"🚩 No one on camera",""))))</f>
        <v/>
      </c>
      <c r="Q449" s="17"/>
      <c r="R449" s="17"/>
      <c r="S449" s="40"/>
      <c r="T449" s="17"/>
      <c r="U449" s="45" t="str">
        <f aca="false">IF(OR(D449="",S449="",OR(R449="Contract signed + paid",R449="Closed – No response",R449="Lost"),N(T449)&gt;=Settings!$S$3),"",S449+Settings!$S$2)</f>
        <v/>
      </c>
      <c r="V449" s="40"/>
      <c r="W449" s="41"/>
      <c r="X449" s="17"/>
      <c r="Y449" s="17"/>
      <c r="Z449" s="17"/>
      <c r="AA449" s="46" t="str">
        <f aca="true">IF(OR(D449="",B449=""),"",INT(TODAY()-B449))</f>
        <v/>
      </c>
      <c r="AB449" s="44" t="str">
        <f aca="true">IF(D449="","",IF(OR(COUNTIFS(Clients!$C$2:$C$501,D449,Clients!$S$2:$S$501,"Paid")&gt;0,AND(H449&lt;&gt;"",COUNTIFS(Clients!$E$2:$E$501,H449,Clients!$S$2:$S$501,"Paid")&gt;0)),"⚠ Refunded before – no free video",IF(OR(R449="Contract signed + paid",R449="Closed – No response",R449="Lost"),"",IF(R449="","Set a stage",IF(AND(R449="Proposal sent",SUMIFS(Scoresheet!$N$2:$N$501,Scoresheet!$C$2:$C$501,A449,Scoresheet!$U$2:$U$501,1)&lt;6),"Score this lead – fill the call scoresheet",IF(N(T449)&gt;=Settings!$S$3,"Close – 4 follow-ups sent",IF(U449="",IF(S449="","Make first contact",""),IF(TODAY()&gt;U449,"OVERDUE follow-up",IF(TODAY()=U449,"Follow up today","")))))))))</f>
        <v/>
      </c>
    </row>
    <row r="450" customFormat="false" ht="15" hidden="false" customHeight="false" outlineLevel="0" collapsed="false">
      <c r="A450" s="17"/>
      <c r="B450" s="40"/>
      <c r="C450" s="17"/>
      <c r="D450" s="17"/>
      <c r="E450" s="17"/>
      <c r="F450" s="17"/>
      <c r="G450" s="17"/>
      <c r="H450" s="42"/>
      <c r="I450" s="17"/>
      <c r="J450" s="17"/>
      <c r="K450" s="17"/>
      <c r="L450" s="17"/>
      <c r="M450" s="17"/>
      <c r="N450" s="44" t="str">
        <f aca="false">IF(OR(D450="",A450="",COUNTIFS(Scoresheet!$C$2:$C$501,A450,Scoresheet!$U$2:$U$501,1)=0),"",SUMIFS(Scoresheet!$O$2:$O$501,Scoresheet!$C$2:$C$501,A450,Scoresheet!$U$2:$U$501,1))</f>
        <v/>
      </c>
      <c r="O450" s="44" t="str">
        <f aca="false">IF(D450="","",IF(OR(A450="",COUNTIFS(Scoresheet!$C$2:$C$501,A450,Scoresheet!$U$2:$U$501,1)=0),"No scoresheet yet",IF(SUMIFS(Scoresheet!$N$2:$N$501,Scoresheet!$C$2:$C$501,A450,Scoresheet!$U$2:$U$501,1)&lt;6,"Partly scored ("&amp;SUMIFS(Scoresheet!$N$2:$N$501,Scoresheet!$C$2:$C$501,A450,Scoresheet!$U$2:$U$501,1)&amp;"/6)",IF(N450&gt;=Settings!$S$8,"Hot",IF(N450&gt;=Settings!$S$9,"Warm","Cold")))))</f>
        <v/>
      </c>
      <c r="P450" s="44" t="str">
        <f aca="false">IF(OR(D450="",A450=""),"",IF(AND(COUNTIFS(Scoresheet!$C$2:$C$501,A450,Scoresheet!$U$2:$U$501,1,Scoresheet!$H$2:$H$501,"No")&gt;0,COUNTIFS(Scoresheet!$C$2:$C$501,A450,Scoresheet!$U$2:$U$501,1,Scoresheet!$J$2:$J$501,"No")&gt;0),"🚩 Budget  ·  🚩 No one on camera",IF(COUNTIFS(Scoresheet!$C$2:$C$501,A450,Scoresheet!$U$2:$U$501,1,Scoresheet!$H$2:$H$501,"No")&gt;0,"🚩 Budget under AED 5k",IF(COUNTIFS(Scoresheet!$C$2:$C$501,A450,Scoresheet!$U$2:$U$501,1,Scoresheet!$J$2:$J$501,"No")&gt;0,"🚩 No one on camera",""))))</f>
        <v/>
      </c>
      <c r="Q450" s="17"/>
      <c r="R450" s="17"/>
      <c r="S450" s="40"/>
      <c r="T450" s="17"/>
      <c r="U450" s="45" t="str">
        <f aca="false">IF(OR(D450="",S450="",OR(R450="Contract signed + paid",R450="Closed – No response",R450="Lost"),N(T450)&gt;=Settings!$S$3),"",S450+Settings!$S$2)</f>
        <v/>
      </c>
      <c r="V450" s="40"/>
      <c r="W450" s="41"/>
      <c r="X450" s="17"/>
      <c r="Y450" s="17"/>
      <c r="Z450" s="17"/>
      <c r="AA450" s="46" t="str">
        <f aca="true">IF(OR(D450="",B450=""),"",INT(TODAY()-B450))</f>
        <v/>
      </c>
      <c r="AB450" s="44" t="str">
        <f aca="true">IF(D450="","",IF(OR(COUNTIFS(Clients!$C$2:$C$501,D450,Clients!$S$2:$S$501,"Paid")&gt;0,AND(H450&lt;&gt;"",COUNTIFS(Clients!$E$2:$E$501,H450,Clients!$S$2:$S$501,"Paid")&gt;0)),"⚠ Refunded before – no free video",IF(OR(R450="Contract signed + paid",R450="Closed – No response",R450="Lost"),"",IF(R450="","Set a stage",IF(AND(R450="Proposal sent",SUMIFS(Scoresheet!$N$2:$N$501,Scoresheet!$C$2:$C$501,A450,Scoresheet!$U$2:$U$501,1)&lt;6),"Score this lead – fill the call scoresheet",IF(N(T450)&gt;=Settings!$S$3,"Close – 4 follow-ups sent",IF(U450="",IF(S450="","Make first contact",""),IF(TODAY()&gt;U450,"OVERDUE follow-up",IF(TODAY()=U450,"Follow up today","")))))))))</f>
        <v/>
      </c>
    </row>
    <row r="451" customFormat="false" ht="15" hidden="false" customHeight="false" outlineLevel="0" collapsed="false">
      <c r="A451" s="17"/>
      <c r="B451" s="40"/>
      <c r="C451" s="17"/>
      <c r="D451" s="17"/>
      <c r="E451" s="17"/>
      <c r="F451" s="17"/>
      <c r="G451" s="17"/>
      <c r="H451" s="42"/>
      <c r="I451" s="17"/>
      <c r="J451" s="17"/>
      <c r="K451" s="17"/>
      <c r="L451" s="17"/>
      <c r="M451" s="17"/>
      <c r="N451" s="44" t="str">
        <f aca="false">IF(OR(D451="",A451="",COUNTIFS(Scoresheet!$C$2:$C$501,A451,Scoresheet!$U$2:$U$501,1)=0),"",SUMIFS(Scoresheet!$O$2:$O$501,Scoresheet!$C$2:$C$501,A451,Scoresheet!$U$2:$U$501,1))</f>
        <v/>
      </c>
      <c r="O451" s="44" t="str">
        <f aca="false">IF(D451="","",IF(OR(A451="",COUNTIFS(Scoresheet!$C$2:$C$501,A451,Scoresheet!$U$2:$U$501,1)=0),"No scoresheet yet",IF(SUMIFS(Scoresheet!$N$2:$N$501,Scoresheet!$C$2:$C$501,A451,Scoresheet!$U$2:$U$501,1)&lt;6,"Partly scored ("&amp;SUMIFS(Scoresheet!$N$2:$N$501,Scoresheet!$C$2:$C$501,A451,Scoresheet!$U$2:$U$501,1)&amp;"/6)",IF(N451&gt;=Settings!$S$8,"Hot",IF(N451&gt;=Settings!$S$9,"Warm","Cold")))))</f>
        <v/>
      </c>
      <c r="P451" s="44" t="str">
        <f aca="false">IF(OR(D451="",A451=""),"",IF(AND(COUNTIFS(Scoresheet!$C$2:$C$501,A451,Scoresheet!$U$2:$U$501,1,Scoresheet!$H$2:$H$501,"No")&gt;0,COUNTIFS(Scoresheet!$C$2:$C$501,A451,Scoresheet!$U$2:$U$501,1,Scoresheet!$J$2:$J$501,"No")&gt;0),"🚩 Budget  ·  🚩 No one on camera",IF(COUNTIFS(Scoresheet!$C$2:$C$501,A451,Scoresheet!$U$2:$U$501,1,Scoresheet!$H$2:$H$501,"No")&gt;0,"🚩 Budget under AED 5k",IF(COUNTIFS(Scoresheet!$C$2:$C$501,A451,Scoresheet!$U$2:$U$501,1,Scoresheet!$J$2:$J$501,"No")&gt;0,"🚩 No one on camera",""))))</f>
        <v/>
      </c>
      <c r="Q451" s="17"/>
      <c r="R451" s="17"/>
      <c r="S451" s="40"/>
      <c r="T451" s="17"/>
      <c r="U451" s="45" t="str">
        <f aca="false">IF(OR(D451="",S451="",OR(R451="Contract signed + paid",R451="Closed – No response",R451="Lost"),N(T451)&gt;=Settings!$S$3),"",S451+Settings!$S$2)</f>
        <v/>
      </c>
      <c r="V451" s="40"/>
      <c r="W451" s="41"/>
      <c r="X451" s="17"/>
      <c r="Y451" s="17"/>
      <c r="Z451" s="17"/>
      <c r="AA451" s="46" t="str">
        <f aca="true">IF(OR(D451="",B451=""),"",INT(TODAY()-B451))</f>
        <v/>
      </c>
      <c r="AB451" s="44" t="str">
        <f aca="true">IF(D451="","",IF(OR(COUNTIFS(Clients!$C$2:$C$501,D451,Clients!$S$2:$S$501,"Paid")&gt;0,AND(H451&lt;&gt;"",COUNTIFS(Clients!$E$2:$E$501,H451,Clients!$S$2:$S$501,"Paid")&gt;0)),"⚠ Refunded before – no free video",IF(OR(R451="Contract signed + paid",R451="Closed – No response",R451="Lost"),"",IF(R451="","Set a stage",IF(AND(R451="Proposal sent",SUMIFS(Scoresheet!$N$2:$N$501,Scoresheet!$C$2:$C$501,A451,Scoresheet!$U$2:$U$501,1)&lt;6),"Score this lead – fill the call scoresheet",IF(N(T451)&gt;=Settings!$S$3,"Close – 4 follow-ups sent",IF(U451="",IF(S451="","Make first contact",""),IF(TODAY()&gt;U451,"OVERDUE follow-up",IF(TODAY()=U451,"Follow up today","")))))))))</f>
        <v/>
      </c>
    </row>
    <row r="452" customFormat="false" ht="15" hidden="false" customHeight="false" outlineLevel="0" collapsed="false">
      <c r="A452" s="17"/>
      <c r="B452" s="40"/>
      <c r="C452" s="17"/>
      <c r="D452" s="17"/>
      <c r="E452" s="17"/>
      <c r="F452" s="17"/>
      <c r="G452" s="17"/>
      <c r="H452" s="42"/>
      <c r="I452" s="17"/>
      <c r="J452" s="17"/>
      <c r="K452" s="17"/>
      <c r="L452" s="17"/>
      <c r="M452" s="17"/>
      <c r="N452" s="44" t="str">
        <f aca="false">IF(OR(D452="",A452="",COUNTIFS(Scoresheet!$C$2:$C$501,A452,Scoresheet!$U$2:$U$501,1)=0),"",SUMIFS(Scoresheet!$O$2:$O$501,Scoresheet!$C$2:$C$501,A452,Scoresheet!$U$2:$U$501,1))</f>
        <v/>
      </c>
      <c r="O452" s="44" t="str">
        <f aca="false">IF(D452="","",IF(OR(A452="",COUNTIFS(Scoresheet!$C$2:$C$501,A452,Scoresheet!$U$2:$U$501,1)=0),"No scoresheet yet",IF(SUMIFS(Scoresheet!$N$2:$N$501,Scoresheet!$C$2:$C$501,A452,Scoresheet!$U$2:$U$501,1)&lt;6,"Partly scored ("&amp;SUMIFS(Scoresheet!$N$2:$N$501,Scoresheet!$C$2:$C$501,A452,Scoresheet!$U$2:$U$501,1)&amp;"/6)",IF(N452&gt;=Settings!$S$8,"Hot",IF(N452&gt;=Settings!$S$9,"Warm","Cold")))))</f>
        <v/>
      </c>
      <c r="P452" s="44" t="str">
        <f aca="false">IF(OR(D452="",A452=""),"",IF(AND(COUNTIFS(Scoresheet!$C$2:$C$501,A452,Scoresheet!$U$2:$U$501,1,Scoresheet!$H$2:$H$501,"No")&gt;0,COUNTIFS(Scoresheet!$C$2:$C$501,A452,Scoresheet!$U$2:$U$501,1,Scoresheet!$J$2:$J$501,"No")&gt;0),"🚩 Budget  ·  🚩 No one on camera",IF(COUNTIFS(Scoresheet!$C$2:$C$501,A452,Scoresheet!$U$2:$U$501,1,Scoresheet!$H$2:$H$501,"No")&gt;0,"🚩 Budget under AED 5k",IF(COUNTIFS(Scoresheet!$C$2:$C$501,A452,Scoresheet!$U$2:$U$501,1,Scoresheet!$J$2:$J$501,"No")&gt;0,"🚩 No one on camera",""))))</f>
        <v/>
      </c>
      <c r="Q452" s="17"/>
      <c r="R452" s="17"/>
      <c r="S452" s="40"/>
      <c r="T452" s="17"/>
      <c r="U452" s="45" t="str">
        <f aca="false">IF(OR(D452="",S452="",OR(R452="Contract signed + paid",R452="Closed – No response",R452="Lost"),N(T452)&gt;=Settings!$S$3),"",S452+Settings!$S$2)</f>
        <v/>
      </c>
      <c r="V452" s="40"/>
      <c r="W452" s="41"/>
      <c r="X452" s="17"/>
      <c r="Y452" s="17"/>
      <c r="Z452" s="17"/>
      <c r="AA452" s="46" t="str">
        <f aca="true">IF(OR(D452="",B452=""),"",INT(TODAY()-B452))</f>
        <v/>
      </c>
      <c r="AB452" s="44" t="str">
        <f aca="true">IF(D452="","",IF(OR(COUNTIFS(Clients!$C$2:$C$501,D452,Clients!$S$2:$S$501,"Paid")&gt;0,AND(H452&lt;&gt;"",COUNTIFS(Clients!$E$2:$E$501,H452,Clients!$S$2:$S$501,"Paid")&gt;0)),"⚠ Refunded before – no free video",IF(OR(R452="Contract signed + paid",R452="Closed – No response",R452="Lost"),"",IF(R452="","Set a stage",IF(AND(R452="Proposal sent",SUMIFS(Scoresheet!$N$2:$N$501,Scoresheet!$C$2:$C$501,A452,Scoresheet!$U$2:$U$501,1)&lt;6),"Score this lead – fill the call scoresheet",IF(N(T452)&gt;=Settings!$S$3,"Close – 4 follow-ups sent",IF(U452="",IF(S452="","Make first contact",""),IF(TODAY()&gt;U452,"OVERDUE follow-up",IF(TODAY()=U452,"Follow up today","")))))))))</f>
        <v/>
      </c>
    </row>
    <row r="453" customFormat="false" ht="15" hidden="false" customHeight="false" outlineLevel="0" collapsed="false">
      <c r="A453" s="17"/>
      <c r="B453" s="40"/>
      <c r="C453" s="17"/>
      <c r="D453" s="17"/>
      <c r="E453" s="17"/>
      <c r="F453" s="17"/>
      <c r="G453" s="17"/>
      <c r="H453" s="42"/>
      <c r="I453" s="17"/>
      <c r="J453" s="17"/>
      <c r="K453" s="17"/>
      <c r="L453" s="17"/>
      <c r="M453" s="17"/>
      <c r="N453" s="44" t="str">
        <f aca="false">IF(OR(D453="",A453="",COUNTIFS(Scoresheet!$C$2:$C$501,A453,Scoresheet!$U$2:$U$501,1)=0),"",SUMIFS(Scoresheet!$O$2:$O$501,Scoresheet!$C$2:$C$501,A453,Scoresheet!$U$2:$U$501,1))</f>
        <v/>
      </c>
      <c r="O453" s="44" t="str">
        <f aca="false">IF(D453="","",IF(OR(A453="",COUNTIFS(Scoresheet!$C$2:$C$501,A453,Scoresheet!$U$2:$U$501,1)=0),"No scoresheet yet",IF(SUMIFS(Scoresheet!$N$2:$N$501,Scoresheet!$C$2:$C$501,A453,Scoresheet!$U$2:$U$501,1)&lt;6,"Partly scored ("&amp;SUMIFS(Scoresheet!$N$2:$N$501,Scoresheet!$C$2:$C$501,A453,Scoresheet!$U$2:$U$501,1)&amp;"/6)",IF(N453&gt;=Settings!$S$8,"Hot",IF(N453&gt;=Settings!$S$9,"Warm","Cold")))))</f>
        <v/>
      </c>
      <c r="P453" s="44" t="str">
        <f aca="false">IF(OR(D453="",A453=""),"",IF(AND(COUNTIFS(Scoresheet!$C$2:$C$501,A453,Scoresheet!$U$2:$U$501,1,Scoresheet!$H$2:$H$501,"No")&gt;0,COUNTIFS(Scoresheet!$C$2:$C$501,A453,Scoresheet!$U$2:$U$501,1,Scoresheet!$J$2:$J$501,"No")&gt;0),"🚩 Budget  ·  🚩 No one on camera",IF(COUNTIFS(Scoresheet!$C$2:$C$501,A453,Scoresheet!$U$2:$U$501,1,Scoresheet!$H$2:$H$501,"No")&gt;0,"🚩 Budget under AED 5k",IF(COUNTIFS(Scoresheet!$C$2:$C$501,A453,Scoresheet!$U$2:$U$501,1,Scoresheet!$J$2:$J$501,"No")&gt;0,"🚩 No one on camera",""))))</f>
        <v/>
      </c>
      <c r="Q453" s="17"/>
      <c r="R453" s="17"/>
      <c r="S453" s="40"/>
      <c r="T453" s="17"/>
      <c r="U453" s="45" t="str">
        <f aca="false">IF(OR(D453="",S453="",OR(R453="Contract signed + paid",R453="Closed – No response",R453="Lost"),N(T453)&gt;=Settings!$S$3),"",S453+Settings!$S$2)</f>
        <v/>
      </c>
      <c r="V453" s="40"/>
      <c r="W453" s="41"/>
      <c r="X453" s="17"/>
      <c r="Y453" s="17"/>
      <c r="Z453" s="17"/>
      <c r="AA453" s="46" t="str">
        <f aca="true">IF(OR(D453="",B453=""),"",INT(TODAY()-B453))</f>
        <v/>
      </c>
      <c r="AB453" s="44" t="str">
        <f aca="true">IF(D453="","",IF(OR(COUNTIFS(Clients!$C$2:$C$501,D453,Clients!$S$2:$S$501,"Paid")&gt;0,AND(H453&lt;&gt;"",COUNTIFS(Clients!$E$2:$E$501,H453,Clients!$S$2:$S$501,"Paid")&gt;0)),"⚠ Refunded before – no free video",IF(OR(R453="Contract signed + paid",R453="Closed – No response",R453="Lost"),"",IF(R453="","Set a stage",IF(AND(R453="Proposal sent",SUMIFS(Scoresheet!$N$2:$N$501,Scoresheet!$C$2:$C$501,A453,Scoresheet!$U$2:$U$501,1)&lt;6),"Score this lead – fill the call scoresheet",IF(N(T453)&gt;=Settings!$S$3,"Close – 4 follow-ups sent",IF(U453="",IF(S453="","Make first contact",""),IF(TODAY()&gt;U453,"OVERDUE follow-up",IF(TODAY()=U453,"Follow up today","")))))))))</f>
        <v/>
      </c>
    </row>
    <row r="454" customFormat="false" ht="15" hidden="false" customHeight="false" outlineLevel="0" collapsed="false">
      <c r="A454" s="17"/>
      <c r="B454" s="40"/>
      <c r="C454" s="17"/>
      <c r="D454" s="17"/>
      <c r="E454" s="17"/>
      <c r="F454" s="17"/>
      <c r="G454" s="17"/>
      <c r="H454" s="42"/>
      <c r="I454" s="17"/>
      <c r="J454" s="17"/>
      <c r="K454" s="17"/>
      <c r="L454" s="17"/>
      <c r="M454" s="17"/>
      <c r="N454" s="44" t="str">
        <f aca="false">IF(OR(D454="",A454="",COUNTIFS(Scoresheet!$C$2:$C$501,A454,Scoresheet!$U$2:$U$501,1)=0),"",SUMIFS(Scoresheet!$O$2:$O$501,Scoresheet!$C$2:$C$501,A454,Scoresheet!$U$2:$U$501,1))</f>
        <v/>
      </c>
      <c r="O454" s="44" t="str">
        <f aca="false">IF(D454="","",IF(OR(A454="",COUNTIFS(Scoresheet!$C$2:$C$501,A454,Scoresheet!$U$2:$U$501,1)=0),"No scoresheet yet",IF(SUMIFS(Scoresheet!$N$2:$N$501,Scoresheet!$C$2:$C$501,A454,Scoresheet!$U$2:$U$501,1)&lt;6,"Partly scored ("&amp;SUMIFS(Scoresheet!$N$2:$N$501,Scoresheet!$C$2:$C$501,A454,Scoresheet!$U$2:$U$501,1)&amp;"/6)",IF(N454&gt;=Settings!$S$8,"Hot",IF(N454&gt;=Settings!$S$9,"Warm","Cold")))))</f>
        <v/>
      </c>
      <c r="P454" s="44" t="str">
        <f aca="false">IF(OR(D454="",A454=""),"",IF(AND(COUNTIFS(Scoresheet!$C$2:$C$501,A454,Scoresheet!$U$2:$U$501,1,Scoresheet!$H$2:$H$501,"No")&gt;0,COUNTIFS(Scoresheet!$C$2:$C$501,A454,Scoresheet!$U$2:$U$501,1,Scoresheet!$J$2:$J$501,"No")&gt;0),"🚩 Budget  ·  🚩 No one on camera",IF(COUNTIFS(Scoresheet!$C$2:$C$501,A454,Scoresheet!$U$2:$U$501,1,Scoresheet!$H$2:$H$501,"No")&gt;0,"🚩 Budget under AED 5k",IF(COUNTIFS(Scoresheet!$C$2:$C$501,A454,Scoresheet!$U$2:$U$501,1,Scoresheet!$J$2:$J$501,"No")&gt;0,"🚩 No one on camera",""))))</f>
        <v/>
      </c>
      <c r="Q454" s="17"/>
      <c r="R454" s="17"/>
      <c r="S454" s="40"/>
      <c r="T454" s="17"/>
      <c r="U454" s="45" t="str">
        <f aca="false">IF(OR(D454="",S454="",OR(R454="Contract signed + paid",R454="Closed – No response",R454="Lost"),N(T454)&gt;=Settings!$S$3),"",S454+Settings!$S$2)</f>
        <v/>
      </c>
      <c r="V454" s="40"/>
      <c r="W454" s="41"/>
      <c r="X454" s="17"/>
      <c r="Y454" s="17"/>
      <c r="Z454" s="17"/>
      <c r="AA454" s="46" t="str">
        <f aca="true">IF(OR(D454="",B454=""),"",INT(TODAY()-B454))</f>
        <v/>
      </c>
      <c r="AB454" s="44" t="str">
        <f aca="true">IF(D454="","",IF(OR(COUNTIFS(Clients!$C$2:$C$501,D454,Clients!$S$2:$S$501,"Paid")&gt;0,AND(H454&lt;&gt;"",COUNTIFS(Clients!$E$2:$E$501,H454,Clients!$S$2:$S$501,"Paid")&gt;0)),"⚠ Refunded before – no free video",IF(OR(R454="Contract signed + paid",R454="Closed – No response",R454="Lost"),"",IF(R454="","Set a stage",IF(AND(R454="Proposal sent",SUMIFS(Scoresheet!$N$2:$N$501,Scoresheet!$C$2:$C$501,A454,Scoresheet!$U$2:$U$501,1)&lt;6),"Score this lead – fill the call scoresheet",IF(N(T454)&gt;=Settings!$S$3,"Close – 4 follow-ups sent",IF(U454="",IF(S454="","Make first contact",""),IF(TODAY()&gt;U454,"OVERDUE follow-up",IF(TODAY()=U454,"Follow up today","")))))))))</f>
        <v/>
      </c>
    </row>
    <row r="455" customFormat="false" ht="15" hidden="false" customHeight="false" outlineLevel="0" collapsed="false">
      <c r="A455" s="17"/>
      <c r="B455" s="40"/>
      <c r="C455" s="17"/>
      <c r="D455" s="17"/>
      <c r="E455" s="17"/>
      <c r="F455" s="17"/>
      <c r="G455" s="17"/>
      <c r="H455" s="42"/>
      <c r="I455" s="17"/>
      <c r="J455" s="17"/>
      <c r="K455" s="17"/>
      <c r="L455" s="17"/>
      <c r="M455" s="17"/>
      <c r="N455" s="44" t="str">
        <f aca="false">IF(OR(D455="",A455="",COUNTIFS(Scoresheet!$C$2:$C$501,A455,Scoresheet!$U$2:$U$501,1)=0),"",SUMIFS(Scoresheet!$O$2:$O$501,Scoresheet!$C$2:$C$501,A455,Scoresheet!$U$2:$U$501,1))</f>
        <v/>
      </c>
      <c r="O455" s="44" t="str">
        <f aca="false">IF(D455="","",IF(OR(A455="",COUNTIFS(Scoresheet!$C$2:$C$501,A455,Scoresheet!$U$2:$U$501,1)=0),"No scoresheet yet",IF(SUMIFS(Scoresheet!$N$2:$N$501,Scoresheet!$C$2:$C$501,A455,Scoresheet!$U$2:$U$501,1)&lt;6,"Partly scored ("&amp;SUMIFS(Scoresheet!$N$2:$N$501,Scoresheet!$C$2:$C$501,A455,Scoresheet!$U$2:$U$501,1)&amp;"/6)",IF(N455&gt;=Settings!$S$8,"Hot",IF(N455&gt;=Settings!$S$9,"Warm","Cold")))))</f>
        <v/>
      </c>
      <c r="P455" s="44" t="str">
        <f aca="false">IF(OR(D455="",A455=""),"",IF(AND(COUNTIFS(Scoresheet!$C$2:$C$501,A455,Scoresheet!$U$2:$U$501,1,Scoresheet!$H$2:$H$501,"No")&gt;0,COUNTIFS(Scoresheet!$C$2:$C$501,A455,Scoresheet!$U$2:$U$501,1,Scoresheet!$J$2:$J$501,"No")&gt;0),"🚩 Budget  ·  🚩 No one on camera",IF(COUNTIFS(Scoresheet!$C$2:$C$501,A455,Scoresheet!$U$2:$U$501,1,Scoresheet!$H$2:$H$501,"No")&gt;0,"🚩 Budget under AED 5k",IF(COUNTIFS(Scoresheet!$C$2:$C$501,A455,Scoresheet!$U$2:$U$501,1,Scoresheet!$J$2:$J$501,"No")&gt;0,"🚩 No one on camera",""))))</f>
        <v/>
      </c>
      <c r="Q455" s="17"/>
      <c r="R455" s="17"/>
      <c r="S455" s="40"/>
      <c r="T455" s="17"/>
      <c r="U455" s="45" t="str">
        <f aca="false">IF(OR(D455="",S455="",OR(R455="Contract signed + paid",R455="Closed – No response",R455="Lost"),N(T455)&gt;=Settings!$S$3),"",S455+Settings!$S$2)</f>
        <v/>
      </c>
      <c r="V455" s="40"/>
      <c r="W455" s="41"/>
      <c r="X455" s="17"/>
      <c r="Y455" s="17"/>
      <c r="Z455" s="17"/>
      <c r="AA455" s="46" t="str">
        <f aca="true">IF(OR(D455="",B455=""),"",INT(TODAY()-B455))</f>
        <v/>
      </c>
      <c r="AB455" s="44" t="str">
        <f aca="true">IF(D455="","",IF(OR(COUNTIFS(Clients!$C$2:$C$501,D455,Clients!$S$2:$S$501,"Paid")&gt;0,AND(H455&lt;&gt;"",COUNTIFS(Clients!$E$2:$E$501,H455,Clients!$S$2:$S$501,"Paid")&gt;0)),"⚠ Refunded before – no free video",IF(OR(R455="Contract signed + paid",R455="Closed – No response",R455="Lost"),"",IF(R455="","Set a stage",IF(AND(R455="Proposal sent",SUMIFS(Scoresheet!$N$2:$N$501,Scoresheet!$C$2:$C$501,A455,Scoresheet!$U$2:$U$501,1)&lt;6),"Score this lead – fill the call scoresheet",IF(N(T455)&gt;=Settings!$S$3,"Close – 4 follow-ups sent",IF(U455="",IF(S455="","Make first contact",""),IF(TODAY()&gt;U455,"OVERDUE follow-up",IF(TODAY()=U455,"Follow up today","")))))))))</f>
        <v/>
      </c>
    </row>
    <row r="456" customFormat="false" ht="15" hidden="false" customHeight="false" outlineLevel="0" collapsed="false">
      <c r="A456" s="17"/>
      <c r="B456" s="40"/>
      <c r="C456" s="17"/>
      <c r="D456" s="17"/>
      <c r="E456" s="17"/>
      <c r="F456" s="17"/>
      <c r="G456" s="17"/>
      <c r="H456" s="42"/>
      <c r="I456" s="17"/>
      <c r="J456" s="17"/>
      <c r="K456" s="17"/>
      <c r="L456" s="17"/>
      <c r="M456" s="17"/>
      <c r="N456" s="44" t="str">
        <f aca="false">IF(OR(D456="",A456="",COUNTIFS(Scoresheet!$C$2:$C$501,A456,Scoresheet!$U$2:$U$501,1)=0),"",SUMIFS(Scoresheet!$O$2:$O$501,Scoresheet!$C$2:$C$501,A456,Scoresheet!$U$2:$U$501,1))</f>
        <v/>
      </c>
      <c r="O456" s="44" t="str">
        <f aca="false">IF(D456="","",IF(OR(A456="",COUNTIFS(Scoresheet!$C$2:$C$501,A456,Scoresheet!$U$2:$U$501,1)=0),"No scoresheet yet",IF(SUMIFS(Scoresheet!$N$2:$N$501,Scoresheet!$C$2:$C$501,A456,Scoresheet!$U$2:$U$501,1)&lt;6,"Partly scored ("&amp;SUMIFS(Scoresheet!$N$2:$N$501,Scoresheet!$C$2:$C$501,A456,Scoresheet!$U$2:$U$501,1)&amp;"/6)",IF(N456&gt;=Settings!$S$8,"Hot",IF(N456&gt;=Settings!$S$9,"Warm","Cold")))))</f>
        <v/>
      </c>
      <c r="P456" s="44" t="str">
        <f aca="false">IF(OR(D456="",A456=""),"",IF(AND(COUNTIFS(Scoresheet!$C$2:$C$501,A456,Scoresheet!$U$2:$U$501,1,Scoresheet!$H$2:$H$501,"No")&gt;0,COUNTIFS(Scoresheet!$C$2:$C$501,A456,Scoresheet!$U$2:$U$501,1,Scoresheet!$J$2:$J$501,"No")&gt;0),"🚩 Budget  ·  🚩 No one on camera",IF(COUNTIFS(Scoresheet!$C$2:$C$501,A456,Scoresheet!$U$2:$U$501,1,Scoresheet!$H$2:$H$501,"No")&gt;0,"🚩 Budget under AED 5k",IF(COUNTIFS(Scoresheet!$C$2:$C$501,A456,Scoresheet!$U$2:$U$501,1,Scoresheet!$J$2:$J$501,"No")&gt;0,"🚩 No one on camera",""))))</f>
        <v/>
      </c>
      <c r="Q456" s="17"/>
      <c r="R456" s="17"/>
      <c r="S456" s="40"/>
      <c r="T456" s="17"/>
      <c r="U456" s="45" t="str">
        <f aca="false">IF(OR(D456="",S456="",OR(R456="Contract signed + paid",R456="Closed – No response",R456="Lost"),N(T456)&gt;=Settings!$S$3),"",S456+Settings!$S$2)</f>
        <v/>
      </c>
      <c r="V456" s="40"/>
      <c r="W456" s="41"/>
      <c r="X456" s="17"/>
      <c r="Y456" s="17"/>
      <c r="Z456" s="17"/>
      <c r="AA456" s="46" t="str">
        <f aca="true">IF(OR(D456="",B456=""),"",INT(TODAY()-B456))</f>
        <v/>
      </c>
      <c r="AB456" s="44" t="str">
        <f aca="true">IF(D456="","",IF(OR(COUNTIFS(Clients!$C$2:$C$501,D456,Clients!$S$2:$S$501,"Paid")&gt;0,AND(H456&lt;&gt;"",COUNTIFS(Clients!$E$2:$E$501,H456,Clients!$S$2:$S$501,"Paid")&gt;0)),"⚠ Refunded before – no free video",IF(OR(R456="Contract signed + paid",R456="Closed – No response",R456="Lost"),"",IF(R456="","Set a stage",IF(AND(R456="Proposal sent",SUMIFS(Scoresheet!$N$2:$N$501,Scoresheet!$C$2:$C$501,A456,Scoresheet!$U$2:$U$501,1)&lt;6),"Score this lead – fill the call scoresheet",IF(N(T456)&gt;=Settings!$S$3,"Close – 4 follow-ups sent",IF(U456="",IF(S456="","Make first contact",""),IF(TODAY()&gt;U456,"OVERDUE follow-up",IF(TODAY()=U456,"Follow up today","")))))))))</f>
        <v/>
      </c>
    </row>
    <row r="457" customFormat="false" ht="15" hidden="false" customHeight="false" outlineLevel="0" collapsed="false">
      <c r="A457" s="17"/>
      <c r="B457" s="40"/>
      <c r="C457" s="17"/>
      <c r="D457" s="17"/>
      <c r="E457" s="17"/>
      <c r="F457" s="17"/>
      <c r="G457" s="17"/>
      <c r="H457" s="42"/>
      <c r="I457" s="17"/>
      <c r="J457" s="17"/>
      <c r="K457" s="17"/>
      <c r="L457" s="17"/>
      <c r="M457" s="17"/>
      <c r="N457" s="44" t="str">
        <f aca="false">IF(OR(D457="",A457="",COUNTIFS(Scoresheet!$C$2:$C$501,A457,Scoresheet!$U$2:$U$501,1)=0),"",SUMIFS(Scoresheet!$O$2:$O$501,Scoresheet!$C$2:$C$501,A457,Scoresheet!$U$2:$U$501,1))</f>
        <v/>
      </c>
      <c r="O457" s="44" t="str">
        <f aca="false">IF(D457="","",IF(OR(A457="",COUNTIFS(Scoresheet!$C$2:$C$501,A457,Scoresheet!$U$2:$U$501,1)=0),"No scoresheet yet",IF(SUMIFS(Scoresheet!$N$2:$N$501,Scoresheet!$C$2:$C$501,A457,Scoresheet!$U$2:$U$501,1)&lt;6,"Partly scored ("&amp;SUMIFS(Scoresheet!$N$2:$N$501,Scoresheet!$C$2:$C$501,A457,Scoresheet!$U$2:$U$501,1)&amp;"/6)",IF(N457&gt;=Settings!$S$8,"Hot",IF(N457&gt;=Settings!$S$9,"Warm","Cold")))))</f>
        <v/>
      </c>
      <c r="P457" s="44" t="str">
        <f aca="false">IF(OR(D457="",A457=""),"",IF(AND(COUNTIFS(Scoresheet!$C$2:$C$501,A457,Scoresheet!$U$2:$U$501,1,Scoresheet!$H$2:$H$501,"No")&gt;0,COUNTIFS(Scoresheet!$C$2:$C$501,A457,Scoresheet!$U$2:$U$501,1,Scoresheet!$J$2:$J$501,"No")&gt;0),"🚩 Budget  ·  🚩 No one on camera",IF(COUNTIFS(Scoresheet!$C$2:$C$501,A457,Scoresheet!$U$2:$U$501,1,Scoresheet!$H$2:$H$501,"No")&gt;0,"🚩 Budget under AED 5k",IF(COUNTIFS(Scoresheet!$C$2:$C$501,A457,Scoresheet!$U$2:$U$501,1,Scoresheet!$J$2:$J$501,"No")&gt;0,"🚩 No one on camera",""))))</f>
        <v/>
      </c>
      <c r="Q457" s="17"/>
      <c r="R457" s="17"/>
      <c r="S457" s="40"/>
      <c r="T457" s="17"/>
      <c r="U457" s="45" t="str">
        <f aca="false">IF(OR(D457="",S457="",OR(R457="Contract signed + paid",R457="Closed – No response",R457="Lost"),N(T457)&gt;=Settings!$S$3),"",S457+Settings!$S$2)</f>
        <v/>
      </c>
      <c r="V457" s="40"/>
      <c r="W457" s="41"/>
      <c r="X457" s="17"/>
      <c r="Y457" s="17"/>
      <c r="Z457" s="17"/>
      <c r="AA457" s="46" t="str">
        <f aca="true">IF(OR(D457="",B457=""),"",INT(TODAY()-B457))</f>
        <v/>
      </c>
      <c r="AB457" s="44" t="str">
        <f aca="true">IF(D457="","",IF(OR(COUNTIFS(Clients!$C$2:$C$501,D457,Clients!$S$2:$S$501,"Paid")&gt;0,AND(H457&lt;&gt;"",COUNTIFS(Clients!$E$2:$E$501,H457,Clients!$S$2:$S$501,"Paid")&gt;0)),"⚠ Refunded before – no free video",IF(OR(R457="Contract signed + paid",R457="Closed – No response",R457="Lost"),"",IF(R457="","Set a stage",IF(AND(R457="Proposal sent",SUMIFS(Scoresheet!$N$2:$N$501,Scoresheet!$C$2:$C$501,A457,Scoresheet!$U$2:$U$501,1)&lt;6),"Score this lead – fill the call scoresheet",IF(N(T457)&gt;=Settings!$S$3,"Close – 4 follow-ups sent",IF(U457="",IF(S457="","Make first contact",""),IF(TODAY()&gt;U457,"OVERDUE follow-up",IF(TODAY()=U457,"Follow up today","")))))))))</f>
        <v/>
      </c>
    </row>
    <row r="458" customFormat="false" ht="15" hidden="false" customHeight="false" outlineLevel="0" collapsed="false">
      <c r="A458" s="17"/>
      <c r="B458" s="40"/>
      <c r="C458" s="17"/>
      <c r="D458" s="17"/>
      <c r="E458" s="17"/>
      <c r="F458" s="17"/>
      <c r="G458" s="17"/>
      <c r="H458" s="42"/>
      <c r="I458" s="17"/>
      <c r="J458" s="17"/>
      <c r="K458" s="17"/>
      <c r="L458" s="17"/>
      <c r="M458" s="17"/>
      <c r="N458" s="44" t="str">
        <f aca="false">IF(OR(D458="",A458="",COUNTIFS(Scoresheet!$C$2:$C$501,A458,Scoresheet!$U$2:$U$501,1)=0),"",SUMIFS(Scoresheet!$O$2:$O$501,Scoresheet!$C$2:$C$501,A458,Scoresheet!$U$2:$U$501,1))</f>
        <v/>
      </c>
      <c r="O458" s="44" t="str">
        <f aca="false">IF(D458="","",IF(OR(A458="",COUNTIFS(Scoresheet!$C$2:$C$501,A458,Scoresheet!$U$2:$U$501,1)=0),"No scoresheet yet",IF(SUMIFS(Scoresheet!$N$2:$N$501,Scoresheet!$C$2:$C$501,A458,Scoresheet!$U$2:$U$501,1)&lt;6,"Partly scored ("&amp;SUMIFS(Scoresheet!$N$2:$N$501,Scoresheet!$C$2:$C$501,A458,Scoresheet!$U$2:$U$501,1)&amp;"/6)",IF(N458&gt;=Settings!$S$8,"Hot",IF(N458&gt;=Settings!$S$9,"Warm","Cold")))))</f>
        <v/>
      </c>
      <c r="P458" s="44" t="str">
        <f aca="false">IF(OR(D458="",A458=""),"",IF(AND(COUNTIFS(Scoresheet!$C$2:$C$501,A458,Scoresheet!$U$2:$U$501,1,Scoresheet!$H$2:$H$501,"No")&gt;0,COUNTIFS(Scoresheet!$C$2:$C$501,A458,Scoresheet!$U$2:$U$501,1,Scoresheet!$J$2:$J$501,"No")&gt;0),"🚩 Budget  ·  🚩 No one on camera",IF(COUNTIFS(Scoresheet!$C$2:$C$501,A458,Scoresheet!$U$2:$U$501,1,Scoresheet!$H$2:$H$501,"No")&gt;0,"🚩 Budget under AED 5k",IF(COUNTIFS(Scoresheet!$C$2:$C$501,A458,Scoresheet!$U$2:$U$501,1,Scoresheet!$J$2:$J$501,"No")&gt;0,"🚩 No one on camera",""))))</f>
        <v/>
      </c>
      <c r="Q458" s="17"/>
      <c r="R458" s="17"/>
      <c r="S458" s="40"/>
      <c r="T458" s="17"/>
      <c r="U458" s="45" t="str">
        <f aca="false">IF(OR(D458="",S458="",OR(R458="Contract signed + paid",R458="Closed – No response",R458="Lost"),N(T458)&gt;=Settings!$S$3),"",S458+Settings!$S$2)</f>
        <v/>
      </c>
      <c r="V458" s="40"/>
      <c r="W458" s="41"/>
      <c r="X458" s="17"/>
      <c r="Y458" s="17"/>
      <c r="Z458" s="17"/>
      <c r="AA458" s="46" t="str">
        <f aca="true">IF(OR(D458="",B458=""),"",INT(TODAY()-B458))</f>
        <v/>
      </c>
      <c r="AB458" s="44" t="str">
        <f aca="true">IF(D458="","",IF(OR(COUNTIFS(Clients!$C$2:$C$501,D458,Clients!$S$2:$S$501,"Paid")&gt;0,AND(H458&lt;&gt;"",COUNTIFS(Clients!$E$2:$E$501,H458,Clients!$S$2:$S$501,"Paid")&gt;0)),"⚠ Refunded before – no free video",IF(OR(R458="Contract signed + paid",R458="Closed – No response",R458="Lost"),"",IF(R458="","Set a stage",IF(AND(R458="Proposal sent",SUMIFS(Scoresheet!$N$2:$N$501,Scoresheet!$C$2:$C$501,A458,Scoresheet!$U$2:$U$501,1)&lt;6),"Score this lead – fill the call scoresheet",IF(N(T458)&gt;=Settings!$S$3,"Close – 4 follow-ups sent",IF(U458="",IF(S458="","Make first contact",""),IF(TODAY()&gt;U458,"OVERDUE follow-up",IF(TODAY()=U458,"Follow up today","")))))))))</f>
        <v/>
      </c>
    </row>
    <row r="459" customFormat="false" ht="15" hidden="false" customHeight="false" outlineLevel="0" collapsed="false">
      <c r="A459" s="17"/>
      <c r="B459" s="40"/>
      <c r="C459" s="17"/>
      <c r="D459" s="17"/>
      <c r="E459" s="17"/>
      <c r="F459" s="17"/>
      <c r="G459" s="17"/>
      <c r="H459" s="42"/>
      <c r="I459" s="17"/>
      <c r="J459" s="17"/>
      <c r="K459" s="17"/>
      <c r="L459" s="17"/>
      <c r="M459" s="17"/>
      <c r="N459" s="44" t="str">
        <f aca="false">IF(OR(D459="",A459="",COUNTIFS(Scoresheet!$C$2:$C$501,A459,Scoresheet!$U$2:$U$501,1)=0),"",SUMIFS(Scoresheet!$O$2:$O$501,Scoresheet!$C$2:$C$501,A459,Scoresheet!$U$2:$U$501,1))</f>
        <v/>
      </c>
      <c r="O459" s="44" t="str">
        <f aca="false">IF(D459="","",IF(OR(A459="",COUNTIFS(Scoresheet!$C$2:$C$501,A459,Scoresheet!$U$2:$U$501,1)=0),"No scoresheet yet",IF(SUMIFS(Scoresheet!$N$2:$N$501,Scoresheet!$C$2:$C$501,A459,Scoresheet!$U$2:$U$501,1)&lt;6,"Partly scored ("&amp;SUMIFS(Scoresheet!$N$2:$N$501,Scoresheet!$C$2:$C$501,A459,Scoresheet!$U$2:$U$501,1)&amp;"/6)",IF(N459&gt;=Settings!$S$8,"Hot",IF(N459&gt;=Settings!$S$9,"Warm","Cold")))))</f>
        <v/>
      </c>
      <c r="P459" s="44" t="str">
        <f aca="false">IF(OR(D459="",A459=""),"",IF(AND(COUNTIFS(Scoresheet!$C$2:$C$501,A459,Scoresheet!$U$2:$U$501,1,Scoresheet!$H$2:$H$501,"No")&gt;0,COUNTIFS(Scoresheet!$C$2:$C$501,A459,Scoresheet!$U$2:$U$501,1,Scoresheet!$J$2:$J$501,"No")&gt;0),"🚩 Budget  ·  🚩 No one on camera",IF(COUNTIFS(Scoresheet!$C$2:$C$501,A459,Scoresheet!$U$2:$U$501,1,Scoresheet!$H$2:$H$501,"No")&gt;0,"🚩 Budget under AED 5k",IF(COUNTIFS(Scoresheet!$C$2:$C$501,A459,Scoresheet!$U$2:$U$501,1,Scoresheet!$J$2:$J$501,"No")&gt;0,"🚩 No one on camera",""))))</f>
        <v/>
      </c>
      <c r="Q459" s="17"/>
      <c r="R459" s="17"/>
      <c r="S459" s="40"/>
      <c r="T459" s="17"/>
      <c r="U459" s="45" t="str">
        <f aca="false">IF(OR(D459="",S459="",OR(R459="Contract signed + paid",R459="Closed – No response",R459="Lost"),N(T459)&gt;=Settings!$S$3),"",S459+Settings!$S$2)</f>
        <v/>
      </c>
      <c r="V459" s="40"/>
      <c r="W459" s="41"/>
      <c r="X459" s="17"/>
      <c r="Y459" s="17"/>
      <c r="Z459" s="17"/>
      <c r="AA459" s="46" t="str">
        <f aca="true">IF(OR(D459="",B459=""),"",INT(TODAY()-B459))</f>
        <v/>
      </c>
      <c r="AB459" s="44" t="str">
        <f aca="true">IF(D459="","",IF(OR(COUNTIFS(Clients!$C$2:$C$501,D459,Clients!$S$2:$S$501,"Paid")&gt;0,AND(H459&lt;&gt;"",COUNTIFS(Clients!$E$2:$E$501,H459,Clients!$S$2:$S$501,"Paid")&gt;0)),"⚠ Refunded before – no free video",IF(OR(R459="Contract signed + paid",R459="Closed – No response",R459="Lost"),"",IF(R459="","Set a stage",IF(AND(R459="Proposal sent",SUMIFS(Scoresheet!$N$2:$N$501,Scoresheet!$C$2:$C$501,A459,Scoresheet!$U$2:$U$501,1)&lt;6),"Score this lead – fill the call scoresheet",IF(N(T459)&gt;=Settings!$S$3,"Close – 4 follow-ups sent",IF(U459="",IF(S459="","Make first contact",""),IF(TODAY()&gt;U459,"OVERDUE follow-up",IF(TODAY()=U459,"Follow up today","")))))))))</f>
        <v/>
      </c>
    </row>
    <row r="460" customFormat="false" ht="15" hidden="false" customHeight="false" outlineLevel="0" collapsed="false">
      <c r="A460" s="17"/>
      <c r="B460" s="40"/>
      <c r="C460" s="17"/>
      <c r="D460" s="17"/>
      <c r="E460" s="17"/>
      <c r="F460" s="17"/>
      <c r="G460" s="17"/>
      <c r="H460" s="42"/>
      <c r="I460" s="17"/>
      <c r="J460" s="17"/>
      <c r="K460" s="17"/>
      <c r="L460" s="17"/>
      <c r="M460" s="17"/>
      <c r="N460" s="44" t="str">
        <f aca="false">IF(OR(D460="",A460="",COUNTIFS(Scoresheet!$C$2:$C$501,A460,Scoresheet!$U$2:$U$501,1)=0),"",SUMIFS(Scoresheet!$O$2:$O$501,Scoresheet!$C$2:$C$501,A460,Scoresheet!$U$2:$U$501,1))</f>
        <v/>
      </c>
      <c r="O460" s="44" t="str">
        <f aca="false">IF(D460="","",IF(OR(A460="",COUNTIFS(Scoresheet!$C$2:$C$501,A460,Scoresheet!$U$2:$U$501,1)=0),"No scoresheet yet",IF(SUMIFS(Scoresheet!$N$2:$N$501,Scoresheet!$C$2:$C$501,A460,Scoresheet!$U$2:$U$501,1)&lt;6,"Partly scored ("&amp;SUMIFS(Scoresheet!$N$2:$N$501,Scoresheet!$C$2:$C$501,A460,Scoresheet!$U$2:$U$501,1)&amp;"/6)",IF(N460&gt;=Settings!$S$8,"Hot",IF(N460&gt;=Settings!$S$9,"Warm","Cold")))))</f>
        <v/>
      </c>
      <c r="P460" s="44" t="str">
        <f aca="false">IF(OR(D460="",A460=""),"",IF(AND(COUNTIFS(Scoresheet!$C$2:$C$501,A460,Scoresheet!$U$2:$U$501,1,Scoresheet!$H$2:$H$501,"No")&gt;0,COUNTIFS(Scoresheet!$C$2:$C$501,A460,Scoresheet!$U$2:$U$501,1,Scoresheet!$J$2:$J$501,"No")&gt;0),"🚩 Budget  ·  🚩 No one on camera",IF(COUNTIFS(Scoresheet!$C$2:$C$501,A460,Scoresheet!$U$2:$U$501,1,Scoresheet!$H$2:$H$501,"No")&gt;0,"🚩 Budget under AED 5k",IF(COUNTIFS(Scoresheet!$C$2:$C$501,A460,Scoresheet!$U$2:$U$501,1,Scoresheet!$J$2:$J$501,"No")&gt;0,"🚩 No one on camera",""))))</f>
        <v/>
      </c>
      <c r="Q460" s="17"/>
      <c r="R460" s="17"/>
      <c r="S460" s="40"/>
      <c r="T460" s="17"/>
      <c r="U460" s="45" t="str">
        <f aca="false">IF(OR(D460="",S460="",OR(R460="Contract signed + paid",R460="Closed – No response",R460="Lost"),N(T460)&gt;=Settings!$S$3),"",S460+Settings!$S$2)</f>
        <v/>
      </c>
      <c r="V460" s="40"/>
      <c r="W460" s="41"/>
      <c r="X460" s="17"/>
      <c r="Y460" s="17"/>
      <c r="Z460" s="17"/>
      <c r="AA460" s="46" t="str">
        <f aca="true">IF(OR(D460="",B460=""),"",INT(TODAY()-B460))</f>
        <v/>
      </c>
      <c r="AB460" s="44" t="str">
        <f aca="true">IF(D460="","",IF(OR(COUNTIFS(Clients!$C$2:$C$501,D460,Clients!$S$2:$S$501,"Paid")&gt;0,AND(H460&lt;&gt;"",COUNTIFS(Clients!$E$2:$E$501,H460,Clients!$S$2:$S$501,"Paid")&gt;0)),"⚠ Refunded before – no free video",IF(OR(R460="Contract signed + paid",R460="Closed – No response",R460="Lost"),"",IF(R460="","Set a stage",IF(AND(R460="Proposal sent",SUMIFS(Scoresheet!$N$2:$N$501,Scoresheet!$C$2:$C$501,A460,Scoresheet!$U$2:$U$501,1)&lt;6),"Score this lead – fill the call scoresheet",IF(N(T460)&gt;=Settings!$S$3,"Close – 4 follow-ups sent",IF(U460="",IF(S460="","Make first contact",""),IF(TODAY()&gt;U460,"OVERDUE follow-up",IF(TODAY()=U460,"Follow up today","")))))))))</f>
        <v/>
      </c>
    </row>
    <row r="461" customFormat="false" ht="15" hidden="false" customHeight="false" outlineLevel="0" collapsed="false">
      <c r="A461" s="17"/>
      <c r="B461" s="40"/>
      <c r="C461" s="17"/>
      <c r="D461" s="17"/>
      <c r="E461" s="17"/>
      <c r="F461" s="17"/>
      <c r="G461" s="17"/>
      <c r="H461" s="42"/>
      <c r="I461" s="17"/>
      <c r="J461" s="17"/>
      <c r="K461" s="17"/>
      <c r="L461" s="17"/>
      <c r="M461" s="17"/>
      <c r="N461" s="44" t="str">
        <f aca="false">IF(OR(D461="",A461="",COUNTIFS(Scoresheet!$C$2:$C$501,A461,Scoresheet!$U$2:$U$501,1)=0),"",SUMIFS(Scoresheet!$O$2:$O$501,Scoresheet!$C$2:$C$501,A461,Scoresheet!$U$2:$U$501,1))</f>
        <v/>
      </c>
      <c r="O461" s="44" t="str">
        <f aca="false">IF(D461="","",IF(OR(A461="",COUNTIFS(Scoresheet!$C$2:$C$501,A461,Scoresheet!$U$2:$U$501,1)=0),"No scoresheet yet",IF(SUMIFS(Scoresheet!$N$2:$N$501,Scoresheet!$C$2:$C$501,A461,Scoresheet!$U$2:$U$501,1)&lt;6,"Partly scored ("&amp;SUMIFS(Scoresheet!$N$2:$N$501,Scoresheet!$C$2:$C$501,A461,Scoresheet!$U$2:$U$501,1)&amp;"/6)",IF(N461&gt;=Settings!$S$8,"Hot",IF(N461&gt;=Settings!$S$9,"Warm","Cold")))))</f>
        <v/>
      </c>
      <c r="P461" s="44" t="str">
        <f aca="false">IF(OR(D461="",A461=""),"",IF(AND(COUNTIFS(Scoresheet!$C$2:$C$501,A461,Scoresheet!$U$2:$U$501,1,Scoresheet!$H$2:$H$501,"No")&gt;0,COUNTIFS(Scoresheet!$C$2:$C$501,A461,Scoresheet!$U$2:$U$501,1,Scoresheet!$J$2:$J$501,"No")&gt;0),"🚩 Budget  ·  🚩 No one on camera",IF(COUNTIFS(Scoresheet!$C$2:$C$501,A461,Scoresheet!$U$2:$U$501,1,Scoresheet!$H$2:$H$501,"No")&gt;0,"🚩 Budget under AED 5k",IF(COUNTIFS(Scoresheet!$C$2:$C$501,A461,Scoresheet!$U$2:$U$501,1,Scoresheet!$J$2:$J$501,"No")&gt;0,"🚩 No one on camera",""))))</f>
        <v/>
      </c>
      <c r="Q461" s="17"/>
      <c r="R461" s="17"/>
      <c r="S461" s="40"/>
      <c r="T461" s="17"/>
      <c r="U461" s="45" t="str">
        <f aca="false">IF(OR(D461="",S461="",OR(R461="Contract signed + paid",R461="Closed – No response",R461="Lost"),N(T461)&gt;=Settings!$S$3),"",S461+Settings!$S$2)</f>
        <v/>
      </c>
      <c r="V461" s="40"/>
      <c r="W461" s="41"/>
      <c r="X461" s="17"/>
      <c r="Y461" s="17"/>
      <c r="Z461" s="17"/>
      <c r="AA461" s="46" t="str">
        <f aca="true">IF(OR(D461="",B461=""),"",INT(TODAY()-B461))</f>
        <v/>
      </c>
      <c r="AB461" s="44" t="str">
        <f aca="true">IF(D461="","",IF(OR(COUNTIFS(Clients!$C$2:$C$501,D461,Clients!$S$2:$S$501,"Paid")&gt;0,AND(H461&lt;&gt;"",COUNTIFS(Clients!$E$2:$E$501,H461,Clients!$S$2:$S$501,"Paid")&gt;0)),"⚠ Refunded before – no free video",IF(OR(R461="Contract signed + paid",R461="Closed – No response",R461="Lost"),"",IF(R461="","Set a stage",IF(AND(R461="Proposal sent",SUMIFS(Scoresheet!$N$2:$N$501,Scoresheet!$C$2:$C$501,A461,Scoresheet!$U$2:$U$501,1)&lt;6),"Score this lead – fill the call scoresheet",IF(N(T461)&gt;=Settings!$S$3,"Close – 4 follow-ups sent",IF(U461="",IF(S461="","Make first contact",""),IF(TODAY()&gt;U461,"OVERDUE follow-up",IF(TODAY()=U461,"Follow up today","")))))))))</f>
        <v/>
      </c>
    </row>
    <row r="462" customFormat="false" ht="15" hidden="false" customHeight="false" outlineLevel="0" collapsed="false">
      <c r="A462" s="17"/>
      <c r="B462" s="40"/>
      <c r="C462" s="17"/>
      <c r="D462" s="17"/>
      <c r="E462" s="17"/>
      <c r="F462" s="17"/>
      <c r="G462" s="17"/>
      <c r="H462" s="42"/>
      <c r="I462" s="17"/>
      <c r="J462" s="17"/>
      <c r="K462" s="17"/>
      <c r="L462" s="17"/>
      <c r="M462" s="17"/>
      <c r="N462" s="44" t="str">
        <f aca="false">IF(OR(D462="",A462="",COUNTIFS(Scoresheet!$C$2:$C$501,A462,Scoresheet!$U$2:$U$501,1)=0),"",SUMIFS(Scoresheet!$O$2:$O$501,Scoresheet!$C$2:$C$501,A462,Scoresheet!$U$2:$U$501,1))</f>
        <v/>
      </c>
      <c r="O462" s="44" t="str">
        <f aca="false">IF(D462="","",IF(OR(A462="",COUNTIFS(Scoresheet!$C$2:$C$501,A462,Scoresheet!$U$2:$U$501,1)=0),"No scoresheet yet",IF(SUMIFS(Scoresheet!$N$2:$N$501,Scoresheet!$C$2:$C$501,A462,Scoresheet!$U$2:$U$501,1)&lt;6,"Partly scored ("&amp;SUMIFS(Scoresheet!$N$2:$N$501,Scoresheet!$C$2:$C$501,A462,Scoresheet!$U$2:$U$501,1)&amp;"/6)",IF(N462&gt;=Settings!$S$8,"Hot",IF(N462&gt;=Settings!$S$9,"Warm","Cold")))))</f>
        <v/>
      </c>
      <c r="P462" s="44" t="str">
        <f aca="false">IF(OR(D462="",A462=""),"",IF(AND(COUNTIFS(Scoresheet!$C$2:$C$501,A462,Scoresheet!$U$2:$U$501,1,Scoresheet!$H$2:$H$501,"No")&gt;0,COUNTIFS(Scoresheet!$C$2:$C$501,A462,Scoresheet!$U$2:$U$501,1,Scoresheet!$J$2:$J$501,"No")&gt;0),"🚩 Budget  ·  🚩 No one on camera",IF(COUNTIFS(Scoresheet!$C$2:$C$501,A462,Scoresheet!$U$2:$U$501,1,Scoresheet!$H$2:$H$501,"No")&gt;0,"🚩 Budget under AED 5k",IF(COUNTIFS(Scoresheet!$C$2:$C$501,A462,Scoresheet!$U$2:$U$501,1,Scoresheet!$J$2:$J$501,"No")&gt;0,"🚩 No one on camera",""))))</f>
        <v/>
      </c>
      <c r="Q462" s="17"/>
      <c r="R462" s="17"/>
      <c r="S462" s="40"/>
      <c r="T462" s="17"/>
      <c r="U462" s="45" t="str">
        <f aca="false">IF(OR(D462="",S462="",OR(R462="Contract signed + paid",R462="Closed – No response",R462="Lost"),N(T462)&gt;=Settings!$S$3),"",S462+Settings!$S$2)</f>
        <v/>
      </c>
      <c r="V462" s="40"/>
      <c r="W462" s="41"/>
      <c r="X462" s="17"/>
      <c r="Y462" s="17"/>
      <c r="Z462" s="17"/>
      <c r="AA462" s="46" t="str">
        <f aca="true">IF(OR(D462="",B462=""),"",INT(TODAY()-B462))</f>
        <v/>
      </c>
      <c r="AB462" s="44" t="str">
        <f aca="true">IF(D462="","",IF(OR(COUNTIFS(Clients!$C$2:$C$501,D462,Clients!$S$2:$S$501,"Paid")&gt;0,AND(H462&lt;&gt;"",COUNTIFS(Clients!$E$2:$E$501,H462,Clients!$S$2:$S$501,"Paid")&gt;0)),"⚠ Refunded before – no free video",IF(OR(R462="Contract signed + paid",R462="Closed – No response",R462="Lost"),"",IF(R462="","Set a stage",IF(AND(R462="Proposal sent",SUMIFS(Scoresheet!$N$2:$N$501,Scoresheet!$C$2:$C$501,A462,Scoresheet!$U$2:$U$501,1)&lt;6),"Score this lead – fill the call scoresheet",IF(N(T462)&gt;=Settings!$S$3,"Close – 4 follow-ups sent",IF(U462="",IF(S462="","Make first contact",""),IF(TODAY()&gt;U462,"OVERDUE follow-up",IF(TODAY()=U462,"Follow up today","")))))))))</f>
        <v/>
      </c>
    </row>
    <row r="463" customFormat="false" ht="15" hidden="false" customHeight="false" outlineLevel="0" collapsed="false">
      <c r="A463" s="17"/>
      <c r="B463" s="40"/>
      <c r="C463" s="17"/>
      <c r="D463" s="17"/>
      <c r="E463" s="17"/>
      <c r="F463" s="17"/>
      <c r="G463" s="17"/>
      <c r="H463" s="42"/>
      <c r="I463" s="17"/>
      <c r="J463" s="17"/>
      <c r="K463" s="17"/>
      <c r="L463" s="17"/>
      <c r="M463" s="17"/>
      <c r="N463" s="44" t="str">
        <f aca="false">IF(OR(D463="",A463="",COUNTIFS(Scoresheet!$C$2:$C$501,A463,Scoresheet!$U$2:$U$501,1)=0),"",SUMIFS(Scoresheet!$O$2:$O$501,Scoresheet!$C$2:$C$501,A463,Scoresheet!$U$2:$U$501,1))</f>
        <v/>
      </c>
      <c r="O463" s="44" t="str">
        <f aca="false">IF(D463="","",IF(OR(A463="",COUNTIFS(Scoresheet!$C$2:$C$501,A463,Scoresheet!$U$2:$U$501,1)=0),"No scoresheet yet",IF(SUMIFS(Scoresheet!$N$2:$N$501,Scoresheet!$C$2:$C$501,A463,Scoresheet!$U$2:$U$501,1)&lt;6,"Partly scored ("&amp;SUMIFS(Scoresheet!$N$2:$N$501,Scoresheet!$C$2:$C$501,A463,Scoresheet!$U$2:$U$501,1)&amp;"/6)",IF(N463&gt;=Settings!$S$8,"Hot",IF(N463&gt;=Settings!$S$9,"Warm","Cold")))))</f>
        <v/>
      </c>
      <c r="P463" s="44" t="str">
        <f aca="false">IF(OR(D463="",A463=""),"",IF(AND(COUNTIFS(Scoresheet!$C$2:$C$501,A463,Scoresheet!$U$2:$U$501,1,Scoresheet!$H$2:$H$501,"No")&gt;0,COUNTIFS(Scoresheet!$C$2:$C$501,A463,Scoresheet!$U$2:$U$501,1,Scoresheet!$J$2:$J$501,"No")&gt;0),"🚩 Budget  ·  🚩 No one on camera",IF(COUNTIFS(Scoresheet!$C$2:$C$501,A463,Scoresheet!$U$2:$U$501,1,Scoresheet!$H$2:$H$501,"No")&gt;0,"🚩 Budget under AED 5k",IF(COUNTIFS(Scoresheet!$C$2:$C$501,A463,Scoresheet!$U$2:$U$501,1,Scoresheet!$J$2:$J$501,"No")&gt;0,"🚩 No one on camera",""))))</f>
        <v/>
      </c>
      <c r="Q463" s="17"/>
      <c r="R463" s="17"/>
      <c r="S463" s="40"/>
      <c r="T463" s="17"/>
      <c r="U463" s="45" t="str">
        <f aca="false">IF(OR(D463="",S463="",OR(R463="Contract signed + paid",R463="Closed – No response",R463="Lost"),N(T463)&gt;=Settings!$S$3),"",S463+Settings!$S$2)</f>
        <v/>
      </c>
      <c r="V463" s="40"/>
      <c r="W463" s="41"/>
      <c r="X463" s="17"/>
      <c r="Y463" s="17"/>
      <c r="Z463" s="17"/>
      <c r="AA463" s="46" t="str">
        <f aca="true">IF(OR(D463="",B463=""),"",INT(TODAY()-B463))</f>
        <v/>
      </c>
      <c r="AB463" s="44" t="str">
        <f aca="true">IF(D463="","",IF(OR(COUNTIFS(Clients!$C$2:$C$501,D463,Clients!$S$2:$S$501,"Paid")&gt;0,AND(H463&lt;&gt;"",COUNTIFS(Clients!$E$2:$E$501,H463,Clients!$S$2:$S$501,"Paid")&gt;0)),"⚠ Refunded before – no free video",IF(OR(R463="Contract signed + paid",R463="Closed – No response",R463="Lost"),"",IF(R463="","Set a stage",IF(AND(R463="Proposal sent",SUMIFS(Scoresheet!$N$2:$N$501,Scoresheet!$C$2:$C$501,A463,Scoresheet!$U$2:$U$501,1)&lt;6),"Score this lead – fill the call scoresheet",IF(N(T463)&gt;=Settings!$S$3,"Close – 4 follow-ups sent",IF(U463="",IF(S463="","Make first contact",""),IF(TODAY()&gt;U463,"OVERDUE follow-up",IF(TODAY()=U463,"Follow up today","")))))))))</f>
        <v/>
      </c>
    </row>
    <row r="464" customFormat="false" ht="15" hidden="false" customHeight="false" outlineLevel="0" collapsed="false">
      <c r="A464" s="17"/>
      <c r="B464" s="40"/>
      <c r="C464" s="17"/>
      <c r="D464" s="17"/>
      <c r="E464" s="17"/>
      <c r="F464" s="17"/>
      <c r="G464" s="17"/>
      <c r="H464" s="42"/>
      <c r="I464" s="17"/>
      <c r="J464" s="17"/>
      <c r="K464" s="17"/>
      <c r="L464" s="17"/>
      <c r="M464" s="17"/>
      <c r="N464" s="44" t="str">
        <f aca="false">IF(OR(D464="",A464="",COUNTIFS(Scoresheet!$C$2:$C$501,A464,Scoresheet!$U$2:$U$501,1)=0),"",SUMIFS(Scoresheet!$O$2:$O$501,Scoresheet!$C$2:$C$501,A464,Scoresheet!$U$2:$U$501,1))</f>
        <v/>
      </c>
      <c r="O464" s="44" t="str">
        <f aca="false">IF(D464="","",IF(OR(A464="",COUNTIFS(Scoresheet!$C$2:$C$501,A464,Scoresheet!$U$2:$U$501,1)=0),"No scoresheet yet",IF(SUMIFS(Scoresheet!$N$2:$N$501,Scoresheet!$C$2:$C$501,A464,Scoresheet!$U$2:$U$501,1)&lt;6,"Partly scored ("&amp;SUMIFS(Scoresheet!$N$2:$N$501,Scoresheet!$C$2:$C$501,A464,Scoresheet!$U$2:$U$501,1)&amp;"/6)",IF(N464&gt;=Settings!$S$8,"Hot",IF(N464&gt;=Settings!$S$9,"Warm","Cold")))))</f>
        <v/>
      </c>
      <c r="P464" s="44" t="str">
        <f aca="false">IF(OR(D464="",A464=""),"",IF(AND(COUNTIFS(Scoresheet!$C$2:$C$501,A464,Scoresheet!$U$2:$U$501,1,Scoresheet!$H$2:$H$501,"No")&gt;0,COUNTIFS(Scoresheet!$C$2:$C$501,A464,Scoresheet!$U$2:$U$501,1,Scoresheet!$J$2:$J$501,"No")&gt;0),"🚩 Budget  ·  🚩 No one on camera",IF(COUNTIFS(Scoresheet!$C$2:$C$501,A464,Scoresheet!$U$2:$U$501,1,Scoresheet!$H$2:$H$501,"No")&gt;0,"🚩 Budget under AED 5k",IF(COUNTIFS(Scoresheet!$C$2:$C$501,A464,Scoresheet!$U$2:$U$501,1,Scoresheet!$J$2:$J$501,"No")&gt;0,"🚩 No one on camera",""))))</f>
        <v/>
      </c>
      <c r="Q464" s="17"/>
      <c r="R464" s="17"/>
      <c r="S464" s="40"/>
      <c r="T464" s="17"/>
      <c r="U464" s="45" t="str">
        <f aca="false">IF(OR(D464="",S464="",OR(R464="Contract signed + paid",R464="Closed – No response",R464="Lost"),N(T464)&gt;=Settings!$S$3),"",S464+Settings!$S$2)</f>
        <v/>
      </c>
      <c r="V464" s="40"/>
      <c r="W464" s="41"/>
      <c r="X464" s="17"/>
      <c r="Y464" s="17"/>
      <c r="Z464" s="17"/>
      <c r="AA464" s="46" t="str">
        <f aca="true">IF(OR(D464="",B464=""),"",INT(TODAY()-B464))</f>
        <v/>
      </c>
      <c r="AB464" s="44" t="str">
        <f aca="true">IF(D464="","",IF(OR(COUNTIFS(Clients!$C$2:$C$501,D464,Clients!$S$2:$S$501,"Paid")&gt;0,AND(H464&lt;&gt;"",COUNTIFS(Clients!$E$2:$E$501,H464,Clients!$S$2:$S$501,"Paid")&gt;0)),"⚠ Refunded before – no free video",IF(OR(R464="Contract signed + paid",R464="Closed – No response",R464="Lost"),"",IF(R464="","Set a stage",IF(AND(R464="Proposal sent",SUMIFS(Scoresheet!$N$2:$N$501,Scoresheet!$C$2:$C$501,A464,Scoresheet!$U$2:$U$501,1)&lt;6),"Score this lead – fill the call scoresheet",IF(N(T464)&gt;=Settings!$S$3,"Close – 4 follow-ups sent",IF(U464="",IF(S464="","Make first contact",""),IF(TODAY()&gt;U464,"OVERDUE follow-up",IF(TODAY()=U464,"Follow up today","")))))))))</f>
        <v/>
      </c>
    </row>
    <row r="465" customFormat="false" ht="15" hidden="false" customHeight="false" outlineLevel="0" collapsed="false">
      <c r="A465" s="17"/>
      <c r="B465" s="40"/>
      <c r="C465" s="17"/>
      <c r="D465" s="17"/>
      <c r="E465" s="17"/>
      <c r="F465" s="17"/>
      <c r="G465" s="17"/>
      <c r="H465" s="42"/>
      <c r="I465" s="17"/>
      <c r="J465" s="17"/>
      <c r="K465" s="17"/>
      <c r="L465" s="17"/>
      <c r="M465" s="17"/>
      <c r="N465" s="44" t="str">
        <f aca="false">IF(OR(D465="",A465="",COUNTIFS(Scoresheet!$C$2:$C$501,A465,Scoresheet!$U$2:$U$501,1)=0),"",SUMIFS(Scoresheet!$O$2:$O$501,Scoresheet!$C$2:$C$501,A465,Scoresheet!$U$2:$U$501,1))</f>
        <v/>
      </c>
      <c r="O465" s="44" t="str">
        <f aca="false">IF(D465="","",IF(OR(A465="",COUNTIFS(Scoresheet!$C$2:$C$501,A465,Scoresheet!$U$2:$U$501,1)=0),"No scoresheet yet",IF(SUMIFS(Scoresheet!$N$2:$N$501,Scoresheet!$C$2:$C$501,A465,Scoresheet!$U$2:$U$501,1)&lt;6,"Partly scored ("&amp;SUMIFS(Scoresheet!$N$2:$N$501,Scoresheet!$C$2:$C$501,A465,Scoresheet!$U$2:$U$501,1)&amp;"/6)",IF(N465&gt;=Settings!$S$8,"Hot",IF(N465&gt;=Settings!$S$9,"Warm","Cold")))))</f>
        <v/>
      </c>
      <c r="P465" s="44" t="str">
        <f aca="false">IF(OR(D465="",A465=""),"",IF(AND(COUNTIFS(Scoresheet!$C$2:$C$501,A465,Scoresheet!$U$2:$U$501,1,Scoresheet!$H$2:$H$501,"No")&gt;0,COUNTIFS(Scoresheet!$C$2:$C$501,A465,Scoresheet!$U$2:$U$501,1,Scoresheet!$J$2:$J$501,"No")&gt;0),"🚩 Budget  ·  🚩 No one on camera",IF(COUNTIFS(Scoresheet!$C$2:$C$501,A465,Scoresheet!$U$2:$U$501,1,Scoresheet!$H$2:$H$501,"No")&gt;0,"🚩 Budget under AED 5k",IF(COUNTIFS(Scoresheet!$C$2:$C$501,A465,Scoresheet!$U$2:$U$501,1,Scoresheet!$J$2:$J$501,"No")&gt;0,"🚩 No one on camera",""))))</f>
        <v/>
      </c>
      <c r="Q465" s="17"/>
      <c r="R465" s="17"/>
      <c r="S465" s="40"/>
      <c r="T465" s="17"/>
      <c r="U465" s="45" t="str">
        <f aca="false">IF(OR(D465="",S465="",OR(R465="Contract signed + paid",R465="Closed – No response",R465="Lost"),N(T465)&gt;=Settings!$S$3),"",S465+Settings!$S$2)</f>
        <v/>
      </c>
      <c r="V465" s="40"/>
      <c r="W465" s="41"/>
      <c r="X465" s="17"/>
      <c r="Y465" s="17"/>
      <c r="Z465" s="17"/>
      <c r="AA465" s="46" t="str">
        <f aca="true">IF(OR(D465="",B465=""),"",INT(TODAY()-B465))</f>
        <v/>
      </c>
      <c r="AB465" s="44" t="str">
        <f aca="true">IF(D465="","",IF(OR(COUNTIFS(Clients!$C$2:$C$501,D465,Clients!$S$2:$S$501,"Paid")&gt;0,AND(H465&lt;&gt;"",COUNTIFS(Clients!$E$2:$E$501,H465,Clients!$S$2:$S$501,"Paid")&gt;0)),"⚠ Refunded before – no free video",IF(OR(R465="Contract signed + paid",R465="Closed – No response",R465="Lost"),"",IF(R465="","Set a stage",IF(AND(R465="Proposal sent",SUMIFS(Scoresheet!$N$2:$N$501,Scoresheet!$C$2:$C$501,A465,Scoresheet!$U$2:$U$501,1)&lt;6),"Score this lead – fill the call scoresheet",IF(N(T465)&gt;=Settings!$S$3,"Close – 4 follow-ups sent",IF(U465="",IF(S465="","Make first contact",""),IF(TODAY()&gt;U465,"OVERDUE follow-up",IF(TODAY()=U465,"Follow up today","")))))))))</f>
        <v/>
      </c>
    </row>
    <row r="466" customFormat="false" ht="15" hidden="false" customHeight="false" outlineLevel="0" collapsed="false">
      <c r="A466" s="17"/>
      <c r="B466" s="40"/>
      <c r="C466" s="17"/>
      <c r="D466" s="17"/>
      <c r="E466" s="17"/>
      <c r="F466" s="17"/>
      <c r="G466" s="17"/>
      <c r="H466" s="42"/>
      <c r="I466" s="17"/>
      <c r="J466" s="17"/>
      <c r="K466" s="17"/>
      <c r="L466" s="17"/>
      <c r="M466" s="17"/>
      <c r="N466" s="44" t="str">
        <f aca="false">IF(OR(D466="",A466="",COUNTIFS(Scoresheet!$C$2:$C$501,A466,Scoresheet!$U$2:$U$501,1)=0),"",SUMIFS(Scoresheet!$O$2:$O$501,Scoresheet!$C$2:$C$501,A466,Scoresheet!$U$2:$U$501,1))</f>
        <v/>
      </c>
      <c r="O466" s="44" t="str">
        <f aca="false">IF(D466="","",IF(OR(A466="",COUNTIFS(Scoresheet!$C$2:$C$501,A466,Scoresheet!$U$2:$U$501,1)=0),"No scoresheet yet",IF(SUMIFS(Scoresheet!$N$2:$N$501,Scoresheet!$C$2:$C$501,A466,Scoresheet!$U$2:$U$501,1)&lt;6,"Partly scored ("&amp;SUMIFS(Scoresheet!$N$2:$N$501,Scoresheet!$C$2:$C$501,A466,Scoresheet!$U$2:$U$501,1)&amp;"/6)",IF(N466&gt;=Settings!$S$8,"Hot",IF(N466&gt;=Settings!$S$9,"Warm","Cold")))))</f>
        <v/>
      </c>
      <c r="P466" s="44" t="str">
        <f aca="false">IF(OR(D466="",A466=""),"",IF(AND(COUNTIFS(Scoresheet!$C$2:$C$501,A466,Scoresheet!$U$2:$U$501,1,Scoresheet!$H$2:$H$501,"No")&gt;0,COUNTIFS(Scoresheet!$C$2:$C$501,A466,Scoresheet!$U$2:$U$501,1,Scoresheet!$J$2:$J$501,"No")&gt;0),"🚩 Budget  ·  🚩 No one on camera",IF(COUNTIFS(Scoresheet!$C$2:$C$501,A466,Scoresheet!$U$2:$U$501,1,Scoresheet!$H$2:$H$501,"No")&gt;0,"🚩 Budget under AED 5k",IF(COUNTIFS(Scoresheet!$C$2:$C$501,A466,Scoresheet!$U$2:$U$501,1,Scoresheet!$J$2:$J$501,"No")&gt;0,"🚩 No one on camera",""))))</f>
        <v/>
      </c>
      <c r="Q466" s="17"/>
      <c r="R466" s="17"/>
      <c r="S466" s="40"/>
      <c r="T466" s="17"/>
      <c r="U466" s="45" t="str">
        <f aca="false">IF(OR(D466="",S466="",OR(R466="Contract signed + paid",R466="Closed – No response",R466="Lost"),N(T466)&gt;=Settings!$S$3),"",S466+Settings!$S$2)</f>
        <v/>
      </c>
      <c r="V466" s="40"/>
      <c r="W466" s="41"/>
      <c r="X466" s="17"/>
      <c r="Y466" s="17"/>
      <c r="Z466" s="17"/>
      <c r="AA466" s="46" t="str">
        <f aca="true">IF(OR(D466="",B466=""),"",INT(TODAY()-B466))</f>
        <v/>
      </c>
      <c r="AB466" s="44" t="str">
        <f aca="true">IF(D466="","",IF(OR(COUNTIFS(Clients!$C$2:$C$501,D466,Clients!$S$2:$S$501,"Paid")&gt;0,AND(H466&lt;&gt;"",COUNTIFS(Clients!$E$2:$E$501,H466,Clients!$S$2:$S$501,"Paid")&gt;0)),"⚠ Refunded before – no free video",IF(OR(R466="Contract signed + paid",R466="Closed – No response",R466="Lost"),"",IF(R466="","Set a stage",IF(AND(R466="Proposal sent",SUMIFS(Scoresheet!$N$2:$N$501,Scoresheet!$C$2:$C$501,A466,Scoresheet!$U$2:$U$501,1)&lt;6),"Score this lead – fill the call scoresheet",IF(N(T466)&gt;=Settings!$S$3,"Close – 4 follow-ups sent",IF(U466="",IF(S466="","Make first contact",""),IF(TODAY()&gt;U466,"OVERDUE follow-up",IF(TODAY()=U466,"Follow up today","")))))))))</f>
        <v/>
      </c>
    </row>
    <row r="467" customFormat="false" ht="15" hidden="false" customHeight="false" outlineLevel="0" collapsed="false">
      <c r="A467" s="17"/>
      <c r="B467" s="40"/>
      <c r="C467" s="17"/>
      <c r="D467" s="17"/>
      <c r="E467" s="17"/>
      <c r="F467" s="17"/>
      <c r="G467" s="17"/>
      <c r="H467" s="42"/>
      <c r="I467" s="17"/>
      <c r="J467" s="17"/>
      <c r="K467" s="17"/>
      <c r="L467" s="17"/>
      <c r="M467" s="17"/>
      <c r="N467" s="44" t="str">
        <f aca="false">IF(OR(D467="",A467="",COUNTIFS(Scoresheet!$C$2:$C$501,A467,Scoresheet!$U$2:$U$501,1)=0),"",SUMIFS(Scoresheet!$O$2:$O$501,Scoresheet!$C$2:$C$501,A467,Scoresheet!$U$2:$U$501,1))</f>
        <v/>
      </c>
      <c r="O467" s="44" t="str">
        <f aca="false">IF(D467="","",IF(OR(A467="",COUNTIFS(Scoresheet!$C$2:$C$501,A467,Scoresheet!$U$2:$U$501,1)=0),"No scoresheet yet",IF(SUMIFS(Scoresheet!$N$2:$N$501,Scoresheet!$C$2:$C$501,A467,Scoresheet!$U$2:$U$501,1)&lt;6,"Partly scored ("&amp;SUMIFS(Scoresheet!$N$2:$N$501,Scoresheet!$C$2:$C$501,A467,Scoresheet!$U$2:$U$501,1)&amp;"/6)",IF(N467&gt;=Settings!$S$8,"Hot",IF(N467&gt;=Settings!$S$9,"Warm","Cold")))))</f>
        <v/>
      </c>
      <c r="P467" s="44" t="str">
        <f aca="false">IF(OR(D467="",A467=""),"",IF(AND(COUNTIFS(Scoresheet!$C$2:$C$501,A467,Scoresheet!$U$2:$U$501,1,Scoresheet!$H$2:$H$501,"No")&gt;0,COUNTIFS(Scoresheet!$C$2:$C$501,A467,Scoresheet!$U$2:$U$501,1,Scoresheet!$J$2:$J$501,"No")&gt;0),"🚩 Budget  ·  🚩 No one on camera",IF(COUNTIFS(Scoresheet!$C$2:$C$501,A467,Scoresheet!$U$2:$U$501,1,Scoresheet!$H$2:$H$501,"No")&gt;0,"🚩 Budget under AED 5k",IF(COUNTIFS(Scoresheet!$C$2:$C$501,A467,Scoresheet!$U$2:$U$501,1,Scoresheet!$J$2:$J$501,"No")&gt;0,"🚩 No one on camera",""))))</f>
        <v/>
      </c>
      <c r="Q467" s="17"/>
      <c r="R467" s="17"/>
      <c r="S467" s="40"/>
      <c r="T467" s="17"/>
      <c r="U467" s="45" t="str">
        <f aca="false">IF(OR(D467="",S467="",OR(R467="Contract signed + paid",R467="Closed – No response",R467="Lost"),N(T467)&gt;=Settings!$S$3),"",S467+Settings!$S$2)</f>
        <v/>
      </c>
      <c r="V467" s="40"/>
      <c r="W467" s="41"/>
      <c r="X467" s="17"/>
      <c r="Y467" s="17"/>
      <c r="Z467" s="17"/>
      <c r="AA467" s="46" t="str">
        <f aca="true">IF(OR(D467="",B467=""),"",INT(TODAY()-B467))</f>
        <v/>
      </c>
      <c r="AB467" s="44" t="str">
        <f aca="true">IF(D467="","",IF(OR(COUNTIFS(Clients!$C$2:$C$501,D467,Clients!$S$2:$S$501,"Paid")&gt;0,AND(H467&lt;&gt;"",COUNTIFS(Clients!$E$2:$E$501,H467,Clients!$S$2:$S$501,"Paid")&gt;0)),"⚠ Refunded before – no free video",IF(OR(R467="Contract signed + paid",R467="Closed – No response",R467="Lost"),"",IF(R467="","Set a stage",IF(AND(R467="Proposal sent",SUMIFS(Scoresheet!$N$2:$N$501,Scoresheet!$C$2:$C$501,A467,Scoresheet!$U$2:$U$501,1)&lt;6),"Score this lead – fill the call scoresheet",IF(N(T467)&gt;=Settings!$S$3,"Close – 4 follow-ups sent",IF(U467="",IF(S467="","Make first contact",""),IF(TODAY()&gt;U467,"OVERDUE follow-up",IF(TODAY()=U467,"Follow up today","")))))))))</f>
        <v/>
      </c>
    </row>
    <row r="468" customFormat="false" ht="15" hidden="false" customHeight="false" outlineLevel="0" collapsed="false">
      <c r="A468" s="17"/>
      <c r="B468" s="40"/>
      <c r="C468" s="17"/>
      <c r="D468" s="17"/>
      <c r="E468" s="17"/>
      <c r="F468" s="17"/>
      <c r="G468" s="17"/>
      <c r="H468" s="42"/>
      <c r="I468" s="17"/>
      <c r="J468" s="17"/>
      <c r="K468" s="17"/>
      <c r="L468" s="17"/>
      <c r="M468" s="17"/>
      <c r="N468" s="44" t="str">
        <f aca="false">IF(OR(D468="",A468="",COUNTIFS(Scoresheet!$C$2:$C$501,A468,Scoresheet!$U$2:$U$501,1)=0),"",SUMIFS(Scoresheet!$O$2:$O$501,Scoresheet!$C$2:$C$501,A468,Scoresheet!$U$2:$U$501,1))</f>
        <v/>
      </c>
      <c r="O468" s="44" t="str">
        <f aca="false">IF(D468="","",IF(OR(A468="",COUNTIFS(Scoresheet!$C$2:$C$501,A468,Scoresheet!$U$2:$U$501,1)=0),"No scoresheet yet",IF(SUMIFS(Scoresheet!$N$2:$N$501,Scoresheet!$C$2:$C$501,A468,Scoresheet!$U$2:$U$501,1)&lt;6,"Partly scored ("&amp;SUMIFS(Scoresheet!$N$2:$N$501,Scoresheet!$C$2:$C$501,A468,Scoresheet!$U$2:$U$501,1)&amp;"/6)",IF(N468&gt;=Settings!$S$8,"Hot",IF(N468&gt;=Settings!$S$9,"Warm","Cold")))))</f>
        <v/>
      </c>
      <c r="P468" s="44" t="str">
        <f aca="false">IF(OR(D468="",A468=""),"",IF(AND(COUNTIFS(Scoresheet!$C$2:$C$501,A468,Scoresheet!$U$2:$U$501,1,Scoresheet!$H$2:$H$501,"No")&gt;0,COUNTIFS(Scoresheet!$C$2:$C$501,A468,Scoresheet!$U$2:$U$501,1,Scoresheet!$J$2:$J$501,"No")&gt;0),"🚩 Budget  ·  🚩 No one on camera",IF(COUNTIFS(Scoresheet!$C$2:$C$501,A468,Scoresheet!$U$2:$U$501,1,Scoresheet!$H$2:$H$501,"No")&gt;0,"🚩 Budget under AED 5k",IF(COUNTIFS(Scoresheet!$C$2:$C$501,A468,Scoresheet!$U$2:$U$501,1,Scoresheet!$J$2:$J$501,"No")&gt;0,"🚩 No one on camera",""))))</f>
        <v/>
      </c>
      <c r="Q468" s="17"/>
      <c r="R468" s="17"/>
      <c r="S468" s="40"/>
      <c r="T468" s="17"/>
      <c r="U468" s="45" t="str">
        <f aca="false">IF(OR(D468="",S468="",OR(R468="Contract signed + paid",R468="Closed – No response",R468="Lost"),N(T468)&gt;=Settings!$S$3),"",S468+Settings!$S$2)</f>
        <v/>
      </c>
      <c r="V468" s="40"/>
      <c r="W468" s="41"/>
      <c r="X468" s="17"/>
      <c r="Y468" s="17"/>
      <c r="Z468" s="17"/>
      <c r="AA468" s="46" t="str">
        <f aca="true">IF(OR(D468="",B468=""),"",INT(TODAY()-B468))</f>
        <v/>
      </c>
      <c r="AB468" s="44" t="str">
        <f aca="true">IF(D468="","",IF(OR(COUNTIFS(Clients!$C$2:$C$501,D468,Clients!$S$2:$S$501,"Paid")&gt;0,AND(H468&lt;&gt;"",COUNTIFS(Clients!$E$2:$E$501,H468,Clients!$S$2:$S$501,"Paid")&gt;0)),"⚠ Refunded before – no free video",IF(OR(R468="Contract signed + paid",R468="Closed – No response",R468="Lost"),"",IF(R468="","Set a stage",IF(AND(R468="Proposal sent",SUMIFS(Scoresheet!$N$2:$N$501,Scoresheet!$C$2:$C$501,A468,Scoresheet!$U$2:$U$501,1)&lt;6),"Score this lead – fill the call scoresheet",IF(N(T468)&gt;=Settings!$S$3,"Close – 4 follow-ups sent",IF(U468="",IF(S468="","Make first contact",""),IF(TODAY()&gt;U468,"OVERDUE follow-up",IF(TODAY()=U468,"Follow up today","")))))))))</f>
        <v/>
      </c>
    </row>
    <row r="469" customFormat="false" ht="15" hidden="false" customHeight="false" outlineLevel="0" collapsed="false">
      <c r="A469" s="17"/>
      <c r="B469" s="40"/>
      <c r="C469" s="17"/>
      <c r="D469" s="17"/>
      <c r="E469" s="17"/>
      <c r="F469" s="17"/>
      <c r="G469" s="17"/>
      <c r="H469" s="42"/>
      <c r="I469" s="17"/>
      <c r="J469" s="17"/>
      <c r="K469" s="17"/>
      <c r="L469" s="17"/>
      <c r="M469" s="17"/>
      <c r="N469" s="44" t="str">
        <f aca="false">IF(OR(D469="",A469="",COUNTIFS(Scoresheet!$C$2:$C$501,A469,Scoresheet!$U$2:$U$501,1)=0),"",SUMIFS(Scoresheet!$O$2:$O$501,Scoresheet!$C$2:$C$501,A469,Scoresheet!$U$2:$U$501,1))</f>
        <v/>
      </c>
      <c r="O469" s="44" t="str">
        <f aca="false">IF(D469="","",IF(OR(A469="",COUNTIFS(Scoresheet!$C$2:$C$501,A469,Scoresheet!$U$2:$U$501,1)=0),"No scoresheet yet",IF(SUMIFS(Scoresheet!$N$2:$N$501,Scoresheet!$C$2:$C$501,A469,Scoresheet!$U$2:$U$501,1)&lt;6,"Partly scored ("&amp;SUMIFS(Scoresheet!$N$2:$N$501,Scoresheet!$C$2:$C$501,A469,Scoresheet!$U$2:$U$501,1)&amp;"/6)",IF(N469&gt;=Settings!$S$8,"Hot",IF(N469&gt;=Settings!$S$9,"Warm","Cold")))))</f>
        <v/>
      </c>
      <c r="P469" s="44" t="str">
        <f aca="false">IF(OR(D469="",A469=""),"",IF(AND(COUNTIFS(Scoresheet!$C$2:$C$501,A469,Scoresheet!$U$2:$U$501,1,Scoresheet!$H$2:$H$501,"No")&gt;0,COUNTIFS(Scoresheet!$C$2:$C$501,A469,Scoresheet!$U$2:$U$501,1,Scoresheet!$J$2:$J$501,"No")&gt;0),"🚩 Budget  ·  🚩 No one on camera",IF(COUNTIFS(Scoresheet!$C$2:$C$501,A469,Scoresheet!$U$2:$U$501,1,Scoresheet!$H$2:$H$501,"No")&gt;0,"🚩 Budget under AED 5k",IF(COUNTIFS(Scoresheet!$C$2:$C$501,A469,Scoresheet!$U$2:$U$501,1,Scoresheet!$J$2:$J$501,"No")&gt;0,"🚩 No one on camera",""))))</f>
        <v/>
      </c>
      <c r="Q469" s="17"/>
      <c r="R469" s="17"/>
      <c r="S469" s="40"/>
      <c r="T469" s="17"/>
      <c r="U469" s="45" t="str">
        <f aca="false">IF(OR(D469="",S469="",OR(R469="Contract signed + paid",R469="Closed – No response",R469="Lost"),N(T469)&gt;=Settings!$S$3),"",S469+Settings!$S$2)</f>
        <v/>
      </c>
      <c r="V469" s="40"/>
      <c r="W469" s="41"/>
      <c r="X469" s="17"/>
      <c r="Y469" s="17"/>
      <c r="Z469" s="17"/>
      <c r="AA469" s="46" t="str">
        <f aca="true">IF(OR(D469="",B469=""),"",INT(TODAY()-B469))</f>
        <v/>
      </c>
      <c r="AB469" s="44" t="str">
        <f aca="true">IF(D469="","",IF(OR(COUNTIFS(Clients!$C$2:$C$501,D469,Clients!$S$2:$S$501,"Paid")&gt;0,AND(H469&lt;&gt;"",COUNTIFS(Clients!$E$2:$E$501,H469,Clients!$S$2:$S$501,"Paid")&gt;0)),"⚠ Refunded before – no free video",IF(OR(R469="Contract signed + paid",R469="Closed – No response",R469="Lost"),"",IF(R469="","Set a stage",IF(AND(R469="Proposal sent",SUMIFS(Scoresheet!$N$2:$N$501,Scoresheet!$C$2:$C$501,A469,Scoresheet!$U$2:$U$501,1)&lt;6),"Score this lead – fill the call scoresheet",IF(N(T469)&gt;=Settings!$S$3,"Close – 4 follow-ups sent",IF(U469="",IF(S469="","Make first contact",""),IF(TODAY()&gt;U469,"OVERDUE follow-up",IF(TODAY()=U469,"Follow up today","")))))))))</f>
        <v/>
      </c>
    </row>
    <row r="470" customFormat="false" ht="15" hidden="false" customHeight="false" outlineLevel="0" collapsed="false">
      <c r="A470" s="17"/>
      <c r="B470" s="40"/>
      <c r="C470" s="17"/>
      <c r="D470" s="17"/>
      <c r="E470" s="17"/>
      <c r="F470" s="17"/>
      <c r="G470" s="17"/>
      <c r="H470" s="42"/>
      <c r="I470" s="17"/>
      <c r="J470" s="17"/>
      <c r="K470" s="17"/>
      <c r="L470" s="17"/>
      <c r="M470" s="17"/>
      <c r="N470" s="44" t="str">
        <f aca="false">IF(OR(D470="",A470="",COUNTIFS(Scoresheet!$C$2:$C$501,A470,Scoresheet!$U$2:$U$501,1)=0),"",SUMIFS(Scoresheet!$O$2:$O$501,Scoresheet!$C$2:$C$501,A470,Scoresheet!$U$2:$U$501,1))</f>
        <v/>
      </c>
      <c r="O470" s="44" t="str">
        <f aca="false">IF(D470="","",IF(OR(A470="",COUNTIFS(Scoresheet!$C$2:$C$501,A470,Scoresheet!$U$2:$U$501,1)=0),"No scoresheet yet",IF(SUMIFS(Scoresheet!$N$2:$N$501,Scoresheet!$C$2:$C$501,A470,Scoresheet!$U$2:$U$501,1)&lt;6,"Partly scored ("&amp;SUMIFS(Scoresheet!$N$2:$N$501,Scoresheet!$C$2:$C$501,A470,Scoresheet!$U$2:$U$501,1)&amp;"/6)",IF(N470&gt;=Settings!$S$8,"Hot",IF(N470&gt;=Settings!$S$9,"Warm","Cold")))))</f>
        <v/>
      </c>
      <c r="P470" s="44" t="str">
        <f aca="false">IF(OR(D470="",A470=""),"",IF(AND(COUNTIFS(Scoresheet!$C$2:$C$501,A470,Scoresheet!$U$2:$U$501,1,Scoresheet!$H$2:$H$501,"No")&gt;0,COUNTIFS(Scoresheet!$C$2:$C$501,A470,Scoresheet!$U$2:$U$501,1,Scoresheet!$J$2:$J$501,"No")&gt;0),"🚩 Budget  ·  🚩 No one on camera",IF(COUNTIFS(Scoresheet!$C$2:$C$501,A470,Scoresheet!$U$2:$U$501,1,Scoresheet!$H$2:$H$501,"No")&gt;0,"🚩 Budget under AED 5k",IF(COUNTIFS(Scoresheet!$C$2:$C$501,A470,Scoresheet!$U$2:$U$501,1,Scoresheet!$J$2:$J$501,"No")&gt;0,"🚩 No one on camera",""))))</f>
        <v/>
      </c>
      <c r="Q470" s="17"/>
      <c r="R470" s="17"/>
      <c r="S470" s="40"/>
      <c r="T470" s="17"/>
      <c r="U470" s="45" t="str">
        <f aca="false">IF(OR(D470="",S470="",OR(R470="Contract signed + paid",R470="Closed – No response",R470="Lost"),N(T470)&gt;=Settings!$S$3),"",S470+Settings!$S$2)</f>
        <v/>
      </c>
      <c r="V470" s="40"/>
      <c r="W470" s="41"/>
      <c r="X470" s="17"/>
      <c r="Y470" s="17"/>
      <c r="Z470" s="17"/>
      <c r="AA470" s="46" t="str">
        <f aca="true">IF(OR(D470="",B470=""),"",INT(TODAY()-B470))</f>
        <v/>
      </c>
      <c r="AB470" s="44" t="str">
        <f aca="true">IF(D470="","",IF(OR(COUNTIFS(Clients!$C$2:$C$501,D470,Clients!$S$2:$S$501,"Paid")&gt;0,AND(H470&lt;&gt;"",COUNTIFS(Clients!$E$2:$E$501,H470,Clients!$S$2:$S$501,"Paid")&gt;0)),"⚠ Refunded before – no free video",IF(OR(R470="Contract signed + paid",R470="Closed – No response",R470="Lost"),"",IF(R470="","Set a stage",IF(AND(R470="Proposal sent",SUMIFS(Scoresheet!$N$2:$N$501,Scoresheet!$C$2:$C$501,A470,Scoresheet!$U$2:$U$501,1)&lt;6),"Score this lead – fill the call scoresheet",IF(N(T470)&gt;=Settings!$S$3,"Close – 4 follow-ups sent",IF(U470="",IF(S470="","Make first contact",""),IF(TODAY()&gt;U470,"OVERDUE follow-up",IF(TODAY()=U470,"Follow up today","")))))))))</f>
        <v/>
      </c>
    </row>
    <row r="471" customFormat="false" ht="15" hidden="false" customHeight="false" outlineLevel="0" collapsed="false">
      <c r="A471" s="17"/>
      <c r="B471" s="40"/>
      <c r="C471" s="17"/>
      <c r="D471" s="17"/>
      <c r="E471" s="17"/>
      <c r="F471" s="17"/>
      <c r="G471" s="17"/>
      <c r="H471" s="42"/>
      <c r="I471" s="17"/>
      <c r="J471" s="17"/>
      <c r="K471" s="17"/>
      <c r="L471" s="17"/>
      <c r="M471" s="17"/>
      <c r="N471" s="44" t="str">
        <f aca="false">IF(OR(D471="",A471="",COUNTIFS(Scoresheet!$C$2:$C$501,A471,Scoresheet!$U$2:$U$501,1)=0),"",SUMIFS(Scoresheet!$O$2:$O$501,Scoresheet!$C$2:$C$501,A471,Scoresheet!$U$2:$U$501,1))</f>
        <v/>
      </c>
      <c r="O471" s="44" t="str">
        <f aca="false">IF(D471="","",IF(OR(A471="",COUNTIFS(Scoresheet!$C$2:$C$501,A471,Scoresheet!$U$2:$U$501,1)=0),"No scoresheet yet",IF(SUMIFS(Scoresheet!$N$2:$N$501,Scoresheet!$C$2:$C$501,A471,Scoresheet!$U$2:$U$501,1)&lt;6,"Partly scored ("&amp;SUMIFS(Scoresheet!$N$2:$N$501,Scoresheet!$C$2:$C$501,A471,Scoresheet!$U$2:$U$501,1)&amp;"/6)",IF(N471&gt;=Settings!$S$8,"Hot",IF(N471&gt;=Settings!$S$9,"Warm","Cold")))))</f>
        <v/>
      </c>
      <c r="P471" s="44" t="str">
        <f aca="false">IF(OR(D471="",A471=""),"",IF(AND(COUNTIFS(Scoresheet!$C$2:$C$501,A471,Scoresheet!$U$2:$U$501,1,Scoresheet!$H$2:$H$501,"No")&gt;0,COUNTIFS(Scoresheet!$C$2:$C$501,A471,Scoresheet!$U$2:$U$501,1,Scoresheet!$J$2:$J$501,"No")&gt;0),"🚩 Budget  ·  🚩 No one on camera",IF(COUNTIFS(Scoresheet!$C$2:$C$501,A471,Scoresheet!$U$2:$U$501,1,Scoresheet!$H$2:$H$501,"No")&gt;0,"🚩 Budget under AED 5k",IF(COUNTIFS(Scoresheet!$C$2:$C$501,A471,Scoresheet!$U$2:$U$501,1,Scoresheet!$J$2:$J$501,"No")&gt;0,"🚩 No one on camera",""))))</f>
        <v/>
      </c>
      <c r="Q471" s="17"/>
      <c r="R471" s="17"/>
      <c r="S471" s="40"/>
      <c r="T471" s="17"/>
      <c r="U471" s="45" t="str">
        <f aca="false">IF(OR(D471="",S471="",OR(R471="Contract signed + paid",R471="Closed – No response",R471="Lost"),N(T471)&gt;=Settings!$S$3),"",S471+Settings!$S$2)</f>
        <v/>
      </c>
      <c r="V471" s="40"/>
      <c r="W471" s="41"/>
      <c r="X471" s="17"/>
      <c r="Y471" s="17"/>
      <c r="Z471" s="17"/>
      <c r="AA471" s="46" t="str">
        <f aca="true">IF(OR(D471="",B471=""),"",INT(TODAY()-B471))</f>
        <v/>
      </c>
      <c r="AB471" s="44" t="str">
        <f aca="true">IF(D471="","",IF(OR(COUNTIFS(Clients!$C$2:$C$501,D471,Clients!$S$2:$S$501,"Paid")&gt;0,AND(H471&lt;&gt;"",COUNTIFS(Clients!$E$2:$E$501,H471,Clients!$S$2:$S$501,"Paid")&gt;0)),"⚠ Refunded before – no free video",IF(OR(R471="Contract signed + paid",R471="Closed – No response",R471="Lost"),"",IF(R471="","Set a stage",IF(AND(R471="Proposal sent",SUMIFS(Scoresheet!$N$2:$N$501,Scoresheet!$C$2:$C$501,A471,Scoresheet!$U$2:$U$501,1)&lt;6),"Score this lead – fill the call scoresheet",IF(N(T471)&gt;=Settings!$S$3,"Close – 4 follow-ups sent",IF(U471="",IF(S471="","Make first contact",""),IF(TODAY()&gt;U471,"OVERDUE follow-up",IF(TODAY()=U471,"Follow up today","")))))))))</f>
        <v/>
      </c>
    </row>
    <row r="472" customFormat="false" ht="15" hidden="false" customHeight="false" outlineLevel="0" collapsed="false">
      <c r="A472" s="17"/>
      <c r="B472" s="40"/>
      <c r="C472" s="17"/>
      <c r="D472" s="17"/>
      <c r="E472" s="17"/>
      <c r="F472" s="17"/>
      <c r="G472" s="17"/>
      <c r="H472" s="42"/>
      <c r="I472" s="17"/>
      <c r="J472" s="17"/>
      <c r="K472" s="17"/>
      <c r="L472" s="17"/>
      <c r="M472" s="17"/>
      <c r="N472" s="44" t="str">
        <f aca="false">IF(OR(D472="",A472="",COUNTIFS(Scoresheet!$C$2:$C$501,A472,Scoresheet!$U$2:$U$501,1)=0),"",SUMIFS(Scoresheet!$O$2:$O$501,Scoresheet!$C$2:$C$501,A472,Scoresheet!$U$2:$U$501,1))</f>
        <v/>
      </c>
      <c r="O472" s="44" t="str">
        <f aca="false">IF(D472="","",IF(OR(A472="",COUNTIFS(Scoresheet!$C$2:$C$501,A472,Scoresheet!$U$2:$U$501,1)=0),"No scoresheet yet",IF(SUMIFS(Scoresheet!$N$2:$N$501,Scoresheet!$C$2:$C$501,A472,Scoresheet!$U$2:$U$501,1)&lt;6,"Partly scored ("&amp;SUMIFS(Scoresheet!$N$2:$N$501,Scoresheet!$C$2:$C$501,A472,Scoresheet!$U$2:$U$501,1)&amp;"/6)",IF(N472&gt;=Settings!$S$8,"Hot",IF(N472&gt;=Settings!$S$9,"Warm","Cold")))))</f>
        <v/>
      </c>
      <c r="P472" s="44" t="str">
        <f aca="false">IF(OR(D472="",A472=""),"",IF(AND(COUNTIFS(Scoresheet!$C$2:$C$501,A472,Scoresheet!$U$2:$U$501,1,Scoresheet!$H$2:$H$501,"No")&gt;0,COUNTIFS(Scoresheet!$C$2:$C$501,A472,Scoresheet!$U$2:$U$501,1,Scoresheet!$J$2:$J$501,"No")&gt;0),"🚩 Budget  ·  🚩 No one on camera",IF(COUNTIFS(Scoresheet!$C$2:$C$501,A472,Scoresheet!$U$2:$U$501,1,Scoresheet!$H$2:$H$501,"No")&gt;0,"🚩 Budget under AED 5k",IF(COUNTIFS(Scoresheet!$C$2:$C$501,A472,Scoresheet!$U$2:$U$501,1,Scoresheet!$J$2:$J$501,"No")&gt;0,"🚩 No one on camera",""))))</f>
        <v/>
      </c>
      <c r="Q472" s="17"/>
      <c r="R472" s="17"/>
      <c r="S472" s="40"/>
      <c r="T472" s="17"/>
      <c r="U472" s="45" t="str">
        <f aca="false">IF(OR(D472="",S472="",OR(R472="Contract signed + paid",R472="Closed – No response",R472="Lost"),N(T472)&gt;=Settings!$S$3),"",S472+Settings!$S$2)</f>
        <v/>
      </c>
      <c r="V472" s="40"/>
      <c r="W472" s="41"/>
      <c r="X472" s="17"/>
      <c r="Y472" s="17"/>
      <c r="Z472" s="17"/>
      <c r="AA472" s="46" t="str">
        <f aca="true">IF(OR(D472="",B472=""),"",INT(TODAY()-B472))</f>
        <v/>
      </c>
      <c r="AB472" s="44" t="str">
        <f aca="true">IF(D472="","",IF(OR(COUNTIFS(Clients!$C$2:$C$501,D472,Clients!$S$2:$S$501,"Paid")&gt;0,AND(H472&lt;&gt;"",COUNTIFS(Clients!$E$2:$E$501,H472,Clients!$S$2:$S$501,"Paid")&gt;0)),"⚠ Refunded before – no free video",IF(OR(R472="Contract signed + paid",R472="Closed – No response",R472="Lost"),"",IF(R472="","Set a stage",IF(AND(R472="Proposal sent",SUMIFS(Scoresheet!$N$2:$N$501,Scoresheet!$C$2:$C$501,A472,Scoresheet!$U$2:$U$501,1)&lt;6),"Score this lead – fill the call scoresheet",IF(N(T472)&gt;=Settings!$S$3,"Close – 4 follow-ups sent",IF(U472="",IF(S472="","Make first contact",""),IF(TODAY()&gt;U472,"OVERDUE follow-up",IF(TODAY()=U472,"Follow up today","")))))))))</f>
        <v/>
      </c>
    </row>
    <row r="473" customFormat="false" ht="15" hidden="false" customHeight="false" outlineLevel="0" collapsed="false">
      <c r="A473" s="17"/>
      <c r="B473" s="40"/>
      <c r="C473" s="17"/>
      <c r="D473" s="17"/>
      <c r="E473" s="17"/>
      <c r="F473" s="17"/>
      <c r="G473" s="17"/>
      <c r="H473" s="42"/>
      <c r="I473" s="17"/>
      <c r="J473" s="17"/>
      <c r="K473" s="17"/>
      <c r="L473" s="17"/>
      <c r="M473" s="17"/>
      <c r="N473" s="44" t="str">
        <f aca="false">IF(OR(D473="",A473="",COUNTIFS(Scoresheet!$C$2:$C$501,A473,Scoresheet!$U$2:$U$501,1)=0),"",SUMIFS(Scoresheet!$O$2:$O$501,Scoresheet!$C$2:$C$501,A473,Scoresheet!$U$2:$U$501,1))</f>
        <v/>
      </c>
      <c r="O473" s="44" t="str">
        <f aca="false">IF(D473="","",IF(OR(A473="",COUNTIFS(Scoresheet!$C$2:$C$501,A473,Scoresheet!$U$2:$U$501,1)=0),"No scoresheet yet",IF(SUMIFS(Scoresheet!$N$2:$N$501,Scoresheet!$C$2:$C$501,A473,Scoresheet!$U$2:$U$501,1)&lt;6,"Partly scored ("&amp;SUMIFS(Scoresheet!$N$2:$N$501,Scoresheet!$C$2:$C$501,A473,Scoresheet!$U$2:$U$501,1)&amp;"/6)",IF(N473&gt;=Settings!$S$8,"Hot",IF(N473&gt;=Settings!$S$9,"Warm","Cold")))))</f>
        <v/>
      </c>
      <c r="P473" s="44" t="str">
        <f aca="false">IF(OR(D473="",A473=""),"",IF(AND(COUNTIFS(Scoresheet!$C$2:$C$501,A473,Scoresheet!$U$2:$U$501,1,Scoresheet!$H$2:$H$501,"No")&gt;0,COUNTIFS(Scoresheet!$C$2:$C$501,A473,Scoresheet!$U$2:$U$501,1,Scoresheet!$J$2:$J$501,"No")&gt;0),"🚩 Budget  ·  🚩 No one on camera",IF(COUNTIFS(Scoresheet!$C$2:$C$501,A473,Scoresheet!$U$2:$U$501,1,Scoresheet!$H$2:$H$501,"No")&gt;0,"🚩 Budget under AED 5k",IF(COUNTIFS(Scoresheet!$C$2:$C$501,A473,Scoresheet!$U$2:$U$501,1,Scoresheet!$J$2:$J$501,"No")&gt;0,"🚩 No one on camera",""))))</f>
        <v/>
      </c>
      <c r="Q473" s="17"/>
      <c r="R473" s="17"/>
      <c r="S473" s="40"/>
      <c r="T473" s="17"/>
      <c r="U473" s="45" t="str">
        <f aca="false">IF(OR(D473="",S473="",OR(R473="Contract signed + paid",R473="Closed – No response",R473="Lost"),N(T473)&gt;=Settings!$S$3),"",S473+Settings!$S$2)</f>
        <v/>
      </c>
      <c r="V473" s="40"/>
      <c r="W473" s="41"/>
      <c r="X473" s="17"/>
      <c r="Y473" s="17"/>
      <c r="Z473" s="17"/>
      <c r="AA473" s="46" t="str">
        <f aca="true">IF(OR(D473="",B473=""),"",INT(TODAY()-B473))</f>
        <v/>
      </c>
      <c r="AB473" s="44" t="str">
        <f aca="true">IF(D473="","",IF(OR(COUNTIFS(Clients!$C$2:$C$501,D473,Clients!$S$2:$S$501,"Paid")&gt;0,AND(H473&lt;&gt;"",COUNTIFS(Clients!$E$2:$E$501,H473,Clients!$S$2:$S$501,"Paid")&gt;0)),"⚠ Refunded before – no free video",IF(OR(R473="Contract signed + paid",R473="Closed – No response",R473="Lost"),"",IF(R473="","Set a stage",IF(AND(R473="Proposal sent",SUMIFS(Scoresheet!$N$2:$N$501,Scoresheet!$C$2:$C$501,A473,Scoresheet!$U$2:$U$501,1)&lt;6),"Score this lead – fill the call scoresheet",IF(N(T473)&gt;=Settings!$S$3,"Close – 4 follow-ups sent",IF(U473="",IF(S473="","Make first contact",""),IF(TODAY()&gt;U473,"OVERDUE follow-up",IF(TODAY()=U473,"Follow up today","")))))))))</f>
        <v/>
      </c>
    </row>
    <row r="474" customFormat="false" ht="15" hidden="false" customHeight="false" outlineLevel="0" collapsed="false">
      <c r="A474" s="17"/>
      <c r="B474" s="40"/>
      <c r="C474" s="17"/>
      <c r="D474" s="17"/>
      <c r="E474" s="17"/>
      <c r="F474" s="17"/>
      <c r="G474" s="17"/>
      <c r="H474" s="42"/>
      <c r="I474" s="17"/>
      <c r="J474" s="17"/>
      <c r="K474" s="17"/>
      <c r="L474" s="17"/>
      <c r="M474" s="17"/>
      <c r="N474" s="44" t="str">
        <f aca="false">IF(OR(D474="",A474="",COUNTIFS(Scoresheet!$C$2:$C$501,A474,Scoresheet!$U$2:$U$501,1)=0),"",SUMIFS(Scoresheet!$O$2:$O$501,Scoresheet!$C$2:$C$501,A474,Scoresheet!$U$2:$U$501,1))</f>
        <v/>
      </c>
      <c r="O474" s="44" t="str">
        <f aca="false">IF(D474="","",IF(OR(A474="",COUNTIFS(Scoresheet!$C$2:$C$501,A474,Scoresheet!$U$2:$U$501,1)=0),"No scoresheet yet",IF(SUMIFS(Scoresheet!$N$2:$N$501,Scoresheet!$C$2:$C$501,A474,Scoresheet!$U$2:$U$501,1)&lt;6,"Partly scored ("&amp;SUMIFS(Scoresheet!$N$2:$N$501,Scoresheet!$C$2:$C$501,A474,Scoresheet!$U$2:$U$501,1)&amp;"/6)",IF(N474&gt;=Settings!$S$8,"Hot",IF(N474&gt;=Settings!$S$9,"Warm","Cold")))))</f>
        <v/>
      </c>
      <c r="P474" s="44" t="str">
        <f aca="false">IF(OR(D474="",A474=""),"",IF(AND(COUNTIFS(Scoresheet!$C$2:$C$501,A474,Scoresheet!$U$2:$U$501,1,Scoresheet!$H$2:$H$501,"No")&gt;0,COUNTIFS(Scoresheet!$C$2:$C$501,A474,Scoresheet!$U$2:$U$501,1,Scoresheet!$J$2:$J$501,"No")&gt;0),"🚩 Budget  ·  🚩 No one on camera",IF(COUNTIFS(Scoresheet!$C$2:$C$501,A474,Scoresheet!$U$2:$U$501,1,Scoresheet!$H$2:$H$501,"No")&gt;0,"🚩 Budget under AED 5k",IF(COUNTIFS(Scoresheet!$C$2:$C$501,A474,Scoresheet!$U$2:$U$501,1,Scoresheet!$J$2:$J$501,"No")&gt;0,"🚩 No one on camera",""))))</f>
        <v/>
      </c>
      <c r="Q474" s="17"/>
      <c r="R474" s="17"/>
      <c r="S474" s="40"/>
      <c r="T474" s="17"/>
      <c r="U474" s="45" t="str">
        <f aca="false">IF(OR(D474="",S474="",OR(R474="Contract signed + paid",R474="Closed – No response",R474="Lost"),N(T474)&gt;=Settings!$S$3),"",S474+Settings!$S$2)</f>
        <v/>
      </c>
      <c r="V474" s="40"/>
      <c r="W474" s="41"/>
      <c r="X474" s="17"/>
      <c r="Y474" s="17"/>
      <c r="Z474" s="17"/>
      <c r="AA474" s="46" t="str">
        <f aca="true">IF(OR(D474="",B474=""),"",INT(TODAY()-B474))</f>
        <v/>
      </c>
      <c r="AB474" s="44" t="str">
        <f aca="true">IF(D474="","",IF(OR(COUNTIFS(Clients!$C$2:$C$501,D474,Clients!$S$2:$S$501,"Paid")&gt;0,AND(H474&lt;&gt;"",COUNTIFS(Clients!$E$2:$E$501,H474,Clients!$S$2:$S$501,"Paid")&gt;0)),"⚠ Refunded before – no free video",IF(OR(R474="Contract signed + paid",R474="Closed – No response",R474="Lost"),"",IF(R474="","Set a stage",IF(AND(R474="Proposal sent",SUMIFS(Scoresheet!$N$2:$N$501,Scoresheet!$C$2:$C$501,A474,Scoresheet!$U$2:$U$501,1)&lt;6),"Score this lead – fill the call scoresheet",IF(N(T474)&gt;=Settings!$S$3,"Close – 4 follow-ups sent",IF(U474="",IF(S474="","Make first contact",""),IF(TODAY()&gt;U474,"OVERDUE follow-up",IF(TODAY()=U474,"Follow up today","")))))))))</f>
        <v/>
      </c>
    </row>
    <row r="475" customFormat="false" ht="15" hidden="false" customHeight="false" outlineLevel="0" collapsed="false">
      <c r="A475" s="17"/>
      <c r="B475" s="40"/>
      <c r="C475" s="17"/>
      <c r="D475" s="17"/>
      <c r="E475" s="17"/>
      <c r="F475" s="17"/>
      <c r="G475" s="17"/>
      <c r="H475" s="42"/>
      <c r="I475" s="17"/>
      <c r="J475" s="17"/>
      <c r="K475" s="17"/>
      <c r="L475" s="17"/>
      <c r="M475" s="17"/>
      <c r="N475" s="44" t="str">
        <f aca="false">IF(OR(D475="",A475="",COUNTIFS(Scoresheet!$C$2:$C$501,A475,Scoresheet!$U$2:$U$501,1)=0),"",SUMIFS(Scoresheet!$O$2:$O$501,Scoresheet!$C$2:$C$501,A475,Scoresheet!$U$2:$U$501,1))</f>
        <v/>
      </c>
      <c r="O475" s="44" t="str">
        <f aca="false">IF(D475="","",IF(OR(A475="",COUNTIFS(Scoresheet!$C$2:$C$501,A475,Scoresheet!$U$2:$U$501,1)=0),"No scoresheet yet",IF(SUMIFS(Scoresheet!$N$2:$N$501,Scoresheet!$C$2:$C$501,A475,Scoresheet!$U$2:$U$501,1)&lt;6,"Partly scored ("&amp;SUMIFS(Scoresheet!$N$2:$N$501,Scoresheet!$C$2:$C$501,A475,Scoresheet!$U$2:$U$501,1)&amp;"/6)",IF(N475&gt;=Settings!$S$8,"Hot",IF(N475&gt;=Settings!$S$9,"Warm","Cold")))))</f>
        <v/>
      </c>
      <c r="P475" s="44" t="str">
        <f aca="false">IF(OR(D475="",A475=""),"",IF(AND(COUNTIFS(Scoresheet!$C$2:$C$501,A475,Scoresheet!$U$2:$U$501,1,Scoresheet!$H$2:$H$501,"No")&gt;0,COUNTIFS(Scoresheet!$C$2:$C$501,A475,Scoresheet!$U$2:$U$501,1,Scoresheet!$J$2:$J$501,"No")&gt;0),"🚩 Budget  ·  🚩 No one on camera",IF(COUNTIFS(Scoresheet!$C$2:$C$501,A475,Scoresheet!$U$2:$U$501,1,Scoresheet!$H$2:$H$501,"No")&gt;0,"🚩 Budget under AED 5k",IF(COUNTIFS(Scoresheet!$C$2:$C$501,A475,Scoresheet!$U$2:$U$501,1,Scoresheet!$J$2:$J$501,"No")&gt;0,"🚩 No one on camera",""))))</f>
        <v/>
      </c>
      <c r="Q475" s="17"/>
      <c r="R475" s="17"/>
      <c r="S475" s="40"/>
      <c r="T475" s="17"/>
      <c r="U475" s="45" t="str">
        <f aca="false">IF(OR(D475="",S475="",OR(R475="Contract signed + paid",R475="Closed – No response",R475="Lost"),N(T475)&gt;=Settings!$S$3),"",S475+Settings!$S$2)</f>
        <v/>
      </c>
      <c r="V475" s="40"/>
      <c r="W475" s="41"/>
      <c r="X475" s="17"/>
      <c r="Y475" s="17"/>
      <c r="Z475" s="17"/>
      <c r="AA475" s="46" t="str">
        <f aca="true">IF(OR(D475="",B475=""),"",INT(TODAY()-B475))</f>
        <v/>
      </c>
      <c r="AB475" s="44" t="str">
        <f aca="true">IF(D475="","",IF(OR(COUNTIFS(Clients!$C$2:$C$501,D475,Clients!$S$2:$S$501,"Paid")&gt;0,AND(H475&lt;&gt;"",COUNTIFS(Clients!$E$2:$E$501,H475,Clients!$S$2:$S$501,"Paid")&gt;0)),"⚠ Refunded before – no free video",IF(OR(R475="Contract signed + paid",R475="Closed – No response",R475="Lost"),"",IF(R475="","Set a stage",IF(AND(R475="Proposal sent",SUMIFS(Scoresheet!$N$2:$N$501,Scoresheet!$C$2:$C$501,A475,Scoresheet!$U$2:$U$501,1)&lt;6),"Score this lead – fill the call scoresheet",IF(N(T475)&gt;=Settings!$S$3,"Close – 4 follow-ups sent",IF(U475="",IF(S475="","Make first contact",""),IF(TODAY()&gt;U475,"OVERDUE follow-up",IF(TODAY()=U475,"Follow up today","")))))))))</f>
        <v/>
      </c>
    </row>
    <row r="476" customFormat="false" ht="15" hidden="false" customHeight="false" outlineLevel="0" collapsed="false">
      <c r="A476" s="17"/>
      <c r="B476" s="40"/>
      <c r="C476" s="17"/>
      <c r="D476" s="17"/>
      <c r="E476" s="17"/>
      <c r="F476" s="17"/>
      <c r="G476" s="17"/>
      <c r="H476" s="42"/>
      <c r="I476" s="17"/>
      <c r="J476" s="17"/>
      <c r="K476" s="17"/>
      <c r="L476" s="17"/>
      <c r="M476" s="17"/>
      <c r="N476" s="44" t="str">
        <f aca="false">IF(OR(D476="",A476="",COUNTIFS(Scoresheet!$C$2:$C$501,A476,Scoresheet!$U$2:$U$501,1)=0),"",SUMIFS(Scoresheet!$O$2:$O$501,Scoresheet!$C$2:$C$501,A476,Scoresheet!$U$2:$U$501,1))</f>
        <v/>
      </c>
      <c r="O476" s="44" t="str">
        <f aca="false">IF(D476="","",IF(OR(A476="",COUNTIFS(Scoresheet!$C$2:$C$501,A476,Scoresheet!$U$2:$U$501,1)=0),"No scoresheet yet",IF(SUMIFS(Scoresheet!$N$2:$N$501,Scoresheet!$C$2:$C$501,A476,Scoresheet!$U$2:$U$501,1)&lt;6,"Partly scored ("&amp;SUMIFS(Scoresheet!$N$2:$N$501,Scoresheet!$C$2:$C$501,A476,Scoresheet!$U$2:$U$501,1)&amp;"/6)",IF(N476&gt;=Settings!$S$8,"Hot",IF(N476&gt;=Settings!$S$9,"Warm","Cold")))))</f>
        <v/>
      </c>
      <c r="P476" s="44" t="str">
        <f aca="false">IF(OR(D476="",A476=""),"",IF(AND(COUNTIFS(Scoresheet!$C$2:$C$501,A476,Scoresheet!$U$2:$U$501,1,Scoresheet!$H$2:$H$501,"No")&gt;0,COUNTIFS(Scoresheet!$C$2:$C$501,A476,Scoresheet!$U$2:$U$501,1,Scoresheet!$J$2:$J$501,"No")&gt;0),"🚩 Budget  ·  🚩 No one on camera",IF(COUNTIFS(Scoresheet!$C$2:$C$501,A476,Scoresheet!$U$2:$U$501,1,Scoresheet!$H$2:$H$501,"No")&gt;0,"🚩 Budget under AED 5k",IF(COUNTIFS(Scoresheet!$C$2:$C$501,A476,Scoresheet!$U$2:$U$501,1,Scoresheet!$J$2:$J$501,"No")&gt;0,"🚩 No one on camera",""))))</f>
        <v/>
      </c>
      <c r="Q476" s="17"/>
      <c r="R476" s="17"/>
      <c r="S476" s="40"/>
      <c r="T476" s="17"/>
      <c r="U476" s="45" t="str">
        <f aca="false">IF(OR(D476="",S476="",OR(R476="Contract signed + paid",R476="Closed – No response",R476="Lost"),N(T476)&gt;=Settings!$S$3),"",S476+Settings!$S$2)</f>
        <v/>
      </c>
      <c r="V476" s="40"/>
      <c r="W476" s="41"/>
      <c r="X476" s="17"/>
      <c r="Y476" s="17"/>
      <c r="Z476" s="17"/>
      <c r="AA476" s="46" t="str">
        <f aca="true">IF(OR(D476="",B476=""),"",INT(TODAY()-B476))</f>
        <v/>
      </c>
      <c r="AB476" s="44" t="str">
        <f aca="true">IF(D476="","",IF(OR(COUNTIFS(Clients!$C$2:$C$501,D476,Clients!$S$2:$S$501,"Paid")&gt;0,AND(H476&lt;&gt;"",COUNTIFS(Clients!$E$2:$E$501,H476,Clients!$S$2:$S$501,"Paid")&gt;0)),"⚠ Refunded before – no free video",IF(OR(R476="Contract signed + paid",R476="Closed – No response",R476="Lost"),"",IF(R476="","Set a stage",IF(AND(R476="Proposal sent",SUMIFS(Scoresheet!$N$2:$N$501,Scoresheet!$C$2:$C$501,A476,Scoresheet!$U$2:$U$501,1)&lt;6),"Score this lead – fill the call scoresheet",IF(N(T476)&gt;=Settings!$S$3,"Close – 4 follow-ups sent",IF(U476="",IF(S476="","Make first contact",""),IF(TODAY()&gt;U476,"OVERDUE follow-up",IF(TODAY()=U476,"Follow up today","")))))))))</f>
        <v/>
      </c>
    </row>
    <row r="477" customFormat="false" ht="15" hidden="false" customHeight="false" outlineLevel="0" collapsed="false">
      <c r="A477" s="17"/>
      <c r="B477" s="40"/>
      <c r="C477" s="17"/>
      <c r="D477" s="17"/>
      <c r="E477" s="17"/>
      <c r="F477" s="17"/>
      <c r="G477" s="17"/>
      <c r="H477" s="42"/>
      <c r="I477" s="17"/>
      <c r="J477" s="17"/>
      <c r="K477" s="17"/>
      <c r="L477" s="17"/>
      <c r="M477" s="17"/>
      <c r="N477" s="44" t="str">
        <f aca="false">IF(OR(D477="",A477="",COUNTIFS(Scoresheet!$C$2:$C$501,A477,Scoresheet!$U$2:$U$501,1)=0),"",SUMIFS(Scoresheet!$O$2:$O$501,Scoresheet!$C$2:$C$501,A477,Scoresheet!$U$2:$U$501,1))</f>
        <v/>
      </c>
      <c r="O477" s="44" t="str">
        <f aca="false">IF(D477="","",IF(OR(A477="",COUNTIFS(Scoresheet!$C$2:$C$501,A477,Scoresheet!$U$2:$U$501,1)=0),"No scoresheet yet",IF(SUMIFS(Scoresheet!$N$2:$N$501,Scoresheet!$C$2:$C$501,A477,Scoresheet!$U$2:$U$501,1)&lt;6,"Partly scored ("&amp;SUMIFS(Scoresheet!$N$2:$N$501,Scoresheet!$C$2:$C$501,A477,Scoresheet!$U$2:$U$501,1)&amp;"/6)",IF(N477&gt;=Settings!$S$8,"Hot",IF(N477&gt;=Settings!$S$9,"Warm","Cold")))))</f>
        <v/>
      </c>
      <c r="P477" s="44" t="str">
        <f aca="false">IF(OR(D477="",A477=""),"",IF(AND(COUNTIFS(Scoresheet!$C$2:$C$501,A477,Scoresheet!$U$2:$U$501,1,Scoresheet!$H$2:$H$501,"No")&gt;0,COUNTIFS(Scoresheet!$C$2:$C$501,A477,Scoresheet!$U$2:$U$501,1,Scoresheet!$J$2:$J$501,"No")&gt;0),"🚩 Budget  ·  🚩 No one on camera",IF(COUNTIFS(Scoresheet!$C$2:$C$501,A477,Scoresheet!$U$2:$U$501,1,Scoresheet!$H$2:$H$501,"No")&gt;0,"🚩 Budget under AED 5k",IF(COUNTIFS(Scoresheet!$C$2:$C$501,A477,Scoresheet!$U$2:$U$501,1,Scoresheet!$J$2:$J$501,"No")&gt;0,"🚩 No one on camera",""))))</f>
        <v/>
      </c>
      <c r="Q477" s="17"/>
      <c r="R477" s="17"/>
      <c r="S477" s="40"/>
      <c r="T477" s="17"/>
      <c r="U477" s="45" t="str">
        <f aca="false">IF(OR(D477="",S477="",OR(R477="Contract signed + paid",R477="Closed – No response",R477="Lost"),N(T477)&gt;=Settings!$S$3),"",S477+Settings!$S$2)</f>
        <v/>
      </c>
      <c r="V477" s="40"/>
      <c r="W477" s="41"/>
      <c r="X477" s="17"/>
      <c r="Y477" s="17"/>
      <c r="Z477" s="17"/>
      <c r="AA477" s="46" t="str">
        <f aca="true">IF(OR(D477="",B477=""),"",INT(TODAY()-B477))</f>
        <v/>
      </c>
      <c r="AB477" s="44" t="str">
        <f aca="true">IF(D477="","",IF(OR(COUNTIFS(Clients!$C$2:$C$501,D477,Clients!$S$2:$S$501,"Paid")&gt;0,AND(H477&lt;&gt;"",COUNTIFS(Clients!$E$2:$E$501,H477,Clients!$S$2:$S$501,"Paid")&gt;0)),"⚠ Refunded before – no free video",IF(OR(R477="Contract signed + paid",R477="Closed – No response",R477="Lost"),"",IF(R477="","Set a stage",IF(AND(R477="Proposal sent",SUMIFS(Scoresheet!$N$2:$N$501,Scoresheet!$C$2:$C$501,A477,Scoresheet!$U$2:$U$501,1)&lt;6),"Score this lead – fill the call scoresheet",IF(N(T477)&gt;=Settings!$S$3,"Close – 4 follow-ups sent",IF(U477="",IF(S477="","Make first contact",""),IF(TODAY()&gt;U477,"OVERDUE follow-up",IF(TODAY()=U477,"Follow up today","")))))))))</f>
        <v/>
      </c>
    </row>
    <row r="478" customFormat="false" ht="15" hidden="false" customHeight="false" outlineLevel="0" collapsed="false">
      <c r="A478" s="17"/>
      <c r="B478" s="40"/>
      <c r="C478" s="17"/>
      <c r="D478" s="17"/>
      <c r="E478" s="17"/>
      <c r="F478" s="17"/>
      <c r="G478" s="17"/>
      <c r="H478" s="42"/>
      <c r="I478" s="17"/>
      <c r="J478" s="17"/>
      <c r="K478" s="17"/>
      <c r="L478" s="17"/>
      <c r="M478" s="17"/>
      <c r="N478" s="44" t="str">
        <f aca="false">IF(OR(D478="",A478="",COUNTIFS(Scoresheet!$C$2:$C$501,A478,Scoresheet!$U$2:$U$501,1)=0),"",SUMIFS(Scoresheet!$O$2:$O$501,Scoresheet!$C$2:$C$501,A478,Scoresheet!$U$2:$U$501,1))</f>
        <v/>
      </c>
      <c r="O478" s="44" t="str">
        <f aca="false">IF(D478="","",IF(OR(A478="",COUNTIFS(Scoresheet!$C$2:$C$501,A478,Scoresheet!$U$2:$U$501,1)=0),"No scoresheet yet",IF(SUMIFS(Scoresheet!$N$2:$N$501,Scoresheet!$C$2:$C$501,A478,Scoresheet!$U$2:$U$501,1)&lt;6,"Partly scored ("&amp;SUMIFS(Scoresheet!$N$2:$N$501,Scoresheet!$C$2:$C$501,A478,Scoresheet!$U$2:$U$501,1)&amp;"/6)",IF(N478&gt;=Settings!$S$8,"Hot",IF(N478&gt;=Settings!$S$9,"Warm","Cold")))))</f>
        <v/>
      </c>
      <c r="P478" s="44" t="str">
        <f aca="false">IF(OR(D478="",A478=""),"",IF(AND(COUNTIFS(Scoresheet!$C$2:$C$501,A478,Scoresheet!$U$2:$U$501,1,Scoresheet!$H$2:$H$501,"No")&gt;0,COUNTIFS(Scoresheet!$C$2:$C$501,A478,Scoresheet!$U$2:$U$501,1,Scoresheet!$J$2:$J$501,"No")&gt;0),"🚩 Budget  ·  🚩 No one on camera",IF(COUNTIFS(Scoresheet!$C$2:$C$501,A478,Scoresheet!$U$2:$U$501,1,Scoresheet!$H$2:$H$501,"No")&gt;0,"🚩 Budget under AED 5k",IF(COUNTIFS(Scoresheet!$C$2:$C$501,A478,Scoresheet!$U$2:$U$501,1,Scoresheet!$J$2:$J$501,"No")&gt;0,"🚩 No one on camera",""))))</f>
        <v/>
      </c>
      <c r="Q478" s="17"/>
      <c r="R478" s="17"/>
      <c r="S478" s="40"/>
      <c r="T478" s="17"/>
      <c r="U478" s="45" t="str">
        <f aca="false">IF(OR(D478="",S478="",OR(R478="Contract signed + paid",R478="Closed – No response",R478="Lost"),N(T478)&gt;=Settings!$S$3),"",S478+Settings!$S$2)</f>
        <v/>
      </c>
      <c r="V478" s="40"/>
      <c r="W478" s="41"/>
      <c r="X478" s="17"/>
      <c r="Y478" s="17"/>
      <c r="Z478" s="17"/>
      <c r="AA478" s="46" t="str">
        <f aca="true">IF(OR(D478="",B478=""),"",INT(TODAY()-B478))</f>
        <v/>
      </c>
      <c r="AB478" s="44" t="str">
        <f aca="true">IF(D478="","",IF(OR(COUNTIFS(Clients!$C$2:$C$501,D478,Clients!$S$2:$S$501,"Paid")&gt;0,AND(H478&lt;&gt;"",COUNTIFS(Clients!$E$2:$E$501,H478,Clients!$S$2:$S$501,"Paid")&gt;0)),"⚠ Refunded before – no free video",IF(OR(R478="Contract signed + paid",R478="Closed – No response",R478="Lost"),"",IF(R478="","Set a stage",IF(AND(R478="Proposal sent",SUMIFS(Scoresheet!$N$2:$N$501,Scoresheet!$C$2:$C$501,A478,Scoresheet!$U$2:$U$501,1)&lt;6),"Score this lead – fill the call scoresheet",IF(N(T478)&gt;=Settings!$S$3,"Close – 4 follow-ups sent",IF(U478="",IF(S478="","Make first contact",""),IF(TODAY()&gt;U478,"OVERDUE follow-up",IF(TODAY()=U478,"Follow up today","")))))))))</f>
        <v/>
      </c>
    </row>
    <row r="479" customFormat="false" ht="15" hidden="false" customHeight="false" outlineLevel="0" collapsed="false">
      <c r="A479" s="17"/>
      <c r="B479" s="40"/>
      <c r="C479" s="17"/>
      <c r="D479" s="17"/>
      <c r="E479" s="17"/>
      <c r="F479" s="17"/>
      <c r="G479" s="17"/>
      <c r="H479" s="42"/>
      <c r="I479" s="17"/>
      <c r="J479" s="17"/>
      <c r="K479" s="17"/>
      <c r="L479" s="17"/>
      <c r="M479" s="17"/>
      <c r="N479" s="44" t="str">
        <f aca="false">IF(OR(D479="",A479="",COUNTIFS(Scoresheet!$C$2:$C$501,A479,Scoresheet!$U$2:$U$501,1)=0),"",SUMIFS(Scoresheet!$O$2:$O$501,Scoresheet!$C$2:$C$501,A479,Scoresheet!$U$2:$U$501,1))</f>
        <v/>
      </c>
      <c r="O479" s="44" t="str">
        <f aca="false">IF(D479="","",IF(OR(A479="",COUNTIFS(Scoresheet!$C$2:$C$501,A479,Scoresheet!$U$2:$U$501,1)=0),"No scoresheet yet",IF(SUMIFS(Scoresheet!$N$2:$N$501,Scoresheet!$C$2:$C$501,A479,Scoresheet!$U$2:$U$501,1)&lt;6,"Partly scored ("&amp;SUMIFS(Scoresheet!$N$2:$N$501,Scoresheet!$C$2:$C$501,A479,Scoresheet!$U$2:$U$501,1)&amp;"/6)",IF(N479&gt;=Settings!$S$8,"Hot",IF(N479&gt;=Settings!$S$9,"Warm","Cold")))))</f>
        <v/>
      </c>
      <c r="P479" s="44" t="str">
        <f aca="false">IF(OR(D479="",A479=""),"",IF(AND(COUNTIFS(Scoresheet!$C$2:$C$501,A479,Scoresheet!$U$2:$U$501,1,Scoresheet!$H$2:$H$501,"No")&gt;0,COUNTIFS(Scoresheet!$C$2:$C$501,A479,Scoresheet!$U$2:$U$501,1,Scoresheet!$J$2:$J$501,"No")&gt;0),"🚩 Budget  ·  🚩 No one on camera",IF(COUNTIFS(Scoresheet!$C$2:$C$501,A479,Scoresheet!$U$2:$U$501,1,Scoresheet!$H$2:$H$501,"No")&gt;0,"🚩 Budget under AED 5k",IF(COUNTIFS(Scoresheet!$C$2:$C$501,A479,Scoresheet!$U$2:$U$501,1,Scoresheet!$J$2:$J$501,"No")&gt;0,"🚩 No one on camera",""))))</f>
        <v/>
      </c>
      <c r="Q479" s="17"/>
      <c r="R479" s="17"/>
      <c r="S479" s="40"/>
      <c r="T479" s="17"/>
      <c r="U479" s="45" t="str">
        <f aca="false">IF(OR(D479="",S479="",OR(R479="Contract signed + paid",R479="Closed – No response",R479="Lost"),N(T479)&gt;=Settings!$S$3),"",S479+Settings!$S$2)</f>
        <v/>
      </c>
      <c r="V479" s="40"/>
      <c r="W479" s="41"/>
      <c r="X479" s="17"/>
      <c r="Y479" s="17"/>
      <c r="Z479" s="17"/>
      <c r="AA479" s="46" t="str">
        <f aca="true">IF(OR(D479="",B479=""),"",INT(TODAY()-B479))</f>
        <v/>
      </c>
      <c r="AB479" s="44" t="str">
        <f aca="true">IF(D479="","",IF(OR(COUNTIFS(Clients!$C$2:$C$501,D479,Clients!$S$2:$S$501,"Paid")&gt;0,AND(H479&lt;&gt;"",COUNTIFS(Clients!$E$2:$E$501,H479,Clients!$S$2:$S$501,"Paid")&gt;0)),"⚠ Refunded before – no free video",IF(OR(R479="Contract signed + paid",R479="Closed – No response",R479="Lost"),"",IF(R479="","Set a stage",IF(AND(R479="Proposal sent",SUMIFS(Scoresheet!$N$2:$N$501,Scoresheet!$C$2:$C$501,A479,Scoresheet!$U$2:$U$501,1)&lt;6),"Score this lead – fill the call scoresheet",IF(N(T479)&gt;=Settings!$S$3,"Close – 4 follow-ups sent",IF(U479="",IF(S479="","Make first contact",""),IF(TODAY()&gt;U479,"OVERDUE follow-up",IF(TODAY()=U479,"Follow up today","")))))))))</f>
        <v/>
      </c>
    </row>
    <row r="480" customFormat="false" ht="15" hidden="false" customHeight="false" outlineLevel="0" collapsed="false">
      <c r="A480" s="17"/>
      <c r="B480" s="40"/>
      <c r="C480" s="17"/>
      <c r="D480" s="17"/>
      <c r="E480" s="17"/>
      <c r="F480" s="17"/>
      <c r="G480" s="17"/>
      <c r="H480" s="42"/>
      <c r="I480" s="17"/>
      <c r="J480" s="17"/>
      <c r="K480" s="17"/>
      <c r="L480" s="17"/>
      <c r="M480" s="17"/>
      <c r="N480" s="44" t="str">
        <f aca="false">IF(OR(D480="",A480="",COUNTIFS(Scoresheet!$C$2:$C$501,A480,Scoresheet!$U$2:$U$501,1)=0),"",SUMIFS(Scoresheet!$O$2:$O$501,Scoresheet!$C$2:$C$501,A480,Scoresheet!$U$2:$U$501,1))</f>
        <v/>
      </c>
      <c r="O480" s="44" t="str">
        <f aca="false">IF(D480="","",IF(OR(A480="",COUNTIFS(Scoresheet!$C$2:$C$501,A480,Scoresheet!$U$2:$U$501,1)=0),"No scoresheet yet",IF(SUMIFS(Scoresheet!$N$2:$N$501,Scoresheet!$C$2:$C$501,A480,Scoresheet!$U$2:$U$501,1)&lt;6,"Partly scored ("&amp;SUMIFS(Scoresheet!$N$2:$N$501,Scoresheet!$C$2:$C$501,A480,Scoresheet!$U$2:$U$501,1)&amp;"/6)",IF(N480&gt;=Settings!$S$8,"Hot",IF(N480&gt;=Settings!$S$9,"Warm","Cold")))))</f>
        <v/>
      </c>
      <c r="P480" s="44" t="str">
        <f aca="false">IF(OR(D480="",A480=""),"",IF(AND(COUNTIFS(Scoresheet!$C$2:$C$501,A480,Scoresheet!$U$2:$U$501,1,Scoresheet!$H$2:$H$501,"No")&gt;0,COUNTIFS(Scoresheet!$C$2:$C$501,A480,Scoresheet!$U$2:$U$501,1,Scoresheet!$J$2:$J$501,"No")&gt;0),"🚩 Budget  ·  🚩 No one on camera",IF(COUNTIFS(Scoresheet!$C$2:$C$501,A480,Scoresheet!$U$2:$U$501,1,Scoresheet!$H$2:$H$501,"No")&gt;0,"🚩 Budget under AED 5k",IF(COUNTIFS(Scoresheet!$C$2:$C$501,A480,Scoresheet!$U$2:$U$501,1,Scoresheet!$J$2:$J$501,"No")&gt;0,"🚩 No one on camera",""))))</f>
        <v/>
      </c>
      <c r="Q480" s="17"/>
      <c r="R480" s="17"/>
      <c r="S480" s="40"/>
      <c r="T480" s="17"/>
      <c r="U480" s="45" t="str">
        <f aca="false">IF(OR(D480="",S480="",OR(R480="Contract signed + paid",R480="Closed – No response",R480="Lost"),N(T480)&gt;=Settings!$S$3),"",S480+Settings!$S$2)</f>
        <v/>
      </c>
      <c r="V480" s="40"/>
      <c r="W480" s="41"/>
      <c r="X480" s="17"/>
      <c r="Y480" s="17"/>
      <c r="Z480" s="17"/>
      <c r="AA480" s="46" t="str">
        <f aca="true">IF(OR(D480="",B480=""),"",INT(TODAY()-B480))</f>
        <v/>
      </c>
      <c r="AB480" s="44" t="str">
        <f aca="true">IF(D480="","",IF(OR(COUNTIFS(Clients!$C$2:$C$501,D480,Clients!$S$2:$S$501,"Paid")&gt;0,AND(H480&lt;&gt;"",COUNTIFS(Clients!$E$2:$E$501,H480,Clients!$S$2:$S$501,"Paid")&gt;0)),"⚠ Refunded before – no free video",IF(OR(R480="Contract signed + paid",R480="Closed – No response",R480="Lost"),"",IF(R480="","Set a stage",IF(AND(R480="Proposal sent",SUMIFS(Scoresheet!$N$2:$N$501,Scoresheet!$C$2:$C$501,A480,Scoresheet!$U$2:$U$501,1)&lt;6),"Score this lead – fill the call scoresheet",IF(N(T480)&gt;=Settings!$S$3,"Close – 4 follow-ups sent",IF(U480="",IF(S480="","Make first contact",""),IF(TODAY()&gt;U480,"OVERDUE follow-up",IF(TODAY()=U480,"Follow up today","")))))))))</f>
        <v/>
      </c>
    </row>
    <row r="481" customFormat="false" ht="15" hidden="false" customHeight="false" outlineLevel="0" collapsed="false">
      <c r="A481" s="17"/>
      <c r="B481" s="40"/>
      <c r="C481" s="17"/>
      <c r="D481" s="17"/>
      <c r="E481" s="17"/>
      <c r="F481" s="17"/>
      <c r="G481" s="17"/>
      <c r="H481" s="42"/>
      <c r="I481" s="17"/>
      <c r="J481" s="17"/>
      <c r="K481" s="17"/>
      <c r="L481" s="17"/>
      <c r="M481" s="17"/>
      <c r="N481" s="44" t="str">
        <f aca="false">IF(OR(D481="",A481="",COUNTIFS(Scoresheet!$C$2:$C$501,A481,Scoresheet!$U$2:$U$501,1)=0),"",SUMIFS(Scoresheet!$O$2:$O$501,Scoresheet!$C$2:$C$501,A481,Scoresheet!$U$2:$U$501,1))</f>
        <v/>
      </c>
      <c r="O481" s="44" t="str">
        <f aca="false">IF(D481="","",IF(OR(A481="",COUNTIFS(Scoresheet!$C$2:$C$501,A481,Scoresheet!$U$2:$U$501,1)=0),"No scoresheet yet",IF(SUMIFS(Scoresheet!$N$2:$N$501,Scoresheet!$C$2:$C$501,A481,Scoresheet!$U$2:$U$501,1)&lt;6,"Partly scored ("&amp;SUMIFS(Scoresheet!$N$2:$N$501,Scoresheet!$C$2:$C$501,A481,Scoresheet!$U$2:$U$501,1)&amp;"/6)",IF(N481&gt;=Settings!$S$8,"Hot",IF(N481&gt;=Settings!$S$9,"Warm","Cold")))))</f>
        <v/>
      </c>
      <c r="P481" s="44" t="str">
        <f aca="false">IF(OR(D481="",A481=""),"",IF(AND(COUNTIFS(Scoresheet!$C$2:$C$501,A481,Scoresheet!$U$2:$U$501,1,Scoresheet!$H$2:$H$501,"No")&gt;0,COUNTIFS(Scoresheet!$C$2:$C$501,A481,Scoresheet!$U$2:$U$501,1,Scoresheet!$J$2:$J$501,"No")&gt;0),"🚩 Budget  ·  🚩 No one on camera",IF(COUNTIFS(Scoresheet!$C$2:$C$501,A481,Scoresheet!$U$2:$U$501,1,Scoresheet!$H$2:$H$501,"No")&gt;0,"🚩 Budget under AED 5k",IF(COUNTIFS(Scoresheet!$C$2:$C$501,A481,Scoresheet!$U$2:$U$501,1,Scoresheet!$J$2:$J$501,"No")&gt;0,"🚩 No one on camera",""))))</f>
        <v/>
      </c>
      <c r="Q481" s="17"/>
      <c r="R481" s="17"/>
      <c r="S481" s="40"/>
      <c r="T481" s="17"/>
      <c r="U481" s="45" t="str">
        <f aca="false">IF(OR(D481="",S481="",OR(R481="Contract signed + paid",R481="Closed – No response",R481="Lost"),N(T481)&gt;=Settings!$S$3),"",S481+Settings!$S$2)</f>
        <v/>
      </c>
      <c r="V481" s="40"/>
      <c r="W481" s="41"/>
      <c r="X481" s="17"/>
      <c r="Y481" s="17"/>
      <c r="Z481" s="17"/>
      <c r="AA481" s="46" t="str">
        <f aca="true">IF(OR(D481="",B481=""),"",INT(TODAY()-B481))</f>
        <v/>
      </c>
      <c r="AB481" s="44" t="str">
        <f aca="true">IF(D481="","",IF(OR(COUNTIFS(Clients!$C$2:$C$501,D481,Clients!$S$2:$S$501,"Paid")&gt;0,AND(H481&lt;&gt;"",COUNTIFS(Clients!$E$2:$E$501,H481,Clients!$S$2:$S$501,"Paid")&gt;0)),"⚠ Refunded before – no free video",IF(OR(R481="Contract signed + paid",R481="Closed – No response",R481="Lost"),"",IF(R481="","Set a stage",IF(AND(R481="Proposal sent",SUMIFS(Scoresheet!$N$2:$N$501,Scoresheet!$C$2:$C$501,A481,Scoresheet!$U$2:$U$501,1)&lt;6),"Score this lead – fill the call scoresheet",IF(N(T481)&gt;=Settings!$S$3,"Close – 4 follow-ups sent",IF(U481="",IF(S481="","Make first contact",""),IF(TODAY()&gt;U481,"OVERDUE follow-up",IF(TODAY()=U481,"Follow up today","")))))))))</f>
        <v/>
      </c>
    </row>
    <row r="482" customFormat="false" ht="15" hidden="false" customHeight="false" outlineLevel="0" collapsed="false">
      <c r="A482" s="17"/>
      <c r="B482" s="40"/>
      <c r="C482" s="17"/>
      <c r="D482" s="17"/>
      <c r="E482" s="17"/>
      <c r="F482" s="17"/>
      <c r="G482" s="17"/>
      <c r="H482" s="42"/>
      <c r="I482" s="17"/>
      <c r="J482" s="17"/>
      <c r="K482" s="17"/>
      <c r="L482" s="17"/>
      <c r="M482" s="17"/>
      <c r="N482" s="44" t="str">
        <f aca="false">IF(OR(D482="",A482="",COUNTIFS(Scoresheet!$C$2:$C$501,A482,Scoresheet!$U$2:$U$501,1)=0),"",SUMIFS(Scoresheet!$O$2:$O$501,Scoresheet!$C$2:$C$501,A482,Scoresheet!$U$2:$U$501,1))</f>
        <v/>
      </c>
      <c r="O482" s="44" t="str">
        <f aca="false">IF(D482="","",IF(OR(A482="",COUNTIFS(Scoresheet!$C$2:$C$501,A482,Scoresheet!$U$2:$U$501,1)=0),"No scoresheet yet",IF(SUMIFS(Scoresheet!$N$2:$N$501,Scoresheet!$C$2:$C$501,A482,Scoresheet!$U$2:$U$501,1)&lt;6,"Partly scored ("&amp;SUMIFS(Scoresheet!$N$2:$N$501,Scoresheet!$C$2:$C$501,A482,Scoresheet!$U$2:$U$501,1)&amp;"/6)",IF(N482&gt;=Settings!$S$8,"Hot",IF(N482&gt;=Settings!$S$9,"Warm","Cold")))))</f>
        <v/>
      </c>
      <c r="P482" s="44" t="str">
        <f aca="false">IF(OR(D482="",A482=""),"",IF(AND(COUNTIFS(Scoresheet!$C$2:$C$501,A482,Scoresheet!$U$2:$U$501,1,Scoresheet!$H$2:$H$501,"No")&gt;0,COUNTIFS(Scoresheet!$C$2:$C$501,A482,Scoresheet!$U$2:$U$501,1,Scoresheet!$J$2:$J$501,"No")&gt;0),"🚩 Budget  ·  🚩 No one on camera",IF(COUNTIFS(Scoresheet!$C$2:$C$501,A482,Scoresheet!$U$2:$U$501,1,Scoresheet!$H$2:$H$501,"No")&gt;0,"🚩 Budget under AED 5k",IF(COUNTIFS(Scoresheet!$C$2:$C$501,A482,Scoresheet!$U$2:$U$501,1,Scoresheet!$J$2:$J$501,"No")&gt;0,"🚩 No one on camera",""))))</f>
        <v/>
      </c>
      <c r="Q482" s="17"/>
      <c r="R482" s="17"/>
      <c r="S482" s="40"/>
      <c r="T482" s="17"/>
      <c r="U482" s="45" t="str">
        <f aca="false">IF(OR(D482="",S482="",OR(R482="Contract signed + paid",R482="Closed – No response",R482="Lost"),N(T482)&gt;=Settings!$S$3),"",S482+Settings!$S$2)</f>
        <v/>
      </c>
      <c r="V482" s="40"/>
      <c r="W482" s="41"/>
      <c r="X482" s="17"/>
      <c r="Y482" s="17"/>
      <c r="Z482" s="17"/>
      <c r="AA482" s="46" t="str">
        <f aca="true">IF(OR(D482="",B482=""),"",INT(TODAY()-B482))</f>
        <v/>
      </c>
      <c r="AB482" s="44" t="str">
        <f aca="true">IF(D482="","",IF(OR(COUNTIFS(Clients!$C$2:$C$501,D482,Clients!$S$2:$S$501,"Paid")&gt;0,AND(H482&lt;&gt;"",COUNTIFS(Clients!$E$2:$E$501,H482,Clients!$S$2:$S$501,"Paid")&gt;0)),"⚠ Refunded before – no free video",IF(OR(R482="Contract signed + paid",R482="Closed – No response",R482="Lost"),"",IF(R482="","Set a stage",IF(AND(R482="Proposal sent",SUMIFS(Scoresheet!$N$2:$N$501,Scoresheet!$C$2:$C$501,A482,Scoresheet!$U$2:$U$501,1)&lt;6),"Score this lead – fill the call scoresheet",IF(N(T482)&gt;=Settings!$S$3,"Close – 4 follow-ups sent",IF(U482="",IF(S482="","Make first contact",""),IF(TODAY()&gt;U482,"OVERDUE follow-up",IF(TODAY()=U482,"Follow up today","")))))))))</f>
        <v/>
      </c>
    </row>
    <row r="483" customFormat="false" ht="15" hidden="false" customHeight="false" outlineLevel="0" collapsed="false">
      <c r="A483" s="17"/>
      <c r="B483" s="40"/>
      <c r="C483" s="17"/>
      <c r="D483" s="17"/>
      <c r="E483" s="17"/>
      <c r="F483" s="17"/>
      <c r="G483" s="17"/>
      <c r="H483" s="42"/>
      <c r="I483" s="17"/>
      <c r="J483" s="17"/>
      <c r="K483" s="17"/>
      <c r="L483" s="17"/>
      <c r="M483" s="17"/>
      <c r="N483" s="44" t="str">
        <f aca="false">IF(OR(D483="",A483="",COUNTIFS(Scoresheet!$C$2:$C$501,A483,Scoresheet!$U$2:$U$501,1)=0),"",SUMIFS(Scoresheet!$O$2:$O$501,Scoresheet!$C$2:$C$501,A483,Scoresheet!$U$2:$U$501,1))</f>
        <v/>
      </c>
      <c r="O483" s="44" t="str">
        <f aca="false">IF(D483="","",IF(OR(A483="",COUNTIFS(Scoresheet!$C$2:$C$501,A483,Scoresheet!$U$2:$U$501,1)=0),"No scoresheet yet",IF(SUMIFS(Scoresheet!$N$2:$N$501,Scoresheet!$C$2:$C$501,A483,Scoresheet!$U$2:$U$501,1)&lt;6,"Partly scored ("&amp;SUMIFS(Scoresheet!$N$2:$N$501,Scoresheet!$C$2:$C$501,A483,Scoresheet!$U$2:$U$501,1)&amp;"/6)",IF(N483&gt;=Settings!$S$8,"Hot",IF(N483&gt;=Settings!$S$9,"Warm","Cold")))))</f>
        <v/>
      </c>
      <c r="P483" s="44" t="str">
        <f aca="false">IF(OR(D483="",A483=""),"",IF(AND(COUNTIFS(Scoresheet!$C$2:$C$501,A483,Scoresheet!$U$2:$U$501,1,Scoresheet!$H$2:$H$501,"No")&gt;0,COUNTIFS(Scoresheet!$C$2:$C$501,A483,Scoresheet!$U$2:$U$501,1,Scoresheet!$J$2:$J$501,"No")&gt;0),"🚩 Budget  ·  🚩 No one on camera",IF(COUNTIFS(Scoresheet!$C$2:$C$501,A483,Scoresheet!$U$2:$U$501,1,Scoresheet!$H$2:$H$501,"No")&gt;0,"🚩 Budget under AED 5k",IF(COUNTIFS(Scoresheet!$C$2:$C$501,A483,Scoresheet!$U$2:$U$501,1,Scoresheet!$J$2:$J$501,"No")&gt;0,"🚩 No one on camera",""))))</f>
        <v/>
      </c>
      <c r="Q483" s="17"/>
      <c r="R483" s="17"/>
      <c r="S483" s="40"/>
      <c r="T483" s="17"/>
      <c r="U483" s="45" t="str">
        <f aca="false">IF(OR(D483="",S483="",OR(R483="Contract signed + paid",R483="Closed – No response",R483="Lost"),N(T483)&gt;=Settings!$S$3),"",S483+Settings!$S$2)</f>
        <v/>
      </c>
      <c r="V483" s="40"/>
      <c r="W483" s="41"/>
      <c r="X483" s="17"/>
      <c r="Y483" s="17"/>
      <c r="Z483" s="17"/>
      <c r="AA483" s="46" t="str">
        <f aca="true">IF(OR(D483="",B483=""),"",INT(TODAY()-B483))</f>
        <v/>
      </c>
      <c r="AB483" s="44" t="str">
        <f aca="true">IF(D483="","",IF(OR(COUNTIFS(Clients!$C$2:$C$501,D483,Clients!$S$2:$S$501,"Paid")&gt;0,AND(H483&lt;&gt;"",COUNTIFS(Clients!$E$2:$E$501,H483,Clients!$S$2:$S$501,"Paid")&gt;0)),"⚠ Refunded before – no free video",IF(OR(R483="Contract signed + paid",R483="Closed – No response",R483="Lost"),"",IF(R483="","Set a stage",IF(AND(R483="Proposal sent",SUMIFS(Scoresheet!$N$2:$N$501,Scoresheet!$C$2:$C$501,A483,Scoresheet!$U$2:$U$501,1)&lt;6),"Score this lead – fill the call scoresheet",IF(N(T483)&gt;=Settings!$S$3,"Close – 4 follow-ups sent",IF(U483="",IF(S483="","Make first contact",""),IF(TODAY()&gt;U483,"OVERDUE follow-up",IF(TODAY()=U483,"Follow up today","")))))))))</f>
        <v/>
      </c>
    </row>
    <row r="484" customFormat="false" ht="15" hidden="false" customHeight="false" outlineLevel="0" collapsed="false">
      <c r="A484" s="17"/>
      <c r="B484" s="40"/>
      <c r="C484" s="17"/>
      <c r="D484" s="17"/>
      <c r="E484" s="17"/>
      <c r="F484" s="17"/>
      <c r="G484" s="17"/>
      <c r="H484" s="42"/>
      <c r="I484" s="17"/>
      <c r="J484" s="17"/>
      <c r="K484" s="17"/>
      <c r="L484" s="17"/>
      <c r="M484" s="17"/>
      <c r="N484" s="44" t="str">
        <f aca="false">IF(OR(D484="",A484="",COUNTIFS(Scoresheet!$C$2:$C$501,A484,Scoresheet!$U$2:$U$501,1)=0),"",SUMIFS(Scoresheet!$O$2:$O$501,Scoresheet!$C$2:$C$501,A484,Scoresheet!$U$2:$U$501,1))</f>
        <v/>
      </c>
      <c r="O484" s="44" t="str">
        <f aca="false">IF(D484="","",IF(OR(A484="",COUNTIFS(Scoresheet!$C$2:$C$501,A484,Scoresheet!$U$2:$U$501,1)=0),"No scoresheet yet",IF(SUMIFS(Scoresheet!$N$2:$N$501,Scoresheet!$C$2:$C$501,A484,Scoresheet!$U$2:$U$501,1)&lt;6,"Partly scored ("&amp;SUMIFS(Scoresheet!$N$2:$N$501,Scoresheet!$C$2:$C$501,A484,Scoresheet!$U$2:$U$501,1)&amp;"/6)",IF(N484&gt;=Settings!$S$8,"Hot",IF(N484&gt;=Settings!$S$9,"Warm","Cold")))))</f>
        <v/>
      </c>
      <c r="P484" s="44" t="str">
        <f aca="false">IF(OR(D484="",A484=""),"",IF(AND(COUNTIFS(Scoresheet!$C$2:$C$501,A484,Scoresheet!$U$2:$U$501,1,Scoresheet!$H$2:$H$501,"No")&gt;0,COUNTIFS(Scoresheet!$C$2:$C$501,A484,Scoresheet!$U$2:$U$501,1,Scoresheet!$J$2:$J$501,"No")&gt;0),"🚩 Budget  ·  🚩 No one on camera",IF(COUNTIFS(Scoresheet!$C$2:$C$501,A484,Scoresheet!$U$2:$U$501,1,Scoresheet!$H$2:$H$501,"No")&gt;0,"🚩 Budget under AED 5k",IF(COUNTIFS(Scoresheet!$C$2:$C$501,A484,Scoresheet!$U$2:$U$501,1,Scoresheet!$J$2:$J$501,"No")&gt;0,"🚩 No one on camera",""))))</f>
        <v/>
      </c>
      <c r="Q484" s="17"/>
      <c r="R484" s="17"/>
      <c r="S484" s="40"/>
      <c r="T484" s="17"/>
      <c r="U484" s="45" t="str">
        <f aca="false">IF(OR(D484="",S484="",OR(R484="Contract signed + paid",R484="Closed – No response",R484="Lost"),N(T484)&gt;=Settings!$S$3),"",S484+Settings!$S$2)</f>
        <v/>
      </c>
      <c r="V484" s="40"/>
      <c r="W484" s="41"/>
      <c r="X484" s="17"/>
      <c r="Y484" s="17"/>
      <c r="Z484" s="17"/>
      <c r="AA484" s="46" t="str">
        <f aca="true">IF(OR(D484="",B484=""),"",INT(TODAY()-B484))</f>
        <v/>
      </c>
      <c r="AB484" s="44" t="str">
        <f aca="true">IF(D484="","",IF(OR(COUNTIFS(Clients!$C$2:$C$501,D484,Clients!$S$2:$S$501,"Paid")&gt;0,AND(H484&lt;&gt;"",COUNTIFS(Clients!$E$2:$E$501,H484,Clients!$S$2:$S$501,"Paid")&gt;0)),"⚠ Refunded before – no free video",IF(OR(R484="Contract signed + paid",R484="Closed – No response",R484="Lost"),"",IF(R484="","Set a stage",IF(AND(R484="Proposal sent",SUMIFS(Scoresheet!$N$2:$N$501,Scoresheet!$C$2:$C$501,A484,Scoresheet!$U$2:$U$501,1)&lt;6),"Score this lead – fill the call scoresheet",IF(N(T484)&gt;=Settings!$S$3,"Close – 4 follow-ups sent",IF(U484="",IF(S484="","Make first contact",""),IF(TODAY()&gt;U484,"OVERDUE follow-up",IF(TODAY()=U484,"Follow up today","")))))))))</f>
        <v/>
      </c>
    </row>
    <row r="485" customFormat="false" ht="15" hidden="false" customHeight="false" outlineLevel="0" collapsed="false">
      <c r="A485" s="17"/>
      <c r="B485" s="40"/>
      <c r="C485" s="17"/>
      <c r="D485" s="17"/>
      <c r="E485" s="17"/>
      <c r="F485" s="17"/>
      <c r="G485" s="17"/>
      <c r="H485" s="42"/>
      <c r="I485" s="17"/>
      <c r="J485" s="17"/>
      <c r="K485" s="17"/>
      <c r="L485" s="17"/>
      <c r="M485" s="17"/>
      <c r="N485" s="44" t="str">
        <f aca="false">IF(OR(D485="",A485="",COUNTIFS(Scoresheet!$C$2:$C$501,A485,Scoresheet!$U$2:$U$501,1)=0),"",SUMIFS(Scoresheet!$O$2:$O$501,Scoresheet!$C$2:$C$501,A485,Scoresheet!$U$2:$U$501,1))</f>
        <v/>
      </c>
      <c r="O485" s="44" t="str">
        <f aca="false">IF(D485="","",IF(OR(A485="",COUNTIFS(Scoresheet!$C$2:$C$501,A485,Scoresheet!$U$2:$U$501,1)=0),"No scoresheet yet",IF(SUMIFS(Scoresheet!$N$2:$N$501,Scoresheet!$C$2:$C$501,A485,Scoresheet!$U$2:$U$501,1)&lt;6,"Partly scored ("&amp;SUMIFS(Scoresheet!$N$2:$N$501,Scoresheet!$C$2:$C$501,A485,Scoresheet!$U$2:$U$501,1)&amp;"/6)",IF(N485&gt;=Settings!$S$8,"Hot",IF(N485&gt;=Settings!$S$9,"Warm","Cold")))))</f>
        <v/>
      </c>
      <c r="P485" s="44" t="str">
        <f aca="false">IF(OR(D485="",A485=""),"",IF(AND(COUNTIFS(Scoresheet!$C$2:$C$501,A485,Scoresheet!$U$2:$U$501,1,Scoresheet!$H$2:$H$501,"No")&gt;0,COUNTIFS(Scoresheet!$C$2:$C$501,A485,Scoresheet!$U$2:$U$501,1,Scoresheet!$J$2:$J$501,"No")&gt;0),"🚩 Budget  ·  🚩 No one on camera",IF(COUNTIFS(Scoresheet!$C$2:$C$501,A485,Scoresheet!$U$2:$U$501,1,Scoresheet!$H$2:$H$501,"No")&gt;0,"🚩 Budget under AED 5k",IF(COUNTIFS(Scoresheet!$C$2:$C$501,A485,Scoresheet!$U$2:$U$501,1,Scoresheet!$J$2:$J$501,"No")&gt;0,"🚩 No one on camera",""))))</f>
        <v/>
      </c>
      <c r="Q485" s="17"/>
      <c r="R485" s="17"/>
      <c r="S485" s="40"/>
      <c r="T485" s="17"/>
      <c r="U485" s="45" t="str">
        <f aca="false">IF(OR(D485="",S485="",OR(R485="Contract signed + paid",R485="Closed – No response",R485="Lost"),N(T485)&gt;=Settings!$S$3),"",S485+Settings!$S$2)</f>
        <v/>
      </c>
      <c r="V485" s="40"/>
      <c r="W485" s="41"/>
      <c r="X485" s="17"/>
      <c r="Y485" s="17"/>
      <c r="Z485" s="17"/>
      <c r="AA485" s="46" t="str">
        <f aca="true">IF(OR(D485="",B485=""),"",INT(TODAY()-B485))</f>
        <v/>
      </c>
      <c r="AB485" s="44" t="str">
        <f aca="true">IF(D485="","",IF(OR(COUNTIFS(Clients!$C$2:$C$501,D485,Clients!$S$2:$S$501,"Paid")&gt;0,AND(H485&lt;&gt;"",COUNTIFS(Clients!$E$2:$E$501,H485,Clients!$S$2:$S$501,"Paid")&gt;0)),"⚠ Refunded before – no free video",IF(OR(R485="Contract signed + paid",R485="Closed – No response",R485="Lost"),"",IF(R485="","Set a stage",IF(AND(R485="Proposal sent",SUMIFS(Scoresheet!$N$2:$N$501,Scoresheet!$C$2:$C$501,A485,Scoresheet!$U$2:$U$501,1)&lt;6),"Score this lead – fill the call scoresheet",IF(N(T485)&gt;=Settings!$S$3,"Close – 4 follow-ups sent",IF(U485="",IF(S485="","Make first contact",""),IF(TODAY()&gt;U485,"OVERDUE follow-up",IF(TODAY()=U485,"Follow up today","")))))))))</f>
        <v/>
      </c>
    </row>
    <row r="486" customFormat="false" ht="15" hidden="false" customHeight="false" outlineLevel="0" collapsed="false">
      <c r="A486" s="17"/>
      <c r="B486" s="40"/>
      <c r="C486" s="17"/>
      <c r="D486" s="17"/>
      <c r="E486" s="17"/>
      <c r="F486" s="17"/>
      <c r="G486" s="17"/>
      <c r="H486" s="42"/>
      <c r="I486" s="17"/>
      <c r="J486" s="17"/>
      <c r="K486" s="17"/>
      <c r="L486" s="17"/>
      <c r="M486" s="17"/>
      <c r="N486" s="44" t="str">
        <f aca="false">IF(OR(D486="",A486="",COUNTIFS(Scoresheet!$C$2:$C$501,A486,Scoresheet!$U$2:$U$501,1)=0),"",SUMIFS(Scoresheet!$O$2:$O$501,Scoresheet!$C$2:$C$501,A486,Scoresheet!$U$2:$U$501,1))</f>
        <v/>
      </c>
      <c r="O486" s="44" t="str">
        <f aca="false">IF(D486="","",IF(OR(A486="",COUNTIFS(Scoresheet!$C$2:$C$501,A486,Scoresheet!$U$2:$U$501,1)=0),"No scoresheet yet",IF(SUMIFS(Scoresheet!$N$2:$N$501,Scoresheet!$C$2:$C$501,A486,Scoresheet!$U$2:$U$501,1)&lt;6,"Partly scored ("&amp;SUMIFS(Scoresheet!$N$2:$N$501,Scoresheet!$C$2:$C$501,A486,Scoresheet!$U$2:$U$501,1)&amp;"/6)",IF(N486&gt;=Settings!$S$8,"Hot",IF(N486&gt;=Settings!$S$9,"Warm","Cold")))))</f>
        <v/>
      </c>
      <c r="P486" s="44" t="str">
        <f aca="false">IF(OR(D486="",A486=""),"",IF(AND(COUNTIFS(Scoresheet!$C$2:$C$501,A486,Scoresheet!$U$2:$U$501,1,Scoresheet!$H$2:$H$501,"No")&gt;0,COUNTIFS(Scoresheet!$C$2:$C$501,A486,Scoresheet!$U$2:$U$501,1,Scoresheet!$J$2:$J$501,"No")&gt;0),"🚩 Budget  ·  🚩 No one on camera",IF(COUNTIFS(Scoresheet!$C$2:$C$501,A486,Scoresheet!$U$2:$U$501,1,Scoresheet!$H$2:$H$501,"No")&gt;0,"🚩 Budget under AED 5k",IF(COUNTIFS(Scoresheet!$C$2:$C$501,A486,Scoresheet!$U$2:$U$501,1,Scoresheet!$J$2:$J$501,"No")&gt;0,"🚩 No one on camera",""))))</f>
        <v/>
      </c>
      <c r="Q486" s="17"/>
      <c r="R486" s="17"/>
      <c r="S486" s="40"/>
      <c r="T486" s="17"/>
      <c r="U486" s="45" t="str">
        <f aca="false">IF(OR(D486="",S486="",OR(R486="Contract signed + paid",R486="Closed – No response",R486="Lost"),N(T486)&gt;=Settings!$S$3),"",S486+Settings!$S$2)</f>
        <v/>
      </c>
      <c r="V486" s="40"/>
      <c r="W486" s="41"/>
      <c r="X486" s="17"/>
      <c r="Y486" s="17"/>
      <c r="Z486" s="17"/>
      <c r="AA486" s="46" t="str">
        <f aca="true">IF(OR(D486="",B486=""),"",INT(TODAY()-B486))</f>
        <v/>
      </c>
      <c r="AB486" s="44" t="str">
        <f aca="true">IF(D486="","",IF(OR(COUNTIFS(Clients!$C$2:$C$501,D486,Clients!$S$2:$S$501,"Paid")&gt;0,AND(H486&lt;&gt;"",COUNTIFS(Clients!$E$2:$E$501,H486,Clients!$S$2:$S$501,"Paid")&gt;0)),"⚠ Refunded before – no free video",IF(OR(R486="Contract signed + paid",R486="Closed – No response",R486="Lost"),"",IF(R486="","Set a stage",IF(AND(R486="Proposal sent",SUMIFS(Scoresheet!$N$2:$N$501,Scoresheet!$C$2:$C$501,A486,Scoresheet!$U$2:$U$501,1)&lt;6),"Score this lead – fill the call scoresheet",IF(N(T486)&gt;=Settings!$S$3,"Close – 4 follow-ups sent",IF(U486="",IF(S486="","Make first contact",""),IF(TODAY()&gt;U486,"OVERDUE follow-up",IF(TODAY()=U486,"Follow up today","")))))))))</f>
        <v/>
      </c>
    </row>
    <row r="487" customFormat="false" ht="15" hidden="false" customHeight="false" outlineLevel="0" collapsed="false">
      <c r="A487" s="17"/>
      <c r="B487" s="40"/>
      <c r="C487" s="17"/>
      <c r="D487" s="17"/>
      <c r="E487" s="17"/>
      <c r="F487" s="17"/>
      <c r="G487" s="17"/>
      <c r="H487" s="42"/>
      <c r="I487" s="17"/>
      <c r="J487" s="17"/>
      <c r="K487" s="17"/>
      <c r="L487" s="17"/>
      <c r="M487" s="17"/>
      <c r="N487" s="44" t="str">
        <f aca="false">IF(OR(D487="",A487="",COUNTIFS(Scoresheet!$C$2:$C$501,A487,Scoresheet!$U$2:$U$501,1)=0),"",SUMIFS(Scoresheet!$O$2:$O$501,Scoresheet!$C$2:$C$501,A487,Scoresheet!$U$2:$U$501,1))</f>
        <v/>
      </c>
      <c r="O487" s="44" t="str">
        <f aca="false">IF(D487="","",IF(OR(A487="",COUNTIFS(Scoresheet!$C$2:$C$501,A487,Scoresheet!$U$2:$U$501,1)=0),"No scoresheet yet",IF(SUMIFS(Scoresheet!$N$2:$N$501,Scoresheet!$C$2:$C$501,A487,Scoresheet!$U$2:$U$501,1)&lt;6,"Partly scored ("&amp;SUMIFS(Scoresheet!$N$2:$N$501,Scoresheet!$C$2:$C$501,A487,Scoresheet!$U$2:$U$501,1)&amp;"/6)",IF(N487&gt;=Settings!$S$8,"Hot",IF(N487&gt;=Settings!$S$9,"Warm","Cold")))))</f>
        <v/>
      </c>
      <c r="P487" s="44" t="str">
        <f aca="false">IF(OR(D487="",A487=""),"",IF(AND(COUNTIFS(Scoresheet!$C$2:$C$501,A487,Scoresheet!$U$2:$U$501,1,Scoresheet!$H$2:$H$501,"No")&gt;0,COUNTIFS(Scoresheet!$C$2:$C$501,A487,Scoresheet!$U$2:$U$501,1,Scoresheet!$J$2:$J$501,"No")&gt;0),"🚩 Budget  ·  🚩 No one on camera",IF(COUNTIFS(Scoresheet!$C$2:$C$501,A487,Scoresheet!$U$2:$U$501,1,Scoresheet!$H$2:$H$501,"No")&gt;0,"🚩 Budget under AED 5k",IF(COUNTIFS(Scoresheet!$C$2:$C$501,A487,Scoresheet!$U$2:$U$501,1,Scoresheet!$J$2:$J$501,"No")&gt;0,"🚩 No one on camera",""))))</f>
        <v/>
      </c>
      <c r="Q487" s="17"/>
      <c r="R487" s="17"/>
      <c r="S487" s="40"/>
      <c r="T487" s="17"/>
      <c r="U487" s="45" t="str">
        <f aca="false">IF(OR(D487="",S487="",OR(R487="Contract signed + paid",R487="Closed – No response",R487="Lost"),N(T487)&gt;=Settings!$S$3),"",S487+Settings!$S$2)</f>
        <v/>
      </c>
      <c r="V487" s="40"/>
      <c r="W487" s="41"/>
      <c r="X487" s="17"/>
      <c r="Y487" s="17"/>
      <c r="Z487" s="17"/>
      <c r="AA487" s="46" t="str">
        <f aca="true">IF(OR(D487="",B487=""),"",INT(TODAY()-B487))</f>
        <v/>
      </c>
      <c r="AB487" s="44" t="str">
        <f aca="true">IF(D487="","",IF(OR(COUNTIFS(Clients!$C$2:$C$501,D487,Clients!$S$2:$S$501,"Paid")&gt;0,AND(H487&lt;&gt;"",COUNTIFS(Clients!$E$2:$E$501,H487,Clients!$S$2:$S$501,"Paid")&gt;0)),"⚠ Refunded before – no free video",IF(OR(R487="Contract signed + paid",R487="Closed – No response",R487="Lost"),"",IF(R487="","Set a stage",IF(AND(R487="Proposal sent",SUMIFS(Scoresheet!$N$2:$N$501,Scoresheet!$C$2:$C$501,A487,Scoresheet!$U$2:$U$501,1)&lt;6),"Score this lead – fill the call scoresheet",IF(N(T487)&gt;=Settings!$S$3,"Close – 4 follow-ups sent",IF(U487="",IF(S487="","Make first contact",""),IF(TODAY()&gt;U487,"OVERDUE follow-up",IF(TODAY()=U487,"Follow up today","")))))))))</f>
        <v/>
      </c>
    </row>
    <row r="488" customFormat="false" ht="15" hidden="false" customHeight="false" outlineLevel="0" collapsed="false">
      <c r="A488" s="17"/>
      <c r="B488" s="40"/>
      <c r="C488" s="17"/>
      <c r="D488" s="17"/>
      <c r="E488" s="17"/>
      <c r="F488" s="17"/>
      <c r="G488" s="17"/>
      <c r="H488" s="42"/>
      <c r="I488" s="17"/>
      <c r="J488" s="17"/>
      <c r="K488" s="17"/>
      <c r="L488" s="17"/>
      <c r="M488" s="17"/>
      <c r="N488" s="44" t="str">
        <f aca="false">IF(OR(D488="",A488="",COUNTIFS(Scoresheet!$C$2:$C$501,A488,Scoresheet!$U$2:$U$501,1)=0),"",SUMIFS(Scoresheet!$O$2:$O$501,Scoresheet!$C$2:$C$501,A488,Scoresheet!$U$2:$U$501,1))</f>
        <v/>
      </c>
      <c r="O488" s="44" t="str">
        <f aca="false">IF(D488="","",IF(OR(A488="",COUNTIFS(Scoresheet!$C$2:$C$501,A488,Scoresheet!$U$2:$U$501,1)=0),"No scoresheet yet",IF(SUMIFS(Scoresheet!$N$2:$N$501,Scoresheet!$C$2:$C$501,A488,Scoresheet!$U$2:$U$501,1)&lt;6,"Partly scored ("&amp;SUMIFS(Scoresheet!$N$2:$N$501,Scoresheet!$C$2:$C$501,A488,Scoresheet!$U$2:$U$501,1)&amp;"/6)",IF(N488&gt;=Settings!$S$8,"Hot",IF(N488&gt;=Settings!$S$9,"Warm","Cold")))))</f>
        <v/>
      </c>
      <c r="P488" s="44" t="str">
        <f aca="false">IF(OR(D488="",A488=""),"",IF(AND(COUNTIFS(Scoresheet!$C$2:$C$501,A488,Scoresheet!$U$2:$U$501,1,Scoresheet!$H$2:$H$501,"No")&gt;0,COUNTIFS(Scoresheet!$C$2:$C$501,A488,Scoresheet!$U$2:$U$501,1,Scoresheet!$J$2:$J$501,"No")&gt;0),"🚩 Budget  ·  🚩 No one on camera",IF(COUNTIFS(Scoresheet!$C$2:$C$501,A488,Scoresheet!$U$2:$U$501,1,Scoresheet!$H$2:$H$501,"No")&gt;0,"🚩 Budget under AED 5k",IF(COUNTIFS(Scoresheet!$C$2:$C$501,A488,Scoresheet!$U$2:$U$501,1,Scoresheet!$J$2:$J$501,"No")&gt;0,"🚩 No one on camera",""))))</f>
        <v/>
      </c>
      <c r="Q488" s="17"/>
      <c r="R488" s="17"/>
      <c r="S488" s="40"/>
      <c r="T488" s="17"/>
      <c r="U488" s="45" t="str">
        <f aca="false">IF(OR(D488="",S488="",OR(R488="Contract signed + paid",R488="Closed – No response",R488="Lost"),N(T488)&gt;=Settings!$S$3),"",S488+Settings!$S$2)</f>
        <v/>
      </c>
      <c r="V488" s="40"/>
      <c r="W488" s="41"/>
      <c r="X488" s="17"/>
      <c r="Y488" s="17"/>
      <c r="Z488" s="17"/>
      <c r="AA488" s="46" t="str">
        <f aca="true">IF(OR(D488="",B488=""),"",INT(TODAY()-B488))</f>
        <v/>
      </c>
      <c r="AB488" s="44" t="str">
        <f aca="true">IF(D488="","",IF(OR(COUNTIFS(Clients!$C$2:$C$501,D488,Clients!$S$2:$S$501,"Paid")&gt;0,AND(H488&lt;&gt;"",COUNTIFS(Clients!$E$2:$E$501,H488,Clients!$S$2:$S$501,"Paid")&gt;0)),"⚠ Refunded before – no free video",IF(OR(R488="Contract signed + paid",R488="Closed – No response",R488="Lost"),"",IF(R488="","Set a stage",IF(AND(R488="Proposal sent",SUMIFS(Scoresheet!$N$2:$N$501,Scoresheet!$C$2:$C$501,A488,Scoresheet!$U$2:$U$501,1)&lt;6),"Score this lead – fill the call scoresheet",IF(N(T488)&gt;=Settings!$S$3,"Close – 4 follow-ups sent",IF(U488="",IF(S488="","Make first contact",""),IF(TODAY()&gt;U488,"OVERDUE follow-up",IF(TODAY()=U488,"Follow up today","")))))))))</f>
        <v/>
      </c>
    </row>
    <row r="489" customFormat="false" ht="15" hidden="false" customHeight="false" outlineLevel="0" collapsed="false">
      <c r="A489" s="17"/>
      <c r="B489" s="40"/>
      <c r="C489" s="17"/>
      <c r="D489" s="17"/>
      <c r="E489" s="17"/>
      <c r="F489" s="17"/>
      <c r="G489" s="17"/>
      <c r="H489" s="42"/>
      <c r="I489" s="17"/>
      <c r="J489" s="17"/>
      <c r="K489" s="17"/>
      <c r="L489" s="17"/>
      <c r="M489" s="17"/>
      <c r="N489" s="44" t="str">
        <f aca="false">IF(OR(D489="",A489="",COUNTIFS(Scoresheet!$C$2:$C$501,A489,Scoresheet!$U$2:$U$501,1)=0),"",SUMIFS(Scoresheet!$O$2:$O$501,Scoresheet!$C$2:$C$501,A489,Scoresheet!$U$2:$U$501,1))</f>
        <v/>
      </c>
      <c r="O489" s="44" t="str">
        <f aca="false">IF(D489="","",IF(OR(A489="",COUNTIFS(Scoresheet!$C$2:$C$501,A489,Scoresheet!$U$2:$U$501,1)=0),"No scoresheet yet",IF(SUMIFS(Scoresheet!$N$2:$N$501,Scoresheet!$C$2:$C$501,A489,Scoresheet!$U$2:$U$501,1)&lt;6,"Partly scored ("&amp;SUMIFS(Scoresheet!$N$2:$N$501,Scoresheet!$C$2:$C$501,A489,Scoresheet!$U$2:$U$501,1)&amp;"/6)",IF(N489&gt;=Settings!$S$8,"Hot",IF(N489&gt;=Settings!$S$9,"Warm","Cold")))))</f>
        <v/>
      </c>
      <c r="P489" s="44" t="str">
        <f aca="false">IF(OR(D489="",A489=""),"",IF(AND(COUNTIFS(Scoresheet!$C$2:$C$501,A489,Scoresheet!$U$2:$U$501,1,Scoresheet!$H$2:$H$501,"No")&gt;0,COUNTIFS(Scoresheet!$C$2:$C$501,A489,Scoresheet!$U$2:$U$501,1,Scoresheet!$J$2:$J$501,"No")&gt;0),"🚩 Budget  ·  🚩 No one on camera",IF(COUNTIFS(Scoresheet!$C$2:$C$501,A489,Scoresheet!$U$2:$U$501,1,Scoresheet!$H$2:$H$501,"No")&gt;0,"🚩 Budget under AED 5k",IF(COUNTIFS(Scoresheet!$C$2:$C$501,A489,Scoresheet!$U$2:$U$501,1,Scoresheet!$J$2:$J$501,"No")&gt;0,"🚩 No one on camera",""))))</f>
        <v/>
      </c>
      <c r="Q489" s="17"/>
      <c r="R489" s="17"/>
      <c r="S489" s="40"/>
      <c r="T489" s="17"/>
      <c r="U489" s="45" t="str">
        <f aca="false">IF(OR(D489="",S489="",OR(R489="Contract signed + paid",R489="Closed – No response",R489="Lost"),N(T489)&gt;=Settings!$S$3),"",S489+Settings!$S$2)</f>
        <v/>
      </c>
      <c r="V489" s="40"/>
      <c r="W489" s="41"/>
      <c r="X489" s="17"/>
      <c r="Y489" s="17"/>
      <c r="Z489" s="17"/>
      <c r="AA489" s="46" t="str">
        <f aca="true">IF(OR(D489="",B489=""),"",INT(TODAY()-B489))</f>
        <v/>
      </c>
      <c r="AB489" s="44" t="str">
        <f aca="true">IF(D489="","",IF(OR(COUNTIFS(Clients!$C$2:$C$501,D489,Clients!$S$2:$S$501,"Paid")&gt;0,AND(H489&lt;&gt;"",COUNTIFS(Clients!$E$2:$E$501,H489,Clients!$S$2:$S$501,"Paid")&gt;0)),"⚠ Refunded before – no free video",IF(OR(R489="Contract signed + paid",R489="Closed – No response",R489="Lost"),"",IF(R489="","Set a stage",IF(AND(R489="Proposal sent",SUMIFS(Scoresheet!$N$2:$N$501,Scoresheet!$C$2:$C$501,A489,Scoresheet!$U$2:$U$501,1)&lt;6),"Score this lead – fill the call scoresheet",IF(N(T489)&gt;=Settings!$S$3,"Close – 4 follow-ups sent",IF(U489="",IF(S489="","Make first contact",""),IF(TODAY()&gt;U489,"OVERDUE follow-up",IF(TODAY()=U489,"Follow up today","")))))))))</f>
        <v/>
      </c>
    </row>
    <row r="490" customFormat="false" ht="15" hidden="false" customHeight="false" outlineLevel="0" collapsed="false">
      <c r="A490" s="17"/>
      <c r="B490" s="40"/>
      <c r="C490" s="17"/>
      <c r="D490" s="17"/>
      <c r="E490" s="17"/>
      <c r="F490" s="17"/>
      <c r="G490" s="17"/>
      <c r="H490" s="42"/>
      <c r="I490" s="17"/>
      <c r="J490" s="17"/>
      <c r="K490" s="17"/>
      <c r="L490" s="17"/>
      <c r="M490" s="17"/>
      <c r="N490" s="44" t="str">
        <f aca="false">IF(OR(D490="",A490="",COUNTIFS(Scoresheet!$C$2:$C$501,A490,Scoresheet!$U$2:$U$501,1)=0),"",SUMIFS(Scoresheet!$O$2:$O$501,Scoresheet!$C$2:$C$501,A490,Scoresheet!$U$2:$U$501,1))</f>
        <v/>
      </c>
      <c r="O490" s="44" t="str">
        <f aca="false">IF(D490="","",IF(OR(A490="",COUNTIFS(Scoresheet!$C$2:$C$501,A490,Scoresheet!$U$2:$U$501,1)=0),"No scoresheet yet",IF(SUMIFS(Scoresheet!$N$2:$N$501,Scoresheet!$C$2:$C$501,A490,Scoresheet!$U$2:$U$501,1)&lt;6,"Partly scored ("&amp;SUMIFS(Scoresheet!$N$2:$N$501,Scoresheet!$C$2:$C$501,A490,Scoresheet!$U$2:$U$501,1)&amp;"/6)",IF(N490&gt;=Settings!$S$8,"Hot",IF(N490&gt;=Settings!$S$9,"Warm","Cold")))))</f>
        <v/>
      </c>
      <c r="P490" s="44" t="str">
        <f aca="false">IF(OR(D490="",A490=""),"",IF(AND(COUNTIFS(Scoresheet!$C$2:$C$501,A490,Scoresheet!$U$2:$U$501,1,Scoresheet!$H$2:$H$501,"No")&gt;0,COUNTIFS(Scoresheet!$C$2:$C$501,A490,Scoresheet!$U$2:$U$501,1,Scoresheet!$J$2:$J$501,"No")&gt;0),"🚩 Budget  ·  🚩 No one on camera",IF(COUNTIFS(Scoresheet!$C$2:$C$501,A490,Scoresheet!$U$2:$U$501,1,Scoresheet!$H$2:$H$501,"No")&gt;0,"🚩 Budget under AED 5k",IF(COUNTIFS(Scoresheet!$C$2:$C$501,A490,Scoresheet!$U$2:$U$501,1,Scoresheet!$J$2:$J$501,"No")&gt;0,"🚩 No one on camera",""))))</f>
        <v/>
      </c>
      <c r="Q490" s="17"/>
      <c r="R490" s="17"/>
      <c r="S490" s="40"/>
      <c r="T490" s="17"/>
      <c r="U490" s="45" t="str">
        <f aca="false">IF(OR(D490="",S490="",OR(R490="Contract signed + paid",R490="Closed – No response",R490="Lost"),N(T490)&gt;=Settings!$S$3),"",S490+Settings!$S$2)</f>
        <v/>
      </c>
      <c r="V490" s="40"/>
      <c r="W490" s="41"/>
      <c r="X490" s="17"/>
      <c r="Y490" s="17"/>
      <c r="Z490" s="17"/>
      <c r="AA490" s="46" t="str">
        <f aca="true">IF(OR(D490="",B490=""),"",INT(TODAY()-B490))</f>
        <v/>
      </c>
      <c r="AB490" s="44" t="str">
        <f aca="true">IF(D490="","",IF(OR(COUNTIFS(Clients!$C$2:$C$501,D490,Clients!$S$2:$S$501,"Paid")&gt;0,AND(H490&lt;&gt;"",COUNTIFS(Clients!$E$2:$E$501,H490,Clients!$S$2:$S$501,"Paid")&gt;0)),"⚠ Refunded before – no free video",IF(OR(R490="Contract signed + paid",R490="Closed – No response",R490="Lost"),"",IF(R490="","Set a stage",IF(AND(R490="Proposal sent",SUMIFS(Scoresheet!$N$2:$N$501,Scoresheet!$C$2:$C$501,A490,Scoresheet!$U$2:$U$501,1)&lt;6),"Score this lead – fill the call scoresheet",IF(N(T490)&gt;=Settings!$S$3,"Close – 4 follow-ups sent",IF(U490="",IF(S490="","Make first contact",""),IF(TODAY()&gt;U490,"OVERDUE follow-up",IF(TODAY()=U490,"Follow up today","")))))))))</f>
        <v/>
      </c>
    </row>
    <row r="491" customFormat="false" ht="15" hidden="false" customHeight="false" outlineLevel="0" collapsed="false">
      <c r="A491" s="17"/>
      <c r="B491" s="40"/>
      <c r="C491" s="17"/>
      <c r="D491" s="17"/>
      <c r="E491" s="17"/>
      <c r="F491" s="17"/>
      <c r="G491" s="17"/>
      <c r="H491" s="42"/>
      <c r="I491" s="17"/>
      <c r="J491" s="17"/>
      <c r="K491" s="17"/>
      <c r="L491" s="17"/>
      <c r="M491" s="17"/>
      <c r="N491" s="44" t="str">
        <f aca="false">IF(OR(D491="",A491="",COUNTIFS(Scoresheet!$C$2:$C$501,A491,Scoresheet!$U$2:$U$501,1)=0),"",SUMIFS(Scoresheet!$O$2:$O$501,Scoresheet!$C$2:$C$501,A491,Scoresheet!$U$2:$U$501,1))</f>
        <v/>
      </c>
      <c r="O491" s="44" t="str">
        <f aca="false">IF(D491="","",IF(OR(A491="",COUNTIFS(Scoresheet!$C$2:$C$501,A491,Scoresheet!$U$2:$U$501,1)=0),"No scoresheet yet",IF(SUMIFS(Scoresheet!$N$2:$N$501,Scoresheet!$C$2:$C$501,A491,Scoresheet!$U$2:$U$501,1)&lt;6,"Partly scored ("&amp;SUMIFS(Scoresheet!$N$2:$N$501,Scoresheet!$C$2:$C$501,A491,Scoresheet!$U$2:$U$501,1)&amp;"/6)",IF(N491&gt;=Settings!$S$8,"Hot",IF(N491&gt;=Settings!$S$9,"Warm","Cold")))))</f>
        <v/>
      </c>
      <c r="P491" s="44" t="str">
        <f aca="false">IF(OR(D491="",A491=""),"",IF(AND(COUNTIFS(Scoresheet!$C$2:$C$501,A491,Scoresheet!$U$2:$U$501,1,Scoresheet!$H$2:$H$501,"No")&gt;0,COUNTIFS(Scoresheet!$C$2:$C$501,A491,Scoresheet!$U$2:$U$501,1,Scoresheet!$J$2:$J$501,"No")&gt;0),"🚩 Budget  ·  🚩 No one on camera",IF(COUNTIFS(Scoresheet!$C$2:$C$501,A491,Scoresheet!$U$2:$U$501,1,Scoresheet!$H$2:$H$501,"No")&gt;0,"🚩 Budget under AED 5k",IF(COUNTIFS(Scoresheet!$C$2:$C$501,A491,Scoresheet!$U$2:$U$501,1,Scoresheet!$J$2:$J$501,"No")&gt;0,"🚩 No one on camera",""))))</f>
        <v/>
      </c>
      <c r="Q491" s="17"/>
      <c r="R491" s="17"/>
      <c r="S491" s="40"/>
      <c r="T491" s="17"/>
      <c r="U491" s="45" t="str">
        <f aca="false">IF(OR(D491="",S491="",OR(R491="Contract signed + paid",R491="Closed – No response",R491="Lost"),N(T491)&gt;=Settings!$S$3),"",S491+Settings!$S$2)</f>
        <v/>
      </c>
      <c r="V491" s="40"/>
      <c r="W491" s="41"/>
      <c r="X491" s="17"/>
      <c r="Y491" s="17"/>
      <c r="Z491" s="17"/>
      <c r="AA491" s="46" t="str">
        <f aca="true">IF(OR(D491="",B491=""),"",INT(TODAY()-B491))</f>
        <v/>
      </c>
      <c r="AB491" s="44" t="str">
        <f aca="true">IF(D491="","",IF(OR(COUNTIFS(Clients!$C$2:$C$501,D491,Clients!$S$2:$S$501,"Paid")&gt;0,AND(H491&lt;&gt;"",COUNTIFS(Clients!$E$2:$E$501,H491,Clients!$S$2:$S$501,"Paid")&gt;0)),"⚠ Refunded before – no free video",IF(OR(R491="Contract signed + paid",R491="Closed – No response",R491="Lost"),"",IF(R491="","Set a stage",IF(AND(R491="Proposal sent",SUMIFS(Scoresheet!$N$2:$N$501,Scoresheet!$C$2:$C$501,A491,Scoresheet!$U$2:$U$501,1)&lt;6),"Score this lead – fill the call scoresheet",IF(N(T491)&gt;=Settings!$S$3,"Close – 4 follow-ups sent",IF(U491="",IF(S491="","Make first contact",""),IF(TODAY()&gt;U491,"OVERDUE follow-up",IF(TODAY()=U491,"Follow up today","")))))))))</f>
        <v/>
      </c>
    </row>
    <row r="492" customFormat="false" ht="15" hidden="false" customHeight="false" outlineLevel="0" collapsed="false">
      <c r="A492" s="17"/>
      <c r="B492" s="40"/>
      <c r="C492" s="17"/>
      <c r="D492" s="17"/>
      <c r="E492" s="17"/>
      <c r="F492" s="17"/>
      <c r="G492" s="17"/>
      <c r="H492" s="42"/>
      <c r="I492" s="17"/>
      <c r="J492" s="17"/>
      <c r="K492" s="17"/>
      <c r="L492" s="17"/>
      <c r="M492" s="17"/>
      <c r="N492" s="44" t="str">
        <f aca="false">IF(OR(D492="",A492="",COUNTIFS(Scoresheet!$C$2:$C$501,A492,Scoresheet!$U$2:$U$501,1)=0),"",SUMIFS(Scoresheet!$O$2:$O$501,Scoresheet!$C$2:$C$501,A492,Scoresheet!$U$2:$U$501,1))</f>
        <v/>
      </c>
      <c r="O492" s="44" t="str">
        <f aca="false">IF(D492="","",IF(OR(A492="",COUNTIFS(Scoresheet!$C$2:$C$501,A492,Scoresheet!$U$2:$U$501,1)=0),"No scoresheet yet",IF(SUMIFS(Scoresheet!$N$2:$N$501,Scoresheet!$C$2:$C$501,A492,Scoresheet!$U$2:$U$501,1)&lt;6,"Partly scored ("&amp;SUMIFS(Scoresheet!$N$2:$N$501,Scoresheet!$C$2:$C$501,A492,Scoresheet!$U$2:$U$501,1)&amp;"/6)",IF(N492&gt;=Settings!$S$8,"Hot",IF(N492&gt;=Settings!$S$9,"Warm","Cold")))))</f>
        <v/>
      </c>
      <c r="P492" s="44" t="str">
        <f aca="false">IF(OR(D492="",A492=""),"",IF(AND(COUNTIFS(Scoresheet!$C$2:$C$501,A492,Scoresheet!$U$2:$U$501,1,Scoresheet!$H$2:$H$501,"No")&gt;0,COUNTIFS(Scoresheet!$C$2:$C$501,A492,Scoresheet!$U$2:$U$501,1,Scoresheet!$J$2:$J$501,"No")&gt;0),"🚩 Budget  ·  🚩 No one on camera",IF(COUNTIFS(Scoresheet!$C$2:$C$501,A492,Scoresheet!$U$2:$U$501,1,Scoresheet!$H$2:$H$501,"No")&gt;0,"🚩 Budget under AED 5k",IF(COUNTIFS(Scoresheet!$C$2:$C$501,A492,Scoresheet!$U$2:$U$501,1,Scoresheet!$J$2:$J$501,"No")&gt;0,"🚩 No one on camera",""))))</f>
        <v/>
      </c>
      <c r="Q492" s="17"/>
      <c r="R492" s="17"/>
      <c r="S492" s="40"/>
      <c r="T492" s="17"/>
      <c r="U492" s="45" t="str">
        <f aca="false">IF(OR(D492="",S492="",OR(R492="Contract signed + paid",R492="Closed – No response",R492="Lost"),N(T492)&gt;=Settings!$S$3),"",S492+Settings!$S$2)</f>
        <v/>
      </c>
      <c r="V492" s="40"/>
      <c r="W492" s="41"/>
      <c r="X492" s="17"/>
      <c r="Y492" s="17"/>
      <c r="Z492" s="17"/>
      <c r="AA492" s="46" t="str">
        <f aca="true">IF(OR(D492="",B492=""),"",INT(TODAY()-B492))</f>
        <v/>
      </c>
      <c r="AB492" s="44" t="str">
        <f aca="true">IF(D492="","",IF(OR(COUNTIFS(Clients!$C$2:$C$501,D492,Clients!$S$2:$S$501,"Paid")&gt;0,AND(H492&lt;&gt;"",COUNTIFS(Clients!$E$2:$E$501,H492,Clients!$S$2:$S$501,"Paid")&gt;0)),"⚠ Refunded before – no free video",IF(OR(R492="Contract signed + paid",R492="Closed – No response",R492="Lost"),"",IF(R492="","Set a stage",IF(AND(R492="Proposal sent",SUMIFS(Scoresheet!$N$2:$N$501,Scoresheet!$C$2:$C$501,A492,Scoresheet!$U$2:$U$501,1)&lt;6),"Score this lead – fill the call scoresheet",IF(N(T492)&gt;=Settings!$S$3,"Close – 4 follow-ups sent",IF(U492="",IF(S492="","Make first contact",""),IF(TODAY()&gt;U492,"OVERDUE follow-up",IF(TODAY()=U492,"Follow up today","")))))))))</f>
        <v/>
      </c>
    </row>
    <row r="493" customFormat="false" ht="15" hidden="false" customHeight="false" outlineLevel="0" collapsed="false">
      <c r="A493" s="17"/>
      <c r="B493" s="40"/>
      <c r="C493" s="17"/>
      <c r="D493" s="17"/>
      <c r="E493" s="17"/>
      <c r="F493" s="17"/>
      <c r="G493" s="17"/>
      <c r="H493" s="42"/>
      <c r="I493" s="17"/>
      <c r="J493" s="17"/>
      <c r="K493" s="17"/>
      <c r="L493" s="17"/>
      <c r="M493" s="17"/>
      <c r="N493" s="44" t="str">
        <f aca="false">IF(OR(D493="",A493="",COUNTIFS(Scoresheet!$C$2:$C$501,A493,Scoresheet!$U$2:$U$501,1)=0),"",SUMIFS(Scoresheet!$O$2:$O$501,Scoresheet!$C$2:$C$501,A493,Scoresheet!$U$2:$U$501,1))</f>
        <v/>
      </c>
      <c r="O493" s="44" t="str">
        <f aca="false">IF(D493="","",IF(OR(A493="",COUNTIFS(Scoresheet!$C$2:$C$501,A493,Scoresheet!$U$2:$U$501,1)=0),"No scoresheet yet",IF(SUMIFS(Scoresheet!$N$2:$N$501,Scoresheet!$C$2:$C$501,A493,Scoresheet!$U$2:$U$501,1)&lt;6,"Partly scored ("&amp;SUMIFS(Scoresheet!$N$2:$N$501,Scoresheet!$C$2:$C$501,A493,Scoresheet!$U$2:$U$501,1)&amp;"/6)",IF(N493&gt;=Settings!$S$8,"Hot",IF(N493&gt;=Settings!$S$9,"Warm","Cold")))))</f>
        <v/>
      </c>
      <c r="P493" s="44" t="str">
        <f aca="false">IF(OR(D493="",A493=""),"",IF(AND(COUNTIFS(Scoresheet!$C$2:$C$501,A493,Scoresheet!$U$2:$U$501,1,Scoresheet!$H$2:$H$501,"No")&gt;0,COUNTIFS(Scoresheet!$C$2:$C$501,A493,Scoresheet!$U$2:$U$501,1,Scoresheet!$J$2:$J$501,"No")&gt;0),"🚩 Budget  ·  🚩 No one on camera",IF(COUNTIFS(Scoresheet!$C$2:$C$501,A493,Scoresheet!$U$2:$U$501,1,Scoresheet!$H$2:$H$501,"No")&gt;0,"🚩 Budget under AED 5k",IF(COUNTIFS(Scoresheet!$C$2:$C$501,A493,Scoresheet!$U$2:$U$501,1,Scoresheet!$J$2:$J$501,"No")&gt;0,"🚩 No one on camera",""))))</f>
        <v/>
      </c>
      <c r="Q493" s="17"/>
      <c r="R493" s="17"/>
      <c r="S493" s="40"/>
      <c r="T493" s="17"/>
      <c r="U493" s="45" t="str">
        <f aca="false">IF(OR(D493="",S493="",OR(R493="Contract signed + paid",R493="Closed – No response",R493="Lost"),N(T493)&gt;=Settings!$S$3),"",S493+Settings!$S$2)</f>
        <v/>
      </c>
      <c r="V493" s="40"/>
      <c r="W493" s="41"/>
      <c r="X493" s="17"/>
      <c r="Y493" s="17"/>
      <c r="Z493" s="17"/>
      <c r="AA493" s="46" t="str">
        <f aca="true">IF(OR(D493="",B493=""),"",INT(TODAY()-B493))</f>
        <v/>
      </c>
      <c r="AB493" s="44" t="str">
        <f aca="true">IF(D493="","",IF(OR(COUNTIFS(Clients!$C$2:$C$501,D493,Clients!$S$2:$S$501,"Paid")&gt;0,AND(H493&lt;&gt;"",COUNTIFS(Clients!$E$2:$E$501,H493,Clients!$S$2:$S$501,"Paid")&gt;0)),"⚠ Refunded before – no free video",IF(OR(R493="Contract signed + paid",R493="Closed – No response",R493="Lost"),"",IF(R493="","Set a stage",IF(AND(R493="Proposal sent",SUMIFS(Scoresheet!$N$2:$N$501,Scoresheet!$C$2:$C$501,A493,Scoresheet!$U$2:$U$501,1)&lt;6),"Score this lead – fill the call scoresheet",IF(N(T493)&gt;=Settings!$S$3,"Close – 4 follow-ups sent",IF(U493="",IF(S493="","Make first contact",""),IF(TODAY()&gt;U493,"OVERDUE follow-up",IF(TODAY()=U493,"Follow up today","")))))))))</f>
        <v/>
      </c>
    </row>
    <row r="494" customFormat="false" ht="15" hidden="false" customHeight="false" outlineLevel="0" collapsed="false">
      <c r="A494" s="17"/>
      <c r="B494" s="40"/>
      <c r="C494" s="17"/>
      <c r="D494" s="17"/>
      <c r="E494" s="17"/>
      <c r="F494" s="17"/>
      <c r="G494" s="17"/>
      <c r="H494" s="42"/>
      <c r="I494" s="17"/>
      <c r="J494" s="17"/>
      <c r="K494" s="17"/>
      <c r="L494" s="17"/>
      <c r="M494" s="17"/>
      <c r="N494" s="44" t="str">
        <f aca="false">IF(OR(D494="",A494="",COUNTIFS(Scoresheet!$C$2:$C$501,A494,Scoresheet!$U$2:$U$501,1)=0),"",SUMIFS(Scoresheet!$O$2:$O$501,Scoresheet!$C$2:$C$501,A494,Scoresheet!$U$2:$U$501,1))</f>
        <v/>
      </c>
      <c r="O494" s="44" t="str">
        <f aca="false">IF(D494="","",IF(OR(A494="",COUNTIFS(Scoresheet!$C$2:$C$501,A494,Scoresheet!$U$2:$U$501,1)=0),"No scoresheet yet",IF(SUMIFS(Scoresheet!$N$2:$N$501,Scoresheet!$C$2:$C$501,A494,Scoresheet!$U$2:$U$501,1)&lt;6,"Partly scored ("&amp;SUMIFS(Scoresheet!$N$2:$N$501,Scoresheet!$C$2:$C$501,A494,Scoresheet!$U$2:$U$501,1)&amp;"/6)",IF(N494&gt;=Settings!$S$8,"Hot",IF(N494&gt;=Settings!$S$9,"Warm","Cold")))))</f>
        <v/>
      </c>
      <c r="P494" s="44" t="str">
        <f aca="false">IF(OR(D494="",A494=""),"",IF(AND(COUNTIFS(Scoresheet!$C$2:$C$501,A494,Scoresheet!$U$2:$U$501,1,Scoresheet!$H$2:$H$501,"No")&gt;0,COUNTIFS(Scoresheet!$C$2:$C$501,A494,Scoresheet!$U$2:$U$501,1,Scoresheet!$J$2:$J$501,"No")&gt;0),"🚩 Budget  ·  🚩 No one on camera",IF(COUNTIFS(Scoresheet!$C$2:$C$501,A494,Scoresheet!$U$2:$U$501,1,Scoresheet!$H$2:$H$501,"No")&gt;0,"🚩 Budget under AED 5k",IF(COUNTIFS(Scoresheet!$C$2:$C$501,A494,Scoresheet!$U$2:$U$501,1,Scoresheet!$J$2:$J$501,"No")&gt;0,"🚩 No one on camera",""))))</f>
        <v/>
      </c>
      <c r="Q494" s="17"/>
      <c r="R494" s="17"/>
      <c r="S494" s="40"/>
      <c r="T494" s="17"/>
      <c r="U494" s="45" t="str">
        <f aca="false">IF(OR(D494="",S494="",OR(R494="Contract signed + paid",R494="Closed – No response",R494="Lost"),N(T494)&gt;=Settings!$S$3),"",S494+Settings!$S$2)</f>
        <v/>
      </c>
      <c r="V494" s="40"/>
      <c r="W494" s="41"/>
      <c r="X494" s="17"/>
      <c r="Y494" s="17"/>
      <c r="Z494" s="17"/>
      <c r="AA494" s="46" t="str">
        <f aca="true">IF(OR(D494="",B494=""),"",INT(TODAY()-B494))</f>
        <v/>
      </c>
      <c r="AB494" s="44" t="str">
        <f aca="true">IF(D494="","",IF(OR(COUNTIFS(Clients!$C$2:$C$501,D494,Clients!$S$2:$S$501,"Paid")&gt;0,AND(H494&lt;&gt;"",COUNTIFS(Clients!$E$2:$E$501,H494,Clients!$S$2:$S$501,"Paid")&gt;0)),"⚠ Refunded before – no free video",IF(OR(R494="Contract signed + paid",R494="Closed – No response",R494="Lost"),"",IF(R494="","Set a stage",IF(AND(R494="Proposal sent",SUMIFS(Scoresheet!$N$2:$N$501,Scoresheet!$C$2:$C$501,A494,Scoresheet!$U$2:$U$501,1)&lt;6),"Score this lead – fill the call scoresheet",IF(N(T494)&gt;=Settings!$S$3,"Close – 4 follow-ups sent",IF(U494="",IF(S494="","Make first contact",""),IF(TODAY()&gt;U494,"OVERDUE follow-up",IF(TODAY()=U494,"Follow up today","")))))))))</f>
        <v/>
      </c>
    </row>
    <row r="495" customFormat="false" ht="15" hidden="false" customHeight="false" outlineLevel="0" collapsed="false">
      <c r="A495" s="17"/>
      <c r="B495" s="40"/>
      <c r="C495" s="17"/>
      <c r="D495" s="17"/>
      <c r="E495" s="17"/>
      <c r="F495" s="17"/>
      <c r="G495" s="17"/>
      <c r="H495" s="42"/>
      <c r="I495" s="17"/>
      <c r="J495" s="17"/>
      <c r="K495" s="17"/>
      <c r="L495" s="17"/>
      <c r="M495" s="17"/>
      <c r="N495" s="44" t="str">
        <f aca="false">IF(OR(D495="",A495="",COUNTIFS(Scoresheet!$C$2:$C$501,A495,Scoresheet!$U$2:$U$501,1)=0),"",SUMIFS(Scoresheet!$O$2:$O$501,Scoresheet!$C$2:$C$501,A495,Scoresheet!$U$2:$U$501,1))</f>
        <v/>
      </c>
      <c r="O495" s="44" t="str">
        <f aca="false">IF(D495="","",IF(OR(A495="",COUNTIFS(Scoresheet!$C$2:$C$501,A495,Scoresheet!$U$2:$U$501,1)=0),"No scoresheet yet",IF(SUMIFS(Scoresheet!$N$2:$N$501,Scoresheet!$C$2:$C$501,A495,Scoresheet!$U$2:$U$501,1)&lt;6,"Partly scored ("&amp;SUMIFS(Scoresheet!$N$2:$N$501,Scoresheet!$C$2:$C$501,A495,Scoresheet!$U$2:$U$501,1)&amp;"/6)",IF(N495&gt;=Settings!$S$8,"Hot",IF(N495&gt;=Settings!$S$9,"Warm","Cold")))))</f>
        <v/>
      </c>
      <c r="P495" s="44" t="str">
        <f aca="false">IF(OR(D495="",A495=""),"",IF(AND(COUNTIFS(Scoresheet!$C$2:$C$501,A495,Scoresheet!$U$2:$U$501,1,Scoresheet!$H$2:$H$501,"No")&gt;0,COUNTIFS(Scoresheet!$C$2:$C$501,A495,Scoresheet!$U$2:$U$501,1,Scoresheet!$J$2:$J$501,"No")&gt;0),"🚩 Budget  ·  🚩 No one on camera",IF(COUNTIFS(Scoresheet!$C$2:$C$501,A495,Scoresheet!$U$2:$U$501,1,Scoresheet!$H$2:$H$501,"No")&gt;0,"🚩 Budget under AED 5k",IF(COUNTIFS(Scoresheet!$C$2:$C$501,A495,Scoresheet!$U$2:$U$501,1,Scoresheet!$J$2:$J$501,"No")&gt;0,"🚩 No one on camera",""))))</f>
        <v/>
      </c>
      <c r="Q495" s="17"/>
      <c r="R495" s="17"/>
      <c r="S495" s="40"/>
      <c r="T495" s="17"/>
      <c r="U495" s="45" t="str">
        <f aca="false">IF(OR(D495="",S495="",OR(R495="Contract signed + paid",R495="Closed – No response",R495="Lost"),N(T495)&gt;=Settings!$S$3),"",S495+Settings!$S$2)</f>
        <v/>
      </c>
      <c r="V495" s="40"/>
      <c r="W495" s="41"/>
      <c r="X495" s="17"/>
      <c r="Y495" s="17"/>
      <c r="Z495" s="17"/>
      <c r="AA495" s="46" t="str">
        <f aca="true">IF(OR(D495="",B495=""),"",INT(TODAY()-B495))</f>
        <v/>
      </c>
      <c r="AB495" s="44" t="str">
        <f aca="true">IF(D495="","",IF(OR(COUNTIFS(Clients!$C$2:$C$501,D495,Clients!$S$2:$S$501,"Paid")&gt;0,AND(H495&lt;&gt;"",COUNTIFS(Clients!$E$2:$E$501,H495,Clients!$S$2:$S$501,"Paid")&gt;0)),"⚠ Refunded before – no free video",IF(OR(R495="Contract signed + paid",R495="Closed – No response",R495="Lost"),"",IF(R495="","Set a stage",IF(AND(R495="Proposal sent",SUMIFS(Scoresheet!$N$2:$N$501,Scoresheet!$C$2:$C$501,A495,Scoresheet!$U$2:$U$501,1)&lt;6),"Score this lead – fill the call scoresheet",IF(N(T495)&gt;=Settings!$S$3,"Close – 4 follow-ups sent",IF(U495="",IF(S495="","Make first contact",""),IF(TODAY()&gt;U495,"OVERDUE follow-up",IF(TODAY()=U495,"Follow up today","")))))))))</f>
        <v/>
      </c>
    </row>
    <row r="496" customFormat="false" ht="15" hidden="false" customHeight="false" outlineLevel="0" collapsed="false">
      <c r="A496" s="17"/>
      <c r="B496" s="40"/>
      <c r="C496" s="17"/>
      <c r="D496" s="17"/>
      <c r="E496" s="17"/>
      <c r="F496" s="17"/>
      <c r="G496" s="17"/>
      <c r="H496" s="42"/>
      <c r="I496" s="17"/>
      <c r="J496" s="17"/>
      <c r="K496" s="17"/>
      <c r="L496" s="17"/>
      <c r="M496" s="17"/>
      <c r="N496" s="44" t="str">
        <f aca="false">IF(OR(D496="",A496="",COUNTIFS(Scoresheet!$C$2:$C$501,A496,Scoresheet!$U$2:$U$501,1)=0),"",SUMIFS(Scoresheet!$O$2:$O$501,Scoresheet!$C$2:$C$501,A496,Scoresheet!$U$2:$U$501,1))</f>
        <v/>
      </c>
      <c r="O496" s="44" t="str">
        <f aca="false">IF(D496="","",IF(OR(A496="",COUNTIFS(Scoresheet!$C$2:$C$501,A496,Scoresheet!$U$2:$U$501,1)=0),"No scoresheet yet",IF(SUMIFS(Scoresheet!$N$2:$N$501,Scoresheet!$C$2:$C$501,A496,Scoresheet!$U$2:$U$501,1)&lt;6,"Partly scored ("&amp;SUMIFS(Scoresheet!$N$2:$N$501,Scoresheet!$C$2:$C$501,A496,Scoresheet!$U$2:$U$501,1)&amp;"/6)",IF(N496&gt;=Settings!$S$8,"Hot",IF(N496&gt;=Settings!$S$9,"Warm","Cold")))))</f>
        <v/>
      </c>
      <c r="P496" s="44" t="str">
        <f aca="false">IF(OR(D496="",A496=""),"",IF(AND(COUNTIFS(Scoresheet!$C$2:$C$501,A496,Scoresheet!$U$2:$U$501,1,Scoresheet!$H$2:$H$501,"No")&gt;0,COUNTIFS(Scoresheet!$C$2:$C$501,A496,Scoresheet!$U$2:$U$501,1,Scoresheet!$J$2:$J$501,"No")&gt;0),"🚩 Budget  ·  🚩 No one on camera",IF(COUNTIFS(Scoresheet!$C$2:$C$501,A496,Scoresheet!$U$2:$U$501,1,Scoresheet!$H$2:$H$501,"No")&gt;0,"🚩 Budget under AED 5k",IF(COUNTIFS(Scoresheet!$C$2:$C$501,A496,Scoresheet!$U$2:$U$501,1,Scoresheet!$J$2:$J$501,"No")&gt;0,"🚩 No one on camera",""))))</f>
        <v/>
      </c>
      <c r="Q496" s="17"/>
      <c r="R496" s="17"/>
      <c r="S496" s="40"/>
      <c r="T496" s="17"/>
      <c r="U496" s="45" t="str">
        <f aca="false">IF(OR(D496="",S496="",OR(R496="Contract signed + paid",R496="Closed – No response",R496="Lost"),N(T496)&gt;=Settings!$S$3),"",S496+Settings!$S$2)</f>
        <v/>
      </c>
      <c r="V496" s="40"/>
      <c r="W496" s="41"/>
      <c r="X496" s="17"/>
      <c r="Y496" s="17"/>
      <c r="Z496" s="17"/>
      <c r="AA496" s="46" t="str">
        <f aca="true">IF(OR(D496="",B496=""),"",INT(TODAY()-B496))</f>
        <v/>
      </c>
      <c r="AB496" s="44" t="str">
        <f aca="true">IF(D496="","",IF(OR(COUNTIFS(Clients!$C$2:$C$501,D496,Clients!$S$2:$S$501,"Paid")&gt;0,AND(H496&lt;&gt;"",COUNTIFS(Clients!$E$2:$E$501,H496,Clients!$S$2:$S$501,"Paid")&gt;0)),"⚠ Refunded before – no free video",IF(OR(R496="Contract signed + paid",R496="Closed – No response",R496="Lost"),"",IF(R496="","Set a stage",IF(AND(R496="Proposal sent",SUMIFS(Scoresheet!$N$2:$N$501,Scoresheet!$C$2:$C$501,A496,Scoresheet!$U$2:$U$501,1)&lt;6),"Score this lead – fill the call scoresheet",IF(N(T496)&gt;=Settings!$S$3,"Close – 4 follow-ups sent",IF(U496="",IF(S496="","Make first contact",""),IF(TODAY()&gt;U496,"OVERDUE follow-up",IF(TODAY()=U496,"Follow up today","")))))))))</f>
        <v/>
      </c>
    </row>
    <row r="497" customFormat="false" ht="15" hidden="false" customHeight="false" outlineLevel="0" collapsed="false">
      <c r="A497" s="17"/>
      <c r="B497" s="40"/>
      <c r="C497" s="17"/>
      <c r="D497" s="17"/>
      <c r="E497" s="17"/>
      <c r="F497" s="17"/>
      <c r="G497" s="17"/>
      <c r="H497" s="42"/>
      <c r="I497" s="17"/>
      <c r="J497" s="17"/>
      <c r="K497" s="17"/>
      <c r="L497" s="17"/>
      <c r="M497" s="17"/>
      <c r="N497" s="44" t="str">
        <f aca="false">IF(OR(D497="",A497="",COUNTIFS(Scoresheet!$C$2:$C$501,A497,Scoresheet!$U$2:$U$501,1)=0),"",SUMIFS(Scoresheet!$O$2:$O$501,Scoresheet!$C$2:$C$501,A497,Scoresheet!$U$2:$U$501,1))</f>
        <v/>
      </c>
      <c r="O497" s="44" t="str">
        <f aca="false">IF(D497="","",IF(OR(A497="",COUNTIFS(Scoresheet!$C$2:$C$501,A497,Scoresheet!$U$2:$U$501,1)=0),"No scoresheet yet",IF(SUMIFS(Scoresheet!$N$2:$N$501,Scoresheet!$C$2:$C$501,A497,Scoresheet!$U$2:$U$501,1)&lt;6,"Partly scored ("&amp;SUMIFS(Scoresheet!$N$2:$N$501,Scoresheet!$C$2:$C$501,A497,Scoresheet!$U$2:$U$501,1)&amp;"/6)",IF(N497&gt;=Settings!$S$8,"Hot",IF(N497&gt;=Settings!$S$9,"Warm","Cold")))))</f>
        <v/>
      </c>
      <c r="P497" s="44" t="str">
        <f aca="false">IF(OR(D497="",A497=""),"",IF(AND(COUNTIFS(Scoresheet!$C$2:$C$501,A497,Scoresheet!$U$2:$U$501,1,Scoresheet!$H$2:$H$501,"No")&gt;0,COUNTIFS(Scoresheet!$C$2:$C$501,A497,Scoresheet!$U$2:$U$501,1,Scoresheet!$J$2:$J$501,"No")&gt;0),"🚩 Budget  ·  🚩 No one on camera",IF(COUNTIFS(Scoresheet!$C$2:$C$501,A497,Scoresheet!$U$2:$U$501,1,Scoresheet!$H$2:$H$501,"No")&gt;0,"🚩 Budget under AED 5k",IF(COUNTIFS(Scoresheet!$C$2:$C$501,A497,Scoresheet!$U$2:$U$501,1,Scoresheet!$J$2:$J$501,"No")&gt;0,"🚩 No one on camera",""))))</f>
        <v/>
      </c>
      <c r="Q497" s="17"/>
      <c r="R497" s="17"/>
      <c r="S497" s="40"/>
      <c r="T497" s="17"/>
      <c r="U497" s="45" t="str">
        <f aca="false">IF(OR(D497="",S497="",OR(R497="Contract signed + paid",R497="Closed – No response",R497="Lost"),N(T497)&gt;=Settings!$S$3),"",S497+Settings!$S$2)</f>
        <v/>
      </c>
      <c r="V497" s="40"/>
      <c r="W497" s="41"/>
      <c r="X497" s="17"/>
      <c r="Y497" s="17"/>
      <c r="Z497" s="17"/>
      <c r="AA497" s="46" t="str">
        <f aca="true">IF(OR(D497="",B497=""),"",INT(TODAY()-B497))</f>
        <v/>
      </c>
      <c r="AB497" s="44" t="str">
        <f aca="true">IF(D497="","",IF(OR(COUNTIFS(Clients!$C$2:$C$501,D497,Clients!$S$2:$S$501,"Paid")&gt;0,AND(H497&lt;&gt;"",COUNTIFS(Clients!$E$2:$E$501,H497,Clients!$S$2:$S$501,"Paid")&gt;0)),"⚠ Refunded before – no free video",IF(OR(R497="Contract signed + paid",R497="Closed – No response",R497="Lost"),"",IF(R497="","Set a stage",IF(AND(R497="Proposal sent",SUMIFS(Scoresheet!$N$2:$N$501,Scoresheet!$C$2:$C$501,A497,Scoresheet!$U$2:$U$501,1)&lt;6),"Score this lead – fill the call scoresheet",IF(N(T497)&gt;=Settings!$S$3,"Close – 4 follow-ups sent",IF(U497="",IF(S497="","Make first contact",""),IF(TODAY()&gt;U497,"OVERDUE follow-up",IF(TODAY()=U497,"Follow up today","")))))))))</f>
        <v/>
      </c>
    </row>
    <row r="498" customFormat="false" ht="15" hidden="false" customHeight="false" outlineLevel="0" collapsed="false">
      <c r="A498" s="17"/>
      <c r="B498" s="40"/>
      <c r="C498" s="17"/>
      <c r="D498" s="17"/>
      <c r="E498" s="17"/>
      <c r="F498" s="17"/>
      <c r="G498" s="17"/>
      <c r="H498" s="42"/>
      <c r="I498" s="17"/>
      <c r="J498" s="17"/>
      <c r="K498" s="17"/>
      <c r="L498" s="17"/>
      <c r="M498" s="17"/>
      <c r="N498" s="44" t="str">
        <f aca="false">IF(OR(D498="",A498="",COUNTIFS(Scoresheet!$C$2:$C$501,A498,Scoresheet!$U$2:$U$501,1)=0),"",SUMIFS(Scoresheet!$O$2:$O$501,Scoresheet!$C$2:$C$501,A498,Scoresheet!$U$2:$U$501,1))</f>
        <v/>
      </c>
      <c r="O498" s="44" t="str">
        <f aca="false">IF(D498="","",IF(OR(A498="",COUNTIFS(Scoresheet!$C$2:$C$501,A498,Scoresheet!$U$2:$U$501,1)=0),"No scoresheet yet",IF(SUMIFS(Scoresheet!$N$2:$N$501,Scoresheet!$C$2:$C$501,A498,Scoresheet!$U$2:$U$501,1)&lt;6,"Partly scored ("&amp;SUMIFS(Scoresheet!$N$2:$N$501,Scoresheet!$C$2:$C$501,A498,Scoresheet!$U$2:$U$501,1)&amp;"/6)",IF(N498&gt;=Settings!$S$8,"Hot",IF(N498&gt;=Settings!$S$9,"Warm","Cold")))))</f>
        <v/>
      </c>
      <c r="P498" s="44" t="str">
        <f aca="false">IF(OR(D498="",A498=""),"",IF(AND(COUNTIFS(Scoresheet!$C$2:$C$501,A498,Scoresheet!$U$2:$U$501,1,Scoresheet!$H$2:$H$501,"No")&gt;0,COUNTIFS(Scoresheet!$C$2:$C$501,A498,Scoresheet!$U$2:$U$501,1,Scoresheet!$J$2:$J$501,"No")&gt;0),"🚩 Budget  ·  🚩 No one on camera",IF(COUNTIFS(Scoresheet!$C$2:$C$501,A498,Scoresheet!$U$2:$U$501,1,Scoresheet!$H$2:$H$501,"No")&gt;0,"🚩 Budget under AED 5k",IF(COUNTIFS(Scoresheet!$C$2:$C$501,A498,Scoresheet!$U$2:$U$501,1,Scoresheet!$J$2:$J$501,"No")&gt;0,"🚩 No one on camera",""))))</f>
        <v/>
      </c>
      <c r="Q498" s="17"/>
      <c r="R498" s="17"/>
      <c r="S498" s="40"/>
      <c r="T498" s="17"/>
      <c r="U498" s="45" t="str">
        <f aca="false">IF(OR(D498="",S498="",OR(R498="Contract signed + paid",R498="Closed – No response",R498="Lost"),N(T498)&gt;=Settings!$S$3),"",S498+Settings!$S$2)</f>
        <v/>
      </c>
      <c r="V498" s="40"/>
      <c r="W498" s="41"/>
      <c r="X498" s="17"/>
      <c r="Y498" s="17"/>
      <c r="Z498" s="17"/>
      <c r="AA498" s="46" t="str">
        <f aca="true">IF(OR(D498="",B498=""),"",INT(TODAY()-B498))</f>
        <v/>
      </c>
      <c r="AB498" s="44" t="str">
        <f aca="true">IF(D498="","",IF(OR(COUNTIFS(Clients!$C$2:$C$501,D498,Clients!$S$2:$S$501,"Paid")&gt;0,AND(H498&lt;&gt;"",COUNTIFS(Clients!$E$2:$E$501,H498,Clients!$S$2:$S$501,"Paid")&gt;0)),"⚠ Refunded before – no free video",IF(OR(R498="Contract signed + paid",R498="Closed – No response",R498="Lost"),"",IF(R498="","Set a stage",IF(AND(R498="Proposal sent",SUMIFS(Scoresheet!$N$2:$N$501,Scoresheet!$C$2:$C$501,A498,Scoresheet!$U$2:$U$501,1)&lt;6),"Score this lead – fill the call scoresheet",IF(N(T498)&gt;=Settings!$S$3,"Close – 4 follow-ups sent",IF(U498="",IF(S498="","Make first contact",""),IF(TODAY()&gt;U498,"OVERDUE follow-up",IF(TODAY()=U498,"Follow up today","")))))))))</f>
        <v/>
      </c>
    </row>
    <row r="499" customFormat="false" ht="15" hidden="false" customHeight="false" outlineLevel="0" collapsed="false">
      <c r="A499" s="17"/>
      <c r="B499" s="40"/>
      <c r="C499" s="17"/>
      <c r="D499" s="17"/>
      <c r="E499" s="17"/>
      <c r="F499" s="17"/>
      <c r="G499" s="17"/>
      <c r="H499" s="42"/>
      <c r="I499" s="17"/>
      <c r="J499" s="17"/>
      <c r="K499" s="17"/>
      <c r="L499" s="17"/>
      <c r="M499" s="17"/>
      <c r="N499" s="44" t="str">
        <f aca="false">IF(OR(D499="",A499="",COUNTIFS(Scoresheet!$C$2:$C$501,A499,Scoresheet!$U$2:$U$501,1)=0),"",SUMIFS(Scoresheet!$O$2:$O$501,Scoresheet!$C$2:$C$501,A499,Scoresheet!$U$2:$U$501,1))</f>
        <v/>
      </c>
      <c r="O499" s="44" t="str">
        <f aca="false">IF(D499="","",IF(OR(A499="",COUNTIFS(Scoresheet!$C$2:$C$501,A499,Scoresheet!$U$2:$U$501,1)=0),"No scoresheet yet",IF(SUMIFS(Scoresheet!$N$2:$N$501,Scoresheet!$C$2:$C$501,A499,Scoresheet!$U$2:$U$501,1)&lt;6,"Partly scored ("&amp;SUMIFS(Scoresheet!$N$2:$N$501,Scoresheet!$C$2:$C$501,A499,Scoresheet!$U$2:$U$501,1)&amp;"/6)",IF(N499&gt;=Settings!$S$8,"Hot",IF(N499&gt;=Settings!$S$9,"Warm","Cold")))))</f>
        <v/>
      </c>
      <c r="P499" s="44" t="str">
        <f aca="false">IF(OR(D499="",A499=""),"",IF(AND(COUNTIFS(Scoresheet!$C$2:$C$501,A499,Scoresheet!$U$2:$U$501,1,Scoresheet!$H$2:$H$501,"No")&gt;0,COUNTIFS(Scoresheet!$C$2:$C$501,A499,Scoresheet!$U$2:$U$501,1,Scoresheet!$J$2:$J$501,"No")&gt;0),"🚩 Budget  ·  🚩 No one on camera",IF(COUNTIFS(Scoresheet!$C$2:$C$501,A499,Scoresheet!$U$2:$U$501,1,Scoresheet!$H$2:$H$501,"No")&gt;0,"🚩 Budget under AED 5k",IF(COUNTIFS(Scoresheet!$C$2:$C$501,A499,Scoresheet!$U$2:$U$501,1,Scoresheet!$J$2:$J$501,"No")&gt;0,"🚩 No one on camera",""))))</f>
        <v/>
      </c>
      <c r="Q499" s="17"/>
      <c r="R499" s="17"/>
      <c r="S499" s="40"/>
      <c r="T499" s="17"/>
      <c r="U499" s="45" t="str">
        <f aca="false">IF(OR(D499="",S499="",OR(R499="Contract signed + paid",R499="Closed – No response",R499="Lost"),N(T499)&gt;=Settings!$S$3),"",S499+Settings!$S$2)</f>
        <v/>
      </c>
      <c r="V499" s="40"/>
      <c r="W499" s="41"/>
      <c r="X499" s="17"/>
      <c r="Y499" s="17"/>
      <c r="Z499" s="17"/>
      <c r="AA499" s="46" t="str">
        <f aca="true">IF(OR(D499="",B499=""),"",INT(TODAY()-B499))</f>
        <v/>
      </c>
      <c r="AB499" s="44" t="str">
        <f aca="true">IF(D499="","",IF(OR(COUNTIFS(Clients!$C$2:$C$501,D499,Clients!$S$2:$S$501,"Paid")&gt;0,AND(H499&lt;&gt;"",COUNTIFS(Clients!$E$2:$E$501,H499,Clients!$S$2:$S$501,"Paid")&gt;0)),"⚠ Refunded before – no free video",IF(OR(R499="Contract signed + paid",R499="Closed – No response",R499="Lost"),"",IF(R499="","Set a stage",IF(AND(R499="Proposal sent",SUMIFS(Scoresheet!$N$2:$N$501,Scoresheet!$C$2:$C$501,A499,Scoresheet!$U$2:$U$501,1)&lt;6),"Score this lead – fill the call scoresheet",IF(N(T499)&gt;=Settings!$S$3,"Close – 4 follow-ups sent",IF(U499="",IF(S499="","Make first contact",""),IF(TODAY()&gt;U499,"OVERDUE follow-up",IF(TODAY()=U499,"Follow up today","")))))))))</f>
        <v/>
      </c>
    </row>
    <row r="500" customFormat="false" ht="15" hidden="false" customHeight="false" outlineLevel="0" collapsed="false">
      <c r="A500" s="17"/>
      <c r="B500" s="40"/>
      <c r="C500" s="17"/>
      <c r="D500" s="17"/>
      <c r="E500" s="17"/>
      <c r="F500" s="17"/>
      <c r="G500" s="17"/>
      <c r="H500" s="42"/>
      <c r="I500" s="17"/>
      <c r="J500" s="17"/>
      <c r="K500" s="17"/>
      <c r="L500" s="17"/>
      <c r="M500" s="17"/>
      <c r="N500" s="44" t="str">
        <f aca="false">IF(OR(D500="",A500="",COUNTIFS(Scoresheet!$C$2:$C$501,A500,Scoresheet!$U$2:$U$501,1)=0),"",SUMIFS(Scoresheet!$O$2:$O$501,Scoresheet!$C$2:$C$501,A500,Scoresheet!$U$2:$U$501,1))</f>
        <v/>
      </c>
      <c r="O500" s="44" t="str">
        <f aca="false">IF(D500="","",IF(OR(A500="",COUNTIFS(Scoresheet!$C$2:$C$501,A500,Scoresheet!$U$2:$U$501,1)=0),"No scoresheet yet",IF(SUMIFS(Scoresheet!$N$2:$N$501,Scoresheet!$C$2:$C$501,A500,Scoresheet!$U$2:$U$501,1)&lt;6,"Partly scored ("&amp;SUMIFS(Scoresheet!$N$2:$N$501,Scoresheet!$C$2:$C$501,A500,Scoresheet!$U$2:$U$501,1)&amp;"/6)",IF(N500&gt;=Settings!$S$8,"Hot",IF(N500&gt;=Settings!$S$9,"Warm","Cold")))))</f>
        <v/>
      </c>
      <c r="P500" s="44" t="str">
        <f aca="false">IF(OR(D500="",A500=""),"",IF(AND(COUNTIFS(Scoresheet!$C$2:$C$501,A500,Scoresheet!$U$2:$U$501,1,Scoresheet!$H$2:$H$501,"No")&gt;0,COUNTIFS(Scoresheet!$C$2:$C$501,A500,Scoresheet!$U$2:$U$501,1,Scoresheet!$J$2:$J$501,"No")&gt;0),"🚩 Budget  ·  🚩 No one on camera",IF(COUNTIFS(Scoresheet!$C$2:$C$501,A500,Scoresheet!$U$2:$U$501,1,Scoresheet!$H$2:$H$501,"No")&gt;0,"🚩 Budget under AED 5k",IF(COUNTIFS(Scoresheet!$C$2:$C$501,A500,Scoresheet!$U$2:$U$501,1,Scoresheet!$J$2:$J$501,"No")&gt;0,"🚩 No one on camera",""))))</f>
        <v/>
      </c>
      <c r="Q500" s="17"/>
      <c r="R500" s="17"/>
      <c r="S500" s="40"/>
      <c r="T500" s="17"/>
      <c r="U500" s="45" t="str">
        <f aca="false">IF(OR(D500="",S500="",OR(R500="Contract signed + paid",R500="Closed – No response",R500="Lost"),N(T500)&gt;=Settings!$S$3),"",S500+Settings!$S$2)</f>
        <v/>
      </c>
      <c r="V500" s="40"/>
      <c r="W500" s="41"/>
      <c r="X500" s="17"/>
      <c r="Y500" s="17"/>
      <c r="Z500" s="17"/>
      <c r="AA500" s="46" t="str">
        <f aca="true">IF(OR(D500="",B500=""),"",INT(TODAY()-B500))</f>
        <v/>
      </c>
      <c r="AB500" s="44" t="str">
        <f aca="true">IF(D500="","",IF(OR(COUNTIFS(Clients!$C$2:$C$501,D500,Clients!$S$2:$S$501,"Paid")&gt;0,AND(H500&lt;&gt;"",COUNTIFS(Clients!$E$2:$E$501,H500,Clients!$S$2:$S$501,"Paid")&gt;0)),"⚠ Refunded before – no free video",IF(OR(R500="Contract signed + paid",R500="Closed – No response",R500="Lost"),"",IF(R500="","Set a stage",IF(AND(R500="Proposal sent",SUMIFS(Scoresheet!$N$2:$N$501,Scoresheet!$C$2:$C$501,A500,Scoresheet!$U$2:$U$501,1)&lt;6),"Score this lead – fill the call scoresheet",IF(N(T500)&gt;=Settings!$S$3,"Close – 4 follow-ups sent",IF(U500="",IF(S500="","Make first contact",""),IF(TODAY()&gt;U500,"OVERDUE follow-up",IF(TODAY()=U500,"Follow up today","")))))))))</f>
        <v/>
      </c>
    </row>
    <row r="501" customFormat="false" ht="15" hidden="false" customHeight="false" outlineLevel="0" collapsed="false">
      <c r="A501" s="17"/>
      <c r="B501" s="40"/>
      <c r="C501" s="17"/>
      <c r="D501" s="17"/>
      <c r="E501" s="17"/>
      <c r="F501" s="17"/>
      <c r="G501" s="17"/>
      <c r="H501" s="42"/>
      <c r="I501" s="17"/>
      <c r="J501" s="17"/>
      <c r="K501" s="17"/>
      <c r="L501" s="17"/>
      <c r="M501" s="17"/>
      <c r="N501" s="44" t="str">
        <f aca="false">IF(OR(D501="",A501="",COUNTIFS(Scoresheet!$C$2:$C$501,A501,Scoresheet!$U$2:$U$501,1)=0),"",SUMIFS(Scoresheet!$O$2:$O$501,Scoresheet!$C$2:$C$501,A501,Scoresheet!$U$2:$U$501,1))</f>
        <v/>
      </c>
      <c r="O501" s="44" t="str">
        <f aca="false">IF(D501="","",IF(OR(A501="",COUNTIFS(Scoresheet!$C$2:$C$501,A501,Scoresheet!$U$2:$U$501,1)=0),"No scoresheet yet",IF(SUMIFS(Scoresheet!$N$2:$N$501,Scoresheet!$C$2:$C$501,A501,Scoresheet!$U$2:$U$501,1)&lt;6,"Partly scored ("&amp;SUMIFS(Scoresheet!$N$2:$N$501,Scoresheet!$C$2:$C$501,A501,Scoresheet!$U$2:$U$501,1)&amp;"/6)",IF(N501&gt;=Settings!$S$8,"Hot",IF(N501&gt;=Settings!$S$9,"Warm","Cold")))))</f>
        <v/>
      </c>
      <c r="P501" s="44" t="str">
        <f aca="false">IF(OR(D501="",A501=""),"",IF(AND(COUNTIFS(Scoresheet!$C$2:$C$501,A501,Scoresheet!$U$2:$U$501,1,Scoresheet!$H$2:$H$501,"No")&gt;0,COUNTIFS(Scoresheet!$C$2:$C$501,A501,Scoresheet!$U$2:$U$501,1,Scoresheet!$J$2:$J$501,"No")&gt;0),"🚩 Budget  ·  🚩 No one on camera",IF(COUNTIFS(Scoresheet!$C$2:$C$501,A501,Scoresheet!$U$2:$U$501,1,Scoresheet!$H$2:$H$501,"No")&gt;0,"🚩 Budget under AED 5k",IF(COUNTIFS(Scoresheet!$C$2:$C$501,A501,Scoresheet!$U$2:$U$501,1,Scoresheet!$J$2:$J$501,"No")&gt;0,"🚩 No one on camera",""))))</f>
        <v/>
      </c>
      <c r="Q501" s="17"/>
      <c r="R501" s="17"/>
      <c r="S501" s="40"/>
      <c r="T501" s="17"/>
      <c r="U501" s="45" t="str">
        <f aca="false">IF(OR(D501="",S501="",OR(R501="Contract signed + paid",R501="Closed – No response",R501="Lost"),N(T501)&gt;=Settings!$S$3),"",S501+Settings!$S$2)</f>
        <v/>
      </c>
      <c r="V501" s="40"/>
      <c r="W501" s="41"/>
      <c r="X501" s="17"/>
      <c r="Y501" s="17"/>
      <c r="Z501" s="17"/>
      <c r="AA501" s="46" t="str">
        <f aca="true">IF(OR(D501="",B501=""),"",INT(TODAY()-B501))</f>
        <v/>
      </c>
      <c r="AB501" s="44" t="str">
        <f aca="true">IF(D501="","",IF(OR(COUNTIFS(Clients!$C$2:$C$501,D501,Clients!$S$2:$S$501,"Paid")&gt;0,AND(H501&lt;&gt;"",COUNTIFS(Clients!$E$2:$E$501,H501,Clients!$S$2:$S$501,"Paid")&gt;0)),"⚠ Refunded before – no free video",IF(OR(R501="Contract signed + paid",R501="Closed – No response",R501="Lost"),"",IF(R501="","Set a stage",IF(AND(R501="Proposal sent",SUMIFS(Scoresheet!$N$2:$N$501,Scoresheet!$C$2:$C$501,A501,Scoresheet!$U$2:$U$501,1)&lt;6),"Score this lead – fill the call scoresheet",IF(N(T501)&gt;=Settings!$S$3,"Close – 4 follow-ups sent",IF(U501="",IF(S501="","Make first contact",""),IF(TODAY()&gt;U501,"OVERDUE follow-up",IF(TODAY()=U501,"Follow up today","")))))))))</f>
        <v/>
      </c>
    </row>
  </sheetData>
  <autoFilter ref="A1:AB501"/>
  <conditionalFormatting sqref="A2:AB501">
    <cfRule type="expression" priority="2" aboveAverage="0" equalAverage="0" bottom="0" percent="0" rank="0" text="" dxfId="7">
      <formula>$R2="Contract signed + paid"</formula>
    </cfRule>
    <cfRule type="expression" priority="3" aboveAverage="0" equalAverage="0" bottom="0" percent="0" rank="0" text="" dxfId="8">
      <formula>OR($R2="Closed – No response",$R2="Lost")</formula>
    </cfRule>
  </conditionalFormatting>
  <conditionalFormatting sqref="AB2:AB501">
    <cfRule type="expression" priority="4" aboveAverage="0" equalAverage="0" bottom="0" percent="0" rank="0" text="" dxfId="9">
      <formula>LEFT(AB2,1)="⚠"</formula>
    </cfRule>
    <cfRule type="expression" priority="5" aboveAverage="0" equalAverage="0" bottom="0" percent="0" rank="0" text="" dxfId="10">
      <formula>AB2="OVERDUE follow-up"</formula>
    </cfRule>
    <cfRule type="expression" priority="6" aboveAverage="0" equalAverage="0" bottom="0" percent="0" rank="0" text="" dxfId="11">
      <formula>AB2="Follow up today"</formula>
    </cfRule>
    <cfRule type="expression" priority="7" aboveAverage="0" equalAverage="0" bottom="0" percent="0" rank="0" text="" dxfId="12">
      <formula>AB2="Close – 4 follow-ups sent"</formula>
    </cfRule>
    <cfRule type="expression" priority="8" aboveAverage="0" equalAverage="0" bottom="0" percent="0" rank="0" text="" dxfId="13">
      <formula>OR(AB2="Make first contact",AB2="Set a stage")</formula>
    </cfRule>
    <cfRule type="expression" priority="9" aboveAverage="0" equalAverage="0" bottom="0" percent="0" rank="0" text="" dxfId="14">
      <formula>LEFT(AB2,5)="Score"</formula>
    </cfRule>
  </conditionalFormatting>
  <conditionalFormatting sqref="O2:O501">
    <cfRule type="expression" priority="10" aboveAverage="0" equalAverage="0" bottom="0" percent="0" rank="0" text="" dxfId="10">
      <formula>O2="Hot"</formula>
    </cfRule>
    <cfRule type="expression" priority="11" aboveAverage="0" equalAverage="0" bottom="0" percent="0" rank="0" text="" dxfId="14">
      <formula>O2="Warm"</formula>
    </cfRule>
    <cfRule type="expression" priority="12" aboveAverage="0" equalAverage="0" bottom="0" percent="0" rank="0" text="" dxfId="15">
      <formula>O2="Cold"</formula>
    </cfRule>
    <cfRule type="expression" priority="13" aboveAverage="0" equalAverage="0" bottom="0" percent="0" rank="0" text="" dxfId="8">
      <formula>OR(O2="No scoresheet yet",LEFT(O2,6)="Partly")</formula>
    </cfRule>
  </conditionalFormatting>
  <conditionalFormatting sqref="P2:P501">
    <cfRule type="expression" priority="14" aboveAverage="0" equalAverage="0" bottom="0" percent="0" rank="0" text="" dxfId="9">
      <formula>P2&lt;&gt;""</formula>
    </cfRule>
  </conditionalFormatting>
  <dataValidations count="11">
    <dataValidation allowBlank="true" error="Pick a value from the list (edit lists on the Settings tab)." errorStyle="stop" errorTitle="Not on the list" operator="between" showDropDown="false" showErrorMessage="false" showInputMessage="false" sqref="C2:C501" type="list">
      <formula1>Settings!$C$2:$C$7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E2:E501" type="list">
      <formula1>Settings!$D$2:$D$11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Q2:Q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R2:R501" type="list">
      <formula1>Settings!$A$2:$A$10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X2:X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Y2:Y501" type="list">
      <formula1>Settings!$O$2:$O$8</formula1>
      <formula2>0</formula2>
    </dataValidation>
    <dataValidation allowBlank="true" error="Enter a whole number from 0 to 4." errorStyle="stop" operator="between" showDropDown="false" showErrorMessage="false" showInputMessage="false" sqref="T2:T501" type="whole">
      <formula1>0</formula1>
      <formula2>4</formula2>
    </dataValidation>
    <dataValidation allowBlank="true" error="Enter a date - double-click the cell for a calendar." errorStyle="stop" errorTitle="Not a date" operator="between" showDropDown="false" showErrorMessage="false" showInputMessage="false" sqref="B2:B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S2:S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V2:V501" type="date">
      <formula1>DATE(2020,1,1)</formula1>
      <formula2>DATE(2100,12,31)</formula2>
    </dataValidation>
    <dataValidation allowBlank="true" error="That time isn't in the list - keep it if it's correct." errorStyle="warning" errorTitle="Check the time" operator="between" showDropDown="false" showErrorMessage="false" showInputMessage="false" sqref="W2:W501" type="list">
      <formula1>Settings!$Q$2:$Q$26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U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6"/>
    <col collapsed="false" customWidth="true" hidden="false" outlineLevel="0" max="4" min="4" style="0" width="24"/>
    <col collapsed="false" customWidth="true" hidden="false" outlineLevel="0" max="7" min="5" style="0" width="16"/>
    <col collapsed="false" customWidth="true" hidden="false" outlineLevel="0" max="13" min="8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8"/>
    <col collapsed="false" customWidth="true" hidden="false" outlineLevel="0" max="17" min="17" style="0" width="30"/>
    <col collapsed="false" customWidth="true" hidden="false" outlineLevel="0" max="18" min="18" style="0" width="40"/>
    <col collapsed="false" customWidth="true" hidden="false" outlineLevel="0" max="19" min="19" style="0" width="18"/>
    <col collapsed="false" customWidth="true" hidden="false" outlineLevel="0" max="20" min="20" style="0" width="36"/>
    <col collapsed="false" customWidth="true" hidden="false" outlineLevel="0" max="21" min="21" style="0" width="10"/>
  </cols>
  <sheetData>
    <row r="1" customFormat="false" ht="31.5" hidden="false" customHeight="true" outlineLevel="0" collapsed="false">
      <c r="A1" s="29" t="s">
        <v>204</v>
      </c>
      <c r="B1" s="29" t="s">
        <v>205</v>
      </c>
      <c r="C1" s="29" t="s">
        <v>146</v>
      </c>
      <c r="D1" s="30" t="s">
        <v>150</v>
      </c>
      <c r="E1" s="30" t="s">
        <v>151</v>
      </c>
      <c r="F1" s="29" t="s">
        <v>206</v>
      </c>
      <c r="G1" s="29" t="s">
        <v>207</v>
      </c>
      <c r="H1" s="29" t="s">
        <v>208</v>
      </c>
      <c r="I1" s="29" t="s">
        <v>209</v>
      </c>
      <c r="J1" s="29" t="s">
        <v>210</v>
      </c>
      <c r="K1" s="29" t="s">
        <v>211</v>
      </c>
      <c r="L1" s="29" t="s">
        <v>212</v>
      </c>
      <c r="M1" s="29" t="s">
        <v>213</v>
      </c>
      <c r="N1" s="30" t="s">
        <v>214</v>
      </c>
      <c r="O1" s="30" t="s">
        <v>51</v>
      </c>
      <c r="P1" s="30" t="s">
        <v>162</v>
      </c>
      <c r="Q1" s="30" t="s">
        <v>53</v>
      </c>
      <c r="R1" s="30" t="s">
        <v>215</v>
      </c>
      <c r="S1" s="29" t="s">
        <v>216</v>
      </c>
      <c r="T1" s="29" t="s">
        <v>217</v>
      </c>
      <c r="U1" s="30" t="s">
        <v>218</v>
      </c>
    </row>
    <row r="2" customFormat="false" ht="15" hidden="false" customHeight="false" outlineLevel="0" collapsed="false">
      <c r="A2" s="31" t="s">
        <v>219</v>
      </c>
      <c r="B2" s="32" t="n">
        <v>46311</v>
      </c>
      <c r="C2" s="31" t="s">
        <v>174</v>
      </c>
      <c r="D2" s="37" t="str">
        <f aca="false">IF(C2="","",IFERROR(INDEX(Inbound!$E$2:$E$501,MATCH(C2,Inbound!$A$2:$A$501,0)),IFERROR(INDEX(Outbound!$D$2:$D$501,MATCH(C2,Outbound!$A$2:$A$501,0)),"Lead ID not found")))</f>
        <v>Pulse Fitness Club (EXAMPLE)</v>
      </c>
      <c r="E2" s="37" t="str">
        <f aca="false">IF(C2="","",IFERROR(INDEX(Inbound!$F$2:$F$501,MATCH(C2,Inbound!$A$2:$A$501,0)),IFERROR(INDEX(Outbound!$E$2:$E$501,MATCH(C2,Outbound!$A$2:$A$501,0)),"Lead ID not found")))</f>
        <v>Fitness / wellness</v>
      </c>
      <c r="F2" s="31" t="s">
        <v>58</v>
      </c>
      <c r="G2" s="31" t="s">
        <v>220</v>
      </c>
      <c r="H2" s="31" t="s">
        <v>221</v>
      </c>
      <c r="I2" s="31" t="s">
        <v>221</v>
      </c>
      <c r="J2" s="31" t="s">
        <v>221</v>
      </c>
      <c r="K2" s="31" t="s">
        <v>221</v>
      </c>
      <c r="L2" s="31" t="s">
        <v>222</v>
      </c>
      <c r="M2" s="31" t="s">
        <v>223</v>
      </c>
      <c r="N2" s="37" t="n">
        <f aca="false">IF(C2="","",COUNTA(H2:M2))</f>
        <v>6</v>
      </c>
      <c r="O2" s="37" t="n">
        <f aca="false">IF(OR(C2="",N(N2)=0),"",SUMIFS(Settings!$AA$2:$AA$21,Settings!$Y$2:$Y$21,"Budget AED 5k+/mo?",Settings!$Z$2:$Z$21,H2)+SUMIFS(Settings!$AA$2:$AA$21,Settings!$Y$2:$Y$21,"Decision-maker?",Settings!$Z$2:$Z$21,I2)+SUMIFS(Settings!$AA$2:$AA$21,Settings!$Y$2:$Y$21,"Someone on camera?",Settings!$Z$2:$Z$21,J2)+SUMIFS(Settings!$AA$2:$AA$21,Settings!$Y$2:$Y$21,"OK with 3-month term?",Settings!$Z$2:$Z$21,K2)+SUMIFS(Settings!$AA$2:$AA$21,Settings!$Y$2:$Y$21,"Start timeline",Settings!$Z$2:$Z$21,L2)+SUMIFS(Settings!$AA$2:$AA$21,Settings!$Y$2:$Y$21,"Social media gap",Settings!$Z$2:$Z$21,M2)+IF(OR(E2="",E2="Lead ID not found"),0,IF(COUNTIF(Settings!$AC$2:$AC$6,E2)&gt;0,Settings!$AA$20,Settings!$AA$21)))</f>
        <v>100</v>
      </c>
      <c r="P2" s="36" t="str">
        <f aca="false">IF(C2="","",IF(N(N2)&lt;6,"Partly scored ("&amp;N2&amp;"/6)",IF(O2&gt;=Settings!$S$8,"Hot",IF(O2&gt;=Settings!$S$9,"Warm","Cold"))))</f>
        <v>Hot</v>
      </c>
      <c r="Q2" s="37" t="str">
        <f aca="false">IF(C2="","",IF(AND(H2="No",J2="No"),"🚩 Budget  ·  🚩 No one on camera",IF(H2="No","🚩 Budget under AED 5k",IF(J2="No","🚩 No one on camera",""))))</f>
        <v/>
      </c>
      <c r="R2" s="37" t="str">
        <f aca="false">IF(C2="","",IF(N(N2)&lt;6,"Finish the scoresheet before closing",IF(P2="Hot","Close now – send the contract / proposal today",IF(P2="Warm","Send proposal + a relevant result; follow up in 3 days","Rep's call – nurture or close politely")))&amp;IF(Q2&lt;&gt;""," (handle the 🚩 first)",""))</f>
        <v>Close now – send the contract / proposal today</v>
      </c>
      <c r="S2" s="31" t="s">
        <v>184</v>
      </c>
      <c r="T2" s="31" t="s">
        <v>224</v>
      </c>
      <c r="U2" s="37" t="n">
        <f aca="false">IF(C2="","",IF(COUNTIF(C3:C$501,C2)=0,1,0))</f>
        <v>1</v>
      </c>
    </row>
    <row r="3" customFormat="false" ht="15" hidden="false" customHeight="false" outlineLevel="0" collapsed="false">
      <c r="A3" s="31" t="s">
        <v>225</v>
      </c>
      <c r="B3" s="32" t="n">
        <v>46312</v>
      </c>
      <c r="C3" s="31" t="s">
        <v>190</v>
      </c>
      <c r="D3" s="37" t="str">
        <f aca="false">IF(C3="","",IFERROR(INDEX(Inbound!$E$2:$E$501,MATCH(C3,Inbound!$A$2:$A$501,0)),IFERROR(INDEX(Outbound!$D$2:$D$501,MATCH(C3,Outbound!$A$2:$A$501,0)),"Lead ID not found")))</f>
        <v>Marina Bites Café (EXAMPLE)</v>
      </c>
      <c r="E3" s="37" t="str">
        <f aca="false">IF(C3="","",IFERROR(INDEX(Inbound!$F$2:$F$501,MATCH(C3,Inbound!$A$2:$A$501,0)),IFERROR(INDEX(Outbound!$E$2:$E$501,MATCH(C3,Outbound!$A$2:$A$501,0)),"Lead ID not found")))</f>
        <v>Hospitality / F&amp;B</v>
      </c>
      <c r="F3" s="31" t="s">
        <v>58</v>
      </c>
      <c r="G3" s="31" t="s">
        <v>220</v>
      </c>
      <c r="H3" s="31" t="s">
        <v>226</v>
      </c>
      <c r="I3" s="31" t="s">
        <v>227</v>
      </c>
      <c r="J3" s="31" t="s">
        <v>228</v>
      </c>
      <c r="K3" s="31" t="s">
        <v>229</v>
      </c>
      <c r="L3" s="31" t="s">
        <v>230</v>
      </c>
      <c r="M3" s="31" t="s">
        <v>231</v>
      </c>
      <c r="N3" s="37" t="n">
        <f aca="false">IF(C3="","",COUNTA(H3:M3))</f>
        <v>6</v>
      </c>
      <c r="O3" s="37" t="n">
        <f aca="false">IF(OR(C3="",N(N3)=0),"",SUMIFS(Settings!$AA$2:$AA$21,Settings!$Y$2:$Y$21,"Budget AED 5k+/mo?",Settings!$Z$2:$Z$21,H3)+SUMIFS(Settings!$AA$2:$AA$21,Settings!$Y$2:$Y$21,"Decision-maker?",Settings!$Z$2:$Z$21,I3)+SUMIFS(Settings!$AA$2:$AA$21,Settings!$Y$2:$Y$21,"Someone on camera?",Settings!$Z$2:$Z$21,J3)+SUMIFS(Settings!$AA$2:$AA$21,Settings!$Y$2:$Y$21,"OK with 3-month term?",Settings!$Z$2:$Z$21,K3)+SUMIFS(Settings!$AA$2:$AA$21,Settings!$Y$2:$Y$21,"Start timeline",Settings!$Z$2:$Z$21,L3)+SUMIFS(Settings!$AA$2:$AA$21,Settings!$Y$2:$Y$21,"Social media gap",Settings!$Z$2:$Z$21,M3)+IF(OR(E3="",E3="Lead ID not found"),0,IF(COUNTIF(Settings!$AC$2:$AC$6,E3)&gt;0,Settings!$AA$20,Settings!$AA$21)))</f>
        <v>46</v>
      </c>
      <c r="P3" s="36" t="str">
        <f aca="false">IF(C3="","",IF(N(N3)&lt;6,"Partly scored ("&amp;N3&amp;"/6)",IF(O3&gt;=Settings!$S$8,"Hot",IF(O3&gt;=Settings!$S$9,"Warm","Cold"))))</f>
        <v>Warm</v>
      </c>
      <c r="Q3" s="37" t="str">
        <f aca="false">IF(C3="","",IF(AND(H3="No",J3="No"),"🚩 Budget  ·  🚩 No one on camera",IF(H3="No","🚩 Budget under AED 5k",IF(J3="No","🚩 No one on camera",""))))</f>
        <v>🚩 No one on camera</v>
      </c>
      <c r="R3" s="37" t="str">
        <f aca="false">IF(C3="","",IF(N(N3)&lt;6,"Finish the scoresheet before closing",IF(P3="Hot","Close now – send the contract / proposal today",IF(P3="Warm","Send proposal + a relevant result; follow up in 3 days","Rep's call – nurture or close politely")))&amp;IF(Q3&lt;&gt;""," (handle the 🚩 first)",""))</f>
        <v>Send proposal + a relevant result; follow up in 3 days (handle the 🚩 first)</v>
      </c>
      <c r="S3" s="31" t="s">
        <v>232</v>
      </c>
      <c r="T3" s="31" t="s">
        <v>233</v>
      </c>
      <c r="U3" s="37" t="n">
        <f aca="false">IF(C3="","",IF(COUNTIF(C4:C$501,C3)=0,1,0))</f>
        <v>1</v>
      </c>
    </row>
    <row r="4" customFormat="false" ht="15" hidden="false" customHeight="false" outlineLevel="0" collapsed="false">
      <c r="A4" s="17"/>
      <c r="B4" s="40"/>
      <c r="C4" s="17"/>
      <c r="D4" s="44" t="str">
        <f aca="false">IF(C4="","",IFERROR(INDEX(Inbound!$E$2:$E$501,MATCH(C4,Inbound!$A$2:$A$501,0)),IFERROR(INDEX(Outbound!$D$2:$D$501,MATCH(C4,Outbound!$A$2:$A$501,0)),"Lead ID not found")))</f>
        <v/>
      </c>
      <c r="E4" s="44" t="str">
        <f aca="false">IF(C4="","",IFERROR(INDEX(Inbound!$F$2:$F$501,MATCH(C4,Inbound!$A$2:$A$501,0)),IFERROR(INDEX(Outbound!$E$2:$E$501,MATCH(C4,Outbound!$A$2:$A$501,0)),"Lead ID not found")))</f>
        <v/>
      </c>
      <c r="F4" s="17"/>
      <c r="G4" s="17"/>
      <c r="H4" s="17"/>
      <c r="I4" s="17"/>
      <c r="J4" s="17"/>
      <c r="K4" s="17"/>
      <c r="L4" s="17"/>
      <c r="M4" s="17"/>
      <c r="N4" s="44" t="str">
        <f aca="false">IF(C4="","",COUNTA(H4:M4))</f>
        <v/>
      </c>
      <c r="O4" s="44" t="str">
        <f aca="false">IF(OR(C4="",N(N4)=0),"",SUMIFS(Settings!$AA$2:$AA$21,Settings!$Y$2:$Y$21,"Budget AED 5k+/mo?",Settings!$Z$2:$Z$21,H4)+SUMIFS(Settings!$AA$2:$AA$21,Settings!$Y$2:$Y$21,"Decision-maker?",Settings!$Z$2:$Z$21,I4)+SUMIFS(Settings!$AA$2:$AA$21,Settings!$Y$2:$Y$21,"Someone on camera?",Settings!$Z$2:$Z$21,J4)+SUMIFS(Settings!$AA$2:$AA$21,Settings!$Y$2:$Y$21,"OK with 3-month term?",Settings!$Z$2:$Z$21,K4)+SUMIFS(Settings!$AA$2:$AA$21,Settings!$Y$2:$Y$21,"Start timeline",Settings!$Z$2:$Z$21,L4)+SUMIFS(Settings!$AA$2:$AA$21,Settings!$Y$2:$Y$21,"Social media gap",Settings!$Z$2:$Z$21,M4)+IF(OR(E4="",E4="Lead ID not found"),0,IF(COUNTIF(Settings!$AC$2:$AC$6,E4)&gt;0,Settings!$AA$20,Settings!$AA$21)))</f>
        <v/>
      </c>
      <c r="P4" s="44" t="str">
        <f aca="false">IF(C4="","",IF(N(N4)&lt;6,"Partly scored ("&amp;N4&amp;"/6)",IF(O4&gt;=Settings!$S$8,"Hot",IF(O4&gt;=Settings!$S$9,"Warm","Cold"))))</f>
        <v/>
      </c>
      <c r="Q4" s="44" t="str">
        <f aca="false">IF(C4="","",IF(AND(H4="No",J4="No"),"🚩 Budget  ·  🚩 No one on camera",IF(H4="No","🚩 Budget under AED 5k",IF(J4="No","🚩 No one on camera",""))))</f>
        <v/>
      </c>
      <c r="R4" s="44" t="str">
        <f aca="false">IF(C4="","",IF(N(N4)&lt;6,"Finish the scoresheet before closing",IF(P4="Hot","Close now – send the contract / proposal today",IF(P4="Warm","Send proposal + a relevant result; follow up in 3 days","Rep's call – nurture or close politely")))&amp;IF(Q4&lt;&gt;""," (handle the 🚩 first)",""))</f>
        <v/>
      </c>
      <c r="S4" s="17"/>
      <c r="T4" s="17"/>
      <c r="U4" s="44" t="str">
        <f aca="false">IF(C4="","",IF(COUNTIF(C5:C$501,C4)=0,1,0))</f>
        <v/>
      </c>
    </row>
    <row r="5" customFormat="false" ht="15" hidden="false" customHeight="false" outlineLevel="0" collapsed="false">
      <c r="A5" s="17"/>
      <c r="B5" s="40"/>
      <c r="C5" s="17"/>
      <c r="D5" s="44" t="str">
        <f aca="false">IF(C5="","",IFERROR(INDEX(Inbound!$E$2:$E$501,MATCH(C5,Inbound!$A$2:$A$501,0)),IFERROR(INDEX(Outbound!$D$2:$D$501,MATCH(C5,Outbound!$A$2:$A$501,0)),"Lead ID not found")))</f>
        <v/>
      </c>
      <c r="E5" s="44" t="str">
        <f aca="false">IF(C5="","",IFERROR(INDEX(Inbound!$F$2:$F$501,MATCH(C5,Inbound!$A$2:$A$501,0)),IFERROR(INDEX(Outbound!$E$2:$E$501,MATCH(C5,Outbound!$A$2:$A$501,0)),"Lead ID not found")))</f>
        <v/>
      </c>
      <c r="F5" s="17"/>
      <c r="G5" s="17"/>
      <c r="H5" s="17"/>
      <c r="I5" s="17"/>
      <c r="J5" s="17"/>
      <c r="K5" s="17"/>
      <c r="L5" s="17"/>
      <c r="M5" s="17"/>
      <c r="N5" s="44" t="str">
        <f aca="false">IF(C5="","",COUNTA(H5:M5))</f>
        <v/>
      </c>
      <c r="O5" s="44" t="str">
        <f aca="false">IF(OR(C5="",N(N5)=0),"",SUMIFS(Settings!$AA$2:$AA$21,Settings!$Y$2:$Y$21,"Budget AED 5k+/mo?",Settings!$Z$2:$Z$21,H5)+SUMIFS(Settings!$AA$2:$AA$21,Settings!$Y$2:$Y$21,"Decision-maker?",Settings!$Z$2:$Z$21,I5)+SUMIFS(Settings!$AA$2:$AA$21,Settings!$Y$2:$Y$21,"Someone on camera?",Settings!$Z$2:$Z$21,J5)+SUMIFS(Settings!$AA$2:$AA$21,Settings!$Y$2:$Y$21,"OK with 3-month term?",Settings!$Z$2:$Z$21,K5)+SUMIFS(Settings!$AA$2:$AA$21,Settings!$Y$2:$Y$21,"Start timeline",Settings!$Z$2:$Z$21,L5)+SUMIFS(Settings!$AA$2:$AA$21,Settings!$Y$2:$Y$21,"Social media gap",Settings!$Z$2:$Z$21,M5)+IF(OR(E5="",E5="Lead ID not found"),0,IF(COUNTIF(Settings!$AC$2:$AC$6,E5)&gt;0,Settings!$AA$20,Settings!$AA$21)))</f>
        <v/>
      </c>
      <c r="P5" s="44" t="str">
        <f aca="false">IF(C5="","",IF(N(N5)&lt;6,"Partly scored ("&amp;N5&amp;"/6)",IF(O5&gt;=Settings!$S$8,"Hot",IF(O5&gt;=Settings!$S$9,"Warm","Cold"))))</f>
        <v/>
      </c>
      <c r="Q5" s="44" t="str">
        <f aca="false">IF(C5="","",IF(AND(H5="No",J5="No"),"🚩 Budget  ·  🚩 No one on camera",IF(H5="No","🚩 Budget under AED 5k",IF(J5="No","🚩 No one on camera",""))))</f>
        <v/>
      </c>
      <c r="R5" s="44" t="str">
        <f aca="false">IF(C5="","",IF(N(N5)&lt;6,"Finish the scoresheet before closing",IF(P5="Hot","Close now – send the contract / proposal today",IF(P5="Warm","Send proposal + a relevant result; follow up in 3 days","Rep's call – nurture or close politely")))&amp;IF(Q5&lt;&gt;""," (handle the 🚩 first)",""))</f>
        <v/>
      </c>
      <c r="S5" s="17"/>
      <c r="T5" s="17"/>
      <c r="U5" s="44" t="str">
        <f aca="false">IF(C5="","",IF(COUNTIF(C6:C$501,C5)=0,1,0))</f>
        <v/>
      </c>
    </row>
    <row r="6" customFormat="false" ht="15" hidden="false" customHeight="false" outlineLevel="0" collapsed="false">
      <c r="A6" s="17"/>
      <c r="B6" s="40"/>
      <c r="C6" s="17"/>
      <c r="D6" s="44" t="str">
        <f aca="false">IF(C6="","",IFERROR(INDEX(Inbound!$E$2:$E$501,MATCH(C6,Inbound!$A$2:$A$501,0)),IFERROR(INDEX(Outbound!$D$2:$D$501,MATCH(C6,Outbound!$A$2:$A$501,0)),"Lead ID not found")))</f>
        <v/>
      </c>
      <c r="E6" s="44" t="str">
        <f aca="false">IF(C6="","",IFERROR(INDEX(Inbound!$F$2:$F$501,MATCH(C6,Inbound!$A$2:$A$501,0)),IFERROR(INDEX(Outbound!$E$2:$E$501,MATCH(C6,Outbound!$A$2:$A$501,0)),"Lead ID not found")))</f>
        <v/>
      </c>
      <c r="F6" s="17"/>
      <c r="G6" s="17"/>
      <c r="H6" s="17"/>
      <c r="I6" s="17"/>
      <c r="J6" s="17"/>
      <c r="K6" s="17"/>
      <c r="L6" s="17"/>
      <c r="M6" s="17"/>
      <c r="N6" s="44" t="str">
        <f aca="false">IF(C6="","",COUNTA(H6:M6))</f>
        <v/>
      </c>
      <c r="O6" s="44" t="str">
        <f aca="false">IF(OR(C6="",N(N6)=0),"",SUMIFS(Settings!$AA$2:$AA$21,Settings!$Y$2:$Y$21,"Budget AED 5k+/mo?",Settings!$Z$2:$Z$21,H6)+SUMIFS(Settings!$AA$2:$AA$21,Settings!$Y$2:$Y$21,"Decision-maker?",Settings!$Z$2:$Z$21,I6)+SUMIFS(Settings!$AA$2:$AA$21,Settings!$Y$2:$Y$21,"Someone on camera?",Settings!$Z$2:$Z$21,J6)+SUMIFS(Settings!$AA$2:$AA$21,Settings!$Y$2:$Y$21,"OK with 3-month term?",Settings!$Z$2:$Z$21,K6)+SUMIFS(Settings!$AA$2:$AA$21,Settings!$Y$2:$Y$21,"Start timeline",Settings!$Z$2:$Z$21,L6)+SUMIFS(Settings!$AA$2:$AA$21,Settings!$Y$2:$Y$21,"Social media gap",Settings!$Z$2:$Z$21,M6)+IF(OR(E6="",E6="Lead ID not found"),0,IF(COUNTIF(Settings!$AC$2:$AC$6,E6)&gt;0,Settings!$AA$20,Settings!$AA$21)))</f>
        <v/>
      </c>
      <c r="P6" s="44" t="str">
        <f aca="false">IF(C6="","",IF(N(N6)&lt;6,"Partly scored ("&amp;N6&amp;"/6)",IF(O6&gt;=Settings!$S$8,"Hot",IF(O6&gt;=Settings!$S$9,"Warm","Cold"))))</f>
        <v/>
      </c>
      <c r="Q6" s="44" t="str">
        <f aca="false">IF(C6="","",IF(AND(H6="No",J6="No"),"🚩 Budget  ·  🚩 No one on camera",IF(H6="No","🚩 Budget under AED 5k",IF(J6="No","🚩 No one on camera",""))))</f>
        <v/>
      </c>
      <c r="R6" s="44" t="str">
        <f aca="false">IF(C6="","",IF(N(N6)&lt;6,"Finish the scoresheet before closing",IF(P6="Hot","Close now – send the contract / proposal today",IF(P6="Warm","Send proposal + a relevant result; follow up in 3 days","Rep's call – nurture or close politely")))&amp;IF(Q6&lt;&gt;""," (handle the 🚩 first)",""))</f>
        <v/>
      </c>
      <c r="S6" s="17"/>
      <c r="T6" s="17"/>
      <c r="U6" s="44" t="str">
        <f aca="false">IF(C6="","",IF(COUNTIF(C7:C$501,C6)=0,1,0))</f>
        <v/>
      </c>
    </row>
    <row r="7" customFormat="false" ht="15" hidden="false" customHeight="false" outlineLevel="0" collapsed="false">
      <c r="A7" s="17"/>
      <c r="B7" s="40"/>
      <c r="C7" s="17"/>
      <c r="D7" s="44" t="str">
        <f aca="false">IF(C7="","",IFERROR(INDEX(Inbound!$E$2:$E$501,MATCH(C7,Inbound!$A$2:$A$501,0)),IFERROR(INDEX(Outbound!$D$2:$D$501,MATCH(C7,Outbound!$A$2:$A$501,0)),"Lead ID not found")))</f>
        <v/>
      </c>
      <c r="E7" s="44" t="str">
        <f aca="false">IF(C7="","",IFERROR(INDEX(Inbound!$F$2:$F$501,MATCH(C7,Inbound!$A$2:$A$501,0)),IFERROR(INDEX(Outbound!$E$2:$E$501,MATCH(C7,Outbound!$A$2:$A$501,0)),"Lead ID not found")))</f>
        <v/>
      </c>
      <c r="F7" s="17"/>
      <c r="G7" s="17"/>
      <c r="H7" s="17"/>
      <c r="I7" s="17"/>
      <c r="J7" s="17"/>
      <c r="K7" s="17"/>
      <c r="L7" s="17"/>
      <c r="M7" s="17"/>
      <c r="N7" s="44" t="str">
        <f aca="false">IF(C7="","",COUNTA(H7:M7))</f>
        <v/>
      </c>
      <c r="O7" s="44" t="str">
        <f aca="false">IF(OR(C7="",N(N7)=0),"",SUMIFS(Settings!$AA$2:$AA$21,Settings!$Y$2:$Y$21,"Budget AED 5k+/mo?",Settings!$Z$2:$Z$21,H7)+SUMIFS(Settings!$AA$2:$AA$21,Settings!$Y$2:$Y$21,"Decision-maker?",Settings!$Z$2:$Z$21,I7)+SUMIFS(Settings!$AA$2:$AA$21,Settings!$Y$2:$Y$21,"Someone on camera?",Settings!$Z$2:$Z$21,J7)+SUMIFS(Settings!$AA$2:$AA$21,Settings!$Y$2:$Y$21,"OK with 3-month term?",Settings!$Z$2:$Z$21,K7)+SUMIFS(Settings!$AA$2:$AA$21,Settings!$Y$2:$Y$21,"Start timeline",Settings!$Z$2:$Z$21,L7)+SUMIFS(Settings!$AA$2:$AA$21,Settings!$Y$2:$Y$21,"Social media gap",Settings!$Z$2:$Z$21,M7)+IF(OR(E7="",E7="Lead ID not found"),0,IF(COUNTIF(Settings!$AC$2:$AC$6,E7)&gt;0,Settings!$AA$20,Settings!$AA$21)))</f>
        <v/>
      </c>
      <c r="P7" s="44" t="str">
        <f aca="false">IF(C7="","",IF(N(N7)&lt;6,"Partly scored ("&amp;N7&amp;"/6)",IF(O7&gt;=Settings!$S$8,"Hot",IF(O7&gt;=Settings!$S$9,"Warm","Cold"))))</f>
        <v/>
      </c>
      <c r="Q7" s="44" t="str">
        <f aca="false">IF(C7="","",IF(AND(H7="No",J7="No"),"🚩 Budget  ·  🚩 No one on camera",IF(H7="No","🚩 Budget under AED 5k",IF(J7="No","🚩 No one on camera",""))))</f>
        <v/>
      </c>
      <c r="R7" s="44" t="str">
        <f aca="false">IF(C7="","",IF(N(N7)&lt;6,"Finish the scoresheet before closing",IF(P7="Hot","Close now – send the contract / proposal today",IF(P7="Warm","Send proposal + a relevant result; follow up in 3 days","Rep's call – nurture or close politely")))&amp;IF(Q7&lt;&gt;""," (handle the 🚩 first)",""))</f>
        <v/>
      </c>
      <c r="S7" s="17"/>
      <c r="T7" s="17"/>
      <c r="U7" s="44" t="str">
        <f aca="false">IF(C7="","",IF(COUNTIF(C8:C$501,C7)=0,1,0))</f>
        <v/>
      </c>
    </row>
    <row r="8" customFormat="false" ht="15" hidden="false" customHeight="false" outlineLevel="0" collapsed="false">
      <c r="A8" s="17"/>
      <c r="B8" s="40"/>
      <c r="C8" s="17"/>
      <c r="D8" s="44" t="str">
        <f aca="false">IF(C8="","",IFERROR(INDEX(Inbound!$E$2:$E$501,MATCH(C8,Inbound!$A$2:$A$501,0)),IFERROR(INDEX(Outbound!$D$2:$D$501,MATCH(C8,Outbound!$A$2:$A$501,0)),"Lead ID not found")))</f>
        <v/>
      </c>
      <c r="E8" s="44" t="str">
        <f aca="false">IF(C8="","",IFERROR(INDEX(Inbound!$F$2:$F$501,MATCH(C8,Inbound!$A$2:$A$501,0)),IFERROR(INDEX(Outbound!$E$2:$E$501,MATCH(C8,Outbound!$A$2:$A$501,0)),"Lead ID not found")))</f>
        <v/>
      </c>
      <c r="F8" s="17"/>
      <c r="G8" s="17"/>
      <c r="H8" s="17"/>
      <c r="I8" s="17"/>
      <c r="J8" s="17"/>
      <c r="K8" s="17"/>
      <c r="L8" s="17"/>
      <c r="M8" s="17"/>
      <c r="N8" s="44" t="str">
        <f aca="false">IF(C8="","",COUNTA(H8:M8))</f>
        <v/>
      </c>
      <c r="O8" s="44" t="str">
        <f aca="false">IF(OR(C8="",N(N8)=0),"",SUMIFS(Settings!$AA$2:$AA$21,Settings!$Y$2:$Y$21,"Budget AED 5k+/mo?",Settings!$Z$2:$Z$21,H8)+SUMIFS(Settings!$AA$2:$AA$21,Settings!$Y$2:$Y$21,"Decision-maker?",Settings!$Z$2:$Z$21,I8)+SUMIFS(Settings!$AA$2:$AA$21,Settings!$Y$2:$Y$21,"Someone on camera?",Settings!$Z$2:$Z$21,J8)+SUMIFS(Settings!$AA$2:$AA$21,Settings!$Y$2:$Y$21,"OK with 3-month term?",Settings!$Z$2:$Z$21,K8)+SUMIFS(Settings!$AA$2:$AA$21,Settings!$Y$2:$Y$21,"Start timeline",Settings!$Z$2:$Z$21,L8)+SUMIFS(Settings!$AA$2:$AA$21,Settings!$Y$2:$Y$21,"Social media gap",Settings!$Z$2:$Z$21,M8)+IF(OR(E8="",E8="Lead ID not found"),0,IF(COUNTIF(Settings!$AC$2:$AC$6,E8)&gt;0,Settings!$AA$20,Settings!$AA$21)))</f>
        <v/>
      </c>
      <c r="P8" s="44" t="str">
        <f aca="false">IF(C8="","",IF(N(N8)&lt;6,"Partly scored ("&amp;N8&amp;"/6)",IF(O8&gt;=Settings!$S$8,"Hot",IF(O8&gt;=Settings!$S$9,"Warm","Cold"))))</f>
        <v/>
      </c>
      <c r="Q8" s="44" t="str">
        <f aca="false">IF(C8="","",IF(AND(H8="No",J8="No"),"🚩 Budget  ·  🚩 No one on camera",IF(H8="No","🚩 Budget under AED 5k",IF(J8="No","🚩 No one on camera",""))))</f>
        <v/>
      </c>
      <c r="R8" s="44" t="str">
        <f aca="false">IF(C8="","",IF(N(N8)&lt;6,"Finish the scoresheet before closing",IF(P8="Hot","Close now – send the contract / proposal today",IF(P8="Warm","Send proposal + a relevant result; follow up in 3 days","Rep's call – nurture or close politely")))&amp;IF(Q8&lt;&gt;""," (handle the 🚩 first)",""))</f>
        <v/>
      </c>
      <c r="S8" s="17"/>
      <c r="T8" s="17"/>
      <c r="U8" s="44" t="str">
        <f aca="false">IF(C8="","",IF(COUNTIF(C9:C$501,C8)=0,1,0))</f>
        <v/>
      </c>
    </row>
    <row r="9" customFormat="false" ht="15" hidden="false" customHeight="false" outlineLevel="0" collapsed="false">
      <c r="A9" s="17"/>
      <c r="B9" s="40"/>
      <c r="C9" s="17"/>
      <c r="D9" s="44" t="str">
        <f aca="false">IF(C9="","",IFERROR(INDEX(Inbound!$E$2:$E$501,MATCH(C9,Inbound!$A$2:$A$501,0)),IFERROR(INDEX(Outbound!$D$2:$D$501,MATCH(C9,Outbound!$A$2:$A$501,0)),"Lead ID not found")))</f>
        <v/>
      </c>
      <c r="E9" s="44" t="str">
        <f aca="false">IF(C9="","",IFERROR(INDEX(Inbound!$F$2:$F$501,MATCH(C9,Inbound!$A$2:$A$501,0)),IFERROR(INDEX(Outbound!$E$2:$E$501,MATCH(C9,Outbound!$A$2:$A$501,0)),"Lead ID not found")))</f>
        <v/>
      </c>
      <c r="F9" s="17"/>
      <c r="G9" s="17"/>
      <c r="H9" s="17"/>
      <c r="I9" s="17"/>
      <c r="J9" s="17"/>
      <c r="K9" s="17"/>
      <c r="L9" s="17"/>
      <c r="M9" s="17"/>
      <c r="N9" s="44" t="str">
        <f aca="false">IF(C9="","",COUNTA(H9:M9))</f>
        <v/>
      </c>
      <c r="O9" s="44" t="str">
        <f aca="false">IF(OR(C9="",N(N9)=0),"",SUMIFS(Settings!$AA$2:$AA$21,Settings!$Y$2:$Y$21,"Budget AED 5k+/mo?",Settings!$Z$2:$Z$21,H9)+SUMIFS(Settings!$AA$2:$AA$21,Settings!$Y$2:$Y$21,"Decision-maker?",Settings!$Z$2:$Z$21,I9)+SUMIFS(Settings!$AA$2:$AA$21,Settings!$Y$2:$Y$21,"Someone on camera?",Settings!$Z$2:$Z$21,J9)+SUMIFS(Settings!$AA$2:$AA$21,Settings!$Y$2:$Y$21,"OK with 3-month term?",Settings!$Z$2:$Z$21,K9)+SUMIFS(Settings!$AA$2:$AA$21,Settings!$Y$2:$Y$21,"Start timeline",Settings!$Z$2:$Z$21,L9)+SUMIFS(Settings!$AA$2:$AA$21,Settings!$Y$2:$Y$21,"Social media gap",Settings!$Z$2:$Z$21,M9)+IF(OR(E9="",E9="Lead ID not found"),0,IF(COUNTIF(Settings!$AC$2:$AC$6,E9)&gt;0,Settings!$AA$20,Settings!$AA$21)))</f>
        <v/>
      </c>
      <c r="P9" s="44" t="str">
        <f aca="false">IF(C9="","",IF(N(N9)&lt;6,"Partly scored ("&amp;N9&amp;"/6)",IF(O9&gt;=Settings!$S$8,"Hot",IF(O9&gt;=Settings!$S$9,"Warm","Cold"))))</f>
        <v/>
      </c>
      <c r="Q9" s="44" t="str">
        <f aca="false">IF(C9="","",IF(AND(H9="No",J9="No"),"🚩 Budget  ·  🚩 No one on camera",IF(H9="No","🚩 Budget under AED 5k",IF(J9="No","🚩 No one on camera",""))))</f>
        <v/>
      </c>
      <c r="R9" s="44" t="str">
        <f aca="false">IF(C9="","",IF(N(N9)&lt;6,"Finish the scoresheet before closing",IF(P9="Hot","Close now – send the contract / proposal today",IF(P9="Warm","Send proposal + a relevant result; follow up in 3 days","Rep's call – nurture or close politely")))&amp;IF(Q9&lt;&gt;""," (handle the 🚩 first)",""))</f>
        <v/>
      </c>
      <c r="S9" s="17"/>
      <c r="T9" s="17"/>
      <c r="U9" s="44" t="str">
        <f aca="false">IF(C9="","",IF(COUNTIF(C10:C$501,C9)=0,1,0))</f>
        <v/>
      </c>
    </row>
    <row r="10" customFormat="false" ht="15" hidden="false" customHeight="false" outlineLevel="0" collapsed="false">
      <c r="A10" s="17"/>
      <c r="B10" s="40"/>
      <c r="C10" s="17"/>
      <c r="D10" s="44" t="str">
        <f aca="false">IF(C10="","",IFERROR(INDEX(Inbound!$E$2:$E$501,MATCH(C10,Inbound!$A$2:$A$501,0)),IFERROR(INDEX(Outbound!$D$2:$D$501,MATCH(C10,Outbound!$A$2:$A$501,0)),"Lead ID not found")))</f>
        <v/>
      </c>
      <c r="E10" s="44" t="str">
        <f aca="false">IF(C10="","",IFERROR(INDEX(Inbound!$F$2:$F$501,MATCH(C10,Inbound!$A$2:$A$501,0)),IFERROR(INDEX(Outbound!$E$2:$E$501,MATCH(C10,Outbound!$A$2:$A$501,0)),"Lead ID not found")))</f>
        <v/>
      </c>
      <c r="F10" s="17"/>
      <c r="G10" s="17"/>
      <c r="H10" s="17"/>
      <c r="I10" s="17"/>
      <c r="J10" s="17"/>
      <c r="K10" s="17"/>
      <c r="L10" s="17"/>
      <c r="M10" s="17"/>
      <c r="N10" s="44" t="str">
        <f aca="false">IF(C10="","",COUNTA(H10:M10))</f>
        <v/>
      </c>
      <c r="O10" s="44" t="str">
        <f aca="false">IF(OR(C10="",N(N10)=0),"",SUMIFS(Settings!$AA$2:$AA$21,Settings!$Y$2:$Y$21,"Budget AED 5k+/mo?",Settings!$Z$2:$Z$21,H10)+SUMIFS(Settings!$AA$2:$AA$21,Settings!$Y$2:$Y$21,"Decision-maker?",Settings!$Z$2:$Z$21,I10)+SUMIFS(Settings!$AA$2:$AA$21,Settings!$Y$2:$Y$21,"Someone on camera?",Settings!$Z$2:$Z$21,J10)+SUMIFS(Settings!$AA$2:$AA$21,Settings!$Y$2:$Y$21,"OK with 3-month term?",Settings!$Z$2:$Z$21,K10)+SUMIFS(Settings!$AA$2:$AA$21,Settings!$Y$2:$Y$21,"Start timeline",Settings!$Z$2:$Z$21,L10)+SUMIFS(Settings!$AA$2:$AA$21,Settings!$Y$2:$Y$21,"Social media gap",Settings!$Z$2:$Z$21,M10)+IF(OR(E10="",E10="Lead ID not found"),0,IF(COUNTIF(Settings!$AC$2:$AC$6,E10)&gt;0,Settings!$AA$20,Settings!$AA$21)))</f>
        <v/>
      </c>
      <c r="P10" s="44" t="str">
        <f aca="false">IF(C10="","",IF(N(N10)&lt;6,"Partly scored ("&amp;N10&amp;"/6)",IF(O10&gt;=Settings!$S$8,"Hot",IF(O10&gt;=Settings!$S$9,"Warm","Cold"))))</f>
        <v/>
      </c>
      <c r="Q10" s="44" t="str">
        <f aca="false">IF(C10="","",IF(AND(H10="No",J10="No"),"🚩 Budget  ·  🚩 No one on camera",IF(H10="No","🚩 Budget under AED 5k",IF(J10="No","🚩 No one on camera",""))))</f>
        <v/>
      </c>
      <c r="R10" s="44" t="str">
        <f aca="false">IF(C10="","",IF(N(N10)&lt;6,"Finish the scoresheet before closing",IF(P10="Hot","Close now – send the contract / proposal today",IF(P10="Warm","Send proposal + a relevant result; follow up in 3 days","Rep's call – nurture or close politely")))&amp;IF(Q10&lt;&gt;""," (handle the 🚩 first)",""))</f>
        <v/>
      </c>
      <c r="S10" s="17"/>
      <c r="T10" s="17"/>
      <c r="U10" s="44" t="str">
        <f aca="false">IF(C10="","",IF(COUNTIF(C11:C$501,C10)=0,1,0))</f>
        <v/>
      </c>
    </row>
    <row r="11" customFormat="false" ht="15" hidden="false" customHeight="false" outlineLevel="0" collapsed="false">
      <c r="A11" s="17"/>
      <c r="B11" s="40"/>
      <c r="C11" s="17"/>
      <c r="D11" s="44" t="str">
        <f aca="false">IF(C11="","",IFERROR(INDEX(Inbound!$E$2:$E$501,MATCH(C11,Inbound!$A$2:$A$501,0)),IFERROR(INDEX(Outbound!$D$2:$D$501,MATCH(C11,Outbound!$A$2:$A$501,0)),"Lead ID not found")))</f>
        <v/>
      </c>
      <c r="E11" s="44" t="str">
        <f aca="false">IF(C11="","",IFERROR(INDEX(Inbound!$F$2:$F$501,MATCH(C11,Inbound!$A$2:$A$501,0)),IFERROR(INDEX(Outbound!$E$2:$E$501,MATCH(C11,Outbound!$A$2:$A$501,0)),"Lead ID not found")))</f>
        <v/>
      </c>
      <c r="F11" s="17"/>
      <c r="G11" s="17"/>
      <c r="H11" s="17"/>
      <c r="I11" s="17"/>
      <c r="J11" s="17"/>
      <c r="K11" s="17"/>
      <c r="L11" s="17"/>
      <c r="M11" s="17"/>
      <c r="N11" s="44" t="str">
        <f aca="false">IF(C11="","",COUNTA(H11:M11))</f>
        <v/>
      </c>
      <c r="O11" s="44" t="str">
        <f aca="false">IF(OR(C11="",N(N11)=0),"",SUMIFS(Settings!$AA$2:$AA$21,Settings!$Y$2:$Y$21,"Budget AED 5k+/mo?",Settings!$Z$2:$Z$21,H11)+SUMIFS(Settings!$AA$2:$AA$21,Settings!$Y$2:$Y$21,"Decision-maker?",Settings!$Z$2:$Z$21,I11)+SUMIFS(Settings!$AA$2:$AA$21,Settings!$Y$2:$Y$21,"Someone on camera?",Settings!$Z$2:$Z$21,J11)+SUMIFS(Settings!$AA$2:$AA$21,Settings!$Y$2:$Y$21,"OK with 3-month term?",Settings!$Z$2:$Z$21,K11)+SUMIFS(Settings!$AA$2:$AA$21,Settings!$Y$2:$Y$21,"Start timeline",Settings!$Z$2:$Z$21,L11)+SUMIFS(Settings!$AA$2:$AA$21,Settings!$Y$2:$Y$21,"Social media gap",Settings!$Z$2:$Z$21,M11)+IF(OR(E11="",E11="Lead ID not found"),0,IF(COUNTIF(Settings!$AC$2:$AC$6,E11)&gt;0,Settings!$AA$20,Settings!$AA$21)))</f>
        <v/>
      </c>
      <c r="P11" s="44" t="str">
        <f aca="false">IF(C11="","",IF(N(N11)&lt;6,"Partly scored ("&amp;N11&amp;"/6)",IF(O11&gt;=Settings!$S$8,"Hot",IF(O11&gt;=Settings!$S$9,"Warm","Cold"))))</f>
        <v/>
      </c>
      <c r="Q11" s="44" t="str">
        <f aca="false">IF(C11="","",IF(AND(H11="No",J11="No"),"🚩 Budget  ·  🚩 No one on camera",IF(H11="No","🚩 Budget under AED 5k",IF(J11="No","🚩 No one on camera",""))))</f>
        <v/>
      </c>
      <c r="R11" s="44" t="str">
        <f aca="false">IF(C11="","",IF(N(N11)&lt;6,"Finish the scoresheet before closing",IF(P11="Hot","Close now – send the contract / proposal today",IF(P11="Warm","Send proposal + a relevant result; follow up in 3 days","Rep's call – nurture or close politely")))&amp;IF(Q11&lt;&gt;""," (handle the 🚩 first)",""))</f>
        <v/>
      </c>
      <c r="S11" s="17"/>
      <c r="T11" s="17"/>
      <c r="U11" s="44" t="str">
        <f aca="false">IF(C11="","",IF(COUNTIF(C12:C$501,C11)=0,1,0))</f>
        <v/>
      </c>
    </row>
    <row r="12" customFormat="false" ht="15" hidden="false" customHeight="false" outlineLevel="0" collapsed="false">
      <c r="A12" s="17"/>
      <c r="B12" s="40"/>
      <c r="C12" s="17"/>
      <c r="D12" s="44" t="str">
        <f aca="false">IF(C12="","",IFERROR(INDEX(Inbound!$E$2:$E$501,MATCH(C12,Inbound!$A$2:$A$501,0)),IFERROR(INDEX(Outbound!$D$2:$D$501,MATCH(C12,Outbound!$A$2:$A$501,0)),"Lead ID not found")))</f>
        <v/>
      </c>
      <c r="E12" s="44" t="str">
        <f aca="false">IF(C12="","",IFERROR(INDEX(Inbound!$F$2:$F$501,MATCH(C12,Inbound!$A$2:$A$501,0)),IFERROR(INDEX(Outbound!$E$2:$E$501,MATCH(C12,Outbound!$A$2:$A$501,0)),"Lead ID not found")))</f>
        <v/>
      </c>
      <c r="F12" s="17"/>
      <c r="G12" s="17"/>
      <c r="H12" s="17"/>
      <c r="I12" s="17"/>
      <c r="J12" s="17"/>
      <c r="K12" s="17"/>
      <c r="L12" s="17"/>
      <c r="M12" s="17"/>
      <c r="N12" s="44" t="str">
        <f aca="false">IF(C12="","",COUNTA(H12:M12))</f>
        <v/>
      </c>
      <c r="O12" s="44" t="str">
        <f aca="false">IF(OR(C12="",N(N12)=0),"",SUMIFS(Settings!$AA$2:$AA$21,Settings!$Y$2:$Y$21,"Budget AED 5k+/mo?",Settings!$Z$2:$Z$21,H12)+SUMIFS(Settings!$AA$2:$AA$21,Settings!$Y$2:$Y$21,"Decision-maker?",Settings!$Z$2:$Z$21,I12)+SUMIFS(Settings!$AA$2:$AA$21,Settings!$Y$2:$Y$21,"Someone on camera?",Settings!$Z$2:$Z$21,J12)+SUMIFS(Settings!$AA$2:$AA$21,Settings!$Y$2:$Y$21,"OK with 3-month term?",Settings!$Z$2:$Z$21,K12)+SUMIFS(Settings!$AA$2:$AA$21,Settings!$Y$2:$Y$21,"Start timeline",Settings!$Z$2:$Z$21,L12)+SUMIFS(Settings!$AA$2:$AA$21,Settings!$Y$2:$Y$21,"Social media gap",Settings!$Z$2:$Z$21,M12)+IF(OR(E12="",E12="Lead ID not found"),0,IF(COUNTIF(Settings!$AC$2:$AC$6,E12)&gt;0,Settings!$AA$20,Settings!$AA$21)))</f>
        <v/>
      </c>
      <c r="P12" s="44" t="str">
        <f aca="false">IF(C12="","",IF(N(N12)&lt;6,"Partly scored ("&amp;N12&amp;"/6)",IF(O12&gt;=Settings!$S$8,"Hot",IF(O12&gt;=Settings!$S$9,"Warm","Cold"))))</f>
        <v/>
      </c>
      <c r="Q12" s="44" t="str">
        <f aca="false">IF(C12="","",IF(AND(H12="No",J12="No"),"🚩 Budget  ·  🚩 No one on camera",IF(H12="No","🚩 Budget under AED 5k",IF(J12="No","🚩 No one on camera",""))))</f>
        <v/>
      </c>
      <c r="R12" s="44" t="str">
        <f aca="false">IF(C12="","",IF(N(N12)&lt;6,"Finish the scoresheet before closing",IF(P12="Hot","Close now – send the contract / proposal today",IF(P12="Warm","Send proposal + a relevant result; follow up in 3 days","Rep's call – nurture or close politely")))&amp;IF(Q12&lt;&gt;""," (handle the 🚩 first)",""))</f>
        <v/>
      </c>
      <c r="S12" s="17"/>
      <c r="T12" s="17"/>
      <c r="U12" s="44" t="str">
        <f aca="false">IF(C12="","",IF(COUNTIF(C13:C$501,C12)=0,1,0))</f>
        <v/>
      </c>
    </row>
    <row r="13" customFormat="false" ht="15" hidden="false" customHeight="false" outlineLevel="0" collapsed="false">
      <c r="A13" s="17"/>
      <c r="B13" s="40"/>
      <c r="C13" s="17"/>
      <c r="D13" s="44" t="str">
        <f aca="false">IF(C13="","",IFERROR(INDEX(Inbound!$E$2:$E$501,MATCH(C13,Inbound!$A$2:$A$501,0)),IFERROR(INDEX(Outbound!$D$2:$D$501,MATCH(C13,Outbound!$A$2:$A$501,0)),"Lead ID not found")))</f>
        <v/>
      </c>
      <c r="E13" s="44" t="str">
        <f aca="false">IF(C13="","",IFERROR(INDEX(Inbound!$F$2:$F$501,MATCH(C13,Inbound!$A$2:$A$501,0)),IFERROR(INDEX(Outbound!$E$2:$E$501,MATCH(C13,Outbound!$A$2:$A$501,0)),"Lead ID not found")))</f>
        <v/>
      </c>
      <c r="F13" s="17"/>
      <c r="G13" s="17"/>
      <c r="H13" s="17"/>
      <c r="I13" s="17"/>
      <c r="J13" s="17"/>
      <c r="K13" s="17"/>
      <c r="L13" s="17"/>
      <c r="M13" s="17"/>
      <c r="N13" s="44" t="str">
        <f aca="false">IF(C13="","",COUNTA(H13:M13))</f>
        <v/>
      </c>
      <c r="O13" s="44" t="str">
        <f aca="false">IF(OR(C13="",N(N13)=0),"",SUMIFS(Settings!$AA$2:$AA$21,Settings!$Y$2:$Y$21,"Budget AED 5k+/mo?",Settings!$Z$2:$Z$21,H13)+SUMIFS(Settings!$AA$2:$AA$21,Settings!$Y$2:$Y$21,"Decision-maker?",Settings!$Z$2:$Z$21,I13)+SUMIFS(Settings!$AA$2:$AA$21,Settings!$Y$2:$Y$21,"Someone on camera?",Settings!$Z$2:$Z$21,J13)+SUMIFS(Settings!$AA$2:$AA$21,Settings!$Y$2:$Y$21,"OK with 3-month term?",Settings!$Z$2:$Z$21,K13)+SUMIFS(Settings!$AA$2:$AA$21,Settings!$Y$2:$Y$21,"Start timeline",Settings!$Z$2:$Z$21,L13)+SUMIFS(Settings!$AA$2:$AA$21,Settings!$Y$2:$Y$21,"Social media gap",Settings!$Z$2:$Z$21,M13)+IF(OR(E13="",E13="Lead ID not found"),0,IF(COUNTIF(Settings!$AC$2:$AC$6,E13)&gt;0,Settings!$AA$20,Settings!$AA$21)))</f>
        <v/>
      </c>
      <c r="P13" s="44" t="str">
        <f aca="false">IF(C13="","",IF(N(N13)&lt;6,"Partly scored ("&amp;N13&amp;"/6)",IF(O13&gt;=Settings!$S$8,"Hot",IF(O13&gt;=Settings!$S$9,"Warm","Cold"))))</f>
        <v/>
      </c>
      <c r="Q13" s="44" t="str">
        <f aca="false">IF(C13="","",IF(AND(H13="No",J13="No"),"🚩 Budget  ·  🚩 No one on camera",IF(H13="No","🚩 Budget under AED 5k",IF(J13="No","🚩 No one on camera",""))))</f>
        <v/>
      </c>
      <c r="R13" s="44" t="str">
        <f aca="false">IF(C13="","",IF(N(N13)&lt;6,"Finish the scoresheet before closing",IF(P13="Hot","Close now – send the contract / proposal today",IF(P13="Warm","Send proposal + a relevant result; follow up in 3 days","Rep's call – nurture or close politely")))&amp;IF(Q13&lt;&gt;""," (handle the 🚩 first)",""))</f>
        <v/>
      </c>
      <c r="S13" s="17"/>
      <c r="T13" s="17"/>
      <c r="U13" s="44" t="str">
        <f aca="false">IF(C13="","",IF(COUNTIF(C14:C$501,C13)=0,1,0))</f>
        <v/>
      </c>
    </row>
    <row r="14" customFormat="false" ht="15" hidden="false" customHeight="false" outlineLevel="0" collapsed="false">
      <c r="A14" s="17"/>
      <c r="B14" s="40"/>
      <c r="C14" s="17"/>
      <c r="D14" s="44" t="str">
        <f aca="false">IF(C14="","",IFERROR(INDEX(Inbound!$E$2:$E$501,MATCH(C14,Inbound!$A$2:$A$501,0)),IFERROR(INDEX(Outbound!$D$2:$D$501,MATCH(C14,Outbound!$A$2:$A$501,0)),"Lead ID not found")))</f>
        <v/>
      </c>
      <c r="E14" s="44" t="str">
        <f aca="false">IF(C14="","",IFERROR(INDEX(Inbound!$F$2:$F$501,MATCH(C14,Inbound!$A$2:$A$501,0)),IFERROR(INDEX(Outbound!$E$2:$E$501,MATCH(C14,Outbound!$A$2:$A$501,0)),"Lead ID not found")))</f>
        <v/>
      </c>
      <c r="F14" s="17"/>
      <c r="G14" s="17"/>
      <c r="H14" s="17"/>
      <c r="I14" s="17"/>
      <c r="J14" s="17"/>
      <c r="K14" s="17"/>
      <c r="L14" s="17"/>
      <c r="M14" s="17"/>
      <c r="N14" s="44" t="str">
        <f aca="false">IF(C14="","",COUNTA(H14:M14))</f>
        <v/>
      </c>
      <c r="O14" s="44" t="str">
        <f aca="false">IF(OR(C14="",N(N14)=0),"",SUMIFS(Settings!$AA$2:$AA$21,Settings!$Y$2:$Y$21,"Budget AED 5k+/mo?",Settings!$Z$2:$Z$21,H14)+SUMIFS(Settings!$AA$2:$AA$21,Settings!$Y$2:$Y$21,"Decision-maker?",Settings!$Z$2:$Z$21,I14)+SUMIFS(Settings!$AA$2:$AA$21,Settings!$Y$2:$Y$21,"Someone on camera?",Settings!$Z$2:$Z$21,J14)+SUMIFS(Settings!$AA$2:$AA$21,Settings!$Y$2:$Y$21,"OK with 3-month term?",Settings!$Z$2:$Z$21,K14)+SUMIFS(Settings!$AA$2:$AA$21,Settings!$Y$2:$Y$21,"Start timeline",Settings!$Z$2:$Z$21,L14)+SUMIFS(Settings!$AA$2:$AA$21,Settings!$Y$2:$Y$21,"Social media gap",Settings!$Z$2:$Z$21,M14)+IF(OR(E14="",E14="Lead ID not found"),0,IF(COUNTIF(Settings!$AC$2:$AC$6,E14)&gt;0,Settings!$AA$20,Settings!$AA$21)))</f>
        <v/>
      </c>
      <c r="P14" s="44" t="str">
        <f aca="false">IF(C14="","",IF(N(N14)&lt;6,"Partly scored ("&amp;N14&amp;"/6)",IF(O14&gt;=Settings!$S$8,"Hot",IF(O14&gt;=Settings!$S$9,"Warm","Cold"))))</f>
        <v/>
      </c>
      <c r="Q14" s="44" t="str">
        <f aca="false">IF(C14="","",IF(AND(H14="No",J14="No"),"🚩 Budget  ·  🚩 No one on camera",IF(H14="No","🚩 Budget under AED 5k",IF(J14="No","🚩 No one on camera",""))))</f>
        <v/>
      </c>
      <c r="R14" s="44" t="str">
        <f aca="false">IF(C14="","",IF(N(N14)&lt;6,"Finish the scoresheet before closing",IF(P14="Hot","Close now – send the contract / proposal today",IF(P14="Warm","Send proposal + a relevant result; follow up in 3 days","Rep's call – nurture or close politely")))&amp;IF(Q14&lt;&gt;""," (handle the 🚩 first)",""))</f>
        <v/>
      </c>
      <c r="S14" s="17"/>
      <c r="T14" s="17"/>
      <c r="U14" s="44" t="str">
        <f aca="false">IF(C14="","",IF(COUNTIF(C15:C$501,C14)=0,1,0))</f>
        <v/>
      </c>
    </row>
    <row r="15" customFormat="false" ht="15" hidden="false" customHeight="false" outlineLevel="0" collapsed="false">
      <c r="A15" s="17"/>
      <c r="B15" s="40"/>
      <c r="C15" s="17"/>
      <c r="D15" s="44" t="str">
        <f aca="false">IF(C15="","",IFERROR(INDEX(Inbound!$E$2:$E$501,MATCH(C15,Inbound!$A$2:$A$501,0)),IFERROR(INDEX(Outbound!$D$2:$D$501,MATCH(C15,Outbound!$A$2:$A$501,0)),"Lead ID not found")))</f>
        <v/>
      </c>
      <c r="E15" s="44" t="str">
        <f aca="false">IF(C15="","",IFERROR(INDEX(Inbound!$F$2:$F$501,MATCH(C15,Inbound!$A$2:$A$501,0)),IFERROR(INDEX(Outbound!$E$2:$E$501,MATCH(C15,Outbound!$A$2:$A$501,0)),"Lead ID not found")))</f>
        <v/>
      </c>
      <c r="F15" s="17"/>
      <c r="G15" s="17"/>
      <c r="H15" s="17"/>
      <c r="I15" s="17"/>
      <c r="J15" s="17"/>
      <c r="K15" s="17"/>
      <c r="L15" s="17"/>
      <c r="M15" s="17"/>
      <c r="N15" s="44" t="str">
        <f aca="false">IF(C15="","",COUNTA(H15:M15))</f>
        <v/>
      </c>
      <c r="O15" s="44" t="str">
        <f aca="false">IF(OR(C15="",N(N15)=0),"",SUMIFS(Settings!$AA$2:$AA$21,Settings!$Y$2:$Y$21,"Budget AED 5k+/mo?",Settings!$Z$2:$Z$21,H15)+SUMIFS(Settings!$AA$2:$AA$21,Settings!$Y$2:$Y$21,"Decision-maker?",Settings!$Z$2:$Z$21,I15)+SUMIFS(Settings!$AA$2:$AA$21,Settings!$Y$2:$Y$21,"Someone on camera?",Settings!$Z$2:$Z$21,J15)+SUMIFS(Settings!$AA$2:$AA$21,Settings!$Y$2:$Y$21,"OK with 3-month term?",Settings!$Z$2:$Z$21,K15)+SUMIFS(Settings!$AA$2:$AA$21,Settings!$Y$2:$Y$21,"Start timeline",Settings!$Z$2:$Z$21,L15)+SUMIFS(Settings!$AA$2:$AA$21,Settings!$Y$2:$Y$21,"Social media gap",Settings!$Z$2:$Z$21,M15)+IF(OR(E15="",E15="Lead ID not found"),0,IF(COUNTIF(Settings!$AC$2:$AC$6,E15)&gt;0,Settings!$AA$20,Settings!$AA$21)))</f>
        <v/>
      </c>
      <c r="P15" s="44" t="str">
        <f aca="false">IF(C15="","",IF(N(N15)&lt;6,"Partly scored ("&amp;N15&amp;"/6)",IF(O15&gt;=Settings!$S$8,"Hot",IF(O15&gt;=Settings!$S$9,"Warm","Cold"))))</f>
        <v/>
      </c>
      <c r="Q15" s="44" t="str">
        <f aca="false">IF(C15="","",IF(AND(H15="No",J15="No"),"🚩 Budget  ·  🚩 No one on camera",IF(H15="No","🚩 Budget under AED 5k",IF(J15="No","🚩 No one on camera",""))))</f>
        <v/>
      </c>
      <c r="R15" s="44" t="str">
        <f aca="false">IF(C15="","",IF(N(N15)&lt;6,"Finish the scoresheet before closing",IF(P15="Hot","Close now – send the contract / proposal today",IF(P15="Warm","Send proposal + a relevant result; follow up in 3 days","Rep's call – nurture or close politely")))&amp;IF(Q15&lt;&gt;""," (handle the 🚩 first)",""))</f>
        <v/>
      </c>
      <c r="S15" s="17"/>
      <c r="T15" s="17"/>
      <c r="U15" s="44" t="str">
        <f aca="false">IF(C15="","",IF(COUNTIF(C16:C$501,C15)=0,1,0))</f>
        <v/>
      </c>
    </row>
    <row r="16" customFormat="false" ht="15" hidden="false" customHeight="false" outlineLevel="0" collapsed="false">
      <c r="A16" s="17"/>
      <c r="B16" s="40"/>
      <c r="C16" s="17"/>
      <c r="D16" s="44" t="str">
        <f aca="false">IF(C16="","",IFERROR(INDEX(Inbound!$E$2:$E$501,MATCH(C16,Inbound!$A$2:$A$501,0)),IFERROR(INDEX(Outbound!$D$2:$D$501,MATCH(C16,Outbound!$A$2:$A$501,0)),"Lead ID not found")))</f>
        <v/>
      </c>
      <c r="E16" s="44" t="str">
        <f aca="false">IF(C16="","",IFERROR(INDEX(Inbound!$F$2:$F$501,MATCH(C16,Inbound!$A$2:$A$501,0)),IFERROR(INDEX(Outbound!$E$2:$E$501,MATCH(C16,Outbound!$A$2:$A$501,0)),"Lead ID not found")))</f>
        <v/>
      </c>
      <c r="F16" s="17"/>
      <c r="G16" s="17"/>
      <c r="H16" s="17"/>
      <c r="I16" s="17"/>
      <c r="J16" s="17"/>
      <c r="K16" s="17"/>
      <c r="L16" s="17"/>
      <c r="M16" s="17"/>
      <c r="N16" s="44" t="str">
        <f aca="false">IF(C16="","",COUNTA(H16:M16))</f>
        <v/>
      </c>
      <c r="O16" s="44" t="str">
        <f aca="false">IF(OR(C16="",N(N16)=0),"",SUMIFS(Settings!$AA$2:$AA$21,Settings!$Y$2:$Y$21,"Budget AED 5k+/mo?",Settings!$Z$2:$Z$21,H16)+SUMIFS(Settings!$AA$2:$AA$21,Settings!$Y$2:$Y$21,"Decision-maker?",Settings!$Z$2:$Z$21,I16)+SUMIFS(Settings!$AA$2:$AA$21,Settings!$Y$2:$Y$21,"Someone on camera?",Settings!$Z$2:$Z$21,J16)+SUMIFS(Settings!$AA$2:$AA$21,Settings!$Y$2:$Y$21,"OK with 3-month term?",Settings!$Z$2:$Z$21,K16)+SUMIFS(Settings!$AA$2:$AA$21,Settings!$Y$2:$Y$21,"Start timeline",Settings!$Z$2:$Z$21,L16)+SUMIFS(Settings!$AA$2:$AA$21,Settings!$Y$2:$Y$21,"Social media gap",Settings!$Z$2:$Z$21,M16)+IF(OR(E16="",E16="Lead ID not found"),0,IF(COUNTIF(Settings!$AC$2:$AC$6,E16)&gt;0,Settings!$AA$20,Settings!$AA$21)))</f>
        <v/>
      </c>
      <c r="P16" s="44" t="str">
        <f aca="false">IF(C16="","",IF(N(N16)&lt;6,"Partly scored ("&amp;N16&amp;"/6)",IF(O16&gt;=Settings!$S$8,"Hot",IF(O16&gt;=Settings!$S$9,"Warm","Cold"))))</f>
        <v/>
      </c>
      <c r="Q16" s="44" t="str">
        <f aca="false">IF(C16="","",IF(AND(H16="No",J16="No"),"🚩 Budget  ·  🚩 No one on camera",IF(H16="No","🚩 Budget under AED 5k",IF(J16="No","🚩 No one on camera",""))))</f>
        <v/>
      </c>
      <c r="R16" s="44" t="str">
        <f aca="false">IF(C16="","",IF(N(N16)&lt;6,"Finish the scoresheet before closing",IF(P16="Hot","Close now – send the contract / proposal today",IF(P16="Warm","Send proposal + a relevant result; follow up in 3 days","Rep's call – nurture or close politely")))&amp;IF(Q16&lt;&gt;""," (handle the 🚩 first)",""))</f>
        <v/>
      </c>
      <c r="S16" s="17"/>
      <c r="T16" s="17"/>
      <c r="U16" s="44" t="str">
        <f aca="false">IF(C16="","",IF(COUNTIF(C17:C$501,C16)=0,1,0))</f>
        <v/>
      </c>
    </row>
    <row r="17" customFormat="false" ht="15" hidden="false" customHeight="false" outlineLevel="0" collapsed="false">
      <c r="A17" s="17"/>
      <c r="B17" s="40"/>
      <c r="C17" s="17"/>
      <c r="D17" s="44" t="str">
        <f aca="false">IF(C17="","",IFERROR(INDEX(Inbound!$E$2:$E$501,MATCH(C17,Inbound!$A$2:$A$501,0)),IFERROR(INDEX(Outbound!$D$2:$D$501,MATCH(C17,Outbound!$A$2:$A$501,0)),"Lead ID not found")))</f>
        <v/>
      </c>
      <c r="E17" s="44" t="str">
        <f aca="false">IF(C17="","",IFERROR(INDEX(Inbound!$F$2:$F$501,MATCH(C17,Inbound!$A$2:$A$501,0)),IFERROR(INDEX(Outbound!$E$2:$E$501,MATCH(C17,Outbound!$A$2:$A$501,0)),"Lead ID not found")))</f>
        <v/>
      </c>
      <c r="F17" s="17"/>
      <c r="G17" s="17"/>
      <c r="H17" s="17"/>
      <c r="I17" s="17"/>
      <c r="J17" s="17"/>
      <c r="K17" s="17"/>
      <c r="L17" s="17"/>
      <c r="M17" s="17"/>
      <c r="N17" s="44" t="str">
        <f aca="false">IF(C17="","",COUNTA(H17:M17))</f>
        <v/>
      </c>
      <c r="O17" s="44" t="str">
        <f aca="false">IF(OR(C17="",N(N17)=0),"",SUMIFS(Settings!$AA$2:$AA$21,Settings!$Y$2:$Y$21,"Budget AED 5k+/mo?",Settings!$Z$2:$Z$21,H17)+SUMIFS(Settings!$AA$2:$AA$21,Settings!$Y$2:$Y$21,"Decision-maker?",Settings!$Z$2:$Z$21,I17)+SUMIFS(Settings!$AA$2:$AA$21,Settings!$Y$2:$Y$21,"Someone on camera?",Settings!$Z$2:$Z$21,J17)+SUMIFS(Settings!$AA$2:$AA$21,Settings!$Y$2:$Y$21,"OK with 3-month term?",Settings!$Z$2:$Z$21,K17)+SUMIFS(Settings!$AA$2:$AA$21,Settings!$Y$2:$Y$21,"Start timeline",Settings!$Z$2:$Z$21,L17)+SUMIFS(Settings!$AA$2:$AA$21,Settings!$Y$2:$Y$21,"Social media gap",Settings!$Z$2:$Z$21,M17)+IF(OR(E17="",E17="Lead ID not found"),0,IF(COUNTIF(Settings!$AC$2:$AC$6,E17)&gt;0,Settings!$AA$20,Settings!$AA$21)))</f>
        <v/>
      </c>
      <c r="P17" s="44" t="str">
        <f aca="false">IF(C17="","",IF(N(N17)&lt;6,"Partly scored ("&amp;N17&amp;"/6)",IF(O17&gt;=Settings!$S$8,"Hot",IF(O17&gt;=Settings!$S$9,"Warm","Cold"))))</f>
        <v/>
      </c>
      <c r="Q17" s="44" t="str">
        <f aca="false">IF(C17="","",IF(AND(H17="No",J17="No"),"🚩 Budget  ·  🚩 No one on camera",IF(H17="No","🚩 Budget under AED 5k",IF(J17="No","🚩 No one on camera",""))))</f>
        <v/>
      </c>
      <c r="R17" s="44" t="str">
        <f aca="false">IF(C17="","",IF(N(N17)&lt;6,"Finish the scoresheet before closing",IF(P17="Hot","Close now – send the contract / proposal today",IF(P17="Warm","Send proposal + a relevant result; follow up in 3 days","Rep's call – nurture or close politely")))&amp;IF(Q17&lt;&gt;""," (handle the 🚩 first)",""))</f>
        <v/>
      </c>
      <c r="S17" s="17"/>
      <c r="T17" s="17"/>
      <c r="U17" s="44" t="str">
        <f aca="false">IF(C17="","",IF(COUNTIF(C18:C$501,C17)=0,1,0))</f>
        <v/>
      </c>
    </row>
    <row r="18" customFormat="false" ht="15" hidden="false" customHeight="false" outlineLevel="0" collapsed="false">
      <c r="A18" s="17"/>
      <c r="B18" s="40"/>
      <c r="C18" s="17"/>
      <c r="D18" s="44" t="str">
        <f aca="false">IF(C18="","",IFERROR(INDEX(Inbound!$E$2:$E$501,MATCH(C18,Inbound!$A$2:$A$501,0)),IFERROR(INDEX(Outbound!$D$2:$D$501,MATCH(C18,Outbound!$A$2:$A$501,0)),"Lead ID not found")))</f>
        <v/>
      </c>
      <c r="E18" s="44" t="str">
        <f aca="false">IF(C18="","",IFERROR(INDEX(Inbound!$F$2:$F$501,MATCH(C18,Inbound!$A$2:$A$501,0)),IFERROR(INDEX(Outbound!$E$2:$E$501,MATCH(C18,Outbound!$A$2:$A$501,0)),"Lead ID not found")))</f>
        <v/>
      </c>
      <c r="F18" s="17"/>
      <c r="G18" s="17"/>
      <c r="H18" s="17"/>
      <c r="I18" s="17"/>
      <c r="J18" s="17"/>
      <c r="K18" s="17"/>
      <c r="L18" s="17"/>
      <c r="M18" s="17"/>
      <c r="N18" s="44" t="str">
        <f aca="false">IF(C18="","",COUNTA(H18:M18))</f>
        <v/>
      </c>
      <c r="O18" s="44" t="str">
        <f aca="false">IF(OR(C18="",N(N18)=0),"",SUMIFS(Settings!$AA$2:$AA$21,Settings!$Y$2:$Y$21,"Budget AED 5k+/mo?",Settings!$Z$2:$Z$21,H18)+SUMIFS(Settings!$AA$2:$AA$21,Settings!$Y$2:$Y$21,"Decision-maker?",Settings!$Z$2:$Z$21,I18)+SUMIFS(Settings!$AA$2:$AA$21,Settings!$Y$2:$Y$21,"Someone on camera?",Settings!$Z$2:$Z$21,J18)+SUMIFS(Settings!$AA$2:$AA$21,Settings!$Y$2:$Y$21,"OK with 3-month term?",Settings!$Z$2:$Z$21,K18)+SUMIFS(Settings!$AA$2:$AA$21,Settings!$Y$2:$Y$21,"Start timeline",Settings!$Z$2:$Z$21,L18)+SUMIFS(Settings!$AA$2:$AA$21,Settings!$Y$2:$Y$21,"Social media gap",Settings!$Z$2:$Z$21,M18)+IF(OR(E18="",E18="Lead ID not found"),0,IF(COUNTIF(Settings!$AC$2:$AC$6,E18)&gt;0,Settings!$AA$20,Settings!$AA$21)))</f>
        <v/>
      </c>
      <c r="P18" s="44" t="str">
        <f aca="false">IF(C18="","",IF(N(N18)&lt;6,"Partly scored ("&amp;N18&amp;"/6)",IF(O18&gt;=Settings!$S$8,"Hot",IF(O18&gt;=Settings!$S$9,"Warm","Cold"))))</f>
        <v/>
      </c>
      <c r="Q18" s="44" t="str">
        <f aca="false">IF(C18="","",IF(AND(H18="No",J18="No"),"🚩 Budget  ·  🚩 No one on camera",IF(H18="No","🚩 Budget under AED 5k",IF(J18="No","🚩 No one on camera",""))))</f>
        <v/>
      </c>
      <c r="R18" s="44" t="str">
        <f aca="false">IF(C18="","",IF(N(N18)&lt;6,"Finish the scoresheet before closing",IF(P18="Hot","Close now – send the contract / proposal today",IF(P18="Warm","Send proposal + a relevant result; follow up in 3 days","Rep's call – nurture or close politely")))&amp;IF(Q18&lt;&gt;""," (handle the 🚩 first)",""))</f>
        <v/>
      </c>
      <c r="S18" s="17"/>
      <c r="T18" s="17"/>
      <c r="U18" s="44" t="str">
        <f aca="false">IF(C18="","",IF(COUNTIF(C19:C$501,C18)=0,1,0))</f>
        <v/>
      </c>
    </row>
    <row r="19" customFormat="false" ht="15" hidden="false" customHeight="false" outlineLevel="0" collapsed="false">
      <c r="A19" s="17"/>
      <c r="B19" s="40"/>
      <c r="C19" s="17"/>
      <c r="D19" s="44" t="str">
        <f aca="false">IF(C19="","",IFERROR(INDEX(Inbound!$E$2:$E$501,MATCH(C19,Inbound!$A$2:$A$501,0)),IFERROR(INDEX(Outbound!$D$2:$D$501,MATCH(C19,Outbound!$A$2:$A$501,0)),"Lead ID not found")))</f>
        <v/>
      </c>
      <c r="E19" s="44" t="str">
        <f aca="false">IF(C19="","",IFERROR(INDEX(Inbound!$F$2:$F$501,MATCH(C19,Inbound!$A$2:$A$501,0)),IFERROR(INDEX(Outbound!$E$2:$E$501,MATCH(C19,Outbound!$A$2:$A$501,0)),"Lead ID not found")))</f>
        <v/>
      </c>
      <c r="F19" s="17"/>
      <c r="G19" s="17"/>
      <c r="H19" s="17"/>
      <c r="I19" s="17"/>
      <c r="J19" s="17"/>
      <c r="K19" s="17"/>
      <c r="L19" s="17"/>
      <c r="M19" s="17"/>
      <c r="N19" s="44" t="str">
        <f aca="false">IF(C19="","",COUNTA(H19:M19))</f>
        <v/>
      </c>
      <c r="O19" s="44" t="str">
        <f aca="false">IF(OR(C19="",N(N19)=0),"",SUMIFS(Settings!$AA$2:$AA$21,Settings!$Y$2:$Y$21,"Budget AED 5k+/mo?",Settings!$Z$2:$Z$21,H19)+SUMIFS(Settings!$AA$2:$AA$21,Settings!$Y$2:$Y$21,"Decision-maker?",Settings!$Z$2:$Z$21,I19)+SUMIFS(Settings!$AA$2:$AA$21,Settings!$Y$2:$Y$21,"Someone on camera?",Settings!$Z$2:$Z$21,J19)+SUMIFS(Settings!$AA$2:$AA$21,Settings!$Y$2:$Y$21,"OK with 3-month term?",Settings!$Z$2:$Z$21,K19)+SUMIFS(Settings!$AA$2:$AA$21,Settings!$Y$2:$Y$21,"Start timeline",Settings!$Z$2:$Z$21,L19)+SUMIFS(Settings!$AA$2:$AA$21,Settings!$Y$2:$Y$21,"Social media gap",Settings!$Z$2:$Z$21,M19)+IF(OR(E19="",E19="Lead ID not found"),0,IF(COUNTIF(Settings!$AC$2:$AC$6,E19)&gt;0,Settings!$AA$20,Settings!$AA$21)))</f>
        <v/>
      </c>
      <c r="P19" s="44" t="str">
        <f aca="false">IF(C19="","",IF(N(N19)&lt;6,"Partly scored ("&amp;N19&amp;"/6)",IF(O19&gt;=Settings!$S$8,"Hot",IF(O19&gt;=Settings!$S$9,"Warm","Cold"))))</f>
        <v/>
      </c>
      <c r="Q19" s="44" t="str">
        <f aca="false">IF(C19="","",IF(AND(H19="No",J19="No"),"🚩 Budget  ·  🚩 No one on camera",IF(H19="No","🚩 Budget under AED 5k",IF(J19="No","🚩 No one on camera",""))))</f>
        <v/>
      </c>
      <c r="R19" s="44" t="str">
        <f aca="false">IF(C19="","",IF(N(N19)&lt;6,"Finish the scoresheet before closing",IF(P19="Hot","Close now – send the contract / proposal today",IF(P19="Warm","Send proposal + a relevant result; follow up in 3 days","Rep's call – nurture or close politely")))&amp;IF(Q19&lt;&gt;""," (handle the 🚩 first)",""))</f>
        <v/>
      </c>
      <c r="S19" s="17"/>
      <c r="T19" s="17"/>
      <c r="U19" s="44" t="str">
        <f aca="false">IF(C19="","",IF(COUNTIF(C20:C$501,C19)=0,1,0))</f>
        <v/>
      </c>
    </row>
    <row r="20" customFormat="false" ht="15" hidden="false" customHeight="false" outlineLevel="0" collapsed="false">
      <c r="A20" s="17"/>
      <c r="B20" s="40"/>
      <c r="C20" s="17"/>
      <c r="D20" s="44" t="str">
        <f aca="false">IF(C20="","",IFERROR(INDEX(Inbound!$E$2:$E$501,MATCH(C20,Inbound!$A$2:$A$501,0)),IFERROR(INDEX(Outbound!$D$2:$D$501,MATCH(C20,Outbound!$A$2:$A$501,0)),"Lead ID not found")))</f>
        <v/>
      </c>
      <c r="E20" s="44" t="str">
        <f aca="false">IF(C20="","",IFERROR(INDEX(Inbound!$F$2:$F$501,MATCH(C20,Inbound!$A$2:$A$501,0)),IFERROR(INDEX(Outbound!$E$2:$E$501,MATCH(C20,Outbound!$A$2:$A$501,0)),"Lead ID not found")))</f>
        <v/>
      </c>
      <c r="F20" s="17"/>
      <c r="G20" s="17"/>
      <c r="H20" s="17"/>
      <c r="I20" s="17"/>
      <c r="J20" s="17"/>
      <c r="K20" s="17"/>
      <c r="L20" s="17"/>
      <c r="M20" s="17"/>
      <c r="N20" s="44" t="str">
        <f aca="false">IF(C20="","",COUNTA(H20:M20))</f>
        <v/>
      </c>
      <c r="O20" s="44" t="str">
        <f aca="false">IF(OR(C20="",N(N20)=0),"",SUMIFS(Settings!$AA$2:$AA$21,Settings!$Y$2:$Y$21,"Budget AED 5k+/mo?",Settings!$Z$2:$Z$21,H20)+SUMIFS(Settings!$AA$2:$AA$21,Settings!$Y$2:$Y$21,"Decision-maker?",Settings!$Z$2:$Z$21,I20)+SUMIFS(Settings!$AA$2:$AA$21,Settings!$Y$2:$Y$21,"Someone on camera?",Settings!$Z$2:$Z$21,J20)+SUMIFS(Settings!$AA$2:$AA$21,Settings!$Y$2:$Y$21,"OK with 3-month term?",Settings!$Z$2:$Z$21,K20)+SUMIFS(Settings!$AA$2:$AA$21,Settings!$Y$2:$Y$21,"Start timeline",Settings!$Z$2:$Z$21,L20)+SUMIFS(Settings!$AA$2:$AA$21,Settings!$Y$2:$Y$21,"Social media gap",Settings!$Z$2:$Z$21,M20)+IF(OR(E20="",E20="Lead ID not found"),0,IF(COUNTIF(Settings!$AC$2:$AC$6,E20)&gt;0,Settings!$AA$20,Settings!$AA$21)))</f>
        <v/>
      </c>
      <c r="P20" s="44" t="str">
        <f aca="false">IF(C20="","",IF(N(N20)&lt;6,"Partly scored ("&amp;N20&amp;"/6)",IF(O20&gt;=Settings!$S$8,"Hot",IF(O20&gt;=Settings!$S$9,"Warm","Cold"))))</f>
        <v/>
      </c>
      <c r="Q20" s="44" t="str">
        <f aca="false">IF(C20="","",IF(AND(H20="No",J20="No"),"🚩 Budget  ·  🚩 No one on camera",IF(H20="No","🚩 Budget under AED 5k",IF(J20="No","🚩 No one on camera",""))))</f>
        <v/>
      </c>
      <c r="R20" s="44" t="str">
        <f aca="false">IF(C20="","",IF(N(N20)&lt;6,"Finish the scoresheet before closing",IF(P20="Hot","Close now – send the contract / proposal today",IF(P20="Warm","Send proposal + a relevant result; follow up in 3 days","Rep's call – nurture or close politely")))&amp;IF(Q20&lt;&gt;""," (handle the 🚩 first)",""))</f>
        <v/>
      </c>
      <c r="S20" s="17"/>
      <c r="T20" s="17"/>
      <c r="U20" s="44" t="str">
        <f aca="false">IF(C20="","",IF(COUNTIF(C21:C$501,C20)=0,1,0))</f>
        <v/>
      </c>
    </row>
    <row r="21" customFormat="false" ht="15" hidden="false" customHeight="false" outlineLevel="0" collapsed="false">
      <c r="A21" s="17"/>
      <c r="B21" s="40"/>
      <c r="C21" s="17"/>
      <c r="D21" s="44" t="str">
        <f aca="false">IF(C21="","",IFERROR(INDEX(Inbound!$E$2:$E$501,MATCH(C21,Inbound!$A$2:$A$501,0)),IFERROR(INDEX(Outbound!$D$2:$D$501,MATCH(C21,Outbound!$A$2:$A$501,0)),"Lead ID not found")))</f>
        <v/>
      </c>
      <c r="E21" s="44" t="str">
        <f aca="false">IF(C21="","",IFERROR(INDEX(Inbound!$F$2:$F$501,MATCH(C21,Inbound!$A$2:$A$501,0)),IFERROR(INDEX(Outbound!$E$2:$E$501,MATCH(C21,Outbound!$A$2:$A$501,0)),"Lead ID not found")))</f>
        <v/>
      </c>
      <c r="F21" s="17"/>
      <c r="G21" s="17"/>
      <c r="H21" s="17"/>
      <c r="I21" s="17"/>
      <c r="J21" s="17"/>
      <c r="K21" s="17"/>
      <c r="L21" s="17"/>
      <c r="M21" s="17"/>
      <c r="N21" s="44" t="str">
        <f aca="false">IF(C21="","",COUNTA(H21:M21))</f>
        <v/>
      </c>
      <c r="O21" s="44" t="str">
        <f aca="false">IF(OR(C21="",N(N21)=0),"",SUMIFS(Settings!$AA$2:$AA$21,Settings!$Y$2:$Y$21,"Budget AED 5k+/mo?",Settings!$Z$2:$Z$21,H21)+SUMIFS(Settings!$AA$2:$AA$21,Settings!$Y$2:$Y$21,"Decision-maker?",Settings!$Z$2:$Z$21,I21)+SUMIFS(Settings!$AA$2:$AA$21,Settings!$Y$2:$Y$21,"Someone on camera?",Settings!$Z$2:$Z$21,J21)+SUMIFS(Settings!$AA$2:$AA$21,Settings!$Y$2:$Y$21,"OK with 3-month term?",Settings!$Z$2:$Z$21,K21)+SUMIFS(Settings!$AA$2:$AA$21,Settings!$Y$2:$Y$21,"Start timeline",Settings!$Z$2:$Z$21,L21)+SUMIFS(Settings!$AA$2:$AA$21,Settings!$Y$2:$Y$21,"Social media gap",Settings!$Z$2:$Z$21,M21)+IF(OR(E21="",E21="Lead ID not found"),0,IF(COUNTIF(Settings!$AC$2:$AC$6,E21)&gt;0,Settings!$AA$20,Settings!$AA$21)))</f>
        <v/>
      </c>
      <c r="P21" s="44" t="str">
        <f aca="false">IF(C21="","",IF(N(N21)&lt;6,"Partly scored ("&amp;N21&amp;"/6)",IF(O21&gt;=Settings!$S$8,"Hot",IF(O21&gt;=Settings!$S$9,"Warm","Cold"))))</f>
        <v/>
      </c>
      <c r="Q21" s="44" t="str">
        <f aca="false">IF(C21="","",IF(AND(H21="No",J21="No"),"🚩 Budget  ·  🚩 No one on camera",IF(H21="No","🚩 Budget under AED 5k",IF(J21="No","🚩 No one on camera",""))))</f>
        <v/>
      </c>
      <c r="R21" s="44" t="str">
        <f aca="false">IF(C21="","",IF(N(N21)&lt;6,"Finish the scoresheet before closing",IF(P21="Hot","Close now – send the contract / proposal today",IF(P21="Warm","Send proposal + a relevant result; follow up in 3 days","Rep's call – nurture or close politely")))&amp;IF(Q21&lt;&gt;""," (handle the 🚩 first)",""))</f>
        <v/>
      </c>
      <c r="S21" s="17"/>
      <c r="T21" s="17"/>
      <c r="U21" s="44" t="str">
        <f aca="false">IF(C21="","",IF(COUNTIF(C22:C$501,C21)=0,1,0))</f>
        <v/>
      </c>
    </row>
    <row r="22" customFormat="false" ht="15" hidden="false" customHeight="false" outlineLevel="0" collapsed="false">
      <c r="A22" s="17"/>
      <c r="B22" s="40"/>
      <c r="C22" s="17"/>
      <c r="D22" s="44" t="str">
        <f aca="false">IF(C22="","",IFERROR(INDEX(Inbound!$E$2:$E$501,MATCH(C22,Inbound!$A$2:$A$501,0)),IFERROR(INDEX(Outbound!$D$2:$D$501,MATCH(C22,Outbound!$A$2:$A$501,0)),"Lead ID not found")))</f>
        <v/>
      </c>
      <c r="E22" s="44" t="str">
        <f aca="false">IF(C22="","",IFERROR(INDEX(Inbound!$F$2:$F$501,MATCH(C22,Inbound!$A$2:$A$501,0)),IFERROR(INDEX(Outbound!$E$2:$E$501,MATCH(C22,Outbound!$A$2:$A$501,0)),"Lead ID not found")))</f>
        <v/>
      </c>
      <c r="F22" s="17"/>
      <c r="G22" s="17"/>
      <c r="H22" s="17"/>
      <c r="I22" s="17"/>
      <c r="J22" s="17"/>
      <c r="K22" s="17"/>
      <c r="L22" s="17"/>
      <c r="M22" s="17"/>
      <c r="N22" s="44" t="str">
        <f aca="false">IF(C22="","",COUNTA(H22:M22))</f>
        <v/>
      </c>
      <c r="O22" s="44" t="str">
        <f aca="false">IF(OR(C22="",N(N22)=0),"",SUMIFS(Settings!$AA$2:$AA$21,Settings!$Y$2:$Y$21,"Budget AED 5k+/mo?",Settings!$Z$2:$Z$21,H22)+SUMIFS(Settings!$AA$2:$AA$21,Settings!$Y$2:$Y$21,"Decision-maker?",Settings!$Z$2:$Z$21,I22)+SUMIFS(Settings!$AA$2:$AA$21,Settings!$Y$2:$Y$21,"Someone on camera?",Settings!$Z$2:$Z$21,J22)+SUMIFS(Settings!$AA$2:$AA$21,Settings!$Y$2:$Y$21,"OK with 3-month term?",Settings!$Z$2:$Z$21,K22)+SUMIFS(Settings!$AA$2:$AA$21,Settings!$Y$2:$Y$21,"Start timeline",Settings!$Z$2:$Z$21,L22)+SUMIFS(Settings!$AA$2:$AA$21,Settings!$Y$2:$Y$21,"Social media gap",Settings!$Z$2:$Z$21,M22)+IF(OR(E22="",E22="Lead ID not found"),0,IF(COUNTIF(Settings!$AC$2:$AC$6,E22)&gt;0,Settings!$AA$20,Settings!$AA$21)))</f>
        <v/>
      </c>
      <c r="P22" s="44" t="str">
        <f aca="false">IF(C22="","",IF(N(N22)&lt;6,"Partly scored ("&amp;N22&amp;"/6)",IF(O22&gt;=Settings!$S$8,"Hot",IF(O22&gt;=Settings!$S$9,"Warm","Cold"))))</f>
        <v/>
      </c>
      <c r="Q22" s="44" t="str">
        <f aca="false">IF(C22="","",IF(AND(H22="No",J22="No"),"🚩 Budget  ·  🚩 No one on camera",IF(H22="No","🚩 Budget under AED 5k",IF(J22="No","🚩 No one on camera",""))))</f>
        <v/>
      </c>
      <c r="R22" s="44" t="str">
        <f aca="false">IF(C22="","",IF(N(N22)&lt;6,"Finish the scoresheet before closing",IF(P22="Hot","Close now – send the contract / proposal today",IF(P22="Warm","Send proposal + a relevant result; follow up in 3 days","Rep's call – nurture or close politely")))&amp;IF(Q22&lt;&gt;""," (handle the 🚩 first)",""))</f>
        <v/>
      </c>
      <c r="S22" s="17"/>
      <c r="T22" s="17"/>
      <c r="U22" s="44" t="str">
        <f aca="false">IF(C22="","",IF(COUNTIF(C23:C$501,C22)=0,1,0))</f>
        <v/>
      </c>
    </row>
    <row r="23" customFormat="false" ht="15" hidden="false" customHeight="false" outlineLevel="0" collapsed="false">
      <c r="A23" s="17"/>
      <c r="B23" s="40"/>
      <c r="C23" s="17"/>
      <c r="D23" s="44" t="str">
        <f aca="false">IF(C23="","",IFERROR(INDEX(Inbound!$E$2:$E$501,MATCH(C23,Inbound!$A$2:$A$501,0)),IFERROR(INDEX(Outbound!$D$2:$D$501,MATCH(C23,Outbound!$A$2:$A$501,0)),"Lead ID not found")))</f>
        <v/>
      </c>
      <c r="E23" s="44" t="str">
        <f aca="false">IF(C23="","",IFERROR(INDEX(Inbound!$F$2:$F$501,MATCH(C23,Inbound!$A$2:$A$501,0)),IFERROR(INDEX(Outbound!$E$2:$E$501,MATCH(C23,Outbound!$A$2:$A$501,0)),"Lead ID not found")))</f>
        <v/>
      </c>
      <c r="F23" s="17"/>
      <c r="G23" s="17"/>
      <c r="H23" s="17"/>
      <c r="I23" s="17"/>
      <c r="J23" s="17"/>
      <c r="K23" s="17"/>
      <c r="L23" s="17"/>
      <c r="M23" s="17"/>
      <c r="N23" s="44" t="str">
        <f aca="false">IF(C23="","",COUNTA(H23:M23))</f>
        <v/>
      </c>
      <c r="O23" s="44" t="str">
        <f aca="false">IF(OR(C23="",N(N23)=0),"",SUMIFS(Settings!$AA$2:$AA$21,Settings!$Y$2:$Y$21,"Budget AED 5k+/mo?",Settings!$Z$2:$Z$21,H23)+SUMIFS(Settings!$AA$2:$AA$21,Settings!$Y$2:$Y$21,"Decision-maker?",Settings!$Z$2:$Z$21,I23)+SUMIFS(Settings!$AA$2:$AA$21,Settings!$Y$2:$Y$21,"Someone on camera?",Settings!$Z$2:$Z$21,J23)+SUMIFS(Settings!$AA$2:$AA$21,Settings!$Y$2:$Y$21,"OK with 3-month term?",Settings!$Z$2:$Z$21,K23)+SUMIFS(Settings!$AA$2:$AA$21,Settings!$Y$2:$Y$21,"Start timeline",Settings!$Z$2:$Z$21,L23)+SUMIFS(Settings!$AA$2:$AA$21,Settings!$Y$2:$Y$21,"Social media gap",Settings!$Z$2:$Z$21,M23)+IF(OR(E23="",E23="Lead ID not found"),0,IF(COUNTIF(Settings!$AC$2:$AC$6,E23)&gt;0,Settings!$AA$20,Settings!$AA$21)))</f>
        <v/>
      </c>
      <c r="P23" s="44" t="str">
        <f aca="false">IF(C23="","",IF(N(N23)&lt;6,"Partly scored ("&amp;N23&amp;"/6)",IF(O23&gt;=Settings!$S$8,"Hot",IF(O23&gt;=Settings!$S$9,"Warm","Cold"))))</f>
        <v/>
      </c>
      <c r="Q23" s="44" t="str">
        <f aca="false">IF(C23="","",IF(AND(H23="No",J23="No"),"🚩 Budget  ·  🚩 No one on camera",IF(H23="No","🚩 Budget under AED 5k",IF(J23="No","🚩 No one on camera",""))))</f>
        <v/>
      </c>
      <c r="R23" s="44" t="str">
        <f aca="false">IF(C23="","",IF(N(N23)&lt;6,"Finish the scoresheet before closing",IF(P23="Hot","Close now – send the contract / proposal today",IF(P23="Warm","Send proposal + a relevant result; follow up in 3 days","Rep's call – nurture or close politely")))&amp;IF(Q23&lt;&gt;""," (handle the 🚩 first)",""))</f>
        <v/>
      </c>
      <c r="S23" s="17"/>
      <c r="T23" s="17"/>
      <c r="U23" s="44" t="str">
        <f aca="false">IF(C23="","",IF(COUNTIF(C24:C$501,C23)=0,1,0))</f>
        <v/>
      </c>
    </row>
    <row r="24" customFormat="false" ht="15" hidden="false" customHeight="false" outlineLevel="0" collapsed="false">
      <c r="A24" s="17"/>
      <c r="B24" s="40"/>
      <c r="C24" s="17"/>
      <c r="D24" s="44" t="str">
        <f aca="false">IF(C24="","",IFERROR(INDEX(Inbound!$E$2:$E$501,MATCH(C24,Inbound!$A$2:$A$501,0)),IFERROR(INDEX(Outbound!$D$2:$D$501,MATCH(C24,Outbound!$A$2:$A$501,0)),"Lead ID not found")))</f>
        <v/>
      </c>
      <c r="E24" s="44" t="str">
        <f aca="false">IF(C24="","",IFERROR(INDEX(Inbound!$F$2:$F$501,MATCH(C24,Inbound!$A$2:$A$501,0)),IFERROR(INDEX(Outbound!$E$2:$E$501,MATCH(C24,Outbound!$A$2:$A$501,0)),"Lead ID not found")))</f>
        <v/>
      </c>
      <c r="F24" s="17"/>
      <c r="G24" s="17"/>
      <c r="H24" s="17"/>
      <c r="I24" s="17"/>
      <c r="J24" s="17"/>
      <c r="K24" s="17"/>
      <c r="L24" s="17"/>
      <c r="M24" s="17"/>
      <c r="N24" s="44" t="str">
        <f aca="false">IF(C24="","",COUNTA(H24:M24))</f>
        <v/>
      </c>
      <c r="O24" s="44" t="str">
        <f aca="false">IF(OR(C24="",N(N24)=0),"",SUMIFS(Settings!$AA$2:$AA$21,Settings!$Y$2:$Y$21,"Budget AED 5k+/mo?",Settings!$Z$2:$Z$21,H24)+SUMIFS(Settings!$AA$2:$AA$21,Settings!$Y$2:$Y$21,"Decision-maker?",Settings!$Z$2:$Z$21,I24)+SUMIFS(Settings!$AA$2:$AA$21,Settings!$Y$2:$Y$21,"Someone on camera?",Settings!$Z$2:$Z$21,J24)+SUMIFS(Settings!$AA$2:$AA$21,Settings!$Y$2:$Y$21,"OK with 3-month term?",Settings!$Z$2:$Z$21,K24)+SUMIFS(Settings!$AA$2:$AA$21,Settings!$Y$2:$Y$21,"Start timeline",Settings!$Z$2:$Z$21,L24)+SUMIFS(Settings!$AA$2:$AA$21,Settings!$Y$2:$Y$21,"Social media gap",Settings!$Z$2:$Z$21,M24)+IF(OR(E24="",E24="Lead ID not found"),0,IF(COUNTIF(Settings!$AC$2:$AC$6,E24)&gt;0,Settings!$AA$20,Settings!$AA$21)))</f>
        <v/>
      </c>
      <c r="P24" s="44" t="str">
        <f aca="false">IF(C24="","",IF(N(N24)&lt;6,"Partly scored ("&amp;N24&amp;"/6)",IF(O24&gt;=Settings!$S$8,"Hot",IF(O24&gt;=Settings!$S$9,"Warm","Cold"))))</f>
        <v/>
      </c>
      <c r="Q24" s="44" t="str">
        <f aca="false">IF(C24="","",IF(AND(H24="No",J24="No"),"🚩 Budget  ·  🚩 No one on camera",IF(H24="No","🚩 Budget under AED 5k",IF(J24="No","🚩 No one on camera",""))))</f>
        <v/>
      </c>
      <c r="R24" s="44" t="str">
        <f aca="false">IF(C24="","",IF(N(N24)&lt;6,"Finish the scoresheet before closing",IF(P24="Hot","Close now – send the contract / proposal today",IF(P24="Warm","Send proposal + a relevant result; follow up in 3 days","Rep's call – nurture or close politely")))&amp;IF(Q24&lt;&gt;""," (handle the 🚩 first)",""))</f>
        <v/>
      </c>
      <c r="S24" s="17"/>
      <c r="T24" s="17"/>
      <c r="U24" s="44" t="str">
        <f aca="false">IF(C24="","",IF(COUNTIF(C25:C$501,C24)=0,1,0))</f>
        <v/>
      </c>
    </row>
    <row r="25" customFormat="false" ht="15" hidden="false" customHeight="false" outlineLevel="0" collapsed="false">
      <c r="A25" s="17"/>
      <c r="B25" s="40"/>
      <c r="C25" s="17"/>
      <c r="D25" s="44" t="str">
        <f aca="false">IF(C25="","",IFERROR(INDEX(Inbound!$E$2:$E$501,MATCH(C25,Inbound!$A$2:$A$501,0)),IFERROR(INDEX(Outbound!$D$2:$D$501,MATCH(C25,Outbound!$A$2:$A$501,0)),"Lead ID not found")))</f>
        <v/>
      </c>
      <c r="E25" s="44" t="str">
        <f aca="false">IF(C25="","",IFERROR(INDEX(Inbound!$F$2:$F$501,MATCH(C25,Inbound!$A$2:$A$501,0)),IFERROR(INDEX(Outbound!$E$2:$E$501,MATCH(C25,Outbound!$A$2:$A$501,0)),"Lead ID not found")))</f>
        <v/>
      </c>
      <c r="F25" s="17"/>
      <c r="G25" s="17"/>
      <c r="H25" s="17"/>
      <c r="I25" s="17"/>
      <c r="J25" s="17"/>
      <c r="K25" s="17"/>
      <c r="L25" s="17"/>
      <c r="M25" s="17"/>
      <c r="N25" s="44" t="str">
        <f aca="false">IF(C25="","",COUNTA(H25:M25))</f>
        <v/>
      </c>
      <c r="O25" s="44" t="str">
        <f aca="false">IF(OR(C25="",N(N25)=0),"",SUMIFS(Settings!$AA$2:$AA$21,Settings!$Y$2:$Y$21,"Budget AED 5k+/mo?",Settings!$Z$2:$Z$21,H25)+SUMIFS(Settings!$AA$2:$AA$21,Settings!$Y$2:$Y$21,"Decision-maker?",Settings!$Z$2:$Z$21,I25)+SUMIFS(Settings!$AA$2:$AA$21,Settings!$Y$2:$Y$21,"Someone on camera?",Settings!$Z$2:$Z$21,J25)+SUMIFS(Settings!$AA$2:$AA$21,Settings!$Y$2:$Y$21,"OK with 3-month term?",Settings!$Z$2:$Z$21,K25)+SUMIFS(Settings!$AA$2:$AA$21,Settings!$Y$2:$Y$21,"Start timeline",Settings!$Z$2:$Z$21,L25)+SUMIFS(Settings!$AA$2:$AA$21,Settings!$Y$2:$Y$21,"Social media gap",Settings!$Z$2:$Z$21,M25)+IF(OR(E25="",E25="Lead ID not found"),0,IF(COUNTIF(Settings!$AC$2:$AC$6,E25)&gt;0,Settings!$AA$20,Settings!$AA$21)))</f>
        <v/>
      </c>
      <c r="P25" s="44" t="str">
        <f aca="false">IF(C25="","",IF(N(N25)&lt;6,"Partly scored ("&amp;N25&amp;"/6)",IF(O25&gt;=Settings!$S$8,"Hot",IF(O25&gt;=Settings!$S$9,"Warm","Cold"))))</f>
        <v/>
      </c>
      <c r="Q25" s="44" t="str">
        <f aca="false">IF(C25="","",IF(AND(H25="No",J25="No"),"🚩 Budget  ·  🚩 No one on camera",IF(H25="No","🚩 Budget under AED 5k",IF(J25="No","🚩 No one on camera",""))))</f>
        <v/>
      </c>
      <c r="R25" s="44" t="str">
        <f aca="false">IF(C25="","",IF(N(N25)&lt;6,"Finish the scoresheet before closing",IF(P25="Hot","Close now – send the contract / proposal today",IF(P25="Warm","Send proposal + a relevant result; follow up in 3 days","Rep's call – nurture or close politely")))&amp;IF(Q25&lt;&gt;""," (handle the 🚩 first)",""))</f>
        <v/>
      </c>
      <c r="S25" s="17"/>
      <c r="T25" s="17"/>
      <c r="U25" s="44" t="str">
        <f aca="false">IF(C25="","",IF(COUNTIF(C26:C$501,C25)=0,1,0))</f>
        <v/>
      </c>
    </row>
    <row r="26" customFormat="false" ht="15" hidden="false" customHeight="false" outlineLevel="0" collapsed="false">
      <c r="A26" s="17"/>
      <c r="B26" s="40"/>
      <c r="C26" s="17"/>
      <c r="D26" s="44" t="str">
        <f aca="false">IF(C26="","",IFERROR(INDEX(Inbound!$E$2:$E$501,MATCH(C26,Inbound!$A$2:$A$501,0)),IFERROR(INDEX(Outbound!$D$2:$D$501,MATCH(C26,Outbound!$A$2:$A$501,0)),"Lead ID not found")))</f>
        <v/>
      </c>
      <c r="E26" s="44" t="str">
        <f aca="false">IF(C26="","",IFERROR(INDEX(Inbound!$F$2:$F$501,MATCH(C26,Inbound!$A$2:$A$501,0)),IFERROR(INDEX(Outbound!$E$2:$E$501,MATCH(C26,Outbound!$A$2:$A$501,0)),"Lead ID not found")))</f>
        <v/>
      </c>
      <c r="F26" s="17"/>
      <c r="G26" s="17"/>
      <c r="H26" s="17"/>
      <c r="I26" s="17"/>
      <c r="J26" s="17"/>
      <c r="K26" s="17"/>
      <c r="L26" s="17"/>
      <c r="M26" s="17"/>
      <c r="N26" s="44" t="str">
        <f aca="false">IF(C26="","",COUNTA(H26:M26))</f>
        <v/>
      </c>
      <c r="O26" s="44" t="str">
        <f aca="false">IF(OR(C26="",N(N26)=0),"",SUMIFS(Settings!$AA$2:$AA$21,Settings!$Y$2:$Y$21,"Budget AED 5k+/mo?",Settings!$Z$2:$Z$21,H26)+SUMIFS(Settings!$AA$2:$AA$21,Settings!$Y$2:$Y$21,"Decision-maker?",Settings!$Z$2:$Z$21,I26)+SUMIFS(Settings!$AA$2:$AA$21,Settings!$Y$2:$Y$21,"Someone on camera?",Settings!$Z$2:$Z$21,J26)+SUMIFS(Settings!$AA$2:$AA$21,Settings!$Y$2:$Y$21,"OK with 3-month term?",Settings!$Z$2:$Z$21,K26)+SUMIFS(Settings!$AA$2:$AA$21,Settings!$Y$2:$Y$21,"Start timeline",Settings!$Z$2:$Z$21,L26)+SUMIFS(Settings!$AA$2:$AA$21,Settings!$Y$2:$Y$21,"Social media gap",Settings!$Z$2:$Z$21,M26)+IF(OR(E26="",E26="Lead ID not found"),0,IF(COUNTIF(Settings!$AC$2:$AC$6,E26)&gt;0,Settings!$AA$20,Settings!$AA$21)))</f>
        <v/>
      </c>
      <c r="P26" s="44" t="str">
        <f aca="false">IF(C26="","",IF(N(N26)&lt;6,"Partly scored ("&amp;N26&amp;"/6)",IF(O26&gt;=Settings!$S$8,"Hot",IF(O26&gt;=Settings!$S$9,"Warm","Cold"))))</f>
        <v/>
      </c>
      <c r="Q26" s="44" t="str">
        <f aca="false">IF(C26="","",IF(AND(H26="No",J26="No"),"🚩 Budget  ·  🚩 No one on camera",IF(H26="No","🚩 Budget under AED 5k",IF(J26="No","🚩 No one on camera",""))))</f>
        <v/>
      </c>
      <c r="R26" s="44" t="str">
        <f aca="false">IF(C26="","",IF(N(N26)&lt;6,"Finish the scoresheet before closing",IF(P26="Hot","Close now – send the contract / proposal today",IF(P26="Warm","Send proposal + a relevant result; follow up in 3 days","Rep's call – nurture or close politely")))&amp;IF(Q26&lt;&gt;""," (handle the 🚩 first)",""))</f>
        <v/>
      </c>
      <c r="S26" s="17"/>
      <c r="T26" s="17"/>
      <c r="U26" s="44" t="str">
        <f aca="false">IF(C26="","",IF(COUNTIF(C27:C$501,C26)=0,1,0))</f>
        <v/>
      </c>
    </row>
    <row r="27" customFormat="false" ht="15" hidden="false" customHeight="false" outlineLevel="0" collapsed="false">
      <c r="A27" s="17"/>
      <c r="B27" s="40"/>
      <c r="C27" s="17"/>
      <c r="D27" s="44" t="str">
        <f aca="false">IF(C27="","",IFERROR(INDEX(Inbound!$E$2:$E$501,MATCH(C27,Inbound!$A$2:$A$501,0)),IFERROR(INDEX(Outbound!$D$2:$D$501,MATCH(C27,Outbound!$A$2:$A$501,0)),"Lead ID not found")))</f>
        <v/>
      </c>
      <c r="E27" s="44" t="str">
        <f aca="false">IF(C27="","",IFERROR(INDEX(Inbound!$F$2:$F$501,MATCH(C27,Inbound!$A$2:$A$501,0)),IFERROR(INDEX(Outbound!$E$2:$E$501,MATCH(C27,Outbound!$A$2:$A$501,0)),"Lead ID not found")))</f>
        <v/>
      </c>
      <c r="F27" s="17"/>
      <c r="G27" s="17"/>
      <c r="H27" s="17"/>
      <c r="I27" s="17"/>
      <c r="J27" s="17"/>
      <c r="K27" s="17"/>
      <c r="L27" s="17"/>
      <c r="M27" s="17"/>
      <c r="N27" s="44" t="str">
        <f aca="false">IF(C27="","",COUNTA(H27:M27))</f>
        <v/>
      </c>
      <c r="O27" s="44" t="str">
        <f aca="false">IF(OR(C27="",N(N27)=0),"",SUMIFS(Settings!$AA$2:$AA$21,Settings!$Y$2:$Y$21,"Budget AED 5k+/mo?",Settings!$Z$2:$Z$21,H27)+SUMIFS(Settings!$AA$2:$AA$21,Settings!$Y$2:$Y$21,"Decision-maker?",Settings!$Z$2:$Z$21,I27)+SUMIFS(Settings!$AA$2:$AA$21,Settings!$Y$2:$Y$21,"Someone on camera?",Settings!$Z$2:$Z$21,J27)+SUMIFS(Settings!$AA$2:$AA$21,Settings!$Y$2:$Y$21,"OK with 3-month term?",Settings!$Z$2:$Z$21,K27)+SUMIFS(Settings!$AA$2:$AA$21,Settings!$Y$2:$Y$21,"Start timeline",Settings!$Z$2:$Z$21,L27)+SUMIFS(Settings!$AA$2:$AA$21,Settings!$Y$2:$Y$21,"Social media gap",Settings!$Z$2:$Z$21,M27)+IF(OR(E27="",E27="Lead ID not found"),0,IF(COUNTIF(Settings!$AC$2:$AC$6,E27)&gt;0,Settings!$AA$20,Settings!$AA$21)))</f>
        <v/>
      </c>
      <c r="P27" s="44" t="str">
        <f aca="false">IF(C27="","",IF(N(N27)&lt;6,"Partly scored ("&amp;N27&amp;"/6)",IF(O27&gt;=Settings!$S$8,"Hot",IF(O27&gt;=Settings!$S$9,"Warm","Cold"))))</f>
        <v/>
      </c>
      <c r="Q27" s="44" t="str">
        <f aca="false">IF(C27="","",IF(AND(H27="No",J27="No"),"🚩 Budget  ·  🚩 No one on camera",IF(H27="No","🚩 Budget under AED 5k",IF(J27="No","🚩 No one on camera",""))))</f>
        <v/>
      </c>
      <c r="R27" s="44" t="str">
        <f aca="false">IF(C27="","",IF(N(N27)&lt;6,"Finish the scoresheet before closing",IF(P27="Hot","Close now – send the contract / proposal today",IF(P27="Warm","Send proposal + a relevant result; follow up in 3 days","Rep's call – nurture or close politely")))&amp;IF(Q27&lt;&gt;""," (handle the 🚩 first)",""))</f>
        <v/>
      </c>
      <c r="S27" s="17"/>
      <c r="T27" s="17"/>
      <c r="U27" s="44" t="str">
        <f aca="false">IF(C27="","",IF(COUNTIF(C28:C$501,C27)=0,1,0))</f>
        <v/>
      </c>
    </row>
    <row r="28" customFormat="false" ht="15" hidden="false" customHeight="false" outlineLevel="0" collapsed="false">
      <c r="A28" s="17"/>
      <c r="B28" s="40"/>
      <c r="C28" s="17"/>
      <c r="D28" s="44" t="str">
        <f aca="false">IF(C28="","",IFERROR(INDEX(Inbound!$E$2:$E$501,MATCH(C28,Inbound!$A$2:$A$501,0)),IFERROR(INDEX(Outbound!$D$2:$D$501,MATCH(C28,Outbound!$A$2:$A$501,0)),"Lead ID not found")))</f>
        <v/>
      </c>
      <c r="E28" s="44" t="str">
        <f aca="false">IF(C28="","",IFERROR(INDEX(Inbound!$F$2:$F$501,MATCH(C28,Inbound!$A$2:$A$501,0)),IFERROR(INDEX(Outbound!$E$2:$E$501,MATCH(C28,Outbound!$A$2:$A$501,0)),"Lead ID not found")))</f>
        <v/>
      </c>
      <c r="F28" s="17"/>
      <c r="G28" s="17"/>
      <c r="H28" s="17"/>
      <c r="I28" s="17"/>
      <c r="J28" s="17"/>
      <c r="K28" s="17"/>
      <c r="L28" s="17"/>
      <c r="M28" s="17"/>
      <c r="N28" s="44" t="str">
        <f aca="false">IF(C28="","",COUNTA(H28:M28))</f>
        <v/>
      </c>
      <c r="O28" s="44" t="str">
        <f aca="false">IF(OR(C28="",N(N28)=0),"",SUMIFS(Settings!$AA$2:$AA$21,Settings!$Y$2:$Y$21,"Budget AED 5k+/mo?",Settings!$Z$2:$Z$21,H28)+SUMIFS(Settings!$AA$2:$AA$21,Settings!$Y$2:$Y$21,"Decision-maker?",Settings!$Z$2:$Z$21,I28)+SUMIFS(Settings!$AA$2:$AA$21,Settings!$Y$2:$Y$21,"Someone on camera?",Settings!$Z$2:$Z$21,J28)+SUMIFS(Settings!$AA$2:$AA$21,Settings!$Y$2:$Y$21,"OK with 3-month term?",Settings!$Z$2:$Z$21,K28)+SUMIFS(Settings!$AA$2:$AA$21,Settings!$Y$2:$Y$21,"Start timeline",Settings!$Z$2:$Z$21,L28)+SUMIFS(Settings!$AA$2:$AA$21,Settings!$Y$2:$Y$21,"Social media gap",Settings!$Z$2:$Z$21,M28)+IF(OR(E28="",E28="Lead ID not found"),0,IF(COUNTIF(Settings!$AC$2:$AC$6,E28)&gt;0,Settings!$AA$20,Settings!$AA$21)))</f>
        <v/>
      </c>
      <c r="P28" s="44" t="str">
        <f aca="false">IF(C28="","",IF(N(N28)&lt;6,"Partly scored ("&amp;N28&amp;"/6)",IF(O28&gt;=Settings!$S$8,"Hot",IF(O28&gt;=Settings!$S$9,"Warm","Cold"))))</f>
        <v/>
      </c>
      <c r="Q28" s="44" t="str">
        <f aca="false">IF(C28="","",IF(AND(H28="No",J28="No"),"🚩 Budget  ·  🚩 No one on camera",IF(H28="No","🚩 Budget under AED 5k",IF(J28="No","🚩 No one on camera",""))))</f>
        <v/>
      </c>
      <c r="R28" s="44" t="str">
        <f aca="false">IF(C28="","",IF(N(N28)&lt;6,"Finish the scoresheet before closing",IF(P28="Hot","Close now – send the contract / proposal today",IF(P28="Warm","Send proposal + a relevant result; follow up in 3 days","Rep's call – nurture or close politely")))&amp;IF(Q28&lt;&gt;""," (handle the 🚩 first)",""))</f>
        <v/>
      </c>
      <c r="S28" s="17"/>
      <c r="T28" s="17"/>
      <c r="U28" s="44" t="str">
        <f aca="false">IF(C28="","",IF(COUNTIF(C29:C$501,C28)=0,1,0))</f>
        <v/>
      </c>
    </row>
    <row r="29" customFormat="false" ht="15" hidden="false" customHeight="false" outlineLevel="0" collapsed="false">
      <c r="A29" s="17"/>
      <c r="B29" s="40"/>
      <c r="C29" s="17"/>
      <c r="D29" s="44" t="str">
        <f aca="false">IF(C29="","",IFERROR(INDEX(Inbound!$E$2:$E$501,MATCH(C29,Inbound!$A$2:$A$501,0)),IFERROR(INDEX(Outbound!$D$2:$D$501,MATCH(C29,Outbound!$A$2:$A$501,0)),"Lead ID not found")))</f>
        <v/>
      </c>
      <c r="E29" s="44" t="str">
        <f aca="false">IF(C29="","",IFERROR(INDEX(Inbound!$F$2:$F$501,MATCH(C29,Inbound!$A$2:$A$501,0)),IFERROR(INDEX(Outbound!$E$2:$E$501,MATCH(C29,Outbound!$A$2:$A$501,0)),"Lead ID not found")))</f>
        <v/>
      </c>
      <c r="F29" s="17"/>
      <c r="G29" s="17"/>
      <c r="H29" s="17"/>
      <c r="I29" s="17"/>
      <c r="J29" s="17"/>
      <c r="K29" s="17"/>
      <c r="L29" s="17"/>
      <c r="M29" s="17"/>
      <c r="N29" s="44" t="str">
        <f aca="false">IF(C29="","",COUNTA(H29:M29))</f>
        <v/>
      </c>
      <c r="O29" s="44" t="str">
        <f aca="false">IF(OR(C29="",N(N29)=0),"",SUMIFS(Settings!$AA$2:$AA$21,Settings!$Y$2:$Y$21,"Budget AED 5k+/mo?",Settings!$Z$2:$Z$21,H29)+SUMIFS(Settings!$AA$2:$AA$21,Settings!$Y$2:$Y$21,"Decision-maker?",Settings!$Z$2:$Z$21,I29)+SUMIFS(Settings!$AA$2:$AA$21,Settings!$Y$2:$Y$21,"Someone on camera?",Settings!$Z$2:$Z$21,J29)+SUMIFS(Settings!$AA$2:$AA$21,Settings!$Y$2:$Y$21,"OK with 3-month term?",Settings!$Z$2:$Z$21,K29)+SUMIFS(Settings!$AA$2:$AA$21,Settings!$Y$2:$Y$21,"Start timeline",Settings!$Z$2:$Z$21,L29)+SUMIFS(Settings!$AA$2:$AA$21,Settings!$Y$2:$Y$21,"Social media gap",Settings!$Z$2:$Z$21,M29)+IF(OR(E29="",E29="Lead ID not found"),0,IF(COUNTIF(Settings!$AC$2:$AC$6,E29)&gt;0,Settings!$AA$20,Settings!$AA$21)))</f>
        <v/>
      </c>
      <c r="P29" s="44" t="str">
        <f aca="false">IF(C29="","",IF(N(N29)&lt;6,"Partly scored ("&amp;N29&amp;"/6)",IF(O29&gt;=Settings!$S$8,"Hot",IF(O29&gt;=Settings!$S$9,"Warm","Cold"))))</f>
        <v/>
      </c>
      <c r="Q29" s="44" t="str">
        <f aca="false">IF(C29="","",IF(AND(H29="No",J29="No"),"🚩 Budget  ·  🚩 No one on camera",IF(H29="No","🚩 Budget under AED 5k",IF(J29="No","🚩 No one on camera",""))))</f>
        <v/>
      </c>
      <c r="R29" s="44" t="str">
        <f aca="false">IF(C29="","",IF(N(N29)&lt;6,"Finish the scoresheet before closing",IF(P29="Hot","Close now – send the contract / proposal today",IF(P29="Warm","Send proposal + a relevant result; follow up in 3 days","Rep's call – nurture or close politely")))&amp;IF(Q29&lt;&gt;""," (handle the 🚩 first)",""))</f>
        <v/>
      </c>
      <c r="S29" s="17"/>
      <c r="T29" s="17"/>
      <c r="U29" s="44" t="str">
        <f aca="false">IF(C29="","",IF(COUNTIF(C30:C$501,C29)=0,1,0))</f>
        <v/>
      </c>
    </row>
    <row r="30" customFormat="false" ht="15" hidden="false" customHeight="false" outlineLevel="0" collapsed="false">
      <c r="A30" s="17"/>
      <c r="B30" s="40"/>
      <c r="C30" s="17"/>
      <c r="D30" s="44" t="str">
        <f aca="false">IF(C30="","",IFERROR(INDEX(Inbound!$E$2:$E$501,MATCH(C30,Inbound!$A$2:$A$501,0)),IFERROR(INDEX(Outbound!$D$2:$D$501,MATCH(C30,Outbound!$A$2:$A$501,0)),"Lead ID not found")))</f>
        <v/>
      </c>
      <c r="E30" s="44" t="str">
        <f aca="false">IF(C30="","",IFERROR(INDEX(Inbound!$F$2:$F$501,MATCH(C30,Inbound!$A$2:$A$501,0)),IFERROR(INDEX(Outbound!$E$2:$E$501,MATCH(C30,Outbound!$A$2:$A$501,0)),"Lead ID not found")))</f>
        <v/>
      </c>
      <c r="F30" s="17"/>
      <c r="G30" s="17"/>
      <c r="H30" s="17"/>
      <c r="I30" s="17"/>
      <c r="J30" s="17"/>
      <c r="K30" s="17"/>
      <c r="L30" s="17"/>
      <c r="M30" s="17"/>
      <c r="N30" s="44" t="str">
        <f aca="false">IF(C30="","",COUNTA(H30:M30))</f>
        <v/>
      </c>
      <c r="O30" s="44" t="str">
        <f aca="false">IF(OR(C30="",N(N30)=0),"",SUMIFS(Settings!$AA$2:$AA$21,Settings!$Y$2:$Y$21,"Budget AED 5k+/mo?",Settings!$Z$2:$Z$21,H30)+SUMIFS(Settings!$AA$2:$AA$21,Settings!$Y$2:$Y$21,"Decision-maker?",Settings!$Z$2:$Z$21,I30)+SUMIFS(Settings!$AA$2:$AA$21,Settings!$Y$2:$Y$21,"Someone on camera?",Settings!$Z$2:$Z$21,J30)+SUMIFS(Settings!$AA$2:$AA$21,Settings!$Y$2:$Y$21,"OK with 3-month term?",Settings!$Z$2:$Z$21,K30)+SUMIFS(Settings!$AA$2:$AA$21,Settings!$Y$2:$Y$21,"Start timeline",Settings!$Z$2:$Z$21,L30)+SUMIFS(Settings!$AA$2:$AA$21,Settings!$Y$2:$Y$21,"Social media gap",Settings!$Z$2:$Z$21,M30)+IF(OR(E30="",E30="Lead ID not found"),0,IF(COUNTIF(Settings!$AC$2:$AC$6,E30)&gt;0,Settings!$AA$20,Settings!$AA$21)))</f>
        <v/>
      </c>
      <c r="P30" s="44" t="str">
        <f aca="false">IF(C30="","",IF(N(N30)&lt;6,"Partly scored ("&amp;N30&amp;"/6)",IF(O30&gt;=Settings!$S$8,"Hot",IF(O30&gt;=Settings!$S$9,"Warm","Cold"))))</f>
        <v/>
      </c>
      <c r="Q30" s="44" t="str">
        <f aca="false">IF(C30="","",IF(AND(H30="No",J30="No"),"🚩 Budget  ·  🚩 No one on camera",IF(H30="No","🚩 Budget under AED 5k",IF(J30="No","🚩 No one on camera",""))))</f>
        <v/>
      </c>
      <c r="R30" s="44" t="str">
        <f aca="false">IF(C30="","",IF(N(N30)&lt;6,"Finish the scoresheet before closing",IF(P30="Hot","Close now – send the contract / proposal today",IF(P30="Warm","Send proposal + a relevant result; follow up in 3 days","Rep's call – nurture or close politely")))&amp;IF(Q30&lt;&gt;""," (handle the 🚩 first)",""))</f>
        <v/>
      </c>
      <c r="S30" s="17"/>
      <c r="T30" s="17"/>
      <c r="U30" s="44" t="str">
        <f aca="false">IF(C30="","",IF(COUNTIF(C31:C$501,C30)=0,1,0))</f>
        <v/>
      </c>
    </row>
    <row r="31" customFormat="false" ht="15" hidden="false" customHeight="false" outlineLevel="0" collapsed="false">
      <c r="A31" s="17"/>
      <c r="B31" s="40"/>
      <c r="C31" s="17"/>
      <c r="D31" s="44" t="str">
        <f aca="false">IF(C31="","",IFERROR(INDEX(Inbound!$E$2:$E$501,MATCH(C31,Inbound!$A$2:$A$501,0)),IFERROR(INDEX(Outbound!$D$2:$D$501,MATCH(C31,Outbound!$A$2:$A$501,0)),"Lead ID not found")))</f>
        <v/>
      </c>
      <c r="E31" s="44" t="str">
        <f aca="false">IF(C31="","",IFERROR(INDEX(Inbound!$F$2:$F$501,MATCH(C31,Inbound!$A$2:$A$501,0)),IFERROR(INDEX(Outbound!$E$2:$E$501,MATCH(C31,Outbound!$A$2:$A$501,0)),"Lead ID not found")))</f>
        <v/>
      </c>
      <c r="F31" s="17"/>
      <c r="G31" s="17"/>
      <c r="H31" s="17"/>
      <c r="I31" s="17"/>
      <c r="J31" s="17"/>
      <c r="K31" s="17"/>
      <c r="L31" s="17"/>
      <c r="M31" s="17"/>
      <c r="N31" s="44" t="str">
        <f aca="false">IF(C31="","",COUNTA(H31:M31))</f>
        <v/>
      </c>
      <c r="O31" s="44" t="str">
        <f aca="false">IF(OR(C31="",N(N31)=0),"",SUMIFS(Settings!$AA$2:$AA$21,Settings!$Y$2:$Y$21,"Budget AED 5k+/mo?",Settings!$Z$2:$Z$21,H31)+SUMIFS(Settings!$AA$2:$AA$21,Settings!$Y$2:$Y$21,"Decision-maker?",Settings!$Z$2:$Z$21,I31)+SUMIFS(Settings!$AA$2:$AA$21,Settings!$Y$2:$Y$21,"Someone on camera?",Settings!$Z$2:$Z$21,J31)+SUMIFS(Settings!$AA$2:$AA$21,Settings!$Y$2:$Y$21,"OK with 3-month term?",Settings!$Z$2:$Z$21,K31)+SUMIFS(Settings!$AA$2:$AA$21,Settings!$Y$2:$Y$21,"Start timeline",Settings!$Z$2:$Z$21,L31)+SUMIFS(Settings!$AA$2:$AA$21,Settings!$Y$2:$Y$21,"Social media gap",Settings!$Z$2:$Z$21,M31)+IF(OR(E31="",E31="Lead ID not found"),0,IF(COUNTIF(Settings!$AC$2:$AC$6,E31)&gt;0,Settings!$AA$20,Settings!$AA$21)))</f>
        <v/>
      </c>
      <c r="P31" s="44" t="str">
        <f aca="false">IF(C31="","",IF(N(N31)&lt;6,"Partly scored ("&amp;N31&amp;"/6)",IF(O31&gt;=Settings!$S$8,"Hot",IF(O31&gt;=Settings!$S$9,"Warm","Cold"))))</f>
        <v/>
      </c>
      <c r="Q31" s="44" t="str">
        <f aca="false">IF(C31="","",IF(AND(H31="No",J31="No"),"🚩 Budget  ·  🚩 No one on camera",IF(H31="No","🚩 Budget under AED 5k",IF(J31="No","🚩 No one on camera",""))))</f>
        <v/>
      </c>
      <c r="R31" s="44" t="str">
        <f aca="false">IF(C31="","",IF(N(N31)&lt;6,"Finish the scoresheet before closing",IF(P31="Hot","Close now – send the contract / proposal today",IF(P31="Warm","Send proposal + a relevant result; follow up in 3 days","Rep's call – nurture or close politely")))&amp;IF(Q31&lt;&gt;""," (handle the 🚩 first)",""))</f>
        <v/>
      </c>
      <c r="S31" s="17"/>
      <c r="T31" s="17"/>
      <c r="U31" s="44" t="str">
        <f aca="false">IF(C31="","",IF(COUNTIF(C32:C$501,C31)=0,1,0))</f>
        <v/>
      </c>
    </row>
    <row r="32" customFormat="false" ht="15" hidden="false" customHeight="false" outlineLevel="0" collapsed="false">
      <c r="A32" s="17"/>
      <c r="B32" s="40"/>
      <c r="C32" s="17"/>
      <c r="D32" s="44" t="str">
        <f aca="false">IF(C32="","",IFERROR(INDEX(Inbound!$E$2:$E$501,MATCH(C32,Inbound!$A$2:$A$501,0)),IFERROR(INDEX(Outbound!$D$2:$D$501,MATCH(C32,Outbound!$A$2:$A$501,0)),"Lead ID not found")))</f>
        <v/>
      </c>
      <c r="E32" s="44" t="str">
        <f aca="false">IF(C32="","",IFERROR(INDEX(Inbound!$F$2:$F$501,MATCH(C32,Inbound!$A$2:$A$501,0)),IFERROR(INDEX(Outbound!$E$2:$E$501,MATCH(C32,Outbound!$A$2:$A$501,0)),"Lead ID not found")))</f>
        <v/>
      </c>
      <c r="F32" s="17"/>
      <c r="G32" s="17"/>
      <c r="H32" s="17"/>
      <c r="I32" s="17"/>
      <c r="J32" s="17"/>
      <c r="K32" s="17"/>
      <c r="L32" s="17"/>
      <c r="M32" s="17"/>
      <c r="N32" s="44" t="str">
        <f aca="false">IF(C32="","",COUNTA(H32:M32))</f>
        <v/>
      </c>
      <c r="O32" s="44" t="str">
        <f aca="false">IF(OR(C32="",N(N32)=0),"",SUMIFS(Settings!$AA$2:$AA$21,Settings!$Y$2:$Y$21,"Budget AED 5k+/mo?",Settings!$Z$2:$Z$21,H32)+SUMIFS(Settings!$AA$2:$AA$21,Settings!$Y$2:$Y$21,"Decision-maker?",Settings!$Z$2:$Z$21,I32)+SUMIFS(Settings!$AA$2:$AA$21,Settings!$Y$2:$Y$21,"Someone on camera?",Settings!$Z$2:$Z$21,J32)+SUMIFS(Settings!$AA$2:$AA$21,Settings!$Y$2:$Y$21,"OK with 3-month term?",Settings!$Z$2:$Z$21,K32)+SUMIFS(Settings!$AA$2:$AA$21,Settings!$Y$2:$Y$21,"Start timeline",Settings!$Z$2:$Z$21,L32)+SUMIFS(Settings!$AA$2:$AA$21,Settings!$Y$2:$Y$21,"Social media gap",Settings!$Z$2:$Z$21,M32)+IF(OR(E32="",E32="Lead ID not found"),0,IF(COUNTIF(Settings!$AC$2:$AC$6,E32)&gt;0,Settings!$AA$20,Settings!$AA$21)))</f>
        <v/>
      </c>
      <c r="P32" s="44" t="str">
        <f aca="false">IF(C32="","",IF(N(N32)&lt;6,"Partly scored ("&amp;N32&amp;"/6)",IF(O32&gt;=Settings!$S$8,"Hot",IF(O32&gt;=Settings!$S$9,"Warm","Cold"))))</f>
        <v/>
      </c>
      <c r="Q32" s="44" t="str">
        <f aca="false">IF(C32="","",IF(AND(H32="No",J32="No"),"🚩 Budget  ·  🚩 No one on camera",IF(H32="No","🚩 Budget under AED 5k",IF(J32="No","🚩 No one on camera",""))))</f>
        <v/>
      </c>
      <c r="R32" s="44" t="str">
        <f aca="false">IF(C32="","",IF(N(N32)&lt;6,"Finish the scoresheet before closing",IF(P32="Hot","Close now – send the contract / proposal today",IF(P32="Warm","Send proposal + a relevant result; follow up in 3 days","Rep's call – nurture or close politely")))&amp;IF(Q32&lt;&gt;""," (handle the 🚩 first)",""))</f>
        <v/>
      </c>
      <c r="S32" s="17"/>
      <c r="T32" s="17"/>
      <c r="U32" s="44" t="str">
        <f aca="false">IF(C32="","",IF(COUNTIF(C33:C$501,C32)=0,1,0))</f>
        <v/>
      </c>
    </row>
    <row r="33" customFormat="false" ht="15" hidden="false" customHeight="false" outlineLevel="0" collapsed="false">
      <c r="A33" s="17"/>
      <c r="B33" s="40"/>
      <c r="C33" s="17"/>
      <c r="D33" s="44" t="str">
        <f aca="false">IF(C33="","",IFERROR(INDEX(Inbound!$E$2:$E$501,MATCH(C33,Inbound!$A$2:$A$501,0)),IFERROR(INDEX(Outbound!$D$2:$D$501,MATCH(C33,Outbound!$A$2:$A$501,0)),"Lead ID not found")))</f>
        <v/>
      </c>
      <c r="E33" s="44" t="str">
        <f aca="false">IF(C33="","",IFERROR(INDEX(Inbound!$F$2:$F$501,MATCH(C33,Inbound!$A$2:$A$501,0)),IFERROR(INDEX(Outbound!$E$2:$E$501,MATCH(C33,Outbound!$A$2:$A$501,0)),"Lead ID not found")))</f>
        <v/>
      </c>
      <c r="F33" s="17"/>
      <c r="G33" s="17"/>
      <c r="H33" s="17"/>
      <c r="I33" s="17"/>
      <c r="J33" s="17"/>
      <c r="K33" s="17"/>
      <c r="L33" s="17"/>
      <c r="M33" s="17"/>
      <c r="N33" s="44" t="str">
        <f aca="false">IF(C33="","",COUNTA(H33:M33))</f>
        <v/>
      </c>
      <c r="O33" s="44" t="str">
        <f aca="false">IF(OR(C33="",N(N33)=0),"",SUMIFS(Settings!$AA$2:$AA$21,Settings!$Y$2:$Y$21,"Budget AED 5k+/mo?",Settings!$Z$2:$Z$21,H33)+SUMIFS(Settings!$AA$2:$AA$21,Settings!$Y$2:$Y$21,"Decision-maker?",Settings!$Z$2:$Z$21,I33)+SUMIFS(Settings!$AA$2:$AA$21,Settings!$Y$2:$Y$21,"Someone on camera?",Settings!$Z$2:$Z$21,J33)+SUMIFS(Settings!$AA$2:$AA$21,Settings!$Y$2:$Y$21,"OK with 3-month term?",Settings!$Z$2:$Z$21,K33)+SUMIFS(Settings!$AA$2:$AA$21,Settings!$Y$2:$Y$21,"Start timeline",Settings!$Z$2:$Z$21,L33)+SUMIFS(Settings!$AA$2:$AA$21,Settings!$Y$2:$Y$21,"Social media gap",Settings!$Z$2:$Z$21,M33)+IF(OR(E33="",E33="Lead ID not found"),0,IF(COUNTIF(Settings!$AC$2:$AC$6,E33)&gt;0,Settings!$AA$20,Settings!$AA$21)))</f>
        <v/>
      </c>
      <c r="P33" s="44" t="str">
        <f aca="false">IF(C33="","",IF(N(N33)&lt;6,"Partly scored ("&amp;N33&amp;"/6)",IF(O33&gt;=Settings!$S$8,"Hot",IF(O33&gt;=Settings!$S$9,"Warm","Cold"))))</f>
        <v/>
      </c>
      <c r="Q33" s="44" t="str">
        <f aca="false">IF(C33="","",IF(AND(H33="No",J33="No"),"🚩 Budget  ·  🚩 No one on camera",IF(H33="No","🚩 Budget under AED 5k",IF(J33="No","🚩 No one on camera",""))))</f>
        <v/>
      </c>
      <c r="R33" s="44" t="str">
        <f aca="false">IF(C33="","",IF(N(N33)&lt;6,"Finish the scoresheet before closing",IF(P33="Hot","Close now – send the contract / proposal today",IF(P33="Warm","Send proposal + a relevant result; follow up in 3 days","Rep's call – nurture or close politely")))&amp;IF(Q33&lt;&gt;""," (handle the 🚩 first)",""))</f>
        <v/>
      </c>
      <c r="S33" s="17"/>
      <c r="T33" s="17"/>
      <c r="U33" s="44" t="str">
        <f aca="false">IF(C33="","",IF(COUNTIF(C34:C$501,C33)=0,1,0))</f>
        <v/>
      </c>
    </row>
    <row r="34" customFormat="false" ht="15" hidden="false" customHeight="false" outlineLevel="0" collapsed="false">
      <c r="A34" s="17"/>
      <c r="B34" s="40"/>
      <c r="C34" s="17"/>
      <c r="D34" s="44" t="str">
        <f aca="false">IF(C34="","",IFERROR(INDEX(Inbound!$E$2:$E$501,MATCH(C34,Inbound!$A$2:$A$501,0)),IFERROR(INDEX(Outbound!$D$2:$D$501,MATCH(C34,Outbound!$A$2:$A$501,0)),"Lead ID not found")))</f>
        <v/>
      </c>
      <c r="E34" s="44" t="str">
        <f aca="false">IF(C34="","",IFERROR(INDEX(Inbound!$F$2:$F$501,MATCH(C34,Inbound!$A$2:$A$501,0)),IFERROR(INDEX(Outbound!$E$2:$E$501,MATCH(C34,Outbound!$A$2:$A$501,0)),"Lead ID not found")))</f>
        <v/>
      </c>
      <c r="F34" s="17"/>
      <c r="G34" s="17"/>
      <c r="H34" s="17"/>
      <c r="I34" s="17"/>
      <c r="J34" s="17"/>
      <c r="K34" s="17"/>
      <c r="L34" s="17"/>
      <c r="M34" s="17"/>
      <c r="N34" s="44" t="str">
        <f aca="false">IF(C34="","",COUNTA(H34:M34))</f>
        <v/>
      </c>
      <c r="O34" s="44" t="str">
        <f aca="false">IF(OR(C34="",N(N34)=0),"",SUMIFS(Settings!$AA$2:$AA$21,Settings!$Y$2:$Y$21,"Budget AED 5k+/mo?",Settings!$Z$2:$Z$21,H34)+SUMIFS(Settings!$AA$2:$AA$21,Settings!$Y$2:$Y$21,"Decision-maker?",Settings!$Z$2:$Z$21,I34)+SUMIFS(Settings!$AA$2:$AA$21,Settings!$Y$2:$Y$21,"Someone on camera?",Settings!$Z$2:$Z$21,J34)+SUMIFS(Settings!$AA$2:$AA$21,Settings!$Y$2:$Y$21,"OK with 3-month term?",Settings!$Z$2:$Z$21,K34)+SUMIFS(Settings!$AA$2:$AA$21,Settings!$Y$2:$Y$21,"Start timeline",Settings!$Z$2:$Z$21,L34)+SUMIFS(Settings!$AA$2:$AA$21,Settings!$Y$2:$Y$21,"Social media gap",Settings!$Z$2:$Z$21,M34)+IF(OR(E34="",E34="Lead ID not found"),0,IF(COUNTIF(Settings!$AC$2:$AC$6,E34)&gt;0,Settings!$AA$20,Settings!$AA$21)))</f>
        <v/>
      </c>
      <c r="P34" s="44" t="str">
        <f aca="false">IF(C34="","",IF(N(N34)&lt;6,"Partly scored ("&amp;N34&amp;"/6)",IF(O34&gt;=Settings!$S$8,"Hot",IF(O34&gt;=Settings!$S$9,"Warm","Cold"))))</f>
        <v/>
      </c>
      <c r="Q34" s="44" t="str">
        <f aca="false">IF(C34="","",IF(AND(H34="No",J34="No"),"🚩 Budget  ·  🚩 No one on camera",IF(H34="No","🚩 Budget under AED 5k",IF(J34="No","🚩 No one on camera",""))))</f>
        <v/>
      </c>
      <c r="R34" s="44" t="str">
        <f aca="false">IF(C34="","",IF(N(N34)&lt;6,"Finish the scoresheet before closing",IF(P34="Hot","Close now – send the contract / proposal today",IF(P34="Warm","Send proposal + a relevant result; follow up in 3 days","Rep's call – nurture or close politely")))&amp;IF(Q34&lt;&gt;""," (handle the 🚩 first)",""))</f>
        <v/>
      </c>
      <c r="S34" s="17"/>
      <c r="T34" s="17"/>
      <c r="U34" s="44" t="str">
        <f aca="false">IF(C34="","",IF(COUNTIF(C35:C$501,C34)=0,1,0))</f>
        <v/>
      </c>
    </row>
    <row r="35" customFormat="false" ht="15" hidden="false" customHeight="false" outlineLevel="0" collapsed="false">
      <c r="A35" s="17"/>
      <c r="B35" s="40"/>
      <c r="C35" s="17"/>
      <c r="D35" s="44" t="str">
        <f aca="false">IF(C35="","",IFERROR(INDEX(Inbound!$E$2:$E$501,MATCH(C35,Inbound!$A$2:$A$501,0)),IFERROR(INDEX(Outbound!$D$2:$D$501,MATCH(C35,Outbound!$A$2:$A$501,0)),"Lead ID not found")))</f>
        <v/>
      </c>
      <c r="E35" s="44" t="str">
        <f aca="false">IF(C35="","",IFERROR(INDEX(Inbound!$F$2:$F$501,MATCH(C35,Inbound!$A$2:$A$501,0)),IFERROR(INDEX(Outbound!$E$2:$E$501,MATCH(C35,Outbound!$A$2:$A$501,0)),"Lead ID not found")))</f>
        <v/>
      </c>
      <c r="F35" s="17"/>
      <c r="G35" s="17"/>
      <c r="H35" s="17"/>
      <c r="I35" s="17"/>
      <c r="J35" s="17"/>
      <c r="K35" s="17"/>
      <c r="L35" s="17"/>
      <c r="M35" s="17"/>
      <c r="N35" s="44" t="str">
        <f aca="false">IF(C35="","",COUNTA(H35:M35))</f>
        <v/>
      </c>
      <c r="O35" s="44" t="str">
        <f aca="false">IF(OR(C35="",N(N35)=0),"",SUMIFS(Settings!$AA$2:$AA$21,Settings!$Y$2:$Y$21,"Budget AED 5k+/mo?",Settings!$Z$2:$Z$21,H35)+SUMIFS(Settings!$AA$2:$AA$21,Settings!$Y$2:$Y$21,"Decision-maker?",Settings!$Z$2:$Z$21,I35)+SUMIFS(Settings!$AA$2:$AA$21,Settings!$Y$2:$Y$21,"Someone on camera?",Settings!$Z$2:$Z$21,J35)+SUMIFS(Settings!$AA$2:$AA$21,Settings!$Y$2:$Y$21,"OK with 3-month term?",Settings!$Z$2:$Z$21,K35)+SUMIFS(Settings!$AA$2:$AA$21,Settings!$Y$2:$Y$21,"Start timeline",Settings!$Z$2:$Z$21,L35)+SUMIFS(Settings!$AA$2:$AA$21,Settings!$Y$2:$Y$21,"Social media gap",Settings!$Z$2:$Z$21,M35)+IF(OR(E35="",E35="Lead ID not found"),0,IF(COUNTIF(Settings!$AC$2:$AC$6,E35)&gt;0,Settings!$AA$20,Settings!$AA$21)))</f>
        <v/>
      </c>
      <c r="P35" s="44" t="str">
        <f aca="false">IF(C35="","",IF(N(N35)&lt;6,"Partly scored ("&amp;N35&amp;"/6)",IF(O35&gt;=Settings!$S$8,"Hot",IF(O35&gt;=Settings!$S$9,"Warm","Cold"))))</f>
        <v/>
      </c>
      <c r="Q35" s="44" t="str">
        <f aca="false">IF(C35="","",IF(AND(H35="No",J35="No"),"🚩 Budget  ·  🚩 No one on camera",IF(H35="No","🚩 Budget under AED 5k",IF(J35="No","🚩 No one on camera",""))))</f>
        <v/>
      </c>
      <c r="R35" s="44" t="str">
        <f aca="false">IF(C35="","",IF(N(N35)&lt;6,"Finish the scoresheet before closing",IF(P35="Hot","Close now – send the contract / proposal today",IF(P35="Warm","Send proposal + a relevant result; follow up in 3 days","Rep's call – nurture or close politely")))&amp;IF(Q35&lt;&gt;""," (handle the 🚩 first)",""))</f>
        <v/>
      </c>
      <c r="S35" s="17"/>
      <c r="T35" s="17"/>
      <c r="U35" s="44" t="str">
        <f aca="false">IF(C35="","",IF(COUNTIF(C36:C$501,C35)=0,1,0))</f>
        <v/>
      </c>
    </row>
    <row r="36" customFormat="false" ht="15" hidden="false" customHeight="false" outlineLevel="0" collapsed="false">
      <c r="A36" s="17"/>
      <c r="B36" s="40"/>
      <c r="C36" s="17"/>
      <c r="D36" s="44" t="str">
        <f aca="false">IF(C36="","",IFERROR(INDEX(Inbound!$E$2:$E$501,MATCH(C36,Inbound!$A$2:$A$501,0)),IFERROR(INDEX(Outbound!$D$2:$D$501,MATCH(C36,Outbound!$A$2:$A$501,0)),"Lead ID not found")))</f>
        <v/>
      </c>
      <c r="E36" s="44" t="str">
        <f aca="false">IF(C36="","",IFERROR(INDEX(Inbound!$F$2:$F$501,MATCH(C36,Inbound!$A$2:$A$501,0)),IFERROR(INDEX(Outbound!$E$2:$E$501,MATCH(C36,Outbound!$A$2:$A$501,0)),"Lead ID not found")))</f>
        <v/>
      </c>
      <c r="F36" s="17"/>
      <c r="G36" s="17"/>
      <c r="H36" s="17"/>
      <c r="I36" s="17"/>
      <c r="J36" s="17"/>
      <c r="K36" s="17"/>
      <c r="L36" s="17"/>
      <c r="M36" s="17"/>
      <c r="N36" s="44" t="str">
        <f aca="false">IF(C36="","",COUNTA(H36:M36))</f>
        <v/>
      </c>
      <c r="O36" s="44" t="str">
        <f aca="false">IF(OR(C36="",N(N36)=0),"",SUMIFS(Settings!$AA$2:$AA$21,Settings!$Y$2:$Y$21,"Budget AED 5k+/mo?",Settings!$Z$2:$Z$21,H36)+SUMIFS(Settings!$AA$2:$AA$21,Settings!$Y$2:$Y$21,"Decision-maker?",Settings!$Z$2:$Z$21,I36)+SUMIFS(Settings!$AA$2:$AA$21,Settings!$Y$2:$Y$21,"Someone on camera?",Settings!$Z$2:$Z$21,J36)+SUMIFS(Settings!$AA$2:$AA$21,Settings!$Y$2:$Y$21,"OK with 3-month term?",Settings!$Z$2:$Z$21,K36)+SUMIFS(Settings!$AA$2:$AA$21,Settings!$Y$2:$Y$21,"Start timeline",Settings!$Z$2:$Z$21,L36)+SUMIFS(Settings!$AA$2:$AA$21,Settings!$Y$2:$Y$21,"Social media gap",Settings!$Z$2:$Z$21,M36)+IF(OR(E36="",E36="Lead ID not found"),0,IF(COUNTIF(Settings!$AC$2:$AC$6,E36)&gt;0,Settings!$AA$20,Settings!$AA$21)))</f>
        <v/>
      </c>
      <c r="P36" s="44" t="str">
        <f aca="false">IF(C36="","",IF(N(N36)&lt;6,"Partly scored ("&amp;N36&amp;"/6)",IF(O36&gt;=Settings!$S$8,"Hot",IF(O36&gt;=Settings!$S$9,"Warm","Cold"))))</f>
        <v/>
      </c>
      <c r="Q36" s="44" t="str">
        <f aca="false">IF(C36="","",IF(AND(H36="No",J36="No"),"🚩 Budget  ·  🚩 No one on camera",IF(H36="No","🚩 Budget under AED 5k",IF(J36="No","🚩 No one on camera",""))))</f>
        <v/>
      </c>
      <c r="R36" s="44" t="str">
        <f aca="false">IF(C36="","",IF(N(N36)&lt;6,"Finish the scoresheet before closing",IF(P36="Hot","Close now – send the contract / proposal today",IF(P36="Warm","Send proposal + a relevant result; follow up in 3 days","Rep's call – nurture or close politely")))&amp;IF(Q36&lt;&gt;""," (handle the 🚩 first)",""))</f>
        <v/>
      </c>
      <c r="S36" s="17"/>
      <c r="T36" s="17"/>
      <c r="U36" s="44" t="str">
        <f aca="false">IF(C36="","",IF(COUNTIF(C37:C$501,C36)=0,1,0))</f>
        <v/>
      </c>
    </row>
    <row r="37" customFormat="false" ht="15" hidden="false" customHeight="false" outlineLevel="0" collapsed="false">
      <c r="A37" s="17"/>
      <c r="B37" s="40"/>
      <c r="C37" s="17"/>
      <c r="D37" s="44" t="str">
        <f aca="false">IF(C37="","",IFERROR(INDEX(Inbound!$E$2:$E$501,MATCH(C37,Inbound!$A$2:$A$501,0)),IFERROR(INDEX(Outbound!$D$2:$D$501,MATCH(C37,Outbound!$A$2:$A$501,0)),"Lead ID not found")))</f>
        <v/>
      </c>
      <c r="E37" s="44" t="str">
        <f aca="false">IF(C37="","",IFERROR(INDEX(Inbound!$F$2:$F$501,MATCH(C37,Inbound!$A$2:$A$501,0)),IFERROR(INDEX(Outbound!$E$2:$E$501,MATCH(C37,Outbound!$A$2:$A$501,0)),"Lead ID not found")))</f>
        <v/>
      </c>
      <c r="F37" s="17"/>
      <c r="G37" s="17"/>
      <c r="H37" s="17"/>
      <c r="I37" s="17"/>
      <c r="J37" s="17"/>
      <c r="K37" s="17"/>
      <c r="L37" s="17"/>
      <c r="M37" s="17"/>
      <c r="N37" s="44" t="str">
        <f aca="false">IF(C37="","",COUNTA(H37:M37))</f>
        <v/>
      </c>
      <c r="O37" s="44" t="str">
        <f aca="false">IF(OR(C37="",N(N37)=0),"",SUMIFS(Settings!$AA$2:$AA$21,Settings!$Y$2:$Y$21,"Budget AED 5k+/mo?",Settings!$Z$2:$Z$21,H37)+SUMIFS(Settings!$AA$2:$AA$21,Settings!$Y$2:$Y$21,"Decision-maker?",Settings!$Z$2:$Z$21,I37)+SUMIFS(Settings!$AA$2:$AA$21,Settings!$Y$2:$Y$21,"Someone on camera?",Settings!$Z$2:$Z$21,J37)+SUMIFS(Settings!$AA$2:$AA$21,Settings!$Y$2:$Y$21,"OK with 3-month term?",Settings!$Z$2:$Z$21,K37)+SUMIFS(Settings!$AA$2:$AA$21,Settings!$Y$2:$Y$21,"Start timeline",Settings!$Z$2:$Z$21,L37)+SUMIFS(Settings!$AA$2:$AA$21,Settings!$Y$2:$Y$21,"Social media gap",Settings!$Z$2:$Z$21,M37)+IF(OR(E37="",E37="Lead ID not found"),0,IF(COUNTIF(Settings!$AC$2:$AC$6,E37)&gt;0,Settings!$AA$20,Settings!$AA$21)))</f>
        <v/>
      </c>
      <c r="P37" s="44" t="str">
        <f aca="false">IF(C37="","",IF(N(N37)&lt;6,"Partly scored ("&amp;N37&amp;"/6)",IF(O37&gt;=Settings!$S$8,"Hot",IF(O37&gt;=Settings!$S$9,"Warm","Cold"))))</f>
        <v/>
      </c>
      <c r="Q37" s="44" t="str">
        <f aca="false">IF(C37="","",IF(AND(H37="No",J37="No"),"🚩 Budget  ·  🚩 No one on camera",IF(H37="No","🚩 Budget under AED 5k",IF(J37="No","🚩 No one on camera",""))))</f>
        <v/>
      </c>
      <c r="R37" s="44" t="str">
        <f aca="false">IF(C37="","",IF(N(N37)&lt;6,"Finish the scoresheet before closing",IF(P37="Hot","Close now – send the contract / proposal today",IF(P37="Warm","Send proposal + a relevant result; follow up in 3 days","Rep's call – nurture or close politely")))&amp;IF(Q37&lt;&gt;""," (handle the 🚩 first)",""))</f>
        <v/>
      </c>
      <c r="S37" s="17"/>
      <c r="T37" s="17"/>
      <c r="U37" s="44" t="str">
        <f aca="false">IF(C37="","",IF(COUNTIF(C38:C$501,C37)=0,1,0))</f>
        <v/>
      </c>
    </row>
    <row r="38" customFormat="false" ht="15" hidden="false" customHeight="false" outlineLevel="0" collapsed="false">
      <c r="A38" s="17"/>
      <c r="B38" s="40"/>
      <c r="C38" s="17"/>
      <c r="D38" s="44" t="str">
        <f aca="false">IF(C38="","",IFERROR(INDEX(Inbound!$E$2:$E$501,MATCH(C38,Inbound!$A$2:$A$501,0)),IFERROR(INDEX(Outbound!$D$2:$D$501,MATCH(C38,Outbound!$A$2:$A$501,0)),"Lead ID not found")))</f>
        <v/>
      </c>
      <c r="E38" s="44" t="str">
        <f aca="false">IF(C38="","",IFERROR(INDEX(Inbound!$F$2:$F$501,MATCH(C38,Inbound!$A$2:$A$501,0)),IFERROR(INDEX(Outbound!$E$2:$E$501,MATCH(C38,Outbound!$A$2:$A$501,0)),"Lead ID not found")))</f>
        <v/>
      </c>
      <c r="F38" s="17"/>
      <c r="G38" s="17"/>
      <c r="H38" s="17"/>
      <c r="I38" s="17"/>
      <c r="J38" s="17"/>
      <c r="K38" s="17"/>
      <c r="L38" s="17"/>
      <c r="M38" s="17"/>
      <c r="N38" s="44" t="str">
        <f aca="false">IF(C38="","",COUNTA(H38:M38))</f>
        <v/>
      </c>
      <c r="O38" s="44" t="str">
        <f aca="false">IF(OR(C38="",N(N38)=0),"",SUMIFS(Settings!$AA$2:$AA$21,Settings!$Y$2:$Y$21,"Budget AED 5k+/mo?",Settings!$Z$2:$Z$21,H38)+SUMIFS(Settings!$AA$2:$AA$21,Settings!$Y$2:$Y$21,"Decision-maker?",Settings!$Z$2:$Z$21,I38)+SUMIFS(Settings!$AA$2:$AA$21,Settings!$Y$2:$Y$21,"Someone on camera?",Settings!$Z$2:$Z$21,J38)+SUMIFS(Settings!$AA$2:$AA$21,Settings!$Y$2:$Y$21,"OK with 3-month term?",Settings!$Z$2:$Z$21,K38)+SUMIFS(Settings!$AA$2:$AA$21,Settings!$Y$2:$Y$21,"Start timeline",Settings!$Z$2:$Z$21,L38)+SUMIFS(Settings!$AA$2:$AA$21,Settings!$Y$2:$Y$21,"Social media gap",Settings!$Z$2:$Z$21,M38)+IF(OR(E38="",E38="Lead ID not found"),0,IF(COUNTIF(Settings!$AC$2:$AC$6,E38)&gt;0,Settings!$AA$20,Settings!$AA$21)))</f>
        <v/>
      </c>
      <c r="P38" s="44" t="str">
        <f aca="false">IF(C38="","",IF(N(N38)&lt;6,"Partly scored ("&amp;N38&amp;"/6)",IF(O38&gt;=Settings!$S$8,"Hot",IF(O38&gt;=Settings!$S$9,"Warm","Cold"))))</f>
        <v/>
      </c>
      <c r="Q38" s="44" t="str">
        <f aca="false">IF(C38="","",IF(AND(H38="No",J38="No"),"🚩 Budget  ·  🚩 No one on camera",IF(H38="No","🚩 Budget under AED 5k",IF(J38="No","🚩 No one on camera",""))))</f>
        <v/>
      </c>
      <c r="R38" s="44" t="str">
        <f aca="false">IF(C38="","",IF(N(N38)&lt;6,"Finish the scoresheet before closing",IF(P38="Hot","Close now – send the contract / proposal today",IF(P38="Warm","Send proposal + a relevant result; follow up in 3 days","Rep's call – nurture or close politely")))&amp;IF(Q38&lt;&gt;""," (handle the 🚩 first)",""))</f>
        <v/>
      </c>
      <c r="S38" s="17"/>
      <c r="T38" s="17"/>
      <c r="U38" s="44" t="str">
        <f aca="false">IF(C38="","",IF(COUNTIF(C39:C$501,C38)=0,1,0))</f>
        <v/>
      </c>
    </row>
    <row r="39" customFormat="false" ht="15" hidden="false" customHeight="false" outlineLevel="0" collapsed="false">
      <c r="A39" s="17"/>
      <c r="B39" s="40"/>
      <c r="C39" s="17"/>
      <c r="D39" s="44" t="str">
        <f aca="false">IF(C39="","",IFERROR(INDEX(Inbound!$E$2:$E$501,MATCH(C39,Inbound!$A$2:$A$501,0)),IFERROR(INDEX(Outbound!$D$2:$D$501,MATCH(C39,Outbound!$A$2:$A$501,0)),"Lead ID not found")))</f>
        <v/>
      </c>
      <c r="E39" s="44" t="str">
        <f aca="false">IF(C39="","",IFERROR(INDEX(Inbound!$F$2:$F$501,MATCH(C39,Inbound!$A$2:$A$501,0)),IFERROR(INDEX(Outbound!$E$2:$E$501,MATCH(C39,Outbound!$A$2:$A$501,0)),"Lead ID not found")))</f>
        <v/>
      </c>
      <c r="F39" s="17"/>
      <c r="G39" s="17"/>
      <c r="H39" s="17"/>
      <c r="I39" s="17"/>
      <c r="J39" s="17"/>
      <c r="K39" s="17"/>
      <c r="L39" s="17"/>
      <c r="M39" s="17"/>
      <c r="N39" s="44" t="str">
        <f aca="false">IF(C39="","",COUNTA(H39:M39))</f>
        <v/>
      </c>
      <c r="O39" s="44" t="str">
        <f aca="false">IF(OR(C39="",N(N39)=0),"",SUMIFS(Settings!$AA$2:$AA$21,Settings!$Y$2:$Y$21,"Budget AED 5k+/mo?",Settings!$Z$2:$Z$21,H39)+SUMIFS(Settings!$AA$2:$AA$21,Settings!$Y$2:$Y$21,"Decision-maker?",Settings!$Z$2:$Z$21,I39)+SUMIFS(Settings!$AA$2:$AA$21,Settings!$Y$2:$Y$21,"Someone on camera?",Settings!$Z$2:$Z$21,J39)+SUMIFS(Settings!$AA$2:$AA$21,Settings!$Y$2:$Y$21,"OK with 3-month term?",Settings!$Z$2:$Z$21,K39)+SUMIFS(Settings!$AA$2:$AA$21,Settings!$Y$2:$Y$21,"Start timeline",Settings!$Z$2:$Z$21,L39)+SUMIFS(Settings!$AA$2:$AA$21,Settings!$Y$2:$Y$21,"Social media gap",Settings!$Z$2:$Z$21,M39)+IF(OR(E39="",E39="Lead ID not found"),0,IF(COUNTIF(Settings!$AC$2:$AC$6,E39)&gt;0,Settings!$AA$20,Settings!$AA$21)))</f>
        <v/>
      </c>
      <c r="P39" s="44" t="str">
        <f aca="false">IF(C39="","",IF(N(N39)&lt;6,"Partly scored ("&amp;N39&amp;"/6)",IF(O39&gt;=Settings!$S$8,"Hot",IF(O39&gt;=Settings!$S$9,"Warm","Cold"))))</f>
        <v/>
      </c>
      <c r="Q39" s="44" t="str">
        <f aca="false">IF(C39="","",IF(AND(H39="No",J39="No"),"🚩 Budget  ·  🚩 No one on camera",IF(H39="No","🚩 Budget under AED 5k",IF(J39="No","🚩 No one on camera",""))))</f>
        <v/>
      </c>
      <c r="R39" s="44" t="str">
        <f aca="false">IF(C39="","",IF(N(N39)&lt;6,"Finish the scoresheet before closing",IF(P39="Hot","Close now – send the contract / proposal today",IF(P39="Warm","Send proposal + a relevant result; follow up in 3 days","Rep's call – nurture or close politely")))&amp;IF(Q39&lt;&gt;""," (handle the 🚩 first)",""))</f>
        <v/>
      </c>
      <c r="S39" s="17"/>
      <c r="T39" s="17"/>
      <c r="U39" s="44" t="str">
        <f aca="false">IF(C39="","",IF(COUNTIF(C40:C$501,C39)=0,1,0))</f>
        <v/>
      </c>
    </row>
    <row r="40" customFormat="false" ht="15" hidden="false" customHeight="false" outlineLevel="0" collapsed="false">
      <c r="A40" s="17"/>
      <c r="B40" s="40"/>
      <c r="C40" s="17"/>
      <c r="D40" s="44" t="str">
        <f aca="false">IF(C40="","",IFERROR(INDEX(Inbound!$E$2:$E$501,MATCH(C40,Inbound!$A$2:$A$501,0)),IFERROR(INDEX(Outbound!$D$2:$D$501,MATCH(C40,Outbound!$A$2:$A$501,0)),"Lead ID not found")))</f>
        <v/>
      </c>
      <c r="E40" s="44" t="str">
        <f aca="false">IF(C40="","",IFERROR(INDEX(Inbound!$F$2:$F$501,MATCH(C40,Inbound!$A$2:$A$501,0)),IFERROR(INDEX(Outbound!$E$2:$E$501,MATCH(C40,Outbound!$A$2:$A$501,0)),"Lead ID not found")))</f>
        <v/>
      </c>
      <c r="F40" s="17"/>
      <c r="G40" s="17"/>
      <c r="H40" s="17"/>
      <c r="I40" s="17"/>
      <c r="J40" s="17"/>
      <c r="K40" s="17"/>
      <c r="L40" s="17"/>
      <c r="M40" s="17"/>
      <c r="N40" s="44" t="str">
        <f aca="false">IF(C40="","",COUNTA(H40:M40))</f>
        <v/>
      </c>
      <c r="O40" s="44" t="str">
        <f aca="false">IF(OR(C40="",N(N40)=0),"",SUMIFS(Settings!$AA$2:$AA$21,Settings!$Y$2:$Y$21,"Budget AED 5k+/mo?",Settings!$Z$2:$Z$21,H40)+SUMIFS(Settings!$AA$2:$AA$21,Settings!$Y$2:$Y$21,"Decision-maker?",Settings!$Z$2:$Z$21,I40)+SUMIFS(Settings!$AA$2:$AA$21,Settings!$Y$2:$Y$21,"Someone on camera?",Settings!$Z$2:$Z$21,J40)+SUMIFS(Settings!$AA$2:$AA$21,Settings!$Y$2:$Y$21,"OK with 3-month term?",Settings!$Z$2:$Z$21,K40)+SUMIFS(Settings!$AA$2:$AA$21,Settings!$Y$2:$Y$21,"Start timeline",Settings!$Z$2:$Z$21,L40)+SUMIFS(Settings!$AA$2:$AA$21,Settings!$Y$2:$Y$21,"Social media gap",Settings!$Z$2:$Z$21,M40)+IF(OR(E40="",E40="Lead ID not found"),0,IF(COUNTIF(Settings!$AC$2:$AC$6,E40)&gt;0,Settings!$AA$20,Settings!$AA$21)))</f>
        <v/>
      </c>
      <c r="P40" s="44" t="str">
        <f aca="false">IF(C40="","",IF(N(N40)&lt;6,"Partly scored ("&amp;N40&amp;"/6)",IF(O40&gt;=Settings!$S$8,"Hot",IF(O40&gt;=Settings!$S$9,"Warm","Cold"))))</f>
        <v/>
      </c>
      <c r="Q40" s="44" t="str">
        <f aca="false">IF(C40="","",IF(AND(H40="No",J40="No"),"🚩 Budget  ·  🚩 No one on camera",IF(H40="No","🚩 Budget under AED 5k",IF(J40="No","🚩 No one on camera",""))))</f>
        <v/>
      </c>
      <c r="R40" s="44" t="str">
        <f aca="false">IF(C40="","",IF(N(N40)&lt;6,"Finish the scoresheet before closing",IF(P40="Hot","Close now – send the contract / proposal today",IF(P40="Warm","Send proposal + a relevant result; follow up in 3 days","Rep's call – nurture or close politely")))&amp;IF(Q40&lt;&gt;""," (handle the 🚩 first)",""))</f>
        <v/>
      </c>
      <c r="S40" s="17"/>
      <c r="T40" s="17"/>
      <c r="U40" s="44" t="str">
        <f aca="false">IF(C40="","",IF(COUNTIF(C41:C$501,C40)=0,1,0))</f>
        <v/>
      </c>
    </row>
    <row r="41" customFormat="false" ht="15" hidden="false" customHeight="false" outlineLevel="0" collapsed="false">
      <c r="A41" s="17"/>
      <c r="B41" s="40"/>
      <c r="C41" s="17"/>
      <c r="D41" s="44" t="str">
        <f aca="false">IF(C41="","",IFERROR(INDEX(Inbound!$E$2:$E$501,MATCH(C41,Inbound!$A$2:$A$501,0)),IFERROR(INDEX(Outbound!$D$2:$D$501,MATCH(C41,Outbound!$A$2:$A$501,0)),"Lead ID not found")))</f>
        <v/>
      </c>
      <c r="E41" s="44" t="str">
        <f aca="false">IF(C41="","",IFERROR(INDEX(Inbound!$F$2:$F$501,MATCH(C41,Inbound!$A$2:$A$501,0)),IFERROR(INDEX(Outbound!$E$2:$E$501,MATCH(C41,Outbound!$A$2:$A$501,0)),"Lead ID not found")))</f>
        <v/>
      </c>
      <c r="F41" s="17"/>
      <c r="G41" s="17"/>
      <c r="H41" s="17"/>
      <c r="I41" s="17"/>
      <c r="J41" s="17"/>
      <c r="K41" s="17"/>
      <c r="L41" s="17"/>
      <c r="M41" s="17"/>
      <c r="N41" s="44" t="str">
        <f aca="false">IF(C41="","",COUNTA(H41:M41))</f>
        <v/>
      </c>
      <c r="O41" s="44" t="str">
        <f aca="false">IF(OR(C41="",N(N41)=0),"",SUMIFS(Settings!$AA$2:$AA$21,Settings!$Y$2:$Y$21,"Budget AED 5k+/mo?",Settings!$Z$2:$Z$21,H41)+SUMIFS(Settings!$AA$2:$AA$21,Settings!$Y$2:$Y$21,"Decision-maker?",Settings!$Z$2:$Z$21,I41)+SUMIFS(Settings!$AA$2:$AA$21,Settings!$Y$2:$Y$21,"Someone on camera?",Settings!$Z$2:$Z$21,J41)+SUMIFS(Settings!$AA$2:$AA$21,Settings!$Y$2:$Y$21,"OK with 3-month term?",Settings!$Z$2:$Z$21,K41)+SUMIFS(Settings!$AA$2:$AA$21,Settings!$Y$2:$Y$21,"Start timeline",Settings!$Z$2:$Z$21,L41)+SUMIFS(Settings!$AA$2:$AA$21,Settings!$Y$2:$Y$21,"Social media gap",Settings!$Z$2:$Z$21,M41)+IF(OR(E41="",E41="Lead ID not found"),0,IF(COUNTIF(Settings!$AC$2:$AC$6,E41)&gt;0,Settings!$AA$20,Settings!$AA$21)))</f>
        <v/>
      </c>
      <c r="P41" s="44" t="str">
        <f aca="false">IF(C41="","",IF(N(N41)&lt;6,"Partly scored ("&amp;N41&amp;"/6)",IF(O41&gt;=Settings!$S$8,"Hot",IF(O41&gt;=Settings!$S$9,"Warm","Cold"))))</f>
        <v/>
      </c>
      <c r="Q41" s="44" t="str">
        <f aca="false">IF(C41="","",IF(AND(H41="No",J41="No"),"🚩 Budget  ·  🚩 No one on camera",IF(H41="No","🚩 Budget under AED 5k",IF(J41="No","🚩 No one on camera",""))))</f>
        <v/>
      </c>
      <c r="R41" s="44" t="str">
        <f aca="false">IF(C41="","",IF(N(N41)&lt;6,"Finish the scoresheet before closing",IF(P41="Hot","Close now – send the contract / proposal today",IF(P41="Warm","Send proposal + a relevant result; follow up in 3 days","Rep's call – nurture or close politely")))&amp;IF(Q41&lt;&gt;""," (handle the 🚩 first)",""))</f>
        <v/>
      </c>
      <c r="S41" s="17"/>
      <c r="T41" s="17"/>
      <c r="U41" s="44" t="str">
        <f aca="false">IF(C41="","",IF(COUNTIF(C42:C$501,C41)=0,1,0))</f>
        <v/>
      </c>
    </row>
    <row r="42" customFormat="false" ht="15" hidden="false" customHeight="false" outlineLevel="0" collapsed="false">
      <c r="A42" s="17"/>
      <c r="B42" s="40"/>
      <c r="C42" s="17"/>
      <c r="D42" s="44" t="str">
        <f aca="false">IF(C42="","",IFERROR(INDEX(Inbound!$E$2:$E$501,MATCH(C42,Inbound!$A$2:$A$501,0)),IFERROR(INDEX(Outbound!$D$2:$D$501,MATCH(C42,Outbound!$A$2:$A$501,0)),"Lead ID not found")))</f>
        <v/>
      </c>
      <c r="E42" s="44" t="str">
        <f aca="false">IF(C42="","",IFERROR(INDEX(Inbound!$F$2:$F$501,MATCH(C42,Inbound!$A$2:$A$501,0)),IFERROR(INDEX(Outbound!$E$2:$E$501,MATCH(C42,Outbound!$A$2:$A$501,0)),"Lead ID not found")))</f>
        <v/>
      </c>
      <c r="F42" s="17"/>
      <c r="G42" s="17"/>
      <c r="H42" s="17"/>
      <c r="I42" s="17"/>
      <c r="J42" s="17"/>
      <c r="K42" s="17"/>
      <c r="L42" s="17"/>
      <c r="M42" s="17"/>
      <c r="N42" s="44" t="str">
        <f aca="false">IF(C42="","",COUNTA(H42:M42))</f>
        <v/>
      </c>
      <c r="O42" s="44" t="str">
        <f aca="false">IF(OR(C42="",N(N42)=0),"",SUMIFS(Settings!$AA$2:$AA$21,Settings!$Y$2:$Y$21,"Budget AED 5k+/mo?",Settings!$Z$2:$Z$21,H42)+SUMIFS(Settings!$AA$2:$AA$21,Settings!$Y$2:$Y$21,"Decision-maker?",Settings!$Z$2:$Z$21,I42)+SUMIFS(Settings!$AA$2:$AA$21,Settings!$Y$2:$Y$21,"Someone on camera?",Settings!$Z$2:$Z$21,J42)+SUMIFS(Settings!$AA$2:$AA$21,Settings!$Y$2:$Y$21,"OK with 3-month term?",Settings!$Z$2:$Z$21,K42)+SUMIFS(Settings!$AA$2:$AA$21,Settings!$Y$2:$Y$21,"Start timeline",Settings!$Z$2:$Z$21,L42)+SUMIFS(Settings!$AA$2:$AA$21,Settings!$Y$2:$Y$21,"Social media gap",Settings!$Z$2:$Z$21,M42)+IF(OR(E42="",E42="Lead ID not found"),0,IF(COUNTIF(Settings!$AC$2:$AC$6,E42)&gt;0,Settings!$AA$20,Settings!$AA$21)))</f>
        <v/>
      </c>
      <c r="P42" s="44" t="str">
        <f aca="false">IF(C42="","",IF(N(N42)&lt;6,"Partly scored ("&amp;N42&amp;"/6)",IF(O42&gt;=Settings!$S$8,"Hot",IF(O42&gt;=Settings!$S$9,"Warm","Cold"))))</f>
        <v/>
      </c>
      <c r="Q42" s="44" t="str">
        <f aca="false">IF(C42="","",IF(AND(H42="No",J42="No"),"🚩 Budget  ·  🚩 No one on camera",IF(H42="No","🚩 Budget under AED 5k",IF(J42="No","🚩 No one on camera",""))))</f>
        <v/>
      </c>
      <c r="R42" s="44" t="str">
        <f aca="false">IF(C42="","",IF(N(N42)&lt;6,"Finish the scoresheet before closing",IF(P42="Hot","Close now – send the contract / proposal today",IF(P42="Warm","Send proposal + a relevant result; follow up in 3 days","Rep's call – nurture or close politely")))&amp;IF(Q42&lt;&gt;""," (handle the 🚩 first)",""))</f>
        <v/>
      </c>
      <c r="S42" s="17"/>
      <c r="T42" s="17"/>
      <c r="U42" s="44" t="str">
        <f aca="false">IF(C42="","",IF(COUNTIF(C43:C$501,C42)=0,1,0))</f>
        <v/>
      </c>
    </row>
    <row r="43" customFormat="false" ht="15" hidden="false" customHeight="false" outlineLevel="0" collapsed="false">
      <c r="A43" s="17"/>
      <c r="B43" s="40"/>
      <c r="C43" s="17"/>
      <c r="D43" s="44" t="str">
        <f aca="false">IF(C43="","",IFERROR(INDEX(Inbound!$E$2:$E$501,MATCH(C43,Inbound!$A$2:$A$501,0)),IFERROR(INDEX(Outbound!$D$2:$D$501,MATCH(C43,Outbound!$A$2:$A$501,0)),"Lead ID not found")))</f>
        <v/>
      </c>
      <c r="E43" s="44" t="str">
        <f aca="false">IF(C43="","",IFERROR(INDEX(Inbound!$F$2:$F$501,MATCH(C43,Inbound!$A$2:$A$501,0)),IFERROR(INDEX(Outbound!$E$2:$E$501,MATCH(C43,Outbound!$A$2:$A$501,0)),"Lead ID not found")))</f>
        <v/>
      </c>
      <c r="F43" s="17"/>
      <c r="G43" s="17"/>
      <c r="H43" s="17"/>
      <c r="I43" s="17"/>
      <c r="J43" s="17"/>
      <c r="K43" s="17"/>
      <c r="L43" s="17"/>
      <c r="M43" s="17"/>
      <c r="N43" s="44" t="str">
        <f aca="false">IF(C43="","",COUNTA(H43:M43))</f>
        <v/>
      </c>
      <c r="O43" s="44" t="str">
        <f aca="false">IF(OR(C43="",N(N43)=0),"",SUMIFS(Settings!$AA$2:$AA$21,Settings!$Y$2:$Y$21,"Budget AED 5k+/mo?",Settings!$Z$2:$Z$21,H43)+SUMIFS(Settings!$AA$2:$AA$21,Settings!$Y$2:$Y$21,"Decision-maker?",Settings!$Z$2:$Z$21,I43)+SUMIFS(Settings!$AA$2:$AA$21,Settings!$Y$2:$Y$21,"Someone on camera?",Settings!$Z$2:$Z$21,J43)+SUMIFS(Settings!$AA$2:$AA$21,Settings!$Y$2:$Y$21,"OK with 3-month term?",Settings!$Z$2:$Z$21,K43)+SUMIFS(Settings!$AA$2:$AA$21,Settings!$Y$2:$Y$21,"Start timeline",Settings!$Z$2:$Z$21,L43)+SUMIFS(Settings!$AA$2:$AA$21,Settings!$Y$2:$Y$21,"Social media gap",Settings!$Z$2:$Z$21,M43)+IF(OR(E43="",E43="Lead ID not found"),0,IF(COUNTIF(Settings!$AC$2:$AC$6,E43)&gt;0,Settings!$AA$20,Settings!$AA$21)))</f>
        <v/>
      </c>
      <c r="P43" s="44" t="str">
        <f aca="false">IF(C43="","",IF(N(N43)&lt;6,"Partly scored ("&amp;N43&amp;"/6)",IF(O43&gt;=Settings!$S$8,"Hot",IF(O43&gt;=Settings!$S$9,"Warm","Cold"))))</f>
        <v/>
      </c>
      <c r="Q43" s="44" t="str">
        <f aca="false">IF(C43="","",IF(AND(H43="No",J43="No"),"🚩 Budget  ·  🚩 No one on camera",IF(H43="No","🚩 Budget under AED 5k",IF(J43="No","🚩 No one on camera",""))))</f>
        <v/>
      </c>
      <c r="R43" s="44" t="str">
        <f aca="false">IF(C43="","",IF(N(N43)&lt;6,"Finish the scoresheet before closing",IF(P43="Hot","Close now – send the contract / proposal today",IF(P43="Warm","Send proposal + a relevant result; follow up in 3 days","Rep's call – nurture or close politely")))&amp;IF(Q43&lt;&gt;""," (handle the 🚩 first)",""))</f>
        <v/>
      </c>
      <c r="S43" s="17"/>
      <c r="T43" s="17"/>
      <c r="U43" s="44" t="str">
        <f aca="false">IF(C43="","",IF(COUNTIF(C44:C$501,C43)=0,1,0))</f>
        <v/>
      </c>
    </row>
    <row r="44" customFormat="false" ht="15" hidden="false" customHeight="false" outlineLevel="0" collapsed="false">
      <c r="A44" s="17"/>
      <c r="B44" s="40"/>
      <c r="C44" s="17"/>
      <c r="D44" s="44" t="str">
        <f aca="false">IF(C44="","",IFERROR(INDEX(Inbound!$E$2:$E$501,MATCH(C44,Inbound!$A$2:$A$501,0)),IFERROR(INDEX(Outbound!$D$2:$D$501,MATCH(C44,Outbound!$A$2:$A$501,0)),"Lead ID not found")))</f>
        <v/>
      </c>
      <c r="E44" s="44" t="str">
        <f aca="false">IF(C44="","",IFERROR(INDEX(Inbound!$F$2:$F$501,MATCH(C44,Inbound!$A$2:$A$501,0)),IFERROR(INDEX(Outbound!$E$2:$E$501,MATCH(C44,Outbound!$A$2:$A$501,0)),"Lead ID not found")))</f>
        <v/>
      </c>
      <c r="F44" s="17"/>
      <c r="G44" s="17"/>
      <c r="H44" s="17"/>
      <c r="I44" s="17"/>
      <c r="J44" s="17"/>
      <c r="K44" s="17"/>
      <c r="L44" s="17"/>
      <c r="M44" s="17"/>
      <c r="N44" s="44" t="str">
        <f aca="false">IF(C44="","",COUNTA(H44:M44))</f>
        <v/>
      </c>
      <c r="O44" s="44" t="str">
        <f aca="false">IF(OR(C44="",N(N44)=0),"",SUMIFS(Settings!$AA$2:$AA$21,Settings!$Y$2:$Y$21,"Budget AED 5k+/mo?",Settings!$Z$2:$Z$21,H44)+SUMIFS(Settings!$AA$2:$AA$21,Settings!$Y$2:$Y$21,"Decision-maker?",Settings!$Z$2:$Z$21,I44)+SUMIFS(Settings!$AA$2:$AA$21,Settings!$Y$2:$Y$21,"Someone on camera?",Settings!$Z$2:$Z$21,J44)+SUMIFS(Settings!$AA$2:$AA$21,Settings!$Y$2:$Y$21,"OK with 3-month term?",Settings!$Z$2:$Z$21,K44)+SUMIFS(Settings!$AA$2:$AA$21,Settings!$Y$2:$Y$21,"Start timeline",Settings!$Z$2:$Z$21,L44)+SUMIFS(Settings!$AA$2:$AA$21,Settings!$Y$2:$Y$21,"Social media gap",Settings!$Z$2:$Z$21,M44)+IF(OR(E44="",E44="Lead ID not found"),0,IF(COUNTIF(Settings!$AC$2:$AC$6,E44)&gt;0,Settings!$AA$20,Settings!$AA$21)))</f>
        <v/>
      </c>
      <c r="P44" s="44" t="str">
        <f aca="false">IF(C44="","",IF(N(N44)&lt;6,"Partly scored ("&amp;N44&amp;"/6)",IF(O44&gt;=Settings!$S$8,"Hot",IF(O44&gt;=Settings!$S$9,"Warm","Cold"))))</f>
        <v/>
      </c>
      <c r="Q44" s="44" t="str">
        <f aca="false">IF(C44="","",IF(AND(H44="No",J44="No"),"🚩 Budget  ·  🚩 No one on camera",IF(H44="No","🚩 Budget under AED 5k",IF(J44="No","🚩 No one on camera",""))))</f>
        <v/>
      </c>
      <c r="R44" s="44" t="str">
        <f aca="false">IF(C44="","",IF(N(N44)&lt;6,"Finish the scoresheet before closing",IF(P44="Hot","Close now – send the contract / proposal today",IF(P44="Warm","Send proposal + a relevant result; follow up in 3 days","Rep's call – nurture or close politely")))&amp;IF(Q44&lt;&gt;""," (handle the 🚩 first)",""))</f>
        <v/>
      </c>
      <c r="S44" s="17"/>
      <c r="T44" s="17"/>
      <c r="U44" s="44" t="str">
        <f aca="false">IF(C44="","",IF(COUNTIF(C45:C$501,C44)=0,1,0))</f>
        <v/>
      </c>
    </row>
    <row r="45" customFormat="false" ht="15" hidden="false" customHeight="false" outlineLevel="0" collapsed="false">
      <c r="A45" s="17"/>
      <c r="B45" s="40"/>
      <c r="C45" s="17"/>
      <c r="D45" s="44" t="str">
        <f aca="false">IF(C45="","",IFERROR(INDEX(Inbound!$E$2:$E$501,MATCH(C45,Inbound!$A$2:$A$501,0)),IFERROR(INDEX(Outbound!$D$2:$D$501,MATCH(C45,Outbound!$A$2:$A$501,0)),"Lead ID not found")))</f>
        <v/>
      </c>
      <c r="E45" s="44" t="str">
        <f aca="false">IF(C45="","",IFERROR(INDEX(Inbound!$F$2:$F$501,MATCH(C45,Inbound!$A$2:$A$501,0)),IFERROR(INDEX(Outbound!$E$2:$E$501,MATCH(C45,Outbound!$A$2:$A$501,0)),"Lead ID not found")))</f>
        <v/>
      </c>
      <c r="F45" s="17"/>
      <c r="G45" s="17"/>
      <c r="H45" s="17"/>
      <c r="I45" s="17"/>
      <c r="J45" s="17"/>
      <c r="K45" s="17"/>
      <c r="L45" s="17"/>
      <c r="M45" s="17"/>
      <c r="N45" s="44" t="str">
        <f aca="false">IF(C45="","",COUNTA(H45:M45))</f>
        <v/>
      </c>
      <c r="O45" s="44" t="str">
        <f aca="false">IF(OR(C45="",N(N45)=0),"",SUMIFS(Settings!$AA$2:$AA$21,Settings!$Y$2:$Y$21,"Budget AED 5k+/mo?",Settings!$Z$2:$Z$21,H45)+SUMIFS(Settings!$AA$2:$AA$21,Settings!$Y$2:$Y$21,"Decision-maker?",Settings!$Z$2:$Z$21,I45)+SUMIFS(Settings!$AA$2:$AA$21,Settings!$Y$2:$Y$21,"Someone on camera?",Settings!$Z$2:$Z$21,J45)+SUMIFS(Settings!$AA$2:$AA$21,Settings!$Y$2:$Y$21,"OK with 3-month term?",Settings!$Z$2:$Z$21,K45)+SUMIFS(Settings!$AA$2:$AA$21,Settings!$Y$2:$Y$21,"Start timeline",Settings!$Z$2:$Z$21,L45)+SUMIFS(Settings!$AA$2:$AA$21,Settings!$Y$2:$Y$21,"Social media gap",Settings!$Z$2:$Z$21,M45)+IF(OR(E45="",E45="Lead ID not found"),0,IF(COUNTIF(Settings!$AC$2:$AC$6,E45)&gt;0,Settings!$AA$20,Settings!$AA$21)))</f>
        <v/>
      </c>
      <c r="P45" s="44" t="str">
        <f aca="false">IF(C45="","",IF(N(N45)&lt;6,"Partly scored ("&amp;N45&amp;"/6)",IF(O45&gt;=Settings!$S$8,"Hot",IF(O45&gt;=Settings!$S$9,"Warm","Cold"))))</f>
        <v/>
      </c>
      <c r="Q45" s="44" t="str">
        <f aca="false">IF(C45="","",IF(AND(H45="No",J45="No"),"🚩 Budget  ·  🚩 No one on camera",IF(H45="No","🚩 Budget under AED 5k",IF(J45="No","🚩 No one on camera",""))))</f>
        <v/>
      </c>
      <c r="R45" s="44" t="str">
        <f aca="false">IF(C45="","",IF(N(N45)&lt;6,"Finish the scoresheet before closing",IF(P45="Hot","Close now – send the contract / proposal today",IF(P45="Warm","Send proposal + a relevant result; follow up in 3 days","Rep's call – nurture or close politely")))&amp;IF(Q45&lt;&gt;""," (handle the 🚩 first)",""))</f>
        <v/>
      </c>
      <c r="S45" s="17"/>
      <c r="T45" s="17"/>
      <c r="U45" s="44" t="str">
        <f aca="false">IF(C45="","",IF(COUNTIF(C46:C$501,C45)=0,1,0))</f>
        <v/>
      </c>
    </row>
    <row r="46" customFormat="false" ht="15" hidden="false" customHeight="false" outlineLevel="0" collapsed="false">
      <c r="A46" s="17"/>
      <c r="B46" s="40"/>
      <c r="C46" s="17"/>
      <c r="D46" s="44" t="str">
        <f aca="false">IF(C46="","",IFERROR(INDEX(Inbound!$E$2:$E$501,MATCH(C46,Inbound!$A$2:$A$501,0)),IFERROR(INDEX(Outbound!$D$2:$D$501,MATCH(C46,Outbound!$A$2:$A$501,0)),"Lead ID not found")))</f>
        <v/>
      </c>
      <c r="E46" s="44" t="str">
        <f aca="false">IF(C46="","",IFERROR(INDEX(Inbound!$F$2:$F$501,MATCH(C46,Inbound!$A$2:$A$501,0)),IFERROR(INDEX(Outbound!$E$2:$E$501,MATCH(C46,Outbound!$A$2:$A$501,0)),"Lead ID not found")))</f>
        <v/>
      </c>
      <c r="F46" s="17"/>
      <c r="G46" s="17"/>
      <c r="H46" s="17"/>
      <c r="I46" s="17"/>
      <c r="J46" s="17"/>
      <c r="K46" s="17"/>
      <c r="L46" s="17"/>
      <c r="M46" s="17"/>
      <c r="N46" s="44" t="str">
        <f aca="false">IF(C46="","",COUNTA(H46:M46))</f>
        <v/>
      </c>
      <c r="O46" s="44" t="str">
        <f aca="false">IF(OR(C46="",N(N46)=0),"",SUMIFS(Settings!$AA$2:$AA$21,Settings!$Y$2:$Y$21,"Budget AED 5k+/mo?",Settings!$Z$2:$Z$21,H46)+SUMIFS(Settings!$AA$2:$AA$21,Settings!$Y$2:$Y$21,"Decision-maker?",Settings!$Z$2:$Z$21,I46)+SUMIFS(Settings!$AA$2:$AA$21,Settings!$Y$2:$Y$21,"Someone on camera?",Settings!$Z$2:$Z$21,J46)+SUMIFS(Settings!$AA$2:$AA$21,Settings!$Y$2:$Y$21,"OK with 3-month term?",Settings!$Z$2:$Z$21,K46)+SUMIFS(Settings!$AA$2:$AA$21,Settings!$Y$2:$Y$21,"Start timeline",Settings!$Z$2:$Z$21,L46)+SUMIFS(Settings!$AA$2:$AA$21,Settings!$Y$2:$Y$21,"Social media gap",Settings!$Z$2:$Z$21,M46)+IF(OR(E46="",E46="Lead ID not found"),0,IF(COUNTIF(Settings!$AC$2:$AC$6,E46)&gt;0,Settings!$AA$20,Settings!$AA$21)))</f>
        <v/>
      </c>
      <c r="P46" s="44" t="str">
        <f aca="false">IF(C46="","",IF(N(N46)&lt;6,"Partly scored ("&amp;N46&amp;"/6)",IF(O46&gt;=Settings!$S$8,"Hot",IF(O46&gt;=Settings!$S$9,"Warm","Cold"))))</f>
        <v/>
      </c>
      <c r="Q46" s="44" t="str">
        <f aca="false">IF(C46="","",IF(AND(H46="No",J46="No"),"🚩 Budget  ·  🚩 No one on camera",IF(H46="No","🚩 Budget under AED 5k",IF(J46="No","🚩 No one on camera",""))))</f>
        <v/>
      </c>
      <c r="R46" s="44" t="str">
        <f aca="false">IF(C46="","",IF(N(N46)&lt;6,"Finish the scoresheet before closing",IF(P46="Hot","Close now – send the contract / proposal today",IF(P46="Warm","Send proposal + a relevant result; follow up in 3 days","Rep's call – nurture or close politely")))&amp;IF(Q46&lt;&gt;""," (handle the 🚩 first)",""))</f>
        <v/>
      </c>
      <c r="S46" s="17"/>
      <c r="T46" s="17"/>
      <c r="U46" s="44" t="str">
        <f aca="false">IF(C46="","",IF(COUNTIF(C47:C$501,C46)=0,1,0))</f>
        <v/>
      </c>
    </row>
    <row r="47" customFormat="false" ht="15" hidden="false" customHeight="false" outlineLevel="0" collapsed="false">
      <c r="A47" s="17"/>
      <c r="B47" s="40"/>
      <c r="C47" s="17"/>
      <c r="D47" s="44" t="str">
        <f aca="false">IF(C47="","",IFERROR(INDEX(Inbound!$E$2:$E$501,MATCH(C47,Inbound!$A$2:$A$501,0)),IFERROR(INDEX(Outbound!$D$2:$D$501,MATCH(C47,Outbound!$A$2:$A$501,0)),"Lead ID not found")))</f>
        <v/>
      </c>
      <c r="E47" s="44" t="str">
        <f aca="false">IF(C47="","",IFERROR(INDEX(Inbound!$F$2:$F$501,MATCH(C47,Inbound!$A$2:$A$501,0)),IFERROR(INDEX(Outbound!$E$2:$E$501,MATCH(C47,Outbound!$A$2:$A$501,0)),"Lead ID not found")))</f>
        <v/>
      </c>
      <c r="F47" s="17"/>
      <c r="G47" s="17"/>
      <c r="H47" s="17"/>
      <c r="I47" s="17"/>
      <c r="J47" s="17"/>
      <c r="K47" s="17"/>
      <c r="L47" s="17"/>
      <c r="M47" s="17"/>
      <c r="N47" s="44" t="str">
        <f aca="false">IF(C47="","",COUNTA(H47:M47))</f>
        <v/>
      </c>
      <c r="O47" s="44" t="str">
        <f aca="false">IF(OR(C47="",N(N47)=0),"",SUMIFS(Settings!$AA$2:$AA$21,Settings!$Y$2:$Y$21,"Budget AED 5k+/mo?",Settings!$Z$2:$Z$21,H47)+SUMIFS(Settings!$AA$2:$AA$21,Settings!$Y$2:$Y$21,"Decision-maker?",Settings!$Z$2:$Z$21,I47)+SUMIFS(Settings!$AA$2:$AA$21,Settings!$Y$2:$Y$21,"Someone on camera?",Settings!$Z$2:$Z$21,J47)+SUMIFS(Settings!$AA$2:$AA$21,Settings!$Y$2:$Y$21,"OK with 3-month term?",Settings!$Z$2:$Z$21,K47)+SUMIFS(Settings!$AA$2:$AA$21,Settings!$Y$2:$Y$21,"Start timeline",Settings!$Z$2:$Z$21,L47)+SUMIFS(Settings!$AA$2:$AA$21,Settings!$Y$2:$Y$21,"Social media gap",Settings!$Z$2:$Z$21,M47)+IF(OR(E47="",E47="Lead ID not found"),0,IF(COUNTIF(Settings!$AC$2:$AC$6,E47)&gt;0,Settings!$AA$20,Settings!$AA$21)))</f>
        <v/>
      </c>
      <c r="P47" s="44" t="str">
        <f aca="false">IF(C47="","",IF(N(N47)&lt;6,"Partly scored ("&amp;N47&amp;"/6)",IF(O47&gt;=Settings!$S$8,"Hot",IF(O47&gt;=Settings!$S$9,"Warm","Cold"))))</f>
        <v/>
      </c>
      <c r="Q47" s="44" t="str">
        <f aca="false">IF(C47="","",IF(AND(H47="No",J47="No"),"🚩 Budget  ·  🚩 No one on camera",IF(H47="No","🚩 Budget under AED 5k",IF(J47="No","🚩 No one on camera",""))))</f>
        <v/>
      </c>
      <c r="R47" s="44" t="str">
        <f aca="false">IF(C47="","",IF(N(N47)&lt;6,"Finish the scoresheet before closing",IF(P47="Hot","Close now – send the contract / proposal today",IF(P47="Warm","Send proposal + a relevant result; follow up in 3 days","Rep's call – nurture or close politely")))&amp;IF(Q47&lt;&gt;""," (handle the 🚩 first)",""))</f>
        <v/>
      </c>
      <c r="S47" s="17"/>
      <c r="T47" s="17"/>
      <c r="U47" s="44" t="str">
        <f aca="false">IF(C47="","",IF(COUNTIF(C48:C$501,C47)=0,1,0))</f>
        <v/>
      </c>
    </row>
    <row r="48" customFormat="false" ht="15" hidden="false" customHeight="false" outlineLevel="0" collapsed="false">
      <c r="A48" s="17"/>
      <c r="B48" s="40"/>
      <c r="C48" s="17"/>
      <c r="D48" s="44" t="str">
        <f aca="false">IF(C48="","",IFERROR(INDEX(Inbound!$E$2:$E$501,MATCH(C48,Inbound!$A$2:$A$501,0)),IFERROR(INDEX(Outbound!$D$2:$D$501,MATCH(C48,Outbound!$A$2:$A$501,0)),"Lead ID not found")))</f>
        <v/>
      </c>
      <c r="E48" s="44" t="str">
        <f aca="false">IF(C48="","",IFERROR(INDEX(Inbound!$F$2:$F$501,MATCH(C48,Inbound!$A$2:$A$501,0)),IFERROR(INDEX(Outbound!$E$2:$E$501,MATCH(C48,Outbound!$A$2:$A$501,0)),"Lead ID not found")))</f>
        <v/>
      </c>
      <c r="F48" s="17"/>
      <c r="G48" s="17"/>
      <c r="H48" s="17"/>
      <c r="I48" s="17"/>
      <c r="J48" s="17"/>
      <c r="K48" s="17"/>
      <c r="L48" s="17"/>
      <c r="M48" s="17"/>
      <c r="N48" s="44" t="str">
        <f aca="false">IF(C48="","",COUNTA(H48:M48))</f>
        <v/>
      </c>
      <c r="O48" s="44" t="str">
        <f aca="false">IF(OR(C48="",N(N48)=0),"",SUMIFS(Settings!$AA$2:$AA$21,Settings!$Y$2:$Y$21,"Budget AED 5k+/mo?",Settings!$Z$2:$Z$21,H48)+SUMIFS(Settings!$AA$2:$AA$21,Settings!$Y$2:$Y$21,"Decision-maker?",Settings!$Z$2:$Z$21,I48)+SUMIFS(Settings!$AA$2:$AA$21,Settings!$Y$2:$Y$21,"Someone on camera?",Settings!$Z$2:$Z$21,J48)+SUMIFS(Settings!$AA$2:$AA$21,Settings!$Y$2:$Y$21,"OK with 3-month term?",Settings!$Z$2:$Z$21,K48)+SUMIFS(Settings!$AA$2:$AA$21,Settings!$Y$2:$Y$21,"Start timeline",Settings!$Z$2:$Z$21,L48)+SUMIFS(Settings!$AA$2:$AA$21,Settings!$Y$2:$Y$21,"Social media gap",Settings!$Z$2:$Z$21,M48)+IF(OR(E48="",E48="Lead ID not found"),0,IF(COUNTIF(Settings!$AC$2:$AC$6,E48)&gt;0,Settings!$AA$20,Settings!$AA$21)))</f>
        <v/>
      </c>
      <c r="P48" s="44" t="str">
        <f aca="false">IF(C48="","",IF(N(N48)&lt;6,"Partly scored ("&amp;N48&amp;"/6)",IF(O48&gt;=Settings!$S$8,"Hot",IF(O48&gt;=Settings!$S$9,"Warm","Cold"))))</f>
        <v/>
      </c>
      <c r="Q48" s="44" t="str">
        <f aca="false">IF(C48="","",IF(AND(H48="No",J48="No"),"🚩 Budget  ·  🚩 No one on camera",IF(H48="No","🚩 Budget under AED 5k",IF(J48="No","🚩 No one on camera",""))))</f>
        <v/>
      </c>
      <c r="R48" s="44" t="str">
        <f aca="false">IF(C48="","",IF(N(N48)&lt;6,"Finish the scoresheet before closing",IF(P48="Hot","Close now – send the contract / proposal today",IF(P48="Warm","Send proposal + a relevant result; follow up in 3 days","Rep's call – nurture or close politely")))&amp;IF(Q48&lt;&gt;""," (handle the 🚩 first)",""))</f>
        <v/>
      </c>
      <c r="S48" s="17"/>
      <c r="T48" s="17"/>
      <c r="U48" s="44" t="str">
        <f aca="false">IF(C48="","",IF(COUNTIF(C49:C$501,C48)=0,1,0))</f>
        <v/>
      </c>
    </row>
    <row r="49" customFormat="false" ht="15" hidden="false" customHeight="false" outlineLevel="0" collapsed="false">
      <c r="A49" s="17"/>
      <c r="B49" s="40"/>
      <c r="C49" s="17"/>
      <c r="D49" s="44" t="str">
        <f aca="false">IF(C49="","",IFERROR(INDEX(Inbound!$E$2:$E$501,MATCH(C49,Inbound!$A$2:$A$501,0)),IFERROR(INDEX(Outbound!$D$2:$D$501,MATCH(C49,Outbound!$A$2:$A$501,0)),"Lead ID not found")))</f>
        <v/>
      </c>
      <c r="E49" s="44" t="str">
        <f aca="false">IF(C49="","",IFERROR(INDEX(Inbound!$F$2:$F$501,MATCH(C49,Inbound!$A$2:$A$501,0)),IFERROR(INDEX(Outbound!$E$2:$E$501,MATCH(C49,Outbound!$A$2:$A$501,0)),"Lead ID not found")))</f>
        <v/>
      </c>
      <c r="F49" s="17"/>
      <c r="G49" s="17"/>
      <c r="H49" s="17"/>
      <c r="I49" s="17"/>
      <c r="J49" s="17"/>
      <c r="K49" s="17"/>
      <c r="L49" s="17"/>
      <c r="M49" s="17"/>
      <c r="N49" s="44" t="str">
        <f aca="false">IF(C49="","",COUNTA(H49:M49))</f>
        <v/>
      </c>
      <c r="O49" s="44" t="str">
        <f aca="false">IF(OR(C49="",N(N49)=0),"",SUMIFS(Settings!$AA$2:$AA$21,Settings!$Y$2:$Y$21,"Budget AED 5k+/mo?",Settings!$Z$2:$Z$21,H49)+SUMIFS(Settings!$AA$2:$AA$21,Settings!$Y$2:$Y$21,"Decision-maker?",Settings!$Z$2:$Z$21,I49)+SUMIFS(Settings!$AA$2:$AA$21,Settings!$Y$2:$Y$21,"Someone on camera?",Settings!$Z$2:$Z$21,J49)+SUMIFS(Settings!$AA$2:$AA$21,Settings!$Y$2:$Y$21,"OK with 3-month term?",Settings!$Z$2:$Z$21,K49)+SUMIFS(Settings!$AA$2:$AA$21,Settings!$Y$2:$Y$21,"Start timeline",Settings!$Z$2:$Z$21,L49)+SUMIFS(Settings!$AA$2:$AA$21,Settings!$Y$2:$Y$21,"Social media gap",Settings!$Z$2:$Z$21,M49)+IF(OR(E49="",E49="Lead ID not found"),0,IF(COUNTIF(Settings!$AC$2:$AC$6,E49)&gt;0,Settings!$AA$20,Settings!$AA$21)))</f>
        <v/>
      </c>
      <c r="P49" s="44" t="str">
        <f aca="false">IF(C49="","",IF(N(N49)&lt;6,"Partly scored ("&amp;N49&amp;"/6)",IF(O49&gt;=Settings!$S$8,"Hot",IF(O49&gt;=Settings!$S$9,"Warm","Cold"))))</f>
        <v/>
      </c>
      <c r="Q49" s="44" t="str">
        <f aca="false">IF(C49="","",IF(AND(H49="No",J49="No"),"🚩 Budget  ·  🚩 No one on camera",IF(H49="No","🚩 Budget under AED 5k",IF(J49="No","🚩 No one on camera",""))))</f>
        <v/>
      </c>
      <c r="R49" s="44" t="str">
        <f aca="false">IF(C49="","",IF(N(N49)&lt;6,"Finish the scoresheet before closing",IF(P49="Hot","Close now – send the contract / proposal today",IF(P49="Warm","Send proposal + a relevant result; follow up in 3 days","Rep's call – nurture or close politely")))&amp;IF(Q49&lt;&gt;""," (handle the 🚩 first)",""))</f>
        <v/>
      </c>
      <c r="S49" s="17"/>
      <c r="T49" s="17"/>
      <c r="U49" s="44" t="str">
        <f aca="false">IF(C49="","",IF(COUNTIF(C50:C$501,C49)=0,1,0))</f>
        <v/>
      </c>
    </row>
    <row r="50" customFormat="false" ht="15" hidden="false" customHeight="false" outlineLevel="0" collapsed="false">
      <c r="A50" s="17"/>
      <c r="B50" s="40"/>
      <c r="C50" s="17"/>
      <c r="D50" s="44" t="str">
        <f aca="false">IF(C50="","",IFERROR(INDEX(Inbound!$E$2:$E$501,MATCH(C50,Inbound!$A$2:$A$501,0)),IFERROR(INDEX(Outbound!$D$2:$D$501,MATCH(C50,Outbound!$A$2:$A$501,0)),"Lead ID not found")))</f>
        <v/>
      </c>
      <c r="E50" s="44" t="str">
        <f aca="false">IF(C50="","",IFERROR(INDEX(Inbound!$F$2:$F$501,MATCH(C50,Inbound!$A$2:$A$501,0)),IFERROR(INDEX(Outbound!$E$2:$E$501,MATCH(C50,Outbound!$A$2:$A$501,0)),"Lead ID not found")))</f>
        <v/>
      </c>
      <c r="F50" s="17"/>
      <c r="G50" s="17"/>
      <c r="H50" s="17"/>
      <c r="I50" s="17"/>
      <c r="J50" s="17"/>
      <c r="K50" s="17"/>
      <c r="L50" s="17"/>
      <c r="M50" s="17"/>
      <c r="N50" s="44" t="str">
        <f aca="false">IF(C50="","",COUNTA(H50:M50))</f>
        <v/>
      </c>
      <c r="O50" s="44" t="str">
        <f aca="false">IF(OR(C50="",N(N50)=0),"",SUMIFS(Settings!$AA$2:$AA$21,Settings!$Y$2:$Y$21,"Budget AED 5k+/mo?",Settings!$Z$2:$Z$21,H50)+SUMIFS(Settings!$AA$2:$AA$21,Settings!$Y$2:$Y$21,"Decision-maker?",Settings!$Z$2:$Z$21,I50)+SUMIFS(Settings!$AA$2:$AA$21,Settings!$Y$2:$Y$21,"Someone on camera?",Settings!$Z$2:$Z$21,J50)+SUMIFS(Settings!$AA$2:$AA$21,Settings!$Y$2:$Y$21,"OK with 3-month term?",Settings!$Z$2:$Z$21,K50)+SUMIFS(Settings!$AA$2:$AA$21,Settings!$Y$2:$Y$21,"Start timeline",Settings!$Z$2:$Z$21,L50)+SUMIFS(Settings!$AA$2:$AA$21,Settings!$Y$2:$Y$21,"Social media gap",Settings!$Z$2:$Z$21,M50)+IF(OR(E50="",E50="Lead ID not found"),0,IF(COUNTIF(Settings!$AC$2:$AC$6,E50)&gt;0,Settings!$AA$20,Settings!$AA$21)))</f>
        <v/>
      </c>
      <c r="P50" s="44" t="str">
        <f aca="false">IF(C50="","",IF(N(N50)&lt;6,"Partly scored ("&amp;N50&amp;"/6)",IF(O50&gt;=Settings!$S$8,"Hot",IF(O50&gt;=Settings!$S$9,"Warm","Cold"))))</f>
        <v/>
      </c>
      <c r="Q50" s="44" t="str">
        <f aca="false">IF(C50="","",IF(AND(H50="No",J50="No"),"🚩 Budget  ·  🚩 No one on camera",IF(H50="No","🚩 Budget under AED 5k",IF(J50="No","🚩 No one on camera",""))))</f>
        <v/>
      </c>
      <c r="R50" s="44" t="str">
        <f aca="false">IF(C50="","",IF(N(N50)&lt;6,"Finish the scoresheet before closing",IF(P50="Hot","Close now – send the contract / proposal today",IF(P50="Warm","Send proposal + a relevant result; follow up in 3 days","Rep's call – nurture or close politely")))&amp;IF(Q50&lt;&gt;""," (handle the 🚩 first)",""))</f>
        <v/>
      </c>
      <c r="S50" s="17"/>
      <c r="T50" s="17"/>
      <c r="U50" s="44" t="str">
        <f aca="false">IF(C50="","",IF(COUNTIF(C51:C$501,C50)=0,1,0))</f>
        <v/>
      </c>
    </row>
    <row r="51" customFormat="false" ht="15" hidden="false" customHeight="false" outlineLevel="0" collapsed="false">
      <c r="A51" s="17"/>
      <c r="B51" s="40"/>
      <c r="C51" s="17"/>
      <c r="D51" s="44" t="str">
        <f aca="false">IF(C51="","",IFERROR(INDEX(Inbound!$E$2:$E$501,MATCH(C51,Inbound!$A$2:$A$501,0)),IFERROR(INDEX(Outbound!$D$2:$D$501,MATCH(C51,Outbound!$A$2:$A$501,0)),"Lead ID not found")))</f>
        <v/>
      </c>
      <c r="E51" s="44" t="str">
        <f aca="false">IF(C51="","",IFERROR(INDEX(Inbound!$F$2:$F$501,MATCH(C51,Inbound!$A$2:$A$501,0)),IFERROR(INDEX(Outbound!$E$2:$E$501,MATCH(C51,Outbound!$A$2:$A$501,0)),"Lead ID not found")))</f>
        <v/>
      </c>
      <c r="F51" s="17"/>
      <c r="G51" s="17"/>
      <c r="H51" s="17"/>
      <c r="I51" s="17"/>
      <c r="J51" s="17"/>
      <c r="K51" s="17"/>
      <c r="L51" s="17"/>
      <c r="M51" s="17"/>
      <c r="N51" s="44" t="str">
        <f aca="false">IF(C51="","",COUNTA(H51:M51))</f>
        <v/>
      </c>
      <c r="O51" s="44" t="str">
        <f aca="false">IF(OR(C51="",N(N51)=0),"",SUMIFS(Settings!$AA$2:$AA$21,Settings!$Y$2:$Y$21,"Budget AED 5k+/mo?",Settings!$Z$2:$Z$21,H51)+SUMIFS(Settings!$AA$2:$AA$21,Settings!$Y$2:$Y$21,"Decision-maker?",Settings!$Z$2:$Z$21,I51)+SUMIFS(Settings!$AA$2:$AA$21,Settings!$Y$2:$Y$21,"Someone on camera?",Settings!$Z$2:$Z$21,J51)+SUMIFS(Settings!$AA$2:$AA$21,Settings!$Y$2:$Y$21,"OK with 3-month term?",Settings!$Z$2:$Z$21,K51)+SUMIFS(Settings!$AA$2:$AA$21,Settings!$Y$2:$Y$21,"Start timeline",Settings!$Z$2:$Z$21,L51)+SUMIFS(Settings!$AA$2:$AA$21,Settings!$Y$2:$Y$21,"Social media gap",Settings!$Z$2:$Z$21,M51)+IF(OR(E51="",E51="Lead ID not found"),0,IF(COUNTIF(Settings!$AC$2:$AC$6,E51)&gt;0,Settings!$AA$20,Settings!$AA$21)))</f>
        <v/>
      </c>
      <c r="P51" s="44" t="str">
        <f aca="false">IF(C51="","",IF(N(N51)&lt;6,"Partly scored ("&amp;N51&amp;"/6)",IF(O51&gt;=Settings!$S$8,"Hot",IF(O51&gt;=Settings!$S$9,"Warm","Cold"))))</f>
        <v/>
      </c>
      <c r="Q51" s="44" t="str">
        <f aca="false">IF(C51="","",IF(AND(H51="No",J51="No"),"🚩 Budget  ·  🚩 No one on camera",IF(H51="No","🚩 Budget under AED 5k",IF(J51="No","🚩 No one on camera",""))))</f>
        <v/>
      </c>
      <c r="R51" s="44" t="str">
        <f aca="false">IF(C51="","",IF(N(N51)&lt;6,"Finish the scoresheet before closing",IF(P51="Hot","Close now – send the contract / proposal today",IF(P51="Warm","Send proposal + a relevant result; follow up in 3 days","Rep's call – nurture or close politely")))&amp;IF(Q51&lt;&gt;""," (handle the 🚩 first)",""))</f>
        <v/>
      </c>
      <c r="S51" s="17"/>
      <c r="T51" s="17"/>
      <c r="U51" s="44" t="str">
        <f aca="false">IF(C51="","",IF(COUNTIF(C52:C$501,C51)=0,1,0))</f>
        <v/>
      </c>
    </row>
    <row r="52" customFormat="false" ht="15" hidden="false" customHeight="false" outlineLevel="0" collapsed="false">
      <c r="A52" s="17"/>
      <c r="B52" s="40"/>
      <c r="C52" s="17"/>
      <c r="D52" s="44" t="str">
        <f aca="false">IF(C52="","",IFERROR(INDEX(Inbound!$E$2:$E$501,MATCH(C52,Inbound!$A$2:$A$501,0)),IFERROR(INDEX(Outbound!$D$2:$D$501,MATCH(C52,Outbound!$A$2:$A$501,0)),"Lead ID not found")))</f>
        <v/>
      </c>
      <c r="E52" s="44" t="str">
        <f aca="false">IF(C52="","",IFERROR(INDEX(Inbound!$F$2:$F$501,MATCH(C52,Inbound!$A$2:$A$501,0)),IFERROR(INDEX(Outbound!$E$2:$E$501,MATCH(C52,Outbound!$A$2:$A$501,0)),"Lead ID not found")))</f>
        <v/>
      </c>
      <c r="F52" s="17"/>
      <c r="G52" s="17"/>
      <c r="H52" s="17"/>
      <c r="I52" s="17"/>
      <c r="J52" s="17"/>
      <c r="K52" s="17"/>
      <c r="L52" s="17"/>
      <c r="M52" s="17"/>
      <c r="N52" s="44" t="str">
        <f aca="false">IF(C52="","",COUNTA(H52:M52))</f>
        <v/>
      </c>
      <c r="O52" s="44" t="str">
        <f aca="false">IF(OR(C52="",N(N52)=0),"",SUMIFS(Settings!$AA$2:$AA$21,Settings!$Y$2:$Y$21,"Budget AED 5k+/mo?",Settings!$Z$2:$Z$21,H52)+SUMIFS(Settings!$AA$2:$AA$21,Settings!$Y$2:$Y$21,"Decision-maker?",Settings!$Z$2:$Z$21,I52)+SUMIFS(Settings!$AA$2:$AA$21,Settings!$Y$2:$Y$21,"Someone on camera?",Settings!$Z$2:$Z$21,J52)+SUMIFS(Settings!$AA$2:$AA$21,Settings!$Y$2:$Y$21,"OK with 3-month term?",Settings!$Z$2:$Z$21,K52)+SUMIFS(Settings!$AA$2:$AA$21,Settings!$Y$2:$Y$21,"Start timeline",Settings!$Z$2:$Z$21,L52)+SUMIFS(Settings!$AA$2:$AA$21,Settings!$Y$2:$Y$21,"Social media gap",Settings!$Z$2:$Z$21,M52)+IF(OR(E52="",E52="Lead ID not found"),0,IF(COUNTIF(Settings!$AC$2:$AC$6,E52)&gt;0,Settings!$AA$20,Settings!$AA$21)))</f>
        <v/>
      </c>
      <c r="P52" s="44" t="str">
        <f aca="false">IF(C52="","",IF(N(N52)&lt;6,"Partly scored ("&amp;N52&amp;"/6)",IF(O52&gt;=Settings!$S$8,"Hot",IF(O52&gt;=Settings!$S$9,"Warm","Cold"))))</f>
        <v/>
      </c>
      <c r="Q52" s="44" t="str">
        <f aca="false">IF(C52="","",IF(AND(H52="No",J52="No"),"🚩 Budget  ·  🚩 No one on camera",IF(H52="No","🚩 Budget under AED 5k",IF(J52="No","🚩 No one on camera",""))))</f>
        <v/>
      </c>
      <c r="R52" s="44" t="str">
        <f aca="false">IF(C52="","",IF(N(N52)&lt;6,"Finish the scoresheet before closing",IF(P52="Hot","Close now – send the contract / proposal today",IF(P52="Warm","Send proposal + a relevant result; follow up in 3 days","Rep's call – nurture or close politely")))&amp;IF(Q52&lt;&gt;""," (handle the 🚩 first)",""))</f>
        <v/>
      </c>
      <c r="S52" s="17"/>
      <c r="T52" s="17"/>
      <c r="U52" s="44" t="str">
        <f aca="false">IF(C52="","",IF(COUNTIF(C53:C$501,C52)=0,1,0))</f>
        <v/>
      </c>
    </row>
    <row r="53" customFormat="false" ht="15" hidden="false" customHeight="false" outlineLevel="0" collapsed="false">
      <c r="A53" s="17"/>
      <c r="B53" s="40"/>
      <c r="C53" s="17"/>
      <c r="D53" s="44" t="str">
        <f aca="false">IF(C53="","",IFERROR(INDEX(Inbound!$E$2:$E$501,MATCH(C53,Inbound!$A$2:$A$501,0)),IFERROR(INDEX(Outbound!$D$2:$D$501,MATCH(C53,Outbound!$A$2:$A$501,0)),"Lead ID not found")))</f>
        <v/>
      </c>
      <c r="E53" s="44" t="str">
        <f aca="false">IF(C53="","",IFERROR(INDEX(Inbound!$F$2:$F$501,MATCH(C53,Inbound!$A$2:$A$501,0)),IFERROR(INDEX(Outbound!$E$2:$E$501,MATCH(C53,Outbound!$A$2:$A$501,0)),"Lead ID not found")))</f>
        <v/>
      </c>
      <c r="F53" s="17"/>
      <c r="G53" s="17"/>
      <c r="H53" s="17"/>
      <c r="I53" s="17"/>
      <c r="J53" s="17"/>
      <c r="K53" s="17"/>
      <c r="L53" s="17"/>
      <c r="M53" s="17"/>
      <c r="N53" s="44" t="str">
        <f aca="false">IF(C53="","",COUNTA(H53:M53))</f>
        <v/>
      </c>
      <c r="O53" s="44" t="str">
        <f aca="false">IF(OR(C53="",N(N53)=0),"",SUMIFS(Settings!$AA$2:$AA$21,Settings!$Y$2:$Y$21,"Budget AED 5k+/mo?",Settings!$Z$2:$Z$21,H53)+SUMIFS(Settings!$AA$2:$AA$21,Settings!$Y$2:$Y$21,"Decision-maker?",Settings!$Z$2:$Z$21,I53)+SUMIFS(Settings!$AA$2:$AA$21,Settings!$Y$2:$Y$21,"Someone on camera?",Settings!$Z$2:$Z$21,J53)+SUMIFS(Settings!$AA$2:$AA$21,Settings!$Y$2:$Y$21,"OK with 3-month term?",Settings!$Z$2:$Z$21,K53)+SUMIFS(Settings!$AA$2:$AA$21,Settings!$Y$2:$Y$21,"Start timeline",Settings!$Z$2:$Z$21,L53)+SUMIFS(Settings!$AA$2:$AA$21,Settings!$Y$2:$Y$21,"Social media gap",Settings!$Z$2:$Z$21,M53)+IF(OR(E53="",E53="Lead ID not found"),0,IF(COUNTIF(Settings!$AC$2:$AC$6,E53)&gt;0,Settings!$AA$20,Settings!$AA$21)))</f>
        <v/>
      </c>
      <c r="P53" s="44" t="str">
        <f aca="false">IF(C53="","",IF(N(N53)&lt;6,"Partly scored ("&amp;N53&amp;"/6)",IF(O53&gt;=Settings!$S$8,"Hot",IF(O53&gt;=Settings!$S$9,"Warm","Cold"))))</f>
        <v/>
      </c>
      <c r="Q53" s="44" t="str">
        <f aca="false">IF(C53="","",IF(AND(H53="No",J53="No"),"🚩 Budget  ·  🚩 No one on camera",IF(H53="No","🚩 Budget under AED 5k",IF(J53="No","🚩 No one on camera",""))))</f>
        <v/>
      </c>
      <c r="R53" s="44" t="str">
        <f aca="false">IF(C53="","",IF(N(N53)&lt;6,"Finish the scoresheet before closing",IF(P53="Hot","Close now – send the contract / proposal today",IF(P53="Warm","Send proposal + a relevant result; follow up in 3 days","Rep's call – nurture or close politely")))&amp;IF(Q53&lt;&gt;""," (handle the 🚩 first)",""))</f>
        <v/>
      </c>
      <c r="S53" s="17"/>
      <c r="T53" s="17"/>
      <c r="U53" s="44" t="str">
        <f aca="false">IF(C53="","",IF(COUNTIF(C54:C$501,C53)=0,1,0))</f>
        <v/>
      </c>
    </row>
    <row r="54" customFormat="false" ht="15" hidden="false" customHeight="false" outlineLevel="0" collapsed="false">
      <c r="A54" s="17"/>
      <c r="B54" s="40"/>
      <c r="C54" s="17"/>
      <c r="D54" s="44" t="str">
        <f aca="false">IF(C54="","",IFERROR(INDEX(Inbound!$E$2:$E$501,MATCH(C54,Inbound!$A$2:$A$501,0)),IFERROR(INDEX(Outbound!$D$2:$D$501,MATCH(C54,Outbound!$A$2:$A$501,0)),"Lead ID not found")))</f>
        <v/>
      </c>
      <c r="E54" s="44" t="str">
        <f aca="false">IF(C54="","",IFERROR(INDEX(Inbound!$F$2:$F$501,MATCH(C54,Inbound!$A$2:$A$501,0)),IFERROR(INDEX(Outbound!$E$2:$E$501,MATCH(C54,Outbound!$A$2:$A$501,0)),"Lead ID not found")))</f>
        <v/>
      </c>
      <c r="F54" s="17"/>
      <c r="G54" s="17"/>
      <c r="H54" s="17"/>
      <c r="I54" s="17"/>
      <c r="J54" s="17"/>
      <c r="K54" s="17"/>
      <c r="L54" s="17"/>
      <c r="M54" s="17"/>
      <c r="N54" s="44" t="str">
        <f aca="false">IF(C54="","",COUNTA(H54:M54))</f>
        <v/>
      </c>
      <c r="O54" s="44" t="str">
        <f aca="false">IF(OR(C54="",N(N54)=0),"",SUMIFS(Settings!$AA$2:$AA$21,Settings!$Y$2:$Y$21,"Budget AED 5k+/mo?",Settings!$Z$2:$Z$21,H54)+SUMIFS(Settings!$AA$2:$AA$21,Settings!$Y$2:$Y$21,"Decision-maker?",Settings!$Z$2:$Z$21,I54)+SUMIFS(Settings!$AA$2:$AA$21,Settings!$Y$2:$Y$21,"Someone on camera?",Settings!$Z$2:$Z$21,J54)+SUMIFS(Settings!$AA$2:$AA$21,Settings!$Y$2:$Y$21,"OK with 3-month term?",Settings!$Z$2:$Z$21,K54)+SUMIFS(Settings!$AA$2:$AA$21,Settings!$Y$2:$Y$21,"Start timeline",Settings!$Z$2:$Z$21,L54)+SUMIFS(Settings!$AA$2:$AA$21,Settings!$Y$2:$Y$21,"Social media gap",Settings!$Z$2:$Z$21,M54)+IF(OR(E54="",E54="Lead ID not found"),0,IF(COUNTIF(Settings!$AC$2:$AC$6,E54)&gt;0,Settings!$AA$20,Settings!$AA$21)))</f>
        <v/>
      </c>
      <c r="P54" s="44" t="str">
        <f aca="false">IF(C54="","",IF(N(N54)&lt;6,"Partly scored ("&amp;N54&amp;"/6)",IF(O54&gt;=Settings!$S$8,"Hot",IF(O54&gt;=Settings!$S$9,"Warm","Cold"))))</f>
        <v/>
      </c>
      <c r="Q54" s="44" t="str">
        <f aca="false">IF(C54="","",IF(AND(H54="No",J54="No"),"🚩 Budget  ·  🚩 No one on camera",IF(H54="No","🚩 Budget under AED 5k",IF(J54="No","🚩 No one on camera",""))))</f>
        <v/>
      </c>
      <c r="R54" s="44" t="str">
        <f aca="false">IF(C54="","",IF(N(N54)&lt;6,"Finish the scoresheet before closing",IF(P54="Hot","Close now – send the contract / proposal today",IF(P54="Warm","Send proposal + a relevant result; follow up in 3 days","Rep's call – nurture or close politely")))&amp;IF(Q54&lt;&gt;""," (handle the 🚩 first)",""))</f>
        <v/>
      </c>
      <c r="S54" s="17"/>
      <c r="T54" s="17"/>
      <c r="U54" s="44" t="str">
        <f aca="false">IF(C54="","",IF(COUNTIF(C55:C$501,C54)=0,1,0))</f>
        <v/>
      </c>
    </row>
    <row r="55" customFormat="false" ht="15" hidden="false" customHeight="false" outlineLevel="0" collapsed="false">
      <c r="A55" s="17"/>
      <c r="B55" s="40"/>
      <c r="C55" s="17"/>
      <c r="D55" s="44" t="str">
        <f aca="false">IF(C55="","",IFERROR(INDEX(Inbound!$E$2:$E$501,MATCH(C55,Inbound!$A$2:$A$501,0)),IFERROR(INDEX(Outbound!$D$2:$D$501,MATCH(C55,Outbound!$A$2:$A$501,0)),"Lead ID not found")))</f>
        <v/>
      </c>
      <c r="E55" s="44" t="str">
        <f aca="false">IF(C55="","",IFERROR(INDEX(Inbound!$F$2:$F$501,MATCH(C55,Inbound!$A$2:$A$501,0)),IFERROR(INDEX(Outbound!$E$2:$E$501,MATCH(C55,Outbound!$A$2:$A$501,0)),"Lead ID not found")))</f>
        <v/>
      </c>
      <c r="F55" s="17"/>
      <c r="G55" s="17"/>
      <c r="H55" s="17"/>
      <c r="I55" s="17"/>
      <c r="J55" s="17"/>
      <c r="K55" s="17"/>
      <c r="L55" s="17"/>
      <c r="M55" s="17"/>
      <c r="N55" s="44" t="str">
        <f aca="false">IF(C55="","",COUNTA(H55:M55))</f>
        <v/>
      </c>
      <c r="O55" s="44" t="str">
        <f aca="false">IF(OR(C55="",N(N55)=0),"",SUMIFS(Settings!$AA$2:$AA$21,Settings!$Y$2:$Y$21,"Budget AED 5k+/mo?",Settings!$Z$2:$Z$21,H55)+SUMIFS(Settings!$AA$2:$AA$21,Settings!$Y$2:$Y$21,"Decision-maker?",Settings!$Z$2:$Z$21,I55)+SUMIFS(Settings!$AA$2:$AA$21,Settings!$Y$2:$Y$21,"Someone on camera?",Settings!$Z$2:$Z$21,J55)+SUMIFS(Settings!$AA$2:$AA$21,Settings!$Y$2:$Y$21,"OK with 3-month term?",Settings!$Z$2:$Z$21,K55)+SUMIFS(Settings!$AA$2:$AA$21,Settings!$Y$2:$Y$21,"Start timeline",Settings!$Z$2:$Z$21,L55)+SUMIFS(Settings!$AA$2:$AA$21,Settings!$Y$2:$Y$21,"Social media gap",Settings!$Z$2:$Z$21,M55)+IF(OR(E55="",E55="Lead ID not found"),0,IF(COUNTIF(Settings!$AC$2:$AC$6,E55)&gt;0,Settings!$AA$20,Settings!$AA$21)))</f>
        <v/>
      </c>
      <c r="P55" s="44" t="str">
        <f aca="false">IF(C55="","",IF(N(N55)&lt;6,"Partly scored ("&amp;N55&amp;"/6)",IF(O55&gt;=Settings!$S$8,"Hot",IF(O55&gt;=Settings!$S$9,"Warm","Cold"))))</f>
        <v/>
      </c>
      <c r="Q55" s="44" t="str">
        <f aca="false">IF(C55="","",IF(AND(H55="No",J55="No"),"🚩 Budget  ·  🚩 No one on camera",IF(H55="No","🚩 Budget under AED 5k",IF(J55="No","🚩 No one on camera",""))))</f>
        <v/>
      </c>
      <c r="R55" s="44" t="str">
        <f aca="false">IF(C55="","",IF(N(N55)&lt;6,"Finish the scoresheet before closing",IF(P55="Hot","Close now – send the contract / proposal today",IF(P55="Warm","Send proposal + a relevant result; follow up in 3 days","Rep's call – nurture or close politely")))&amp;IF(Q55&lt;&gt;""," (handle the 🚩 first)",""))</f>
        <v/>
      </c>
      <c r="S55" s="17"/>
      <c r="T55" s="17"/>
      <c r="U55" s="44" t="str">
        <f aca="false">IF(C55="","",IF(COUNTIF(C56:C$501,C55)=0,1,0))</f>
        <v/>
      </c>
    </row>
    <row r="56" customFormat="false" ht="15" hidden="false" customHeight="false" outlineLevel="0" collapsed="false">
      <c r="A56" s="17"/>
      <c r="B56" s="40"/>
      <c r="C56" s="17"/>
      <c r="D56" s="44" t="str">
        <f aca="false">IF(C56="","",IFERROR(INDEX(Inbound!$E$2:$E$501,MATCH(C56,Inbound!$A$2:$A$501,0)),IFERROR(INDEX(Outbound!$D$2:$D$501,MATCH(C56,Outbound!$A$2:$A$501,0)),"Lead ID not found")))</f>
        <v/>
      </c>
      <c r="E56" s="44" t="str">
        <f aca="false">IF(C56="","",IFERROR(INDEX(Inbound!$F$2:$F$501,MATCH(C56,Inbound!$A$2:$A$501,0)),IFERROR(INDEX(Outbound!$E$2:$E$501,MATCH(C56,Outbound!$A$2:$A$501,0)),"Lead ID not found")))</f>
        <v/>
      </c>
      <c r="F56" s="17"/>
      <c r="G56" s="17"/>
      <c r="H56" s="17"/>
      <c r="I56" s="17"/>
      <c r="J56" s="17"/>
      <c r="K56" s="17"/>
      <c r="L56" s="17"/>
      <c r="M56" s="17"/>
      <c r="N56" s="44" t="str">
        <f aca="false">IF(C56="","",COUNTA(H56:M56))</f>
        <v/>
      </c>
      <c r="O56" s="44" t="str">
        <f aca="false">IF(OR(C56="",N(N56)=0),"",SUMIFS(Settings!$AA$2:$AA$21,Settings!$Y$2:$Y$21,"Budget AED 5k+/mo?",Settings!$Z$2:$Z$21,H56)+SUMIFS(Settings!$AA$2:$AA$21,Settings!$Y$2:$Y$21,"Decision-maker?",Settings!$Z$2:$Z$21,I56)+SUMIFS(Settings!$AA$2:$AA$21,Settings!$Y$2:$Y$21,"Someone on camera?",Settings!$Z$2:$Z$21,J56)+SUMIFS(Settings!$AA$2:$AA$21,Settings!$Y$2:$Y$21,"OK with 3-month term?",Settings!$Z$2:$Z$21,K56)+SUMIFS(Settings!$AA$2:$AA$21,Settings!$Y$2:$Y$21,"Start timeline",Settings!$Z$2:$Z$21,L56)+SUMIFS(Settings!$AA$2:$AA$21,Settings!$Y$2:$Y$21,"Social media gap",Settings!$Z$2:$Z$21,M56)+IF(OR(E56="",E56="Lead ID not found"),0,IF(COUNTIF(Settings!$AC$2:$AC$6,E56)&gt;0,Settings!$AA$20,Settings!$AA$21)))</f>
        <v/>
      </c>
      <c r="P56" s="44" t="str">
        <f aca="false">IF(C56="","",IF(N(N56)&lt;6,"Partly scored ("&amp;N56&amp;"/6)",IF(O56&gt;=Settings!$S$8,"Hot",IF(O56&gt;=Settings!$S$9,"Warm","Cold"))))</f>
        <v/>
      </c>
      <c r="Q56" s="44" t="str">
        <f aca="false">IF(C56="","",IF(AND(H56="No",J56="No"),"🚩 Budget  ·  🚩 No one on camera",IF(H56="No","🚩 Budget under AED 5k",IF(J56="No","🚩 No one on camera",""))))</f>
        <v/>
      </c>
      <c r="R56" s="44" t="str">
        <f aca="false">IF(C56="","",IF(N(N56)&lt;6,"Finish the scoresheet before closing",IF(P56="Hot","Close now – send the contract / proposal today",IF(P56="Warm","Send proposal + a relevant result; follow up in 3 days","Rep's call – nurture or close politely")))&amp;IF(Q56&lt;&gt;""," (handle the 🚩 first)",""))</f>
        <v/>
      </c>
      <c r="S56" s="17"/>
      <c r="T56" s="17"/>
      <c r="U56" s="44" t="str">
        <f aca="false">IF(C56="","",IF(COUNTIF(C57:C$501,C56)=0,1,0))</f>
        <v/>
      </c>
    </row>
    <row r="57" customFormat="false" ht="15" hidden="false" customHeight="false" outlineLevel="0" collapsed="false">
      <c r="A57" s="17"/>
      <c r="B57" s="40"/>
      <c r="C57" s="17"/>
      <c r="D57" s="44" t="str">
        <f aca="false">IF(C57="","",IFERROR(INDEX(Inbound!$E$2:$E$501,MATCH(C57,Inbound!$A$2:$A$501,0)),IFERROR(INDEX(Outbound!$D$2:$D$501,MATCH(C57,Outbound!$A$2:$A$501,0)),"Lead ID not found")))</f>
        <v/>
      </c>
      <c r="E57" s="44" t="str">
        <f aca="false">IF(C57="","",IFERROR(INDEX(Inbound!$F$2:$F$501,MATCH(C57,Inbound!$A$2:$A$501,0)),IFERROR(INDEX(Outbound!$E$2:$E$501,MATCH(C57,Outbound!$A$2:$A$501,0)),"Lead ID not found")))</f>
        <v/>
      </c>
      <c r="F57" s="17"/>
      <c r="G57" s="17"/>
      <c r="H57" s="17"/>
      <c r="I57" s="17"/>
      <c r="J57" s="17"/>
      <c r="K57" s="17"/>
      <c r="L57" s="17"/>
      <c r="M57" s="17"/>
      <c r="N57" s="44" t="str">
        <f aca="false">IF(C57="","",COUNTA(H57:M57))</f>
        <v/>
      </c>
      <c r="O57" s="44" t="str">
        <f aca="false">IF(OR(C57="",N(N57)=0),"",SUMIFS(Settings!$AA$2:$AA$21,Settings!$Y$2:$Y$21,"Budget AED 5k+/mo?",Settings!$Z$2:$Z$21,H57)+SUMIFS(Settings!$AA$2:$AA$21,Settings!$Y$2:$Y$21,"Decision-maker?",Settings!$Z$2:$Z$21,I57)+SUMIFS(Settings!$AA$2:$AA$21,Settings!$Y$2:$Y$21,"Someone on camera?",Settings!$Z$2:$Z$21,J57)+SUMIFS(Settings!$AA$2:$AA$21,Settings!$Y$2:$Y$21,"OK with 3-month term?",Settings!$Z$2:$Z$21,K57)+SUMIFS(Settings!$AA$2:$AA$21,Settings!$Y$2:$Y$21,"Start timeline",Settings!$Z$2:$Z$21,L57)+SUMIFS(Settings!$AA$2:$AA$21,Settings!$Y$2:$Y$21,"Social media gap",Settings!$Z$2:$Z$21,M57)+IF(OR(E57="",E57="Lead ID not found"),0,IF(COUNTIF(Settings!$AC$2:$AC$6,E57)&gt;0,Settings!$AA$20,Settings!$AA$21)))</f>
        <v/>
      </c>
      <c r="P57" s="44" t="str">
        <f aca="false">IF(C57="","",IF(N(N57)&lt;6,"Partly scored ("&amp;N57&amp;"/6)",IF(O57&gt;=Settings!$S$8,"Hot",IF(O57&gt;=Settings!$S$9,"Warm","Cold"))))</f>
        <v/>
      </c>
      <c r="Q57" s="44" t="str">
        <f aca="false">IF(C57="","",IF(AND(H57="No",J57="No"),"🚩 Budget  ·  🚩 No one on camera",IF(H57="No","🚩 Budget under AED 5k",IF(J57="No","🚩 No one on camera",""))))</f>
        <v/>
      </c>
      <c r="R57" s="44" t="str">
        <f aca="false">IF(C57="","",IF(N(N57)&lt;6,"Finish the scoresheet before closing",IF(P57="Hot","Close now – send the contract / proposal today",IF(P57="Warm","Send proposal + a relevant result; follow up in 3 days","Rep's call – nurture or close politely")))&amp;IF(Q57&lt;&gt;""," (handle the 🚩 first)",""))</f>
        <v/>
      </c>
      <c r="S57" s="17"/>
      <c r="T57" s="17"/>
      <c r="U57" s="44" t="str">
        <f aca="false">IF(C57="","",IF(COUNTIF(C58:C$501,C57)=0,1,0))</f>
        <v/>
      </c>
    </row>
    <row r="58" customFormat="false" ht="15" hidden="false" customHeight="false" outlineLevel="0" collapsed="false">
      <c r="A58" s="17"/>
      <c r="B58" s="40"/>
      <c r="C58" s="17"/>
      <c r="D58" s="44" t="str">
        <f aca="false">IF(C58="","",IFERROR(INDEX(Inbound!$E$2:$E$501,MATCH(C58,Inbound!$A$2:$A$501,0)),IFERROR(INDEX(Outbound!$D$2:$D$501,MATCH(C58,Outbound!$A$2:$A$501,0)),"Lead ID not found")))</f>
        <v/>
      </c>
      <c r="E58" s="44" t="str">
        <f aca="false">IF(C58="","",IFERROR(INDEX(Inbound!$F$2:$F$501,MATCH(C58,Inbound!$A$2:$A$501,0)),IFERROR(INDEX(Outbound!$E$2:$E$501,MATCH(C58,Outbound!$A$2:$A$501,0)),"Lead ID not found")))</f>
        <v/>
      </c>
      <c r="F58" s="17"/>
      <c r="G58" s="17"/>
      <c r="H58" s="17"/>
      <c r="I58" s="17"/>
      <c r="J58" s="17"/>
      <c r="K58" s="17"/>
      <c r="L58" s="17"/>
      <c r="M58" s="17"/>
      <c r="N58" s="44" t="str">
        <f aca="false">IF(C58="","",COUNTA(H58:M58))</f>
        <v/>
      </c>
      <c r="O58" s="44" t="str">
        <f aca="false">IF(OR(C58="",N(N58)=0),"",SUMIFS(Settings!$AA$2:$AA$21,Settings!$Y$2:$Y$21,"Budget AED 5k+/mo?",Settings!$Z$2:$Z$21,H58)+SUMIFS(Settings!$AA$2:$AA$21,Settings!$Y$2:$Y$21,"Decision-maker?",Settings!$Z$2:$Z$21,I58)+SUMIFS(Settings!$AA$2:$AA$21,Settings!$Y$2:$Y$21,"Someone on camera?",Settings!$Z$2:$Z$21,J58)+SUMIFS(Settings!$AA$2:$AA$21,Settings!$Y$2:$Y$21,"OK with 3-month term?",Settings!$Z$2:$Z$21,K58)+SUMIFS(Settings!$AA$2:$AA$21,Settings!$Y$2:$Y$21,"Start timeline",Settings!$Z$2:$Z$21,L58)+SUMIFS(Settings!$AA$2:$AA$21,Settings!$Y$2:$Y$21,"Social media gap",Settings!$Z$2:$Z$21,M58)+IF(OR(E58="",E58="Lead ID not found"),0,IF(COUNTIF(Settings!$AC$2:$AC$6,E58)&gt;0,Settings!$AA$20,Settings!$AA$21)))</f>
        <v/>
      </c>
      <c r="P58" s="44" t="str">
        <f aca="false">IF(C58="","",IF(N(N58)&lt;6,"Partly scored ("&amp;N58&amp;"/6)",IF(O58&gt;=Settings!$S$8,"Hot",IF(O58&gt;=Settings!$S$9,"Warm","Cold"))))</f>
        <v/>
      </c>
      <c r="Q58" s="44" t="str">
        <f aca="false">IF(C58="","",IF(AND(H58="No",J58="No"),"🚩 Budget  ·  🚩 No one on camera",IF(H58="No","🚩 Budget under AED 5k",IF(J58="No","🚩 No one on camera",""))))</f>
        <v/>
      </c>
      <c r="R58" s="44" t="str">
        <f aca="false">IF(C58="","",IF(N(N58)&lt;6,"Finish the scoresheet before closing",IF(P58="Hot","Close now – send the contract / proposal today",IF(P58="Warm","Send proposal + a relevant result; follow up in 3 days","Rep's call – nurture or close politely")))&amp;IF(Q58&lt;&gt;""," (handle the 🚩 first)",""))</f>
        <v/>
      </c>
      <c r="S58" s="17"/>
      <c r="T58" s="17"/>
      <c r="U58" s="44" t="str">
        <f aca="false">IF(C58="","",IF(COUNTIF(C59:C$501,C58)=0,1,0))</f>
        <v/>
      </c>
    </row>
    <row r="59" customFormat="false" ht="15" hidden="false" customHeight="false" outlineLevel="0" collapsed="false">
      <c r="A59" s="17"/>
      <c r="B59" s="40"/>
      <c r="C59" s="17"/>
      <c r="D59" s="44" t="str">
        <f aca="false">IF(C59="","",IFERROR(INDEX(Inbound!$E$2:$E$501,MATCH(C59,Inbound!$A$2:$A$501,0)),IFERROR(INDEX(Outbound!$D$2:$D$501,MATCH(C59,Outbound!$A$2:$A$501,0)),"Lead ID not found")))</f>
        <v/>
      </c>
      <c r="E59" s="44" t="str">
        <f aca="false">IF(C59="","",IFERROR(INDEX(Inbound!$F$2:$F$501,MATCH(C59,Inbound!$A$2:$A$501,0)),IFERROR(INDEX(Outbound!$E$2:$E$501,MATCH(C59,Outbound!$A$2:$A$501,0)),"Lead ID not found")))</f>
        <v/>
      </c>
      <c r="F59" s="17"/>
      <c r="G59" s="17"/>
      <c r="H59" s="17"/>
      <c r="I59" s="17"/>
      <c r="J59" s="17"/>
      <c r="K59" s="17"/>
      <c r="L59" s="17"/>
      <c r="M59" s="17"/>
      <c r="N59" s="44" t="str">
        <f aca="false">IF(C59="","",COUNTA(H59:M59))</f>
        <v/>
      </c>
      <c r="O59" s="44" t="str">
        <f aca="false">IF(OR(C59="",N(N59)=0),"",SUMIFS(Settings!$AA$2:$AA$21,Settings!$Y$2:$Y$21,"Budget AED 5k+/mo?",Settings!$Z$2:$Z$21,H59)+SUMIFS(Settings!$AA$2:$AA$21,Settings!$Y$2:$Y$21,"Decision-maker?",Settings!$Z$2:$Z$21,I59)+SUMIFS(Settings!$AA$2:$AA$21,Settings!$Y$2:$Y$21,"Someone on camera?",Settings!$Z$2:$Z$21,J59)+SUMIFS(Settings!$AA$2:$AA$21,Settings!$Y$2:$Y$21,"OK with 3-month term?",Settings!$Z$2:$Z$21,K59)+SUMIFS(Settings!$AA$2:$AA$21,Settings!$Y$2:$Y$21,"Start timeline",Settings!$Z$2:$Z$21,L59)+SUMIFS(Settings!$AA$2:$AA$21,Settings!$Y$2:$Y$21,"Social media gap",Settings!$Z$2:$Z$21,M59)+IF(OR(E59="",E59="Lead ID not found"),0,IF(COUNTIF(Settings!$AC$2:$AC$6,E59)&gt;0,Settings!$AA$20,Settings!$AA$21)))</f>
        <v/>
      </c>
      <c r="P59" s="44" t="str">
        <f aca="false">IF(C59="","",IF(N(N59)&lt;6,"Partly scored ("&amp;N59&amp;"/6)",IF(O59&gt;=Settings!$S$8,"Hot",IF(O59&gt;=Settings!$S$9,"Warm","Cold"))))</f>
        <v/>
      </c>
      <c r="Q59" s="44" t="str">
        <f aca="false">IF(C59="","",IF(AND(H59="No",J59="No"),"🚩 Budget  ·  🚩 No one on camera",IF(H59="No","🚩 Budget under AED 5k",IF(J59="No","🚩 No one on camera",""))))</f>
        <v/>
      </c>
      <c r="R59" s="44" t="str">
        <f aca="false">IF(C59="","",IF(N(N59)&lt;6,"Finish the scoresheet before closing",IF(P59="Hot","Close now – send the contract / proposal today",IF(P59="Warm","Send proposal + a relevant result; follow up in 3 days","Rep's call – nurture or close politely")))&amp;IF(Q59&lt;&gt;""," (handle the 🚩 first)",""))</f>
        <v/>
      </c>
      <c r="S59" s="17"/>
      <c r="T59" s="17"/>
      <c r="U59" s="44" t="str">
        <f aca="false">IF(C59="","",IF(COUNTIF(C60:C$501,C59)=0,1,0))</f>
        <v/>
      </c>
    </row>
    <row r="60" customFormat="false" ht="15" hidden="false" customHeight="false" outlineLevel="0" collapsed="false">
      <c r="A60" s="17"/>
      <c r="B60" s="40"/>
      <c r="C60" s="17"/>
      <c r="D60" s="44" t="str">
        <f aca="false">IF(C60="","",IFERROR(INDEX(Inbound!$E$2:$E$501,MATCH(C60,Inbound!$A$2:$A$501,0)),IFERROR(INDEX(Outbound!$D$2:$D$501,MATCH(C60,Outbound!$A$2:$A$501,0)),"Lead ID not found")))</f>
        <v/>
      </c>
      <c r="E60" s="44" t="str">
        <f aca="false">IF(C60="","",IFERROR(INDEX(Inbound!$F$2:$F$501,MATCH(C60,Inbound!$A$2:$A$501,0)),IFERROR(INDEX(Outbound!$E$2:$E$501,MATCH(C60,Outbound!$A$2:$A$501,0)),"Lead ID not found")))</f>
        <v/>
      </c>
      <c r="F60" s="17"/>
      <c r="G60" s="17"/>
      <c r="H60" s="17"/>
      <c r="I60" s="17"/>
      <c r="J60" s="17"/>
      <c r="K60" s="17"/>
      <c r="L60" s="17"/>
      <c r="M60" s="17"/>
      <c r="N60" s="44" t="str">
        <f aca="false">IF(C60="","",COUNTA(H60:M60))</f>
        <v/>
      </c>
      <c r="O60" s="44" t="str">
        <f aca="false">IF(OR(C60="",N(N60)=0),"",SUMIFS(Settings!$AA$2:$AA$21,Settings!$Y$2:$Y$21,"Budget AED 5k+/mo?",Settings!$Z$2:$Z$21,H60)+SUMIFS(Settings!$AA$2:$AA$21,Settings!$Y$2:$Y$21,"Decision-maker?",Settings!$Z$2:$Z$21,I60)+SUMIFS(Settings!$AA$2:$AA$21,Settings!$Y$2:$Y$21,"Someone on camera?",Settings!$Z$2:$Z$21,J60)+SUMIFS(Settings!$AA$2:$AA$21,Settings!$Y$2:$Y$21,"OK with 3-month term?",Settings!$Z$2:$Z$21,K60)+SUMIFS(Settings!$AA$2:$AA$21,Settings!$Y$2:$Y$21,"Start timeline",Settings!$Z$2:$Z$21,L60)+SUMIFS(Settings!$AA$2:$AA$21,Settings!$Y$2:$Y$21,"Social media gap",Settings!$Z$2:$Z$21,M60)+IF(OR(E60="",E60="Lead ID not found"),0,IF(COUNTIF(Settings!$AC$2:$AC$6,E60)&gt;0,Settings!$AA$20,Settings!$AA$21)))</f>
        <v/>
      </c>
      <c r="P60" s="44" t="str">
        <f aca="false">IF(C60="","",IF(N(N60)&lt;6,"Partly scored ("&amp;N60&amp;"/6)",IF(O60&gt;=Settings!$S$8,"Hot",IF(O60&gt;=Settings!$S$9,"Warm","Cold"))))</f>
        <v/>
      </c>
      <c r="Q60" s="44" t="str">
        <f aca="false">IF(C60="","",IF(AND(H60="No",J60="No"),"🚩 Budget  ·  🚩 No one on camera",IF(H60="No","🚩 Budget under AED 5k",IF(J60="No","🚩 No one on camera",""))))</f>
        <v/>
      </c>
      <c r="R60" s="44" t="str">
        <f aca="false">IF(C60="","",IF(N(N60)&lt;6,"Finish the scoresheet before closing",IF(P60="Hot","Close now – send the contract / proposal today",IF(P60="Warm","Send proposal + a relevant result; follow up in 3 days","Rep's call – nurture or close politely")))&amp;IF(Q60&lt;&gt;""," (handle the 🚩 first)",""))</f>
        <v/>
      </c>
      <c r="S60" s="17"/>
      <c r="T60" s="17"/>
      <c r="U60" s="44" t="str">
        <f aca="false">IF(C60="","",IF(COUNTIF(C61:C$501,C60)=0,1,0))</f>
        <v/>
      </c>
    </row>
    <row r="61" customFormat="false" ht="15" hidden="false" customHeight="false" outlineLevel="0" collapsed="false">
      <c r="A61" s="17"/>
      <c r="B61" s="40"/>
      <c r="C61" s="17"/>
      <c r="D61" s="44" t="str">
        <f aca="false">IF(C61="","",IFERROR(INDEX(Inbound!$E$2:$E$501,MATCH(C61,Inbound!$A$2:$A$501,0)),IFERROR(INDEX(Outbound!$D$2:$D$501,MATCH(C61,Outbound!$A$2:$A$501,0)),"Lead ID not found")))</f>
        <v/>
      </c>
      <c r="E61" s="44" t="str">
        <f aca="false">IF(C61="","",IFERROR(INDEX(Inbound!$F$2:$F$501,MATCH(C61,Inbound!$A$2:$A$501,0)),IFERROR(INDEX(Outbound!$E$2:$E$501,MATCH(C61,Outbound!$A$2:$A$501,0)),"Lead ID not found")))</f>
        <v/>
      </c>
      <c r="F61" s="17"/>
      <c r="G61" s="17"/>
      <c r="H61" s="17"/>
      <c r="I61" s="17"/>
      <c r="J61" s="17"/>
      <c r="K61" s="17"/>
      <c r="L61" s="17"/>
      <c r="M61" s="17"/>
      <c r="N61" s="44" t="str">
        <f aca="false">IF(C61="","",COUNTA(H61:M61))</f>
        <v/>
      </c>
      <c r="O61" s="44" t="str">
        <f aca="false">IF(OR(C61="",N(N61)=0),"",SUMIFS(Settings!$AA$2:$AA$21,Settings!$Y$2:$Y$21,"Budget AED 5k+/mo?",Settings!$Z$2:$Z$21,H61)+SUMIFS(Settings!$AA$2:$AA$21,Settings!$Y$2:$Y$21,"Decision-maker?",Settings!$Z$2:$Z$21,I61)+SUMIFS(Settings!$AA$2:$AA$21,Settings!$Y$2:$Y$21,"Someone on camera?",Settings!$Z$2:$Z$21,J61)+SUMIFS(Settings!$AA$2:$AA$21,Settings!$Y$2:$Y$21,"OK with 3-month term?",Settings!$Z$2:$Z$21,K61)+SUMIFS(Settings!$AA$2:$AA$21,Settings!$Y$2:$Y$21,"Start timeline",Settings!$Z$2:$Z$21,L61)+SUMIFS(Settings!$AA$2:$AA$21,Settings!$Y$2:$Y$21,"Social media gap",Settings!$Z$2:$Z$21,M61)+IF(OR(E61="",E61="Lead ID not found"),0,IF(COUNTIF(Settings!$AC$2:$AC$6,E61)&gt;0,Settings!$AA$20,Settings!$AA$21)))</f>
        <v/>
      </c>
      <c r="P61" s="44" t="str">
        <f aca="false">IF(C61="","",IF(N(N61)&lt;6,"Partly scored ("&amp;N61&amp;"/6)",IF(O61&gt;=Settings!$S$8,"Hot",IF(O61&gt;=Settings!$S$9,"Warm","Cold"))))</f>
        <v/>
      </c>
      <c r="Q61" s="44" t="str">
        <f aca="false">IF(C61="","",IF(AND(H61="No",J61="No"),"🚩 Budget  ·  🚩 No one on camera",IF(H61="No","🚩 Budget under AED 5k",IF(J61="No","🚩 No one on camera",""))))</f>
        <v/>
      </c>
      <c r="R61" s="44" t="str">
        <f aca="false">IF(C61="","",IF(N(N61)&lt;6,"Finish the scoresheet before closing",IF(P61="Hot","Close now – send the contract / proposal today",IF(P61="Warm","Send proposal + a relevant result; follow up in 3 days","Rep's call – nurture or close politely")))&amp;IF(Q61&lt;&gt;""," (handle the 🚩 first)",""))</f>
        <v/>
      </c>
      <c r="S61" s="17"/>
      <c r="T61" s="17"/>
      <c r="U61" s="44" t="str">
        <f aca="false">IF(C61="","",IF(COUNTIF(C62:C$501,C61)=0,1,0))</f>
        <v/>
      </c>
    </row>
    <row r="62" customFormat="false" ht="15" hidden="false" customHeight="false" outlineLevel="0" collapsed="false">
      <c r="A62" s="17"/>
      <c r="B62" s="40"/>
      <c r="C62" s="17"/>
      <c r="D62" s="44" t="str">
        <f aca="false">IF(C62="","",IFERROR(INDEX(Inbound!$E$2:$E$501,MATCH(C62,Inbound!$A$2:$A$501,0)),IFERROR(INDEX(Outbound!$D$2:$D$501,MATCH(C62,Outbound!$A$2:$A$501,0)),"Lead ID not found")))</f>
        <v/>
      </c>
      <c r="E62" s="44" t="str">
        <f aca="false">IF(C62="","",IFERROR(INDEX(Inbound!$F$2:$F$501,MATCH(C62,Inbound!$A$2:$A$501,0)),IFERROR(INDEX(Outbound!$E$2:$E$501,MATCH(C62,Outbound!$A$2:$A$501,0)),"Lead ID not found")))</f>
        <v/>
      </c>
      <c r="F62" s="17"/>
      <c r="G62" s="17"/>
      <c r="H62" s="17"/>
      <c r="I62" s="17"/>
      <c r="J62" s="17"/>
      <c r="K62" s="17"/>
      <c r="L62" s="17"/>
      <c r="M62" s="17"/>
      <c r="N62" s="44" t="str">
        <f aca="false">IF(C62="","",COUNTA(H62:M62))</f>
        <v/>
      </c>
      <c r="O62" s="44" t="str">
        <f aca="false">IF(OR(C62="",N(N62)=0),"",SUMIFS(Settings!$AA$2:$AA$21,Settings!$Y$2:$Y$21,"Budget AED 5k+/mo?",Settings!$Z$2:$Z$21,H62)+SUMIFS(Settings!$AA$2:$AA$21,Settings!$Y$2:$Y$21,"Decision-maker?",Settings!$Z$2:$Z$21,I62)+SUMIFS(Settings!$AA$2:$AA$21,Settings!$Y$2:$Y$21,"Someone on camera?",Settings!$Z$2:$Z$21,J62)+SUMIFS(Settings!$AA$2:$AA$21,Settings!$Y$2:$Y$21,"OK with 3-month term?",Settings!$Z$2:$Z$21,K62)+SUMIFS(Settings!$AA$2:$AA$21,Settings!$Y$2:$Y$21,"Start timeline",Settings!$Z$2:$Z$21,L62)+SUMIFS(Settings!$AA$2:$AA$21,Settings!$Y$2:$Y$21,"Social media gap",Settings!$Z$2:$Z$21,M62)+IF(OR(E62="",E62="Lead ID not found"),0,IF(COUNTIF(Settings!$AC$2:$AC$6,E62)&gt;0,Settings!$AA$20,Settings!$AA$21)))</f>
        <v/>
      </c>
      <c r="P62" s="44" t="str">
        <f aca="false">IF(C62="","",IF(N(N62)&lt;6,"Partly scored ("&amp;N62&amp;"/6)",IF(O62&gt;=Settings!$S$8,"Hot",IF(O62&gt;=Settings!$S$9,"Warm","Cold"))))</f>
        <v/>
      </c>
      <c r="Q62" s="44" t="str">
        <f aca="false">IF(C62="","",IF(AND(H62="No",J62="No"),"🚩 Budget  ·  🚩 No one on camera",IF(H62="No","🚩 Budget under AED 5k",IF(J62="No","🚩 No one on camera",""))))</f>
        <v/>
      </c>
      <c r="R62" s="44" t="str">
        <f aca="false">IF(C62="","",IF(N(N62)&lt;6,"Finish the scoresheet before closing",IF(P62="Hot","Close now – send the contract / proposal today",IF(P62="Warm","Send proposal + a relevant result; follow up in 3 days","Rep's call – nurture or close politely")))&amp;IF(Q62&lt;&gt;""," (handle the 🚩 first)",""))</f>
        <v/>
      </c>
      <c r="S62" s="17"/>
      <c r="T62" s="17"/>
      <c r="U62" s="44" t="str">
        <f aca="false">IF(C62="","",IF(COUNTIF(C63:C$501,C62)=0,1,0))</f>
        <v/>
      </c>
    </row>
    <row r="63" customFormat="false" ht="15" hidden="false" customHeight="false" outlineLevel="0" collapsed="false">
      <c r="A63" s="17"/>
      <c r="B63" s="40"/>
      <c r="C63" s="17"/>
      <c r="D63" s="44" t="str">
        <f aca="false">IF(C63="","",IFERROR(INDEX(Inbound!$E$2:$E$501,MATCH(C63,Inbound!$A$2:$A$501,0)),IFERROR(INDEX(Outbound!$D$2:$D$501,MATCH(C63,Outbound!$A$2:$A$501,0)),"Lead ID not found")))</f>
        <v/>
      </c>
      <c r="E63" s="44" t="str">
        <f aca="false">IF(C63="","",IFERROR(INDEX(Inbound!$F$2:$F$501,MATCH(C63,Inbound!$A$2:$A$501,0)),IFERROR(INDEX(Outbound!$E$2:$E$501,MATCH(C63,Outbound!$A$2:$A$501,0)),"Lead ID not found")))</f>
        <v/>
      </c>
      <c r="F63" s="17"/>
      <c r="G63" s="17"/>
      <c r="H63" s="17"/>
      <c r="I63" s="17"/>
      <c r="J63" s="17"/>
      <c r="K63" s="17"/>
      <c r="L63" s="17"/>
      <c r="M63" s="17"/>
      <c r="N63" s="44" t="str">
        <f aca="false">IF(C63="","",COUNTA(H63:M63))</f>
        <v/>
      </c>
      <c r="O63" s="44" t="str">
        <f aca="false">IF(OR(C63="",N(N63)=0),"",SUMIFS(Settings!$AA$2:$AA$21,Settings!$Y$2:$Y$21,"Budget AED 5k+/mo?",Settings!$Z$2:$Z$21,H63)+SUMIFS(Settings!$AA$2:$AA$21,Settings!$Y$2:$Y$21,"Decision-maker?",Settings!$Z$2:$Z$21,I63)+SUMIFS(Settings!$AA$2:$AA$21,Settings!$Y$2:$Y$21,"Someone on camera?",Settings!$Z$2:$Z$21,J63)+SUMIFS(Settings!$AA$2:$AA$21,Settings!$Y$2:$Y$21,"OK with 3-month term?",Settings!$Z$2:$Z$21,K63)+SUMIFS(Settings!$AA$2:$AA$21,Settings!$Y$2:$Y$21,"Start timeline",Settings!$Z$2:$Z$21,L63)+SUMIFS(Settings!$AA$2:$AA$21,Settings!$Y$2:$Y$21,"Social media gap",Settings!$Z$2:$Z$21,M63)+IF(OR(E63="",E63="Lead ID not found"),0,IF(COUNTIF(Settings!$AC$2:$AC$6,E63)&gt;0,Settings!$AA$20,Settings!$AA$21)))</f>
        <v/>
      </c>
      <c r="P63" s="44" t="str">
        <f aca="false">IF(C63="","",IF(N(N63)&lt;6,"Partly scored ("&amp;N63&amp;"/6)",IF(O63&gt;=Settings!$S$8,"Hot",IF(O63&gt;=Settings!$S$9,"Warm","Cold"))))</f>
        <v/>
      </c>
      <c r="Q63" s="44" t="str">
        <f aca="false">IF(C63="","",IF(AND(H63="No",J63="No"),"🚩 Budget  ·  🚩 No one on camera",IF(H63="No","🚩 Budget under AED 5k",IF(J63="No","🚩 No one on camera",""))))</f>
        <v/>
      </c>
      <c r="R63" s="44" t="str">
        <f aca="false">IF(C63="","",IF(N(N63)&lt;6,"Finish the scoresheet before closing",IF(P63="Hot","Close now – send the contract / proposal today",IF(P63="Warm","Send proposal + a relevant result; follow up in 3 days","Rep's call – nurture or close politely")))&amp;IF(Q63&lt;&gt;""," (handle the 🚩 first)",""))</f>
        <v/>
      </c>
      <c r="S63" s="17"/>
      <c r="T63" s="17"/>
      <c r="U63" s="44" t="str">
        <f aca="false">IF(C63="","",IF(COUNTIF(C64:C$501,C63)=0,1,0))</f>
        <v/>
      </c>
    </row>
    <row r="64" customFormat="false" ht="15" hidden="false" customHeight="false" outlineLevel="0" collapsed="false">
      <c r="A64" s="17"/>
      <c r="B64" s="40"/>
      <c r="C64" s="17"/>
      <c r="D64" s="44" t="str">
        <f aca="false">IF(C64="","",IFERROR(INDEX(Inbound!$E$2:$E$501,MATCH(C64,Inbound!$A$2:$A$501,0)),IFERROR(INDEX(Outbound!$D$2:$D$501,MATCH(C64,Outbound!$A$2:$A$501,0)),"Lead ID not found")))</f>
        <v/>
      </c>
      <c r="E64" s="44" t="str">
        <f aca="false">IF(C64="","",IFERROR(INDEX(Inbound!$F$2:$F$501,MATCH(C64,Inbound!$A$2:$A$501,0)),IFERROR(INDEX(Outbound!$E$2:$E$501,MATCH(C64,Outbound!$A$2:$A$501,0)),"Lead ID not found")))</f>
        <v/>
      </c>
      <c r="F64" s="17"/>
      <c r="G64" s="17"/>
      <c r="H64" s="17"/>
      <c r="I64" s="17"/>
      <c r="J64" s="17"/>
      <c r="K64" s="17"/>
      <c r="L64" s="17"/>
      <c r="M64" s="17"/>
      <c r="N64" s="44" t="str">
        <f aca="false">IF(C64="","",COUNTA(H64:M64))</f>
        <v/>
      </c>
      <c r="O64" s="44" t="str">
        <f aca="false">IF(OR(C64="",N(N64)=0),"",SUMIFS(Settings!$AA$2:$AA$21,Settings!$Y$2:$Y$21,"Budget AED 5k+/mo?",Settings!$Z$2:$Z$21,H64)+SUMIFS(Settings!$AA$2:$AA$21,Settings!$Y$2:$Y$21,"Decision-maker?",Settings!$Z$2:$Z$21,I64)+SUMIFS(Settings!$AA$2:$AA$21,Settings!$Y$2:$Y$21,"Someone on camera?",Settings!$Z$2:$Z$21,J64)+SUMIFS(Settings!$AA$2:$AA$21,Settings!$Y$2:$Y$21,"OK with 3-month term?",Settings!$Z$2:$Z$21,K64)+SUMIFS(Settings!$AA$2:$AA$21,Settings!$Y$2:$Y$21,"Start timeline",Settings!$Z$2:$Z$21,L64)+SUMIFS(Settings!$AA$2:$AA$21,Settings!$Y$2:$Y$21,"Social media gap",Settings!$Z$2:$Z$21,M64)+IF(OR(E64="",E64="Lead ID not found"),0,IF(COUNTIF(Settings!$AC$2:$AC$6,E64)&gt;0,Settings!$AA$20,Settings!$AA$21)))</f>
        <v/>
      </c>
      <c r="P64" s="44" t="str">
        <f aca="false">IF(C64="","",IF(N(N64)&lt;6,"Partly scored ("&amp;N64&amp;"/6)",IF(O64&gt;=Settings!$S$8,"Hot",IF(O64&gt;=Settings!$S$9,"Warm","Cold"))))</f>
        <v/>
      </c>
      <c r="Q64" s="44" t="str">
        <f aca="false">IF(C64="","",IF(AND(H64="No",J64="No"),"🚩 Budget  ·  🚩 No one on camera",IF(H64="No","🚩 Budget under AED 5k",IF(J64="No","🚩 No one on camera",""))))</f>
        <v/>
      </c>
      <c r="R64" s="44" t="str">
        <f aca="false">IF(C64="","",IF(N(N64)&lt;6,"Finish the scoresheet before closing",IF(P64="Hot","Close now – send the contract / proposal today",IF(P64="Warm","Send proposal + a relevant result; follow up in 3 days","Rep's call – nurture or close politely")))&amp;IF(Q64&lt;&gt;""," (handle the 🚩 first)",""))</f>
        <v/>
      </c>
      <c r="S64" s="17"/>
      <c r="T64" s="17"/>
      <c r="U64" s="44" t="str">
        <f aca="false">IF(C64="","",IF(COUNTIF(C65:C$501,C64)=0,1,0))</f>
        <v/>
      </c>
    </row>
    <row r="65" customFormat="false" ht="15" hidden="false" customHeight="false" outlineLevel="0" collapsed="false">
      <c r="A65" s="17"/>
      <c r="B65" s="40"/>
      <c r="C65" s="17"/>
      <c r="D65" s="44" t="str">
        <f aca="false">IF(C65="","",IFERROR(INDEX(Inbound!$E$2:$E$501,MATCH(C65,Inbound!$A$2:$A$501,0)),IFERROR(INDEX(Outbound!$D$2:$D$501,MATCH(C65,Outbound!$A$2:$A$501,0)),"Lead ID not found")))</f>
        <v/>
      </c>
      <c r="E65" s="44" t="str">
        <f aca="false">IF(C65="","",IFERROR(INDEX(Inbound!$F$2:$F$501,MATCH(C65,Inbound!$A$2:$A$501,0)),IFERROR(INDEX(Outbound!$E$2:$E$501,MATCH(C65,Outbound!$A$2:$A$501,0)),"Lead ID not found")))</f>
        <v/>
      </c>
      <c r="F65" s="17"/>
      <c r="G65" s="17"/>
      <c r="H65" s="17"/>
      <c r="I65" s="17"/>
      <c r="J65" s="17"/>
      <c r="K65" s="17"/>
      <c r="L65" s="17"/>
      <c r="M65" s="17"/>
      <c r="N65" s="44" t="str">
        <f aca="false">IF(C65="","",COUNTA(H65:M65))</f>
        <v/>
      </c>
      <c r="O65" s="44" t="str">
        <f aca="false">IF(OR(C65="",N(N65)=0),"",SUMIFS(Settings!$AA$2:$AA$21,Settings!$Y$2:$Y$21,"Budget AED 5k+/mo?",Settings!$Z$2:$Z$21,H65)+SUMIFS(Settings!$AA$2:$AA$21,Settings!$Y$2:$Y$21,"Decision-maker?",Settings!$Z$2:$Z$21,I65)+SUMIFS(Settings!$AA$2:$AA$21,Settings!$Y$2:$Y$21,"Someone on camera?",Settings!$Z$2:$Z$21,J65)+SUMIFS(Settings!$AA$2:$AA$21,Settings!$Y$2:$Y$21,"OK with 3-month term?",Settings!$Z$2:$Z$21,K65)+SUMIFS(Settings!$AA$2:$AA$21,Settings!$Y$2:$Y$21,"Start timeline",Settings!$Z$2:$Z$21,L65)+SUMIFS(Settings!$AA$2:$AA$21,Settings!$Y$2:$Y$21,"Social media gap",Settings!$Z$2:$Z$21,M65)+IF(OR(E65="",E65="Lead ID not found"),0,IF(COUNTIF(Settings!$AC$2:$AC$6,E65)&gt;0,Settings!$AA$20,Settings!$AA$21)))</f>
        <v/>
      </c>
      <c r="P65" s="44" t="str">
        <f aca="false">IF(C65="","",IF(N(N65)&lt;6,"Partly scored ("&amp;N65&amp;"/6)",IF(O65&gt;=Settings!$S$8,"Hot",IF(O65&gt;=Settings!$S$9,"Warm","Cold"))))</f>
        <v/>
      </c>
      <c r="Q65" s="44" t="str">
        <f aca="false">IF(C65="","",IF(AND(H65="No",J65="No"),"🚩 Budget  ·  🚩 No one on camera",IF(H65="No","🚩 Budget under AED 5k",IF(J65="No","🚩 No one on camera",""))))</f>
        <v/>
      </c>
      <c r="R65" s="44" t="str">
        <f aca="false">IF(C65="","",IF(N(N65)&lt;6,"Finish the scoresheet before closing",IF(P65="Hot","Close now – send the contract / proposal today",IF(P65="Warm","Send proposal + a relevant result; follow up in 3 days","Rep's call – nurture or close politely")))&amp;IF(Q65&lt;&gt;""," (handle the 🚩 first)",""))</f>
        <v/>
      </c>
      <c r="S65" s="17"/>
      <c r="T65" s="17"/>
      <c r="U65" s="44" t="str">
        <f aca="false">IF(C65="","",IF(COUNTIF(C66:C$501,C65)=0,1,0))</f>
        <v/>
      </c>
    </row>
    <row r="66" customFormat="false" ht="15" hidden="false" customHeight="false" outlineLevel="0" collapsed="false">
      <c r="A66" s="17"/>
      <c r="B66" s="40"/>
      <c r="C66" s="17"/>
      <c r="D66" s="44" t="str">
        <f aca="false">IF(C66="","",IFERROR(INDEX(Inbound!$E$2:$E$501,MATCH(C66,Inbound!$A$2:$A$501,0)),IFERROR(INDEX(Outbound!$D$2:$D$501,MATCH(C66,Outbound!$A$2:$A$501,0)),"Lead ID not found")))</f>
        <v/>
      </c>
      <c r="E66" s="44" t="str">
        <f aca="false">IF(C66="","",IFERROR(INDEX(Inbound!$F$2:$F$501,MATCH(C66,Inbound!$A$2:$A$501,0)),IFERROR(INDEX(Outbound!$E$2:$E$501,MATCH(C66,Outbound!$A$2:$A$501,0)),"Lead ID not found")))</f>
        <v/>
      </c>
      <c r="F66" s="17"/>
      <c r="G66" s="17"/>
      <c r="H66" s="17"/>
      <c r="I66" s="17"/>
      <c r="J66" s="17"/>
      <c r="K66" s="17"/>
      <c r="L66" s="17"/>
      <c r="M66" s="17"/>
      <c r="N66" s="44" t="str">
        <f aca="false">IF(C66="","",COUNTA(H66:M66))</f>
        <v/>
      </c>
      <c r="O66" s="44" t="str">
        <f aca="false">IF(OR(C66="",N(N66)=0),"",SUMIFS(Settings!$AA$2:$AA$21,Settings!$Y$2:$Y$21,"Budget AED 5k+/mo?",Settings!$Z$2:$Z$21,H66)+SUMIFS(Settings!$AA$2:$AA$21,Settings!$Y$2:$Y$21,"Decision-maker?",Settings!$Z$2:$Z$21,I66)+SUMIFS(Settings!$AA$2:$AA$21,Settings!$Y$2:$Y$21,"Someone on camera?",Settings!$Z$2:$Z$21,J66)+SUMIFS(Settings!$AA$2:$AA$21,Settings!$Y$2:$Y$21,"OK with 3-month term?",Settings!$Z$2:$Z$21,K66)+SUMIFS(Settings!$AA$2:$AA$21,Settings!$Y$2:$Y$21,"Start timeline",Settings!$Z$2:$Z$21,L66)+SUMIFS(Settings!$AA$2:$AA$21,Settings!$Y$2:$Y$21,"Social media gap",Settings!$Z$2:$Z$21,M66)+IF(OR(E66="",E66="Lead ID not found"),0,IF(COUNTIF(Settings!$AC$2:$AC$6,E66)&gt;0,Settings!$AA$20,Settings!$AA$21)))</f>
        <v/>
      </c>
      <c r="P66" s="44" t="str">
        <f aca="false">IF(C66="","",IF(N(N66)&lt;6,"Partly scored ("&amp;N66&amp;"/6)",IF(O66&gt;=Settings!$S$8,"Hot",IF(O66&gt;=Settings!$S$9,"Warm","Cold"))))</f>
        <v/>
      </c>
      <c r="Q66" s="44" t="str">
        <f aca="false">IF(C66="","",IF(AND(H66="No",J66="No"),"🚩 Budget  ·  🚩 No one on camera",IF(H66="No","🚩 Budget under AED 5k",IF(J66="No","🚩 No one on camera",""))))</f>
        <v/>
      </c>
      <c r="R66" s="44" t="str">
        <f aca="false">IF(C66="","",IF(N(N66)&lt;6,"Finish the scoresheet before closing",IF(P66="Hot","Close now – send the contract / proposal today",IF(P66="Warm","Send proposal + a relevant result; follow up in 3 days","Rep's call – nurture or close politely")))&amp;IF(Q66&lt;&gt;""," (handle the 🚩 first)",""))</f>
        <v/>
      </c>
      <c r="S66" s="17"/>
      <c r="T66" s="17"/>
      <c r="U66" s="44" t="str">
        <f aca="false">IF(C66="","",IF(COUNTIF(C67:C$501,C66)=0,1,0))</f>
        <v/>
      </c>
    </row>
    <row r="67" customFormat="false" ht="15" hidden="false" customHeight="false" outlineLevel="0" collapsed="false">
      <c r="A67" s="17"/>
      <c r="B67" s="40"/>
      <c r="C67" s="17"/>
      <c r="D67" s="44" t="str">
        <f aca="false">IF(C67="","",IFERROR(INDEX(Inbound!$E$2:$E$501,MATCH(C67,Inbound!$A$2:$A$501,0)),IFERROR(INDEX(Outbound!$D$2:$D$501,MATCH(C67,Outbound!$A$2:$A$501,0)),"Lead ID not found")))</f>
        <v/>
      </c>
      <c r="E67" s="44" t="str">
        <f aca="false">IF(C67="","",IFERROR(INDEX(Inbound!$F$2:$F$501,MATCH(C67,Inbound!$A$2:$A$501,0)),IFERROR(INDEX(Outbound!$E$2:$E$501,MATCH(C67,Outbound!$A$2:$A$501,0)),"Lead ID not found")))</f>
        <v/>
      </c>
      <c r="F67" s="17"/>
      <c r="G67" s="17"/>
      <c r="H67" s="17"/>
      <c r="I67" s="17"/>
      <c r="J67" s="17"/>
      <c r="K67" s="17"/>
      <c r="L67" s="17"/>
      <c r="M67" s="17"/>
      <c r="N67" s="44" t="str">
        <f aca="false">IF(C67="","",COUNTA(H67:M67))</f>
        <v/>
      </c>
      <c r="O67" s="44" t="str">
        <f aca="false">IF(OR(C67="",N(N67)=0),"",SUMIFS(Settings!$AA$2:$AA$21,Settings!$Y$2:$Y$21,"Budget AED 5k+/mo?",Settings!$Z$2:$Z$21,H67)+SUMIFS(Settings!$AA$2:$AA$21,Settings!$Y$2:$Y$21,"Decision-maker?",Settings!$Z$2:$Z$21,I67)+SUMIFS(Settings!$AA$2:$AA$21,Settings!$Y$2:$Y$21,"Someone on camera?",Settings!$Z$2:$Z$21,J67)+SUMIFS(Settings!$AA$2:$AA$21,Settings!$Y$2:$Y$21,"OK with 3-month term?",Settings!$Z$2:$Z$21,K67)+SUMIFS(Settings!$AA$2:$AA$21,Settings!$Y$2:$Y$21,"Start timeline",Settings!$Z$2:$Z$21,L67)+SUMIFS(Settings!$AA$2:$AA$21,Settings!$Y$2:$Y$21,"Social media gap",Settings!$Z$2:$Z$21,M67)+IF(OR(E67="",E67="Lead ID not found"),0,IF(COUNTIF(Settings!$AC$2:$AC$6,E67)&gt;0,Settings!$AA$20,Settings!$AA$21)))</f>
        <v/>
      </c>
      <c r="P67" s="44" t="str">
        <f aca="false">IF(C67="","",IF(N(N67)&lt;6,"Partly scored ("&amp;N67&amp;"/6)",IF(O67&gt;=Settings!$S$8,"Hot",IF(O67&gt;=Settings!$S$9,"Warm","Cold"))))</f>
        <v/>
      </c>
      <c r="Q67" s="44" t="str">
        <f aca="false">IF(C67="","",IF(AND(H67="No",J67="No"),"🚩 Budget  ·  🚩 No one on camera",IF(H67="No","🚩 Budget under AED 5k",IF(J67="No","🚩 No one on camera",""))))</f>
        <v/>
      </c>
      <c r="R67" s="44" t="str">
        <f aca="false">IF(C67="","",IF(N(N67)&lt;6,"Finish the scoresheet before closing",IF(P67="Hot","Close now – send the contract / proposal today",IF(P67="Warm","Send proposal + a relevant result; follow up in 3 days","Rep's call – nurture or close politely")))&amp;IF(Q67&lt;&gt;""," (handle the 🚩 first)",""))</f>
        <v/>
      </c>
      <c r="S67" s="17"/>
      <c r="T67" s="17"/>
      <c r="U67" s="44" t="str">
        <f aca="false">IF(C67="","",IF(COUNTIF(C68:C$501,C67)=0,1,0))</f>
        <v/>
      </c>
    </row>
    <row r="68" customFormat="false" ht="15" hidden="false" customHeight="false" outlineLevel="0" collapsed="false">
      <c r="A68" s="17"/>
      <c r="B68" s="40"/>
      <c r="C68" s="17"/>
      <c r="D68" s="44" t="str">
        <f aca="false">IF(C68="","",IFERROR(INDEX(Inbound!$E$2:$E$501,MATCH(C68,Inbound!$A$2:$A$501,0)),IFERROR(INDEX(Outbound!$D$2:$D$501,MATCH(C68,Outbound!$A$2:$A$501,0)),"Lead ID not found")))</f>
        <v/>
      </c>
      <c r="E68" s="44" t="str">
        <f aca="false">IF(C68="","",IFERROR(INDEX(Inbound!$F$2:$F$501,MATCH(C68,Inbound!$A$2:$A$501,0)),IFERROR(INDEX(Outbound!$E$2:$E$501,MATCH(C68,Outbound!$A$2:$A$501,0)),"Lead ID not found")))</f>
        <v/>
      </c>
      <c r="F68" s="17"/>
      <c r="G68" s="17"/>
      <c r="H68" s="17"/>
      <c r="I68" s="17"/>
      <c r="J68" s="17"/>
      <c r="K68" s="17"/>
      <c r="L68" s="17"/>
      <c r="M68" s="17"/>
      <c r="N68" s="44" t="str">
        <f aca="false">IF(C68="","",COUNTA(H68:M68))</f>
        <v/>
      </c>
      <c r="O68" s="44" t="str">
        <f aca="false">IF(OR(C68="",N(N68)=0),"",SUMIFS(Settings!$AA$2:$AA$21,Settings!$Y$2:$Y$21,"Budget AED 5k+/mo?",Settings!$Z$2:$Z$21,H68)+SUMIFS(Settings!$AA$2:$AA$21,Settings!$Y$2:$Y$21,"Decision-maker?",Settings!$Z$2:$Z$21,I68)+SUMIFS(Settings!$AA$2:$AA$21,Settings!$Y$2:$Y$21,"Someone on camera?",Settings!$Z$2:$Z$21,J68)+SUMIFS(Settings!$AA$2:$AA$21,Settings!$Y$2:$Y$21,"OK with 3-month term?",Settings!$Z$2:$Z$21,K68)+SUMIFS(Settings!$AA$2:$AA$21,Settings!$Y$2:$Y$21,"Start timeline",Settings!$Z$2:$Z$21,L68)+SUMIFS(Settings!$AA$2:$AA$21,Settings!$Y$2:$Y$21,"Social media gap",Settings!$Z$2:$Z$21,M68)+IF(OR(E68="",E68="Lead ID not found"),0,IF(COUNTIF(Settings!$AC$2:$AC$6,E68)&gt;0,Settings!$AA$20,Settings!$AA$21)))</f>
        <v/>
      </c>
      <c r="P68" s="44" t="str">
        <f aca="false">IF(C68="","",IF(N(N68)&lt;6,"Partly scored ("&amp;N68&amp;"/6)",IF(O68&gt;=Settings!$S$8,"Hot",IF(O68&gt;=Settings!$S$9,"Warm","Cold"))))</f>
        <v/>
      </c>
      <c r="Q68" s="44" t="str">
        <f aca="false">IF(C68="","",IF(AND(H68="No",J68="No"),"🚩 Budget  ·  🚩 No one on camera",IF(H68="No","🚩 Budget under AED 5k",IF(J68="No","🚩 No one on camera",""))))</f>
        <v/>
      </c>
      <c r="R68" s="44" t="str">
        <f aca="false">IF(C68="","",IF(N(N68)&lt;6,"Finish the scoresheet before closing",IF(P68="Hot","Close now – send the contract / proposal today",IF(P68="Warm","Send proposal + a relevant result; follow up in 3 days","Rep's call – nurture or close politely")))&amp;IF(Q68&lt;&gt;""," (handle the 🚩 first)",""))</f>
        <v/>
      </c>
      <c r="S68" s="17"/>
      <c r="T68" s="17"/>
      <c r="U68" s="44" t="str">
        <f aca="false">IF(C68="","",IF(COUNTIF(C69:C$501,C68)=0,1,0))</f>
        <v/>
      </c>
    </row>
    <row r="69" customFormat="false" ht="15" hidden="false" customHeight="false" outlineLevel="0" collapsed="false">
      <c r="A69" s="17"/>
      <c r="B69" s="40"/>
      <c r="C69" s="17"/>
      <c r="D69" s="44" t="str">
        <f aca="false">IF(C69="","",IFERROR(INDEX(Inbound!$E$2:$E$501,MATCH(C69,Inbound!$A$2:$A$501,0)),IFERROR(INDEX(Outbound!$D$2:$D$501,MATCH(C69,Outbound!$A$2:$A$501,0)),"Lead ID not found")))</f>
        <v/>
      </c>
      <c r="E69" s="44" t="str">
        <f aca="false">IF(C69="","",IFERROR(INDEX(Inbound!$F$2:$F$501,MATCH(C69,Inbound!$A$2:$A$501,0)),IFERROR(INDEX(Outbound!$E$2:$E$501,MATCH(C69,Outbound!$A$2:$A$501,0)),"Lead ID not found")))</f>
        <v/>
      </c>
      <c r="F69" s="17"/>
      <c r="G69" s="17"/>
      <c r="H69" s="17"/>
      <c r="I69" s="17"/>
      <c r="J69" s="17"/>
      <c r="K69" s="17"/>
      <c r="L69" s="17"/>
      <c r="M69" s="17"/>
      <c r="N69" s="44" t="str">
        <f aca="false">IF(C69="","",COUNTA(H69:M69))</f>
        <v/>
      </c>
      <c r="O69" s="44" t="str">
        <f aca="false">IF(OR(C69="",N(N69)=0),"",SUMIFS(Settings!$AA$2:$AA$21,Settings!$Y$2:$Y$21,"Budget AED 5k+/mo?",Settings!$Z$2:$Z$21,H69)+SUMIFS(Settings!$AA$2:$AA$21,Settings!$Y$2:$Y$21,"Decision-maker?",Settings!$Z$2:$Z$21,I69)+SUMIFS(Settings!$AA$2:$AA$21,Settings!$Y$2:$Y$21,"Someone on camera?",Settings!$Z$2:$Z$21,J69)+SUMIFS(Settings!$AA$2:$AA$21,Settings!$Y$2:$Y$21,"OK with 3-month term?",Settings!$Z$2:$Z$21,K69)+SUMIFS(Settings!$AA$2:$AA$21,Settings!$Y$2:$Y$21,"Start timeline",Settings!$Z$2:$Z$21,L69)+SUMIFS(Settings!$AA$2:$AA$21,Settings!$Y$2:$Y$21,"Social media gap",Settings!$Z$2:$Z$21,M69)+IF(OR(E69="",E69="Lead ID not found"),0,IF(COUNTIF(Settings!$AC$2:$AC$6,E69)&gt;0,Settings!$AA$20,Settings!$AA$21)))</f>
        <v/>
      </c>
      <c r="P69" s="44" t="str">
        <f aca="false">IF(C69="","",IF(N(N69)&lt;6,"Partly scored ("&amp;N69&amp;"/6)",IF(O69&gt;=Settings!$S$8,"Hot",IF(O69&gt;=Settings!$S$9,"Warm","Cold"))))</f>
        <v/>
      </c>
      <c r="Q69" s="44" t="str">
        <f aca="false">IF(C69="","",IF(AND(H69="No",J69="No"),"🚩 Budget  ·  🚩 No one on camera",IF(H69="No","🚩 Budget under AED 5k",IF(J69="No","🚩 No one on camera",""))))</f>
        <v/>
      </c>
      <c r="R69" s="44" t="str">
        <f aca="false">IF(C69="","",IF(N(N69)&lt;6,"Finish the scoresheet before closing",IF(P69="Hot","Close now – send the contract / proposal today",IF(P69="Warm","Send proposal + a relevant result; follow up in 3 days","Rep's call – nurture or close politely")))&amp;IF(Q69&lt;&gt;""," (handle the 🚩 first)",""))</f>
        <v/>
      </c>
      <c r="S69" s="17"/>
      <c r="T69" s="17"/>
      <c r="U69" s="44" t="str">
        <f aca="false">IF(C69="","",IF(COUNTIF(C70:C$501,C69)=0,1,0))</f>
        <v/>
      </c>
    </row>
    <row r="70" customFormat="false" ht="15" hidden="false" customHeight="false" outlineLevel="0" collapsed="false">
      <c r="A70" s="17"/>
      <c r="B70" s="40"/>
      <c r="C70" s="17"/>
      <c r="D70" s="44" t="str">
        <f aca="false">IF(C70="","",IFERROR(INDEX(Inbound!$E$2:$E$501,MATCH(C70,Inbound!$A$2:$A$501,0)),IFERROR(INDEX(Outbound!$D$2:$D$501,MATCH(C70,Outbound!$A$2:$A$501,0)),"Lead ID not found")))</f>
        <v/>
      </c>
      <c r="E70" s="44" t="str">
        <f aca="false">IF(C70="","",IFERROR(INDEX(Inbound!$F$2:$F$501,MATCH(C70,Inbound!$A$2:$A$501,0)),IFERROR(INDEX(Outbound!$E$2:$E$501,MATCH(C70,Outbound!$A$2:$A$501,0)),"Lead ID not found")))</f>
        <v/>
      </c>
      <c r="F70" s="17"/>
      <c r="G70" s="17"/>
      <c r="H70" s="17"/>
      <c r="I70" s="17"/>
      <c r="J70" s="17"/>
      <c r="K70" s="17"/>
      <c r="L70" s="17"/>
      <c r="M70" s="17"/>
      <c r="N70" s="44" t="str">
        <f aca="false">IF(C70="","",COUNTA(H70:M70))</f>
        <v/>
      </c>
      <c r="O70" s="44" t="str">
        <f aca="false">IF(OR(C70="",N(N70)=0),"",SUMIFS(Settings!$AA$2:$AA$21,Settings!$Y$2:$Y$21,"Budget AED 5k+/mo?",Settings!$Z$2:$Z$21,H70)+SUMIFS(Settings!$AA$2:$AA$21,Settings!$Y$2:$Y$21,"Decision-maker?",Settings!$Z$2:$Z$21,I70)+SUMIFS(Settings!$AA$2:$AA$21,Settings!$Y$2:$Y$21,"Someone on camera?",Settings!$Z$2:$Z$21,J70)+SUMIFS(Settings!$AA$2:$AA$21,Settings!$Y$2:$Y$21,"OK with 3-month term?",Settings!$Z$2:$Z$21,K70)+SUMIFS(Settings!$AA$2:$AA$21,Settings!$Y$2:$Y$21,"Start timeline",Settings!$Z$2:$Z$21,L70)+SUMIFS(Settings!$AA$2:$AA$21,Settings!$Y$2:$Y$21,"Social media gap",Settings!$Z$2:$Z$21,M70)+IF(OR(E70="",E70="Lead ID not found"),0,IF(COUNTIF(Settings!$AC$2:$AC$6,E70)&gt;0,Settings!$AA$20,Settings!$AA$21)))</f>
        <v/>
      </c>
      <c r="P70" s="44" t="str">
        <f aca="false">IF(C70="","",IF(N(N70)&lt;6,"Partly scored ("&amp;N70&amp;"/6)",IF(O70&gt;=Settings!$S$8,"Hot",IF(O70&gt;=Settings!$S$9,"Warm","Cold"))))</f>
        <v/>
      </c>
      <c r="Q70" s="44" t="str">
        <f aca="false">IF(C70="","",IF(AND(H70="No",J70="No"),"🚩 Budget  ·  🚩 No one on camera",IF(H70="No","🚩 Budget under AED 5k",IF(J70="No","🚩 No one on camera",""))))</f>
        <v/>
      </c>
      <c r="R70" s="44" t="str">
        <f aca="false">IF(C70="","",IF(N(N70)&lt;6,"Finish the scoresheet before closing",IF(P70="Hot","Close now – send the contract / proposal today",IF(P70="Warm","Send proposal + a relevant result; follow up in 3 days","Rep's call – nurture or close politely")))&amp;IF(Q70&lt;&gt;""," (handle the 🚩 first)",""))</f>
        <v/>
      </c>
      <c r="S70" s="17"/>
      <c r="T70" s="17"/>
      <c r="U70" s="44" t="str">
        <f aca="false">IF(C70="","",IF(COUNTIF(C71:C$501,C70)=0,1,0))</f>
        <v/>
      </c>
    </row>
    <row r="71" customFormat="false" ht="15" hidden="false" customHeight="false" outlineLevel="0" collapsed="false">
      <c r="A71" s="17"/>
      <c r="B71" s="40"/>
      <c r="C71" s="17"/>
      <c r="D71" s="44" t="str">
        <f aca="false">IF(C71="","",IFERROR(INDEX(Inbound!$E$2:$E$501,MATCH(C71,Inbound!$A$2:$A$501,0)),IFERROR(INDEX(Outbound!$D$2:$D$501,MATCH(C71,Outbound!$A$2:$A$501,0)),"Lead ID not found")))</f>
        <v/>
      </c>
      <c r="E71" s="44" t="str">
        <f aca="false">IF(C71="","",IFERROR(INDEX(Inbound!$F$2:$F$501,MATCH(C71,Inbound!$A$2:$A$501,0)),IFERROR(INDEX(Outbound!$E$2:$E$501,MATCH(C71,Outbound!$A$2:$A$501,0)),"Lead ID not found")))</f>
        <v/>
      </c>
      <c r="F71" s="17"/>
      <c r="G71" s="17"/>
      <c r="H71" s="17"/>
      <c r="I71" s="17"/>
      <c r="J71" s="17"/>
      <c r="K71" s="17"/>
      <c r="L71" s="17"/>
      <c r="M71" s="17"/>
      <c r="N71" s="44" t="str">
        <f aca="false">IF(C71="","",COUNTA(H71:M71))</f>
        <v/>
      </c>
      <c r="O71" s="44" t="str">
        <f aca="false">IF(OR(C71="",N(N71)=0),"",SUMIFS(Settings!$AA$2:$AA$21,Settings!$Y$2:$Y$21,"Budget AED 5k+/mo?",Settings!$Z$2:$Z$21,H71)+SUMIFS(Settings!$AA$2:$AA$21,Settings!$Y$2:$Y$21,"Decision-maker?",Settings!$Z$2:$Z$21,I71)+SUMIFS(Settings!$AA$2:$AA$21,Settings!$Y$2:$Y$21,"Someone on camera?",Settings!$Z$2:$Z$21,J71)+SUMIFS(Settings!$AA$2:$AA$21,Settings!$Y$2:$Y$21,"OK with 3-month term?",Settings!$Z$2:$Z$21,K71)+SUMIFS(Settings!$AA$2:$AA$21,Settings!$Y$2:$Y$21,"Start timeline",Settings!$Z$2:$Z$21,L71)+SUMIFS(Settings!$AA$2:$AA$21,Settings!$Y$2:$Y$21,"Social media gap",Settings!$Z$2:$Z$21,M71)+IF(OR(E71="",E71="Lead ID not found"),0,IF(COUNTIF(Settings!$AC$2:$AC$6,E71)&gt;0,Settings!$AA$20,Settings!$AA$21)))</f>
        <v/>
      </c>
      <c r="P71" s="44" t="str">
        <f aca="false">IF(C71="","",IF(N(N71)&lt;6,"Partly scored ("&amp;N71&amp;"/6)",IF(O71&gt;=Settings!$S$8,"Hot",IF(O71&gt;=Settings!$S$9,"Warm","Cold"))))</f>
        <v/>
      </c>
      <c r="Q71" s="44" t="str">
        <f aca="false">IF(C71="","",IF(AND(H71="No",J71="No"),"🚩 Budget  ·  🚩 No one on camera",IF(H71="No","🚩 Budget under AED 5k",IF(J71="No","🚩 No one on camera",""))))</f>
        <v/>
      </c>
      <c r="R71" s="44" t="str">
        <f aca="false">IF(C71="","",IF(N(N71)&lt;6,"Finish the scoresheet before closing",IF(P71="Hot","Close now – send the contract / proposal today",IF(P71="Warm","Send proposal + a relevant result; follow up in 3 days","Rep's call – nurture or close politely")))&amp;IF(Q71&lt;&gt;""," (handle the 🚩 first)",""))</f>
        <v/>
      </c>
      <c r="S71" s="17"/>
      <c r="T71" s="17"/>
      <c r="U71" s="44" t="str">
        <f aca="false">IF(C71="","",IF(COUNTIF(C72:C$501,C71)=0,1,0))</f>
        <v/>
      </c>
    </row>
    <row r="72" customFormat="false" ht="15" hidden="false" customHeight="false" outlineLevel="0" collapsed="false">
      <c r="A72" s="17"/>
      <c r="B72" s="40"/>
      <c r="C72" s="17"/>
      <c r="D72" s="44" t="str">
        <f aca="false">IF(C72="","",IFERROR(INDEX(Inbound!$E$2:$E$501,MATCH(C72,Inbound!$A$2:$A$501,0)),IFERROR(INDEX(Outbound!$D$2:$D$501,MATCH(C72,Outbound!$A$2:$A$501,0)),"Lead ID not found")))</f>
        <v/>
      </c>
      <c r="E72" s="44" t="str">
        <f aca="false">IF(C72="","",IFERROR(INDEX(Inbound!$F$2:$F$501,MATCH(C72,Inbound!$A$2:$A$501,0)),IFERROR(INDEX(Outbound!$E$2:$E$501,MATCH(C72,Outbound!$A$2:$A$501,0)),"Lead ID not found")))</f>
        <v/>
      </c>
      <c r="F72" s="17"/>
      <c r="G72" s="17"/>
      <c r="H72" s="17"/>
      <c r="I72" s="17"/>
      <c r="J72" s="17"/>
      <c r="K72" s="17"/>
      <c r="L72" s="17"/>
      <c r="M72" s="17"/>
      <c r="N72" s="44" t="str">
        <f aca="false">IF(C72="","",COUNTA(H72:M72))</f>
        <v/>
      </c>
      <c r="O72" s="44" t="str">
        <f aca="false">IF(OR(C72="",N(N72)=0),"",SUMIFS(Settings!$AA$2:$AA$21,Settings!$Y$2:$Y$21,"Budget AED 5k+/mo?",Settings!$Z$2:$Z$21,H72)+SUMIFS(Settings!$AA$2:$AA$21,Settings!$Y$2:$Y$21,"Decision-maker?",Settings!$Z$2:$Z$21,I72)+SUMIFS(Settings!$AA$2:$AA$21,Settings!$Y$2:$Y$21,"Someone on camera?",Settings!$Z$2:$Z$21,J72)+SUMIFS(Settings!$AA$2:$AA$21,Settings!$Y$2:$Y$21,"OK with 3-month term?",Settings!$Z$2:$Z$21,K72)+SUMIFS(Settings!$AA$2:$AA$21,Settings!$Y$2:$Y$21,"Start timeline",Settings!$Z$2:$Z$21,L72)+SUMIFS(Settings!$AA$2:$AA$21,Settings!$Y$2:$Y$21,"Social media gap",Settings!$Z$2:$Z$21,M72)+IF(OR(E72="",E72="Lead ID not found"),0,IF(COUNTIF(Settings!$AC$2:$AC$6,E72)&gt;0,Settings!$AA$20,Settings!$AA$21)))</f>
        <v/>
      </c>
      <c r="P72" s="44" t="str">
        <f aca="false">IF(C72="","",IF(N(N72)&lt;6,"Partly scored ("&amp;N72&amp;"/6)",IF(O72&gt;=Settings!$S$8,"Hot",IF(O72&gt;=Settings!$S$9,"Warm","Cold"))))</f>
        <v/>
      </c>
      <c r="Q72" s="44" t="str">
        <f aca="false">IF(C72="","",IF(AND(H72="No",J72="No"),"🚩 Budget  ·  🚩 No one on camera",IF(H72="No","🚩 Budget under AED 5k",IF(J72="No","🚩 No one on camera",""))))</f>
        <v/>
      </c>
      <c r="R72" s="44" t="str">
        <f aca="false">IF(C72="","",IF(N(N72)&lt;6,"Finish the scoresheet before closing",IF(P72="Hot","Close now – send the contract / proposal today",IF(P72="Warm","Send proposal + a relevant result; follow up in 3 days","Rep's call – nurture or close politely")))&amp;IF(Q72&lt;&gt;""," (handle the 🚩 first)",""))</f>
        <v/>
      </c>
      <c r="S72" s="17"/>
      <c r="T72" s="17"/>
      <c r="U72" s="44" t="str">
        <f aca="false">IF(C72="","",IF(COUNTIF(C73:C$501,C72)=0,1,0))</f>
        <v/>
      </c>
    </row>
    <row r="73" customFormat="false" ht="15" hidden="false" customHeight="false" outlineLevel="0" collapsed="false">
      <c r="A73" s="17"/>
      <c r="B73" s="40"/>
      <c r="C73" s="17"/>
      <c r="D73" s="44" t="str">
        <f aca="false">IF(C73="","",IFERROR(INDEX(Inbound!$E$2:$E$501,MATCH(C73,Inbound!$A$2:$A$501,0)),IFERROR(INDEX(Outbound!$D$2:$D$501,MATCH(C73,Outbound!$A$2:$A$501,0)),"Lead ID not found")))</f>
        <v/>
      </c>
      <c r="E73" s="44" t="str">
        <f aca="false">IF(C73="","",IFERROR(INDEX(Inbound!$F$2:$F$501,MATCH(C73,Inbound!$A$2:$A$501,0)),IFERROR(INDEX(Outbound!$E$2:$E$501,MATCH(C73,Outbound!$A$2:$A$501,0)),"Lead ID not found")))</f>
        <v/>
      </c>
      <c r="F73" s="17"/>
      <c r="G73" s="17"/>
      <c r="H73" s="17"/>
      <c r="I73" s="17"/>
      <c r="J73" s="17"/>
      <c r="K73" s="17"/>
      <c r="L73" s="17"/>
      <c r="M73" s="17"/>
      <c r="N73" s="44" t="str">
        <f aca="false">IF(C73="","",COUNTA(H73:M73))</f>
        <v/>
      </c>
      <c r="O73" s="44" t="str">
        <f aca="false">IF(OR(C73="",N(N73)=0),"",SUMIFS(Settings!$AA$2:$AA$21,Settings!$Y$2:$Y$21,"Budget AED 5k+/mo?",Settings!$Z$2:$Z$21,H73)+SUMIFS(Settings!$AA$2:$AA$21,Settings!$Y$2:$Y$21,"Decision-maker?",Settings!$Z$2:$Z$21,I73)+SUMIFS(Settings!$AA$2:$AA$21,Settings!$Y$2:$Y$21,"Someone on camera?",Settings!$Z$2:$Z$21,J73)+SUMIFS(Settings!$AA$2:$AA$21,Settings!$Y$2:$Y$21,"OK with 3-month term?",Settings!$Z$2:$Z$21,K73)+SUMIFS(Settings!$AA$2:$AA$21,Settings!$Y$2:$Y$21,"Start timeline",Settings!$Z$2:$Z$21,L73)+SUMIFS(Settings!$AA$2:$AA$21,Settings!$Y$2:$Y$21,"Social media gap",Settings!$Z$2:$Z$21,M73)+IF(OR(E73="",E73="Lead ID not found"),0,IF(COUNTIF(Settings!$AC$2:$AC$6,E73)&gt;0,Settings!$AA$20,Settings!$AA$21)))</f>
        <v/>
      </c>
      <c r="P73" s="44" t="str">
        <f aca="false">IF(C73="","",IF(N(N73)&lt;6,"Partly scored ("&amp;N73&amp;"/6)",IF(O73&gt;=Settings!$S$8,"Hot",IF(O73&gt;=Settings!$S$9,"Warm","Cold"))))</f>
        <v/>
      </c>
      <c r="Q73" s="44" t="str">
        <f aca="false">IF(C73="","",IF(AND(H73="No",J73="No"),"🚩 Budget  ·  🚩 No one on camera",IF(H73="No","🚩 Budget under AED 5k",IF(J73="No","🚩 No one on camera",""))))</f>
        <v/>
      </c>
      <c r="R73" s="44" t="str">
        <f aca="false">IF(C73="","",IF(N(N73)&lt;6,"Finish the scoresheet before closing",IF(P73="Hot","Close now – send the contract / proposal today",IF(P73="Warm","Send proposal + a relevant result; follow up in 3 days","Rep's call – nurture or close politely")))&amp;IF(Q73&lt;&gt;""," (handle the 🚩 first)",""))</f>
        <v/>
      </c>
      <c r="S73" s="17"/>
      <c r="T73" s="17"/>
      <c r="U73" s="44" t="str">
        <f aca="false">IF(C73="","",IF(COUNTIF(C74:C$501,C73)=0,1,0))</f>
        <v/>
      </c>
    </row>
    <row r="74" customFormat="false" ht="15" hidden="false" customHeight="false" outlineLevel="0" collapsed="false">
      <c r="A74" s="17"/>
      <c r="B74" s="40"/>
      <c r="C74" s="17"/>
      <c r="D74" s="44" t="str">
        <f aca="false">IF(C74="","",IFERROR(INDEX(Inbound!$E$2:$E$501,MATCH(C74,Inbound!$A$2:$A$501,0)),IFERROR(INDEX(Outbound!$D$2:$D$501,MATCH(C74,Outbound!$A$2:$A$501,0)),"Lead ID not found")))</f>
        <v/>
      </c>
      <c r="E74" s="44" t="str">
        <f aca="false">IF(C74="","",IFERROR(INDEX(Inbound!$F$2:$F$501,MATCH(C74,Inbound!$A$2:$A$501,0)),IFERROR(INDEX(Outbound!$E$2:$E$501,MATCH(C74,Outbound!$A$2:$A$501,0)),"Lead ID not found")))</f>
        <v/>
      </c>
      <c r="F74" s="17"/>
      <c r="G74" s="17"/>
      <c r="H74" s="17"/>
      <c r="I74" s="17"/>
      <c r="J74" s="17"/>
      <c r="K74" s="17"/>
      <c r="L74" s="17"/>
      <c r="M74" s="17"/>
      <c r="N74" s="44" t="str">
        <f aca="false">IF(C74="","",COUNTA(H74:M74))</f>
        <v/>
      </c>
      <c r="O74" s="44" t="str">
        <f aca="false">IF(OR(C74="",N(N74)=0),"",SUMIFS(Settings!$AA$2:$AA$21,Settings!$Y$2:$Y$21,"Budget AED 5k+/mo?",Settings!$Z$2:$Z$21,H74)+SUMIFS(Settings!$AA$2:$AA$21,Settings!$Y$2:$Y$21,"Decision-maker?",Settings!$Z$2:$Z$21,I74)+SUMIFS(Settings!$AA$2:$AA$21,Settings!$Y$2:$Y$21,"Someone on camera?",Settings!$Z$2:$Z$21,J74)+SUMIFS(Settings!$AA$2:$AA$21,Settings!$Y$2:$Y$21,"OK with 3-month term?",Settings!$Z$2:$Z$21,K74)+SUMIFS(Settings!$AA$2:$AA$21,Settings!$Y$2:$Y$21,"Start timeline",Settings!$Z$2:$Z$21,L74)+SUMIFS(Settings!$AA$2:$AA$21,Settings!$Y$2:$Y$21,"Social media gap",Settings!$Z$2:$Z$21,M74)+IF(OR(E74="",E74="Lead ID not found"),0,IF(COUNTIF(Settings!$AC$2:$AC$6,E74)&gt;0,Settings!$AA$20,Settings!$AA$21)))</f>
        <v/>
      </c>
      <c r="P74" s="44" t="str">
        <f aca="false">IF(C74="","",IF(N(N74)&lt;6,"Partly scored ("&amp;N74&amp;"/6)",IF(O74&gt;=Settings!$S$8,"Hot",IF(O74&gt;=Settings!$S$9,"Warm","Cold"))))</f>
        <v/>
      </c>
      <c r="Q74" s="44" t="str">
        <f aca="false">IF(C74="","",IF(AND(H74="No",J74="No"),"🚩 Budget  ·  🚩 No one on camera",IF(H74="No","🚩 Budget under AED 5k",IF(J74="No","🚩 No one on camera",""))))</f>
        <v/>
      </c>
      <c r="R74" s="44" t="str">
        <f aca="false">IF(C74="","",IF(N(N74)&lt;6,"Finish the scoresheet before closing",IF(P74="Hot","Close now – send the contract / proposal today",IF(P74="Warm","Send proposal + a relevant result; follow up in 3 days","Rep's call – nurture or close politely")))&amp;IF(Q74&lt;&gt;""," (handle the 🚩 first)",""))</f>
        <v/>
      </c>
      <c r="S74" s="17"/>
      <c r="T74" s="17"/>
      <c r="U74" s="44" t="str">
        <f aca="false">IF(C74="","",IF(COUNTIF(C75:C$501,C74)=0,1,0))</f>
        <v/>
      </c>
    </row>
    <row r="75" customFormat="false" ht="15" hidden="false" customHeight="false" outlineLevel="0" collapsed="false">
      <c r="A75" s="17"/>
      <c r="B75" s="40"/>
      <c r="C75" s="17"/>
      <c r="D75" s="44" t="str">
        <f aca="false">IF(C75="","",IFERROR(INDEX(Inbound!$E$2:$E$501,MATCH(C75,Inbound!$A$2:$A$501,0)),IFERROR(INDEX(Outbound!$D$2:$D$501,MATCH(C75,Outbound!$A$2:$A$501,0)),"Lead ID not found")))</f>
        <v/>
      </c>
      <c r="E75" s="44" t="str">
        <f aca="false">IF(C75="","",IFERROR(INDEX(Inbound!$F$2:$F$501,MATCH(C75,Inbound!$A$2:$A$501,0)),IFERROR(INDEX(Outbound!$E$2:$E$501,MATCH(C75,Outbound!$A$2:$A$501,0)),"Lead ID not found")))</f>
        <v/>
      </c>
      <c r="F75" s="17"/>
      <c r="G75" s="17"/>
      <c r="H75" s="17"/>
      <c r="I75" s="17"/>
      <c r="J75" s="17"/>
      <c r="K75" s="17"/>
      <c r="L75" s="17"/>
      <c r="M75" s="17"/>
      <c r="N75" s="44" t="str">
        <f aca="false">IF(C75="","",COUNTA(H75:M75))</f>
        <v/>
      </c>
      <c r="O75" s="44" t="str">
        <f aca="false">IF(OR(C75="",N(N75)=0),"",SUMIFS(Settings!$AA$2:$AA$21,Settings!$Y$2:$Y$21,"Budget AED 5k+/mo?",Settings!$Z$2:$Z$21,H75)+SUMIFS(Settings!$AA$2:$AA$21,Settings!$Y$2:$Y$21,"Decision-maker?",Settings!$Z$2:$Z$21,I75)+SUMIFS(Settings!$AA$2:$AA$21,Settings!$Y$2:$Y$21,"Someone on camera?",Settings!$Z$2:$Z$21,J75)+SUMIFS(Settings!$AA$2:$AA$21,Settings!$Y$2:$Y$21,"OK with 3-month term?",Settings!$Z$2:$Z$21,K75)+SUMIFS(Settings!$AA$2:$AA$21,Settings!$Y$2:$Y$21,"Start timeline",Settings!$Z$2:$Z$21,L75)+SUMIFS(Settings!$AA$2:$AA$21,Settings!$Y$2:$Y$21,"Social media gap",Settings!$Z$2:$Z$21,M75)+IF(OR(E75="",E75="Lead ID not found"),0,IF(COUNTIF(Settings!$AC$2:$AC$6,E75)&gt;0,Settings!$AA$20,Settings!$AA$21)))</f>
        <v/>
      </c>
      <c r="P75" s="44" t="str">
        <f aca="false">IF(C75="","",IF(N(N75)&lt;6,"Partly scored ("&amp;N75&amp;"/6)",IF(O75&gt;=Settings!$S$8,"Hot",IF(O75&gt;=Settings!$S$9,"Warm","Cold"))))</f>
        <v/>
      </c>
      <c r="Q75" s="44" t="str">
        <f aca="false">IF(C75="","",IF(AND(H75="No",J75="No"),"🚩 Budget  ·  🚩 No one on camera",IF(H75="No","🚩 Budget under AED 5k",IF(J75="No","🚩 No one on camera",""))))</f>
        <v/>
      </c>
      <c r="R75" s="44" t="str">
        <f aca="false">IF(C75="","",IF(N(N75)&lt;6,"Finish the scoresheet before closing",IF(P75="Hot","Close now – send the contract / proposal today",IF(P75="Warm","Send proposal + a relevant result; follow up in 3 days","Rep's call – nurture or close politely")))&amp;IF(Q75&lt;&gt;""," (handle the 🚩 first)",""))</f>
        <v/>
      </c>
      <c r="S75" s="17"/>
      <c r="T75" s="17"/>
      <c r="U75" s="44" t="str">
        <f aca="false">IF(C75="","",IF(COUNTIF(C76:C$501,C75)=0,1,0))</f>
        <v/>
      </c>
    </row>
    <row r="76" customFormat="false" ht="15" hidden="false" customHeight="false" outlineLevel="0" collapsed="false">
      <c r="A76" s="17"/>
      <c r="B76" s="40"/>
      <c r="C76" s="17"/>
      <c r="D76" s="44" t="str">
        <f aca="false">IF(C76="","",IFERROR(INDEX(Inbound!$E$2:$E$501,MATCH(C76,Inbound!$A$2:$A$501,0)),IFERROR(INDEX(Outbound!$D$2:$D$501,MATCH(C76,Outbound!$A$2:$A$501,0)),"Lead ID not found")))</f>
        <v/>
      </c>
      <c r="E76" s="44" t="str">
        <f aca="false">IF(C76="","",IFERROR(INDEX(Inbound!$F$2:$F$501,MATCH(C76,Inbound!$A$2:$A$501,0)),IFERROR(INDEX(Outbound!$E$2:$E$501,MATCH(C76,Outbound!$A$2:$A$501,0)),"Lead ID not found")))</f>
        <v/>
      </c>
      <c r="F76" s="17"/>
      <c r="G76" s="17"/>
      <c r="H76" s="17"/>
      <c r="I76" s="17"/>
      <c r="J76" s="17"/>
      <c r="K76" s="17"/>
      <c r="L76" s="17"/>
      <c r="M76" s="17"/>
      <c r="N76" s="44" t="str">
        <f aca="false">IF(C76="","",COUNTA(H76:M76))</f>
        <v/>
      </c>
      <c r="O76" s="44" t="str">
        <f aca="false">IF(OR(C76="",N(N76)=0),"",SUMIFS(Settings!$AA$2:$AA$21,Settings!$Y$2:$Y$21,"Budget AED 5k+/mo?",Settings!$Z$2:$Z$21,H76)+SUMIFS(Settings!$AA$2:$AA$21,Settings!$Y$2:$Y$21,"Decision-maker?",Settings!$Z$2:$Z$21,I76)+SUMIFS(Settings!$AA$2:$AA$21,Settings!$Y$2:$Y$21,"Someone on camera?",Settings!$Z$2:$Z$21,J76)+SUMIFS(Settings!$AA$2:$AA$21,Settings!$Y$2:$Y$21,"OK with 3-month term?",Settings!$Z$2:$Z$21,K76)+SUMIFS(Settings!$AA$2:$AA$21,Settings!$Y$2:$Y$21,"Start timeline",Settings!$Z$2:$Z$21,L76)+SUMIFS(Settings!$AA$2:$AA$21,Settings!$Y$2:$Y$21,"Social media gap",Settings!$Z$2:$Z$21,M76)+IF(OR(E76="",E76="Lead ID not found"),0,IF(COUNTIF(Settings!$AC$2:$AC$6,E76)&gt;0,Settings!$AA$20,Settings!$AA$21)))</f>
        <v/>
      </c>
      <c r="P76" s="44" t="str">
        <f aca="false">IF(C76="","",IF(N(N76)&lt;6,"Partly scored ("&amp;N76&amp;"/6)",IF(O76&gt;=Settings!$S$8,"Hot",IF(O76&gt;=Settings!$S$9,"Warm","Cold"))))</f>
        <v/>
      </c>
      <c r="Q76" s="44" t="str">
        <f aca="false">IF(C76="","",IF(AND(H76="No",J76="No"),"🚩 Budget  ·  🚩 No one on camera",IF(H76="No","🚩 Budget under AED 5k",IF(J76="No","🚩 No one on camera",""))))</f>
        <v/>
      </c>
      <c r="R76" s="44" t="str">
        <f aca="false">IF(C76="","",IF(N(N76)&lt;6,"Finish the scoresheet before closing",IF(P76="Hot","Close now – send the contract / proposal today",IF(P76="Warm","Send proposal + a relevant result; follow up in 3 days","Rep's call – nurture or close politely")))&amp;IF(Q76&lt;&gt;""," (handle the 🚩 first)",""))</f>
        <v/>
      </c>
      <c r="S76" s="17"/>
      <c r="T76" s="17"/>
      <c r="U76" s="44" t="str">
        <f aca="false">IF(C76="","",IF(COUNTIF(C77:C$501,C76)=0,1,0))</f>
        <v/>
      </c>
    </row>
    <row r="77" customFormat="false" ht="15" hidden="false" customHeight="false" outlineLevel="0" collapsed="false">
      <c r="A77" s="17"/>
      <c r="B77" s="40"/>
      <c r="C77" s="17"/>
      <c r="D77" s="44" t="str">
        <f aca="false">IF(C77="","",IFERROR(INDEX(Inbound!$E$2:$E$501,MATCH(C77,Inbound!$A$2:$A$501,0)),IFERROR(INDEX(Outbound!$D$2:$D$501,MATCH(C77,Outbound!$A$2:$A$501,0)),"Lead ID not found")))</f>
        <v/>
      </c>
      <c r="E77" s="44" t="str">
        <f aca="false">IF(C77="","",IFERROR(INDEX(Inbound!$F$2:$F$501,MATCH(C77,Inbound!$A$2:$A$501,0)),IFERROR(INDEX(Outbound!$E$2:$E$501,MATCH(C77,Outbound!$A$2:$A$501,0)),"Lead ID not found")))</f>
        <v/>
      </c>
      <c r="F77" s="17"/>
      <c r="G77" s="17"/>
      <c r="H77" s="17"/>
      <c r="I77" s="17"/>
      <c r="J77" s="17"/>
      <c r="K77" s="17"/>
      <c r="L77" s="17"/>
      <c r="M77" s="17"/>
      <c r="N77" s="44" t="str">
        <f aca="false">IF(C77="","",COUNTA(H77:M77))</f>
        <v/>
      </c>
      <c r="O77" s="44" t="str">
        <f aca="false">IF(OR(C77="",N(N77)=0),"",SUMIFS(Settings!$AA$2:$AA$21,Settings!$Y$2:$Y$21,"Budget AED 5k+/mo?",Settings!$Z$2:$Z$21,H77)+SUMIFS(Settings!$AA$2:$AA$21,Settings!$Y$2:$Y$21,"Decision-maker?",Settings!$Z$2:$Z$21,I77)+SUMIFS(Settings!$AA$2:$AA$21,Settings!$Y$2:$Y$21,"Someone on camera?",Settings!$Z$2:$Z$21,J77)+SUMIFS(Settings!$AA$2:$AA$21,Settings!$Y$2:$Y$21,"OK with 3-month term?",Settings!$Z$2:$Z$21,K77)+SUMIFS(Settings!$AA$2:$AA$21,Settings!$Y$2:$Y$21,"Start timeline",Settings!$Z$2:$Z$21,L77)+SUMIFS(Settings!$AA$2:$AA$21,Settings!$Y$2:$Y$21,"Social media gap",Settings!$Z$2:$Z$21,M77)+IF(OR(E77="",E77="Lead ID not found"),0,IF(COUNTIF(Settings!$AC$2:$AC$6,E77)&gt;0,Settings!$AA$20,Settings!$AA$21)))</f>
        <v/>
      </c>
      <c r="P77" s="44" t="str">
        <f aca="false">IF(C77="","",IF(N(N77)&lt;6,"Partly scored ("&amp;N77&amp;"/6)",IF(O77&gt;=Settings!$S$8,"Hot",IF(O77&gt;=Settings!$S$9,"Warm","Cold"))))</f>
        <v/>
      </c>
      <c r="Q77" s="44" t="str">
        <f aca="false">IF(C77="","",IF(AND(H77="No",J77="No"),"🚩 Budget  ·  🚩 No one on camera",IF(H77="No","🚩 Budget under AED 5k",IF(J77="No","🚩 No one on camera",""))))</f>
        <v/>
      </c>
      <c r="R77" s="44" t="str">
        <f aca="false">IF(C77="","",IF(N(N77)&lt;6,"Finish the scoresheet before closing",IF(P77="Hot","Close now – send the contract / proposal today",IF(P77="Warm","Send proposal + a relevant result; follow up in 3 days","Rep's call – nurture or close politely")))&amp;IF(Q77&lt;&gt;""," (handle the 🚩 first)",""))</f>
        <v/>
      </c>
      <c r="S77" s="17"/>
      <c r="T77" s="17"/>
      <c r="U77" s="44" t="str">
        <f aca="false">IF(C77="","",IF(COUNTIF(C78:C$501,C77)=0,1,0))</f>
        <v/>
      </c>
    </row>
    <row r="78" customFormat="false" ht="15" hidden="false" customHeight="false" outlineLevel="0" collapsed="false">
      <c r="A78" s="17"/>
      <c r="B78" s="40"/>
      <c r="C78" s="17"/>
      <c r="D78" s="44" t="str">
        <f aca="false">IF(C78="","",IFERROR(INDEX(Inbound!$E$2:$E$501,MATCH(C78,Inbound!$A$2:$A$501,0)),IFERROR(INDEX(Outbound!$D$2:$D$501,MATCH(C78,Outbound!$A$2:$A$501,0)),"Lead ID not found")))</f>
        <v/>
      </c>
      <c r="E78" s="44" t="str">
        <f aca="false">IF(C78="","",IFERROR(INDEX(Inbound!$F$2:$F$501,MATCH(C78,Inbound!$A$2:$A$501,0)),IFERROR(INDEX(Outbound!$E$2:$E$501,MATCH(C78,Outbound!$A$2:$A$501,0)),"Lead ID not found")))</f>
        <v/>
      </c>
      <c r="F78" s="17"/>
      <c r="G78" s="17"/>
      <c r="H78" s="17"/>
      <c r="I78" s="17"/>
      <c r="J78" s="17"/>
      <c r="K78" s="17"/>
      <c r="L78" s="17"/>
      <c r="M78" s="17"/>
      <c r="N78" s="44" t="str">
        <f aca="false">IF(C78="","",COUNTA(H78:M78))</f>
        <v/>
      </c>
      <c r="O78" s="44" t="str">
        <f aca="false">IF(OR(C78="",N(N78)=0),"",SUMIFS(Settings!$AA$2:$AA$21,Settings!$Y$2:$Y$21,"Budget AED 5k+/mo?",Settings!$Z$2:$Z$21,H78)+SUMIFS(Settings!$AA$2:$AA$21,Settings!$Y$2:$Y$21,"Decision-maker?",Settings!$Z$2:$Z$21,I78)+SUMIFS(Settings!$AA$2:$AA$21,Settings!$Y$2:$Y$21,"Someone on camera?",Settings!$Z$2:$Z$21,J78)+SUMIFS(Settings!$AA$2:$AA$21,Settings!$Y$2:$Y$21,"OK with 3-month term?",Settings!$Z$2:$Z$21,K78)+SUMIFS(Settings!$AA$2:$AA$21,Settings!$Y$2:$Y$21,"Start timeline",Settings!$Z$2:$Z$21,L78)+SUMIFS(Settings!$AA$2:$AA$21,Settings!$Y$2:$Y$21,"Social media gap",Settings!$Z$2:$Z$21,M78)+IF(OR(E78="",E78="Lead ID not found"),0,IF(COUNTIF(Settings!$AC$2:$AC$6,E78)&gt;0,Settings!$AA$20,Settings!$AA$21)))</f>
        <v/>
      </c>
      <c r="P78" s="44" t="str">
        <f aca="false">IF(C78="","",IF(N(N78)&lt;6,"Partly scored ("&amp;N78&amp;"/6)",IF(O78&gt;=Settings!$S$8,"Hot",IF(O78&gt;=Settings!$S$9,"Warm","Cold"))))</f>
        <v/>
      </c>
      <c r="Q78" s="44" t="str">
        <f aca="false">IF(C78="","",IF(AND(H78="No",J78="No"),"🚩 Budget  ·  🚩 No one on camera",IF(H78="No","🚩 Budget under AED 5k",IF(J78="No","🚩 No one on camera",""))))</f>
        <v/>
      </c>
      <c r="R78" s="44" t="str">
        <f aca="false">IF(C78="","",IF(N(N78)&lt;6,"Finish the scoresheet before closing",IF(P78="Hot","Close now – send the contract / proposal today",IF(P78="Warm","Send proposal + a relevant result; follow up in 3 days","Rep's call – nurture or close politely")))&amp;IF(Q78&lt;&gt;""," (handle the 🚩 first)",""))</f>
        <v/>
      </c>
      <c r="S78" s="17"/>
      <c r="T78" s="17"/>
      <c r="U78" s="44" t="str">
        <f aca="false">IF(C78="","",IF(COUNTIF(C79:C$501,C78)=0,1,0))</f>
        <v/>
      </c>
    </row>
    <row r="79" customFormat="false" ht="15" hidden="false" customHeight="false" outlineLevel="0" collapsed="false">
      <c r="A79" s="17"/>
      <c r="B79" s="40"/>
      <c r="C79" s="17"/>
      <c r="D79" s="44" t="str">
        <f aca="false">IF(C79="","",IFERROR(INDEX(Inbound!$E$2:$E$501,MATCH(C79,Inbound!$A$2:$A$501,0)),IFERROR(INDEX(Outbound!$D$2:$D$501,MATCH(C79,Outbound!$A$2:$A$501,0)),"Lead ID not found")))</f>
        <v/>
      </c>
      <c r="E79" s="44" t="str">
        <f aca="false">IF(C79="","",IFERROR(INDEX(Inbound!$F$2:$F$501,MATCH(C79,Inbound!$A$2:$A$501,0)),IFERROR(INDEX(Outbound!$E$2:$E$501,MATCH(C79,Outbound!$A$2:$A$501,0)),"Lead ID not found")))</f>
        <v/>
      </c>
      <c r="F79" s="17"/>
      <c r="G79" s="17"/>
      <c r="H79" s="17"/>
      <c r="I79" s="17"/>
      <c r="J79" s="17"/>
      <c r="K79" s="17"/>
      <c r="L79" s="17"/>
      <c r="M79" s="17"/>
      <c r="N79" s="44" t="str">
        <f aca="false">IF(C79="","",COUNTA(H79:M79))</f>
        <v/>
      </c>
      <c r="O79" s="44" t="str">
        <f aca="false">IF(OR(C79="",N(N79)=0),"",SUMIFS(Settings!$AA$2:$AA$21,Settings!$Y$2:$Y$21,"Budget AED 5k+/mo?",Settings!$Z$2:$Z$21,H79)+SUMIFS(Settings!$AA$2:$AA$21,Settings!$Y$2:$Y$21,"Decision-maker?",Settings!$Z$2:$Z$21,I79)+SUMIFS(Settings!$AA$2:$AA$21,Settings!$Y$2:$Y$21,"Someone on camera?",Settings!$Z$2:$Z$21,J79)+SUMIFS(Settings!$AA$2:$AA$21,Settings!$Y$2:$Y$21,"OK with 3-month term?",Settings!$Z$2:$Z$21,K79)+SUMIFS(Settings!$AA$2:$AA$21,Settings!$Y$2:$Y$21,"Start timeline",Settings!$Z$2:$Z$21,L79)+SUMIFS(Settings!$AA$2:$AA$21,Settings!$Y$2:$Y$21,"Social media gap",Settings!$Z$2:$Z$21,M79)+IF(OR(E79="",E79="Lead ID not found"),0,IF(COUNTIF(Settings!$AC$2:$AC$6,E79)&gt;0,Settings!$AA$20,Settings!$AA$21)))</f>
        <v/>
      </c>
      <c r="P79" s="44" t="str">
        <f aca="false">IF(C79="","",IF(N(N79)&lt;6,"Partly scored ("&amp;N79&amp;"/6)",IF(O79&gt;=Settings!$S$8,"Hot",IF(O79&gt;=Settings!$S$9,"Warm","Cold"))))</f>
        <v/>
      </c>
      <c r="Q79" s="44" t="str">
        <f aca="false">IF(C79="","",IF(AND(H79="No",J79="No"),"🚩 Budget  ·  🚩 No one on camera",IF(H79="No","🚩 Budget under AED 5k",IF(J79="No","🚩 No one on camera",""))))</f>
        <v/>
      </c>
      <c r="R79" s="44" t="str">
        <f aca="false">IF(C79="","",IF(N(N79)&lt;6,"Finish the scoresheet before closing",IF(P79="Hot","Close now – send the contract / proposal today",IF(P79="Warm","Send proposal + a relevant result; follow up in 3 days","Rep's call – nurture or close politely")))&amp;IF(Q79&lt;&gt;""," (handle the 🚩 first)",""))</f>
        <v/>
      </c>
      <c r="S79" s="17"/>
      <c r="T79" s="17"/>
      <c r="U79" s="44" t="str">
        <f aca="false">IF(C79="","",IF(COUNTIF(C80:C$501,C79)=0,1,0))</f>
        <v/>
      </c>
    </row>
    <row r="80" customFormat="false" ht="15" hidden="false" customHeight="false" outlineLevel="0" collapsed="false">
      <c r="A80" s="17"/>
      <c r="B80" s="40"/>
      <c r="C80" s="17"/>
      <c r="D80" s="44" t="str">
        <f aca="false">IF(C80="","",IFERROR(INDEX(Inbound!$E$2:$E$501,MATCH(C80,Inbound!$A$2:$A$501,0)),IFERROR(INDEX(Outbound!$D$2:$D$501,MATCH(C80,Outbound!$A$2:$A$501,0)),"Lead ID not found")))</f>
        <v/>
      </c>
      <c r="E80" s="44" t="str">
        <f aca="false">IF(C80="","",IFERROR(INDEX(Inbound!$F$2:$F$501,MATCH(C80,Inbound!$A$2:$A$501,0)),IFERROR(INDEX(Outbound!$E$2:$E$501,MATCH(C80,Outbound!$A$2:$A$501,0)),"Lead ID not found")))</f>
        <v/>
      </c>
      <c r="F80" s="17"/>
      <c r="G80" s="17"/>
      <c r="H80" s="17"/>
      <c r="I80" s="17"/>
      <c r="J80" s="17"/>
      <c r="K80" s="17"/>
      <c r="L80" s="17"/>
      <c r="M80" s="17"/>
      <c r="N80" s="44" t="str">
        <f aca="false">IF(C80="","",COUNTA(H80:M80))</f>
        <v/>
      </c>
      <c r="O80" s="44" t="str">
        <f aca="false">IF(OR(C80="",N(N80)=0),"",SUMIFS(Settings!$AA$2:$AA$21,Settings!$Y$2:$Y$21,"Budget AED 5k+/mo?",Settings!$Z$2:$Z$21,H80)+SUMIFS(Settings!$AA$2:$AA$21,Settings!$Y$2:$Y$21,"Decision-maker?",Settings!$Z$2:$Z$21,I80)+SUMIFS(Settings!$AA$2:$AA$21,Settings!$Y$2:$Y$21,"Someone on camera?",Settings!$Z$2:$Z$21,J80)+SUMIFS(Settings!$AA$2:$AA$21,Settings!$Y$2:$Y$21,"OK with 3-month term?",Settings!$Z$2:$Z$21,K80)+SUMIFS(Settings!$AA$2:$AA$21,Settings!$Y$2:$Y$21,"Start timeline",Settings!$Z$2:$Z$21,L80)+SUMIFS(Settings!$AA$2:$AA$21,Settings!$Y$2:$Y$21,"Social media gap",Settings!$Z$2:$Z$21,M80)+IF(OR(E80="",E80="Lead ID not found"),0,IF(COUNTIF(Settings!$AC$2:$AC$6,E80)&gt;0,Settings!$AA$20,Settings!$AA$21)))</f>
        <v/>
      </c>
      <c r="P80" s="44" t="str">
        <f aca="false">IF(C80="","",IF(N(N80)&lt;6,"Partly scored ("&amp;N80&amp;"/6)",IF(O80&gt;=Settings!$S$8,"Hot",IF(O80&gt;=Settings!$S$9,"Warm","Cold"))))</f>
        <v/>
      </c>
      <c r="Q80" s="44" t="str">
        <f aca="false">IF(C80="","",IF(AND(H80="No",J80="No"),"🚩 Budget  ·  🚩 No one on camera",IF(H80="No","🚩 Budget under AED 5k",IF(J80="No","🚩 No one on camera",""))))</f>
        <v/>
      </c>
      <c r="R80" s="44" t="str">
        <f aca="false">IF(C80="","",IF(N(N80)&lt;6,"Finish the scoresheet before closing",IF(P80="Hot","Close now – send the contract / proposal today",IF(P80="Warm","Send proposal + a relevant result; follow up in 3 days","Rep's call – nurture or close politely")))&amp;IF(Q80&lt;&gt;""," (handle the 🚩 first)",""))</f>
        <v/>
      </c>
      <c r="S80" s="17"/>
      <c r="T80" s="17"/>
      <c r="U80" s="44" t="str">
        <f aca="false">IF(C80="","",IF(COUNTIF(C81:C$501,C80)=0,1,0))</f>
        <v/>
      </c>
    </row>
    <row r="81" customFormat="false" ht="15" hidden="false" customHeight="false" outlineLevel="0" collapsed="false">
      <c r="A81" s="17"/>
      <c r="B81" s="40"/>
      <c r="C81" s="17"/>
      <c r="D81" s="44" t="str">
        <f aca="false">IF(C81="","",IFERROR(INDEX(Inbound!$E$2:$E$501,MATCH(C81,Inbound!$A$2:$A$501,0)),IFERROR(INDEX(Outbound!$D$2:$D$501,MATCH(C81,Outbound!$A$2:$A$501,0)),"Lead ID not found")))</f>
        <v/>
      </c>
      <c r="E81" s="44" t="str">
        <f aca="false">IF(C81="","",IFERROR(INDEX(Inbound!$F$2:$F$501,MATCH(C81,Inbound!$A$2:$A$501,0)),IFERROR(INDEX(Outbound!$E$2:$E$501,MATCH(C81,Outbound!$A$2:$A$501,0)),"Lead ID not found")))</f>
        <v/>
      </c>
      <c r="F81" s="17"/>
      <c r="G81" s="17"/>
      <c r="H81" s="17"/>
      <c r="I81" s="17"/>
      <c r="J81" s="17"/>
      <c r="K81" s="17"/>
      <c r="L81" s="17"/>
      <c r="M81" s="17"/>
      <c r="N81" s="44" t="str">
        <f aca="false">IF(C81="","",COUNTA(H81:M81))</f>
        <v/>
      </c>
      <c r="O81" s="44" t="str">
        <f aca="false">IF(OR(C81="",N(N81)=0),"",SUMIFS(Settings!$AA$2:$AA$21,Settings!$Y$2:$Y$21,"Budget AED 5k+/mo?",Settings!$Z$2:$Z$21,H81)+SUMIFS(Settings!$AA$2:$AA$21,Settings!$Y$2:$Y$21,"Decision-maker?",Settings!$Z$2:$Z$21,I81)+SUMIFS(Settings!$AA$2:$AA$21,Settings!$Y$2:$Y$21,"Someone on camera?",Settings!$Z$2:$Z$21,J81)+SUMIFS(Settings!$AA$2:$AA$21,Settings!$Y$2:$Y$21,"OK with 3-month term?",Settings!$Z$2:$Z$21,K81)+SUMIFS(Settings!$AA$2:$AA$21,Settings!$Y$2:$Y$21,"Start timeline",Settings!$Z$2:$Z$21,L81)+SUMIFS(Settings!$AA$2:$AA$21,Settings!$Y$2:$Y$21,"Social media gap",Settings!$Z$2:$Z$21,M81)+IF(OR(E81="",E81="Lead ID not found"),0,IF(COUNTIF(Settings!$AC$2:$AC$6,E81)&gt;0,Settings!$AA$20,Settings!$AA$21)))</f>
        <v/>
      </c>
      <c r="P81" s="44" t="str">
        <f aca="false">IF(C81="","",IF(N(N81)&lt;6,"Partly scored ("&amp;N81&amp;"/6)",IF(O81&gt;=Settings!$S$8,"Hot",IF(O81&gt;=Settings!$S$9,"Warm","Cold"))))</f>
        <v/>
      </c>
      <c r="Q81" s="44" t="str">
        <f aca="false">IF(C81="","",IF(AND(H81="No",J81="No"),"🚩 Budget  ·  🚩 No one on camera",IF(H81="No","🚩 Budget under AED 5k",IF(J81="No","🚩 No one on camera",""))))</f>
        <v/>
      </c>
      <c r="R81" s="44" t="str">
        <f aca="false">IF(C81="","",IF(N(N81)&lt;6,"Finish the scoresheet before closing",IF(P81="Hot","Close now – send the contract / proposal today",IF(P81="Warm","Send proposal + a relevant result; follow up in 3 days","Rep's call – nurture or close politely")))&amp;IF(Q81&lt;&gt;""," (handle the 🚩 first)",""))</f>
        <v/>
      </c>
      <c r="S81" s="17"/>
      <c r="T81" s="17"/>
      <c r="U81" s="44" t="str">
        <f aca="false">IF(C81="","",IF(COUNTIF(C82:C$501,C81)=0,1,0))</f>
        <v/>
      </c>
    </row>
    <row r="82" customFormat="false" ht="15" hidden="false" customHeight="false" outlineLevel="0" collapsed="false">
      <c r="A82" s="17"/>
      <c r="B82" s="40"/>
      <c r="C82" s="17"/>
      <c r="D82" s="44" t="str">
        <f aca="false">IF(C82="","",IFERROR(INDEX(Inbound!$E$2:$E$501,MATCH(C82,Inbound!$A$2:$A$501,0)),IFERROR(INDEX(Outbound!$D$2:$D$501,MATCH(C82,Outbound!$A$2:$A$501,0)),"Lead ID not found")))</f>
        <v/>
      </c>
      <c r="E82" s="44" t="str">
        <f aca="false">IF(C82="","",IFERROR(INDEX(Inbound!$F$2:$F$501,MATCH(C82,Inbound!$A$2:$A$501,0)),IFERROR(INDEX(Outbound!$E$2:$E$501,MATCH(C82,Outbound!$A$2:$A$501,0)),"Lead ID not found")))</f>
        <v/>
      </c>
      <c r="F82" s="17"/>
      <c r="G82" s="17"/>
      <c r="H82" s="17"/>
      <c r="I82" s="17"/>
      <c r="J82" s="17"/>
      <c r="K82" s="17"/>
      <c r="L82" s="17"/>
      <c r="M82" s="17"/>
      <c r="N82" s="44" t="str">
        <f aca="false">IF(C82="","",COUNTA(H82:M82))</f>
        <v/>
      </c>
      <c r="O82" s="44" t="str">
        <f aca="false">IF(OR(C82="",N(N82)=0),"",SUMIFS(Settings!$AA$2:$AA$21,Settings!$Y$2:$Y$21,"Budget AED 5k+/mo?",Settings!$Z$2:$Z$21,H82)+SUMIFS(Settings!$AA$2:$AA$21,Settings!$Y$2:$Y$21,"Decision-maker?",Settings!$Z$2:$Z$21,I82)+SUMIFS(Settings!$AA$2:$AA$21,Settings!$Y$2:$Y$21,"Someone on camera?",Settings!$Z$2:$Z$21,J82)+SUMIFS(Settings!$AA$2:$AA$21,Settings!$Y$2:$Y$21,"OK with 3-month term?",Settings!$Z$2:$Z$21,K82)+SUMIFS(Settings!$AA$2:$AA$21,Settings!$Y$2:$Y$21,"Start timeline",Settings!$Z$2:$Z$21,L82)+SUMIFS(Settings!$AA$2:$AA$21,Settings!$Y$2:$Y$21,"Social media gap",Settings!$Z$2:$Z$21,M82)+IF(OR(E82="",E82="Lead ID not found"),0,IF(COUNTIF(Settings!$AC$2:$AC$6,E82)&gt;0,Settings!$AA$20,Settings!$AA$21)))</f>
        <v/>
      </c>
      <c r="P82" s="44" t="str">
        <f aca="false">IF(C82="","",IF(N(N82)&lt;6,"Partly scored ("&amp;N82&amp;"/6)",IF(O82&gt;=Settings!$S$8,"Hot",IF(O82&gt;=Settings!$S$9,"Warm","Cold"))))</f>
        <v/>
      </c>
      <c r="Q82" s="44" t="str">
        <f aca="false">IF(C82="","",IF(AND(H82="No",J82="No"),"🚩 Budget  ·  🚩 No one on camera",IF(H82="No","🚩 Budget under AED 5k",IF(J82="No","🚩 No one on camera",""))))</f>
        <v/>
      </c>
      <c r="R82" s="44" t="str">
        <f aca="false">IF(C82="","",IF(N(N82)&lt;6,"Finish the scoresheet before closing",IF(P82="Hot","Close now – send the contract / proposal today",IF(P82="Warm","Send proposal + a relevant result; follow up in 3 days","Rep's call – nurture or close politely")))&amp;IF(Q82&lt;&gt;""," (handle the 🚩 first)",""))</f>
        <v/>
      </c>
      <c r="S82" s="17"/>
      <c r="T82" s="17"/>
      <c r="U82" s="44" t="str">
        <f aca="false">IF(C82="","",IF(COUNTIF(C83:C$501,C82)=0,1,0))</f>
        <v/>
      </c>
    </row>
    <row r="83" customFormat="false" ht="15" hidden="false" customHeight="false" outlineLevel="0" collapsed="false">
      <c r="A83" s="17"/>
      <c r="B83" s="40"/>
      <c r="C83" s="17"/>
      <c r="D83" s="44" t="str">
        <f aca="false">IF(C83="","",IFERROR(INDEX(Inbound!$E$2:$E$501,MATCH(C83,Inbound!$A$2:$A$501,0)),IFERROR(INDEX(Outbound!$D$2:$D$501,MATCH(C83,Outbound!$A$2:$A$501,0)),"Lead ID not found")))</f>
        <v/>
      </c>
      <c r="E83" s="44" t="str">
        <f aca="false">IF(C83="","",IFERROR(INDEX(Inbound!$F$2:$F$501,MATCH(C83,Inbound!$A$2:$A$501,0)),IFERROR(INDEX(Outbound!$E$2:$E$501,MATCH(C83,Outbound!$A$2:$A$501,0)),"Lead ID not found")))</f>
        <v/>
      </c>
      <c r="F83" s="17"/>
      <c r="G83" s="17"/>
      <c r="H83" s="17"/>
      <c r="I83" s="17"/>
      <c r="J83" s="17"/>
      <c r="K83" s="17"/>
      <c r="L83" s="17"/>
      <c r="M83" s="17"/>
      <c r="N83" s="44" t="str">
        <f aca="false">IF(C83="","",COUNTA(H83:M83))</f>
        <v/>
      </c>
      <c r="O83" s="44" t="str">
        <f aca="false">IF(OR(C83="",N(N83)=0),"",SUMIFS(Settings!$AA$2:$AA$21,Settings!$Y$2:$Y$21,"Budget AED 5k+/mo?",Settings!$Z$2:$Z$21,H83)+SUMIFS(Settings!$AA$2:$AA$21,Settings!$Y$2:$Y$21,"Decision-maker?",Settings!$Z$2:$Z$21,I83)+SUMIFS(Settings!$AA$2:$AA$21,Settings!$Y$2:$Y$21,"Someone on camera?",Settings!$Z$2:$Z$21,J83)+SUMIFS(Settings!$AA$2:$AA$21,Settings!$Y$2:$Y$21,"OK with 3-month term?",Settings!$Z$2:$Z$21,K83)+SUMIFS(Settings!$AA$2:$AA$21,Settings!$Y$2:$Y$21,"Start timeline",Settings!$Z$2:$Z$21,L83)+SUMIFS(Settings!$AA$2:$AA$21,Settings!$Y$2:$Y$21,"Social media gap",Settings!$Z$2:$Z$21,M83)+IF(OR(E83="",E83="Lead ID not found"),0,IF(COUNTIF(Settings!$AC$2:$AC$6,E83)&gt;0,Settings!$AA$20,Settings!$AA$21)))</f>
        <v/>
      </c>
      <c r="P83" s="44" t="str">
        <f aca="false">IF(C83="","",IF(N(N83)&lt;6,"Partly scored ("&amp;N83&amp;"/6)",IF(O83&gt;=Settings!$S$8,"Hot",IF(O83&gt;=Settings!$S$9,"Warm","Cold"))))</f>
        <v/>
      </c>
      <c r="Q83" s="44" t="str">
        <f aca="false">IF(C83="","",IF(AND(H83="No",J83="No"),"🚩 Budget  ·  🚩 No one on camera",IF(H83="No","🚩 Budget under AED 5k",IF(J83="No","🚩 No one on camera",""))))</f>
        <v/>
      </c>
      <c r="R83" s="44" t="str">
        <f aca="false">IF(C83="","",IF(N(N83)&lt;6,"Finish the scoresheet before closing",IF(P83="Hot","Close now – send the contract / proposal today",IF(P83="Warm","Send proposal + a relevant result; follow up in 3 days","Rep's call – nurture or close politely")))&amp;IF(Q83&lt;&gt;""," (handle the 🚩 first)",""))</f>
        <v/>
      </c>
      <c r="S83" s="17"/>
      <c r="T83" s="17"/>
      <c r="U83" s="44" t="str">
        <f aca="false">IF(C83="","",IF(COUNTIF(C84:C$501,C83)=0,1,0))</f>
        <v/>
      </c>
    </row>
    <row r="84" customFormat="false" ht="15" hidden="false" customHeight="false" outlineLevel="0" collapsed="false">
      <c r="A84" s="17"/>
      <c r="B84" s="40"/>
      <c r="C84" s="17"/>
      <c r="D84" s="44" t="str">
        <f aca="false">IF(C84="","",IFERROR(INDEX(Inbound!$E$2:$E$501,MATCH(C84,Inbound!$A$2:$A$501,0)),IFERROR(INDEX(Outbound!$D$2:$D$501,MATCH(C84,Outbound!$A$2:$A$501,0)),"Lead ID not found")))</f>
        <v/>
      </c>
      <c r="E84" s="44" t="str">
        <f aca="false">IF(C84="","",IFERROR(INDEX(Inbound!$F$2:$F$501,MATCH(C84,Inbound!$A$2:$A$501,0)),IFERROR(INDEX(Outbound!$E$2:$E$501,MATCH(C84,Outbound!$A$2:$A$501,0)),"Lead ID not found")))</f>
        <v/>
      </c>
      <c r="F84" s="17"/>
      <c r="G84" s="17"/>
      <c r="H84" s="17"/>
      <c r="I84" s="17"/>
      <c r="J84" s="17"/>
      <c r="K84" s="17"/>
      <c r="L84" s="17"/>
      <c r="M84" s="17"/>
      <c r="N84" s="44" t="str">
        <f aca="false">IF(C84="","",COUNTA(H84:M84))</f>
        <v/>
      </c>
      <c r="O84" s="44" t="str">
        <f aca="false">IF(OR(C84="",N(N84)=0),"",SUMIFS(Settings!$AA$2:$AA$21,Settings!$Y$2:$Y$21,"Budget AED 5k+/mo?",Settings!$Z$2:$Z$21,H84)+SUMIFS(Settings!$AA$2:$AA$21,Settings!$Y$2:$Y$21,"Decision-maker?",Settings!$Z$2:$Z$21,I84)+SUMIFS(Settings!$AA$2:$AA$21,Settings!$Y$2:$Y$21,"Someone on camera?",Settings!$Z$2:$Z$21,J84)+SUMIFS(Settings!$AA$2:$AA$21,Settings!$Y$2:$Y$21,"OK with 3-month term?",Settings!$Z$2:$Z$21,K84)+SUMIFS(Settings!$AA$2:$AA$21,Settings!$Y$2:$Y$21,"Start timeline",Settings!$Z$2:$Z$21,L84)+SUMIFS(Settings!$AA$2:$AA$21,Settings!$Y$2:$Y$21,"Social media gap",Settings!$Z$2:$Z$21,M84)+IF(OR(E84="",E84="Lead ID not found"),0,IF(COUNTIF(Settings!$AC$2:$AC$6,E84)&gt;0,Settings!$AA$20,Settings!$AA$21)))</f>
        <v/>
      </c>
      <c r="P84" s="44" t="str">
        <f aca="false">IF(C84="","",IF(N(N84)&lt;6,"Partly scored ("&amp;N84&amp;"/6)",IF(O84&gt;=Settings!$S$8,"Hot",IF(O84&gt;=Settings!$S$9,"Warm","Cold"))))</f>
        <v/>
      </c>
      <c r="Q84" s="44" t="str">
        <f aca="false">IF(C84="","",IF(AND(H84="No",J84="No"),"🚩 Budget  ·  🚩 No one on camera",IF(H84="No","🚩 Budget under AED 5k",IF(J84="No","🚩 No one on camera",""))))</f>
        <v/>
      </c>
      <c r="R84" s="44" t="str">
        <f aca="false">IF(C84="","",IF(N(N84)&lt;6,"Finish the scoresheet before closing",IF(P84="Hot","Close now – send the contract / proposal today",IF(P84="Warm","Send proposal + a relevant result; follow up in 3 days","Rep's call – nurture or close politely")))&amp;IF(Q84&lt;&gt;""," (handle the 🚩 first)",""))</f>
        <v/>
      </c>
      <c r="S84" s="17"/>
      <c r="T84" s="17"/>
      <c r="U84" s="44" t="str">
        <f aca="false">IF(C84="","",IF(COUNTIF(C85:C$501,C84)=0,1,0))</f>
        <v/>
      </c>
    </row>
    <row r="85" customFormat="false" ht="15" hidden="false" customHeight="false" outlineLevel="0" collapsed="false">
      <c r="A85" s="17"/>
      <c r="B85" s="40"/>
      <c r="C85" s="17"/>
      <c r="D85" s="44" t="str">
        <f aca="false">IF(C85="","",IFERROR(INDEX(Inbound!$E$2:$E$501,MATCH(C85,Inbound!$A$2:$A$501,0)),IFERROR(INDEX(Outbound!$D$2:$D$501,MATCH(C85,Outbound!$A$2:$A$501,0)),"Lead ID not found")))</f>
        <v/>
      </c>
      <c r="E85" s="44" t="str">
        <f aca="false">IF(C85="","",IFERROR(INDEX(Inbound!$F$2:$F$501,MATCH(C85,Inbound!$A$2:$A$501,0)),IFERROR(INDEX(Outbound!$E$2:$E$501,MATCH(C85,Outbound!$A$2:$A$501,0)),"Lead ID not found")))</f>
        <v/>
      </c>
      <c r="F85" s="17"/>
      <c r="G85" s="17"/>
      <c r="H85" s="17"/>
      <c r="I85" s="17"/>
      <c r="J85" s="17"/>
      <c r="K85" s="17"/>
      <c r="L85" s="17"/>
      <c r="M85" s="17"/>
      <c r="N85" s="44" t="str">
        <f aca="false">IF(C85="","",COUNTA(H85:M85))</f>
        <v/>
      </c>
      <c r="O85" s="44" t="str">
        <f aca="false">IF(OR(C85="",N(N85)=0),"",SUMIFS(Settings!$AA$2:$AA$21,Settings!$Y$2:$Y$21,"Budget AED 5k+/mo?",Settings!$Z$2:$Z$21,H85)+SUMIFS(Settings!$AA$2:$AA$21,Settings!$Y$2:$Y$21,"Decision-maker?",Settings!$Z$2:$Z$21,I85)+SUMIFS(Settings!$AA$2:$AA$21,Settings!$Y$2:$Y$21,"Someone on camera?",Settings!$Z$2:$Z$21,J85)+SUMIFS(Settings!$AA$2:$AA$21,Settings!$Y$2:$Y$21,"OK with 3-month term?",Settings!$Z$2:$Z$21,K85)+SUMIFS(Settings!$AA$2:$AA$21,Settings!$Y$2:$Y$21,"Start timeline",Settings!$Z$2:$Z$21,L85)+SUMIFS(Settings!$AA$2:$AA$21,Settings!$Y$2:$Y$21,"Social media gap",Settings!$Z$2:$Z$21,M85)+IF(OR(E85="",E85="Lead ID not found"),0,IF(COUNTIF(Settings!$AC$2:$AC$6,E85)&gt;0,Settings!$AA$20,Settings!$AA$21)))</f>
        <v/>
      </c>
      <c r="P85" s="44" t="str">
        <f aca="false">IF(C85="","",IF(N(N85)&lt;6,"Partly scored ("&amp;N85&amp;"/6)",IF(O85&gt;=Settings!$S$8,"Hot",IF(O85&gt;=Settings!$S$9,"Warm","Cold"))))</f>
        <v/>
      </c>
      <c r="Q85" s="44" t="str">
        <f aca="false">IF(C85="","",IF(AND(H85="No",J85="No"),"🚩 Budget  ·  🚩 No one on camera",IF(H85="No","🚩 Budget under AED 5k",IF(J85="No","🚩 No one on camera",""))))</f>
        <v/>
      </c>
      <c r="R85" s="44" t="str">
        <f aca="false">IF(C85="","",IF(N(N85)&lt;6,"Finish the scoresheet before closing",IF(P85="Hot","Close now – send the contract / proposal today",IF(P85="Warm","Send proposal + a relevant result; follow up in 3 days","Rep's call – nurture or close politely")))&amp;IF(Q85&lt;&gt;""," (handle the 🚩 first)",""))</f>
        <v/>
      </c>
      <c r="S85" s="17"/>
      <c r="T85" s="17"/>
      <c r="U85" s="44" t="str">
        <f aca="false">IF(C85="","",IF(COUNTIF(C86:C$501,C85)=0,1,0))</f>
        <v/>
      </c>
    </row>
    <row r="86" customFormat="false" ht="15" hidden="false" customHeight="false" outlineLevel="0" collapsed="false">
      <c r="A86" s="17"/>
      <c r="B86" s="40"/>
      <c r="C86" s="17"/>
      <c r="D86" s="44" t="str">
        <f aca="false">IF(C86="","",IFERROR(INDEX(Inbound!$E$2:$E$501,MATCH(C86,Inbound!$A$2:$A$501,0)),IFERROR(INDEX(Outbound!$D$2:$D$501,MATCH(C86,Outbound!$A$2:$A$501,0)),"Lead ID not found")))</f>
        <v/>
      </c>
      <c r="E86" s="44" t="str">
        <f aca="false">IF(C86="","",IFERROR(INDEX(Inbound!$F$2:$F$501,MATCH(C86,Inbound!$A$2:$A$501,0)),IFERROR(INDEX(Outbound!$E$2:$E$501,MATCH(C86,Outbound!$A$2:$A$501,0)),"Lead ID not found")))</f>
        <v/>
      </c>
      <c r="F86" s="17"/>
      <c r="G86" s="17"/>
      <c r="H86" s="17"/>
      <c r="I86" s="17"/>
      <c r="J86" s="17"/>
      <c r="K86" s="17"/>
      <c r="L86" s="17"/>
      <c r="M86" s="17"/>
      <c r="N86" s="44" t="str">
        <f aca="false">IF(C86="","",COUNTA(H86:M86))</f>
        <v/>
      </c>
      <c r="O86" s="44" t="str">
        <f aca="false">IF(OR(C86="",N(N86)=0),"",SUMIFS(Settings!$AA$2:$AA$21,Settings!$Y$2:$Y$21,"Budget AED 5k+/mo?",Settings!$Z$2:$Z$21,H86)+SUMIFS(Settings!$AA$2:$AA$21,Settings!$Y$2:$Y$21,"Decision-maker?",Settings!$Z$2:$Z$21,I86)+SUMIFS(Settings!$AA$2:$AA$21,Settings!$Y$2:$Y$21,"Someone on camera?",Settings!$Z$2:$Z$21,J86)+SUMIFS(Settings!$AA$2:$AA$21,Settings!$Y$2:$Y$21,"OK with 3-month term?",Settings!$Z$2:$Z$21,K86)+SUMIFS(Settings!$AA$2:$AA$21,Settings!$Y$2:$Y$21,"Start timeline",Settings!$Z$2:$Z$21,L86)+SUMIFS(Settings!$AA$2:$AA$21,Settings!$Y$2:$Y$21,"Social media gap",Settings!$Z$2:$Z$21,M86)+IF(OR(E86="",E86="Lead ID not found"),0,IF(COUNTIF(Settings!$AC$2:$AC$6,E86)&gt;0,Settings!$AA$20,Settings!$AA$21)))</f>
        <v/>
      </c>
      <c r="P86" s="44" t="str">
        <f aca="false">IF(C86="","",IF(N(N86)&lt;6,"Partly scored ("&amp;N86&amp;"/6)",IF(O86&gt;=Settings!$S$8,"Hot",IF(O86&gt;=Settings!$S$9,"Warm","Cold"))))</f>
        <v/>
      </c>
      <c r="Q86" s="44" t="str">
        <f aca="false">IF(C86="","",IF(AND(H86="No",J86="No"),"🚩 Budget  ·  🚩 No one on camera",IF(H86="No","🚩 Budget under AED 5k",IF(J86="No","🚩 No one on camera",""))))</f>
        <v/>
      </c>
      <c r="R86" s="44" t="str">
        <f aca="false">IF(C86="","",IF(N(N86)&lt;6,"Finish the scoresheet before closing",IF(P86="Hot","Close now – send the contract / proposal today",IF(P86="Warm","Send proposal + a relevant result; follow up in 3 days","Rep's call – nurture or close politely")))&amp;IF(Q86&lt;&gt;""," (handle the 🚩 first)",""))</f>
        <v/>
      </c>
      <c r="S86" s="17"/>
      <c r="T86" s="17"/>
      <c r="U86" s="44" t="str">
        <f aca="false">IF(C86="","",IF(COUNTIF(C87:C$501,C86)=0,1,0))</f>
        <v/>
      </c>
    </row>
    <row r="87" customFormat="false" ht="15" hidden="false" customHeight="false" outlineLevel="0" collapsed="false">
      <c r="A87" s="17"/>
      <c r="B87" s="40"/>
      <c r="C87" s="17"/>
      <c r="D87" s="44" t="str">
        <f aca="false">IF(C87="","",IFERROR(INDEX(Inbound!$E$2:$E$501,MATCH(C87,Inbound!$A$2:$A$501,0)),IFERROR(INDEX(Outbound!$D$2:$D$501,MATCH(C87,Outbound!$A$2:$A$501,0)),"Lead ID not found")))</f>
        <v/>
      </c>
      <c r="E87" s="44" t="str">
        <f aca="false">IF(C87="","",IFERROR(INDEX(Inbound!$F$2:$F$501,MATCH(C87,Inbound!$A$2:$A$501,0)),IFERROR(INDEX(Outbound!$E$2:$E$501,MATCH(C87,Outbound!$A$2:$A$501,0)),"Lead ID not found")))</f>
        <v/>
      </c>
      <c r="F87" s="17"/>
      <c r="G87" s="17"/>
      <c r="H87" s="17"/>
      <c r="I87" s="17"/>
      <c r="J87" s="17"/>
      <c r="K87" s="17"/>
      <c r="L87" s="17"/>
      <c r="M87" s="17"/>
      <c r="N87" s="44" t="str">
        <f aca="false">IF(C87="","",COUNTA(H87:M87))</f>
        <v/>
      </c>
      <c r="O87" s="44" t="str">
        <f aca="false">IF(OR(C87="",N(N87)=0),"",SUMIFS(Settings!$AA$2:$AA$21,Settings!$Y$2:$Y$21,"Budget AED 5k+/mo?",Settings!$Z$2:$Z$21,H87)+SUMIFS(Settings!$AA$2:$AA$21,Settings!$Y$2:$Y$21,"Decision-maker?",Settings!$Z$2:$Z$21,I87)+SUMIFS(Settings!$AA$2:$AA$21,Settings!$Y$2:$Y$21,"Someone on camera?",Settings!$Z$2:$Z$21,J87)+SUMIFS(Settings!$AA$2:$AA$21,Settings!$Y$2:$Y$21,"OK with 3-month term?",Settings!$Z$2:$Z$21,K87)+SUMIFS(Settings!$AA$2:$AA$21,Settings!$Y$2:$Y$21,"Start timeline",Settings!$Z$2:$Z$21,L87)+SUMIFS(Settings!$AA$2:$AA$21,Settings!$Y$2:$Y$21,"Social media gap",Settings!$Z$2:$Z$21,M87)+IF(OR(E87="",E87="Lead ID not found"),0,IF(COUNTIF(Settings!$AC$2:$AC$6,E87)&gt;0,Settings!$AA$20,Settings!$AA$21)))</f>
        <v/>
      </c>
      <c r="P87" s="44" t="str">
        <f aca="false">IF(C87="","",IF(N(N87)&lt;6,"Partly scored ("&amp;N87&amp;"/6)",IF(O87&gt;=Settings!$S$8,"Hot",IF(O87&gt;=Settings!$S$9,"Warm","Cold"))))</f>
        <v/>
      </c>
      <c r="Q87" s="44" t="str">
        <f aca="false">IF(C87="","",IF(AND(H87="No",J87="No"),"🚩 Budget  ·  🚩 No one on camera",IF(H87="No","🚩 Budget under AED 5k",IF(J87="No","🚩 No one on camera",""))))</f>
        <v/>
      </c>
      <c r="R87" s="44" t="str">
        <f aca="false">IF(C87="","",IF(N(N87)&lt;6,"Finish the scoresheet before closing",IF(P87="Hot","Close now – send the contract / proposal today",IF(P87="Warm","Send proposal + a relevant result; follow up in 3 days","Rep's call – nurture or close politely")))&amp;IF(Q87&lt;&gt;""," (handle the 🚩 first)",""))</f>
        <v/>
      </c>
      <c r="S87" s="17"/>
      <c r="T87" s="17"/>
      <c r="U87" s="44" t="str">
        <f aca="false">IF(C87="","",IF(COUNTIF(C88:C$501,C87)=0,1,0))</f>
        <v/>
      </c>
    </row>
    <row r="88" customFormat="false" ht="15" hidden="false" customHeight="false" outlineLevel="0" collapsed="false">
      <c r="A88" s="17"/>
      <c r="B88" s="40"/>
      <c r="C88" s="17"/>
      <c r="D88" s="44" t="str">
        <f aca="false">IF(C88="","",IFERROR(INDEX(Inbound!$E$2:$E$501,MATCH(C88,Inbound!$A$2:$A$501,0)),IFERROR(INDEX(Outbound!$D$2:$D$501,MATCH(C88,Outbound!$A$2:$A$501,0)),"Lead ID not found")))</f>
        <v/>
      </c>
      <c r="E88" s="44" t="str">
        <f aca="false">IF(C88="","",IFERROR(INDEX(Inbound!$F$2:$F$501,MATCH(C88,Inbound!$A$2:$A$501,0)),IFERROR(INDEX(Outbound!$E$2:$E$501,MATCH(C88,Outbound!$A$2:$A$501,0)),"Lead ID not found")))</f>
        <v/>
      </c>
      <c r="F88" s="17"/>
      <c r="G88" s="17"/>
      <c r="H88" s="17"/>
      <c r="I88" s="17"/>
      <c r="J88" s="17"/>
      <c r="K88" s="17"/>
      <c r="L88" s="17"/>
      <c r="M88" s="17"/>
      <c r="N88" s="44" t="str">
        <f aca="false">IF(C88="","",COUNTA(H88:M88))</f>
        <v/>
      </c>
      <c r="O88" s="44" t="str">
        <f aca="false">IF(OR(C88="",N(N88)=0),"",SUMIFS(Settings!$AA$2:$AA$21,Settings!$Y$2:$Y$21,"Budget AED 5k+/mo?",Settings!$Z$2:$Z$21,H88)+SUMIFS(Settings!$AA$2:$AA$21,Settings!$Y$2:$Y$21,"Decision-maker?",Settings!$Z$2:$Z$21,I88)+SUMIFS(Settings!$AA$2:$AA$21,Settings!$Y$2:$Y$21,"Someone on camera?",Settings!$Z$2:$Z$21,J88)+SUMIFS(Settings!$AA$2:$AA$21,Settings!$Y$2:$Y$21,"OK with 3-month term?",Settings!$Z$2:$Z$21,K88)+SUMIFS(Settings!$AA$2:$AA$21,Settings!$Y$2:$Y$21,"Start timeline",Settings!$Z$2:$Z$21,L88)+SUMIFS(Settings!$AA$2:$AA$21,Settings!$Y$2:$Y$21,"Social media gap",Settings!$Z$2:$Z$21,M88)+IF(OR(E88="",E88="Lead ID not found"),0,IF(COUNTIF(Settings!$AC$2:$AC$6,E88)&gt;0,Settings!$AA$20,Settings!$AA$21)))</f>
        <v/>
      </c>
      <c r="P88" s="44" t="str">
        <f aca="false">IF(C88="","",IF(N(N88)&lt;6,"Partly scored ("&amp;N88&amp;"/6)",IF(O88&gt;=Settings!$S$8,"Hot",IF(O88&gt;=Settings!$S$9,"Warm","Cold"))))</f>
        <v/>
      </c>
      <c r="Q88" s="44" t="str">
        <f aca="false">IF(C88="","",IF(AND(H88="No",J88="No"),"🚩 Budget  ·  🚩 No one on camera",IF(H88="No","🚩 Budget under AED 5k",IF(J88="No","🚩 No one on camera",""))))</f>
        <v/>
      </c>
      <c r="R88" s="44" t="str">
        <f aca="false">IF(C88="","",IF(N(N88)&lt;6,"Finish the scoresheet before closing",IF(P88="Hot","Close now – send the contract / proposal today",IF(P88="Warm","Send proposal + a relevant result; follow up in 3 days","Rep's call – nurture or close politely")))&amp;IF(Q88&lt;&gt;""," (handle the 🚩 first)",""))</f>
        <v/>
      </c>
      <c r="S88" s="17"/>
      <c r="T88" s="17"/>
      <c r="U88" s="44" t="str">
        <f aca="false">IF(C88="","",IF(COUNTIF(C89:C$501,C88)=0,1,0))</f>
        <v/>
      </c>
    </row>
    <row r="89" customFormat="false" ht="15" hidden="false" customHeight="false" outlineLevel="0" collapsed="false">
      <c r="A89" s="17"/>
      <c r="B89" s="40"/>
      <c r="C89" s="17"/>
      <c r="D89" s="44" t="str">
        <f aca="false">IF(C89="","",IFERROR(INDEX(Inbound!$E$2:$E$501,MATCH(C89,Inbound!$A$2:$A$501,0)),IFERROR(INDEX(Outbound!$D$2:$D$501,MATCH(C89,Outbound!$A$2:$A$501,0)),"Lead ID not found")))</f>
        <v/>
      </c>
      <c r="E89" s="44" t="str">
        <f aca="false">IF(C89="","",IFERROR(INDEX(Inbound!$F$2:$F$501,MATCH(C89,Inbound!$A$2:$A$501,0)),IFERROR(INDEX(Outbound!$E$2:$E$501,MATCH(C89,Outbound!$A$2:$A$501,0)),"Lead ID not found")))</f>
        <v/>
      </c>
      <c r="F89" s="17"/>
      <c r="G89" s="17"/>
      <c r="H89" s="17"/>
      <c r="I89" s="17"/>
      <c r="J89" s="17"/>
      <c r="K89" s="17"/>
      <c r="L89" s="17"/>
      <c r="M89" s="17"/>
      <c r="N89" s="44" t="str">
        <f aca="false">IF(C89="","",COUNTA(H89:M89))</f>
        <v/>
      </c>
      <c r="O89" s="44" t="str">
        <f aca="false">IF(OR(C89="",N(N89)=0),"",SUMIFS(Settings!$AA$2:$AA$21,Settings!$Y$2:$Y$21,"Budget AED 5k+/mo?",Settings!$Z$2:$Z$21,H89)+SUMIFS(Settings!$AA$2:$AA$21,Settings!$Y$2:$Y$21,"Decision-maker?",Settings!$Z$2:$Z$21,I89)+SUMIFS(Settings!$AA$2:$AA$21,Settings!$Y$2:$Y$21,"Someone on camera?",Settings!$Z$2:$Z$21,J89)+SUMIFS(Settings!$AA$2:$AA$21,Settings!$Y$2:$Y$21,"OK with 3-month term?",Settings!$Z$2:$Z$21,K89)+SUMIFS(Settings!$AA$2:$AA$21,Settings!$Y$2:$Y$21,"Start timeline",Settings!$Z$2:$Z$21,L89)+SUMIFS(Settings!$AA$2:$AA$21,Settings!$Y$2:$Y$21,"Social media gap",Settings!$Z$2:$Z$21,M89)+IF(OR(E89="",E89="Lead ID not found"),0,IF(COUNTIF(Settings!$AC$2:$AC$6,E89)&gt;0,Settings!$AA$20,Settings!$AA$21)))</f>
        <v/>
      </c>
      <c r="P89" s="44" t="str">
        <f aca="false">IF(C89="","",IF(N(N89)&lt;6,"Partly scored ("&amp;N89&amp;"/6)",IF(O89&gt;=Settings!$S$8,"Hot",IF(O89&gt;=Settings!$S$9,"Warm","Cold"))))</f>
        <v/>
      </c>
      <c r="Q89" s="44" t="str">
        <f aca="false">IF(C89="","",IF(AND(H89="No",J89="No"),"🚩 Budget  ·  🚩 No one on camera",IF(H89="No","🚩 Budget under AED 5k",IF(J89="No","🚩 No one on camera",""))))</f>
        <v/>
      </c>
      <c r="R89" s="44" t="str">
        <f aca="false">IF(C89="","",IF(N(N89)&lt;6,"Finish the scoresheet before closing",IF(P89="Hot","Close now – send the contract / proposal today",IF(P89="Warm","Send proposal + a relevant result; follow up in 3 days","Rep's call – nurture or close politely")))&amp;IF(Q89&lt;&gt;""," (handle the 🚩 first)",""))</f>
        <v/>
      </c>
      <c r="S89" s="17"/>
      <c r="T89" s="17"/>
      <c r="U89" s="44" t="str">
        <f aca="false">IF(C89="","",IF(COUNTIF(C90:C$501,C89)=0,1,0))</f>
        <v/>
      </c>
    </row>
    <row r="90" customFormat="false" ht="15" hidden="false" customHeight="false" outlineLevel="0" collapsed="false">
      <c r="A90" s="17"/>
      <c r="B90" s="40"/>
      <c r="C90" s="17"/>
      <c r="D90" s="44" t="str">
        <f aca="false">IF(C90="","",IFERROR(INDEX(Inbound!$E$2:$E$501,MATCH(C90,Inbound!$A$2:$A$501,0)),IFERROR(INDEX(Outbound!$D$2:$D$501,MATCH(C90,Outbound!$A$2:$A$501,0)),"Lead ID not found")))</f>
        <v/>
      </c>
      <c r="E90" s="44" t="str">
        <f aca="false">IF(C90="","",IFERROR(INDEX(Inbound!$F$2:$F$501,MATCH(C90,Inbound!$A$2:$A$501,0)),IFERROR(INDEX(Outbound!$E$2:$E$501,MATCH(C90,Outbound!$A$2:$A$501,0)),"Lead ID not found")))</f>
        <v/>
      </c>
      <c r="F90" s="17"/>
      <c r="G90" s="17"/>
      <c r="H90" s="17"/>
      <c r="I90" s="17"/>
      <c r="J90" s="17"/>
      <c r="K90" s="17"/>
      <c r="L90" s="17"/>
      <c r="M90" s="17"/>
      <c r="N90" s="44" t="str">
        <f aca="false">IF(C90="","",COUNTA(H90:M90))</f>
        <v/>
      </c>
      <c r="O90" s="44" t="str">
        <f aca="false">IF(OR(C90="",N(N90)=0),"",SUMIFS(Settings!$AA$2:$AA$21,Settings!$Y$2:$Y$21,"Budget AED 5k+/mo?",Settings!$Z$2:$Z$21,H90)+SUMIFS(Settings!$AA$2:$AA$21,Settings!$Y$2:$Y$21,"Decision-maker?",Settings!$Z$2:$Z$21,I90)+SUMIFS(Settings!$AA$2:$AA$21,Settings!$Y$2:$Y$21,"Someone on camera?",Settings!$Z$2:$Z$21,J90)+SUMIFS(Settings!$AA$2:$AA$21,Settings!$Y$2:$Y$21,"OK with 3-month term?",Settings!$Z$2:$Z$21,K90)+SUMIFS(Settings!$AA$2:$AA$21,Settings!$Y$2:$Y$21,"Start timeline",Settings!$Z$2:$Z$21,L90)+SUMIFS(Settings!$AA$2:$AA$21,Settings!$Y$2:$Y$21,"Social media gap",Settings!$Z$2:$Z$21,M90)+IF(OR(E90="",E90="Lead ID not found"),0,IF(COUNTIF(Settings!$AC$2:$AC$6,E90)&gt;0,Settings!$AA$20,Settings!$AA$21)))</f>
        <v/>
      </c>
      <c r="P90" s="44" t="str">
        <f aca="false">IF(C90="","",IF(N(N90)&lt;6,"Partly scored ("&amp;N90&amp;"/6)",IF(O90&gt;=Settings!$S$8,"Hot",IF(O90&gt;=Settings!$S$9,"Warm","Cold"))))</f>
        <v/>
      </c>
      <c r="Q90" s="44" t="str">
        <f aca="false">IF(C90="","",IF(AND(H90="No",J90="No"),"🚩 Budget  ·  🚩 No one on camera",IF(H90="No","🚩 Budget under AED 5k",IF(J90="No","🚩 No one on camera",""))))</f>
        <v/>
      </c>
      <c r="R90" s="44" t="str">
        <f aca="false">IF(C90="","",IF(N(N90)&lt;6,"Finish the scoresheet before closing",IF(P90="Hot","Close now – send the contract / proposal today",IF(P90="Warm","Send proposal + a relevant result; follow up in 3 days","Rep's call – nurture or close politely")))&amp;IF(Q90&lt;&gt;""," (handle the 🚩 first)",""))</f>
        <v/>
      </c>
      <c r="S90" s="17"/>
      <c r="T90" s="17"/>
      <c r="U90" s="44" t="str">
        <f aca="false">IF(C90="","",IF(COUNTIF(C91:C$501,C90)=0,1,0))</f>
        <v/>
      </c>
    </row>
    <row r="91" customFormat="false" ht="15" hidden="false" customHeight="false" outlineLevel="0" collapsed="false">
      <c r="A91" s="17"/>
      <c r="B91" s="40"/>
      <c r="C91" s="17"/>
      <c r="D91" s="44" t="str">
        <f aca="false">IF(C91="","",IFERROR(INDEX(Inbound!$E$2:$E$501,MATCH(C91,Inbound!$A$2:$A$501,0)),IFERROR(INDEX(Outbound!$D$2:$D$501,MATCH(C91,Outbound!$A$2:$A$501,0)),"Lead ID not found")))</f>
        <v/>
      </c>
      <c r="E91" s="44" t="str">
        <f aca="false">IF(C91="","",IFERROR(INDEX(Inbound!$F$2:$F$501,MATCH(C91,Inbound!$A$2:$A$501,0)),IFERROR(INDEX(Outbound!$E$2:$E$501,MATCH(C91,Outbound!$A$2:$A$501,0)),"Lead ID not found")))</f>
        <v/>
      </c>
      <c r="F91" s="17"/>
      <c r="G91" s="17"/>
      <c r="H91" s="17"/>
      <c r="I91" s="17"/>
      <c r="J91" s="17"/>
      <c r="K91" s="17"/>
      <c r="L91" s="17"/>
      <c r="M91" s="17"/>
      <c r="N91" s="44" t="str">
        <f aca="false">IF(C91="","",COUNTA(H91:M91))</f>
        <v/>
      </c>
      <c r="O91" s="44" t="str">
        <f aca="false">IF(OR(C91="",N(N91)=0),"",SUMIFS(Settings!$AA$2:$AA$21,Settings!$Y$2:$Y$21,"Budget AED 5k+/mo?",Settings!$Z$2:$Z$21,H91)+SUMIFS(Settings!$AA$2:$AA$21,Settings!$Y$2:$Y$21,"Decision-maker?",Settings!$Z$2:$Z$21,I91)+SUMIFS(Settings!$AA$2:$AA$21,Settings!$Y$2:$Y$21,"Someone on camera?",Settings!$Z$2:$Z$21,J91)+SUMIFS(Settings!$AA$2:$AA$21,Settings!$Y$2:$Y$21,"OK with 3-month term?",Settings!$Z$2:$Z$21,K91)+SUMIFS(Settings!$AA$2:$AA$21,Settings!$Y$2:$Y$21,"Start timeline",Settings!$Z$2:$Z$21,L91)+SUMIFS(Settings!$AA$2:$AA$21,Settings!$Y$2:$Y$21,"Social media gap",Settings!$Z$2:$Z$21,M91)+IF(OR(E91="",E91="Lead ID not found"),0,IF(COUNTIF(Settings!$AC$2:$AC$6,E91)&gt;0,Settings!$AA$20,Settings!$AA$21)))</f>
        <v/>
      </c>
      <c r="P91" s="44" t="str">
        <f aca="false">IF(C91="","",IF(N(N91)&lt;6,"Partly scored ("&amp;N91&amp;"/6)",IF(O91&gt;=Settings!$S$8,"Hot",IF(O91&gt;=Settings!$S$9,"Warm","Cold"))))</f>
        <v/>
      </c>
      <c r="Q91" s="44" t="str">
        <f aca="false">IF(C91="","",IF(AND(H91="No",J91="No"),"🚩 Budget  ·  🚩 No one on camera",IF(H91="No","🚩 Budget under AED 5k",IF(J91="No","🚩 No one on camera",""))))</f>
        <v/>
      </c>
      <c r="R91" s="44" t="str">
        <f aca="false">IF(C91="","",IF(N(N91)&lt;6,"Finish the scoresheet before closing",IF(P91="Hot","Close now – send the contract / proposal today",IF(P91="Warm","Send proposal + a relevant result; follow up in 3 days","Rep's call – nurture or close politely")))&amp;IF(Q91&lt;&gt;""," (handle the 🚩 first)",""))</f>
        <v/>
      </c>
      <c r="S91" s="17"/>
      <c r="T91" s="17"/>
      <c r="U91" s="44" t="str">
        <f aca="false">IF(C91="","",IF(COUNTIF(C92:C$501,C91)=0,1,0))</f>
        <v/>
      </c>
    </row>
    <row r="92" customFormat="false" ht="15" hidden="false" customHeight="false" outlineLevel="0" collapsed="false">
      <c r="A92" s="17"/>
      <c r="B92" s="40"/>
      <c r="C92" s="17"/>
      <c r="D92" s="44" t="str">
        <f aca="false">IF(C92="","",IFERROR(INDEX(Inbound!$E$2:$E$501,MATCH(C92,Inbound!$A$2:$A$501,0)),IFERROR(INDEX(Outbound!$D$2:$D$501,MATCH(C92,Outbound!$A$2:$A$501,0)),"Lead ID not found")))</f>
        <v/>
      </c>
      <c r="E92" s="44" t="str">
        <f aca="false">IF(C92="","",IFERROR(INDEX(Inbound!$F$2:$F$501,MATCH(C92,Inbound!$A$2:$A$501,0)),IFERROR(INDEX(Outbound!$E$2:$E$501,MATCH(C92,Outbound!$A$2:$A$501,0)),"Lead ID not found")))</f>
        <v/>
      </c>
      <c r="F92" s="17"/>
      <c r="G92" s="17"/>
      <c r="H92" s="17"/>
      <c r="I92" s="17"/>
      <c r="J92" s="17"/>
      <c r="K92" s="17"/>
      <c r="L92" s="17"/>
      <c r="M92" s="17"/>
      <c r="N92" s="44" t="str">
        <f aca="false">IF(C92="","",COUNTA(H92:M92))</f>
        <v/>
      </c>
      <c r="O92" s="44" t="str">
        <f aca="false">IF(OR(C92="",N(N92)=0),"",SUMIFS(Settings!$AA$2:$AA$21,Settings!$Y$2:$Y$21,"Budget AED 5k+/mo?",Settings!$Z$2:$Z$21,H92)+SUMIFS(Settings!$AA$2:$AA$21,Settings!$Y$2:$Y$21,"Decision-maker?",Settings!$Z$2:$Z$21,I92)+SUMIFS(Settings!$AA$2:$AA$21,Settings!$Y$2:$Y$21,"Someone on camera?",Settings!$Z$2:$Z$21,J92)+SUMIFS(Settings!$AA$2:$AA$21,Settings!$Y$2:$Y$21,"OK with 3-month term?",Settings!$Z$2:$Z$21,K92)+SUMIFS(Settings!$AA$2:$AA$21,Settings!$Y$2:$Y$21,"Start timeline",Settings!$Z$2:$Z$21,L92)+SUMIFS(Settings!$AA$2:$AA$21,Settings!$Y$2:$Y$21,"Social media gap",Settings!$Z$2:$Z$21,M92)+IF(OR(E92="",E92="Lead ID not found"),0,IF(COUNTIF(Settings!$AC$2:$AC$6,E92)&gt;0,Settings!$AA$20,Settings!$AA$21)))</f>
        <v/>
      </c>
      <c r="P92" s="44" t="str">
        <f aca="false">IF(C92="","",IF(N(N92)&lt;6,"Partly scored ("&amp;N92&amp;"/6)",IF(O92&gt;=Settings!$S$8,"Hot",IF(O92&gt;=Settings!$S$9,"Warm","Cold"))))</f>
        <v/>
      </c>
      <c r="Q92" s="44" t="str">
        <f aca="false">IF(C92="","",IF(AND(H92="No",J92="No"),"🚩 Budget  ·  🚩 No one on camera",IF(H92="No","🚩 Budget under AED 5k",IF(J92="No","🚩 No one on camera",""))))</f>
        <v/>
      </c>
      <c r="R92" s="44" t="str">
        <f aca="false">IF(C92="","",IF(N(N92)&lt;6,"Finish the scoresheet before closing",IF(P92="Hot","Close now – send the contract / proposal today",IF(P92="Warm","Send proposal + a relevant result; follow up in 3 days","Rep's call – nurture or close politely")))&amp;IF(Q92&lt;&gt;""," (handle the 🚩 first)",""))</f>
        <v/>
      </c>
      <c r="S92" s="17"/>
      <c r="T92" s="17"/>
      <c r="U92" s="44" t="str">
        <f aca="false">IF(C92="","",IF(COUNTIF(C93:C$501,C92)=0,1,0))</f>
        <v/>
      </c>
    </row>
    <row r="93" customFormat="false" ht="15" hidden="false" customHeight="false" outlineLevel="0" collapsed="false">
      <c r="A93" s="17"/>
      <c r="B93" s="40"/>
      <c r="C93" s="17"/>
      <c r="D93" s="44" t="str">
        <f aca="false">IF(C93="","",IFERROR(INDEX(Inbound!$E$2:$E$501,MATCH(C93,Inbound!$A$2:$A$501,0)),IFERROR(INDEX(Outbound!$D$2:$D$501,MATCH(C93,Outbound!$A$2:$A$501,0)),"Lead ID not found")))</f>
        <v/>
      </c>
      <c r="E93" s="44" t="str">
        <f aca="false">IF(C93="","",IFERROR(INDEX(Inbound!$F$2:$F$501,MATCH(C93,Inbound!$A$2:$A$501,0)),IFERROR(INDEX(Outbound!$E$2:$E$501,MATCH(C93,Outbound!$A$2:$A$501,0)),"Lead ID not found")))</f>
        <v/>
      </c>
      <c r="F93" s="17"/>
      <c r="G93" s="17"/>
      <c r="H93" s="17"/>
      <c r="I93" s="17"/>
      <c r="J93" s="17"/>
      <c r="K93" s="17"/>
      <c r="L93" s="17"/>
      <c r="M93" s="17"/>
      <c r="N93" s="44" t="str">
        <f aca="false">IF(C93="","",COUNTA(H93:M93))</f>
        <v/>
      </c>
      <c r="O93" s="44" t="str">
        <f aca="false">IF(OR(C93="",N(N93)=0),"",SUMIFS(Settings!$AA$2:$AA$21,Settings!$Y$2:$Y$21,"Budget AED 5k+/mo?",Settings!$Z$2:$Z$21,H93)+SUMIFS(Settings!$AA$2:$AA$21,Settings!$Y$2:$Y$21,"Decision-maker?",Settings!$Z$2:$Z$21,I93)+SUMIFS(Settings!$AA$2:$AA$21,Settings!$Y$2:$Y$21,"Someone on camera?",Settings!$Z$2:$Z$21,J93)+SUMIFS(Settings!$AA$2:$AA$21,Settings!$Y$2:$Y$21,"OK with 3-month term?",Settings!$Z$2:$Z$21,K93)+SUMIFS(Settings!$AA$2:$AA$21,Settings!$Y$2:$Y$21,"Start timeline",Settings!$Z$2:$Z$21,L93)+SUMIFS(Settings!$AA$2:$AA$21,Settings!$Y$2:$Y$21,"Social media gap",Settings!$Z$2:$Z$21,M93)+IF(OR(E93="",E93="Lead ID not found"),0,IF(COUNTIF(Settings!$AC$2:$AC$6,E93)&gt;0,Settings!$AA$20,Settings!$AA$21)))</f>
        <v/>
      </c>
      <c r="P93" s="44" t="str">
        <f aca="false">IF(C93="","",IF(N(N93)&lt;6,"Partly scored ("&amp;N93&amp;"/6)",IF(O93&gt;=Settings!$S$8,"Hot",IF(O93&gt;=Settings!$S$9,"Warm","Cold"))))</f>
        <v/>
      </c>
      <c r="Q93" s="44" t="str">
        <f aca="false">IF(C93="","",IF(AND(H93="No",J93="No"),"🚩 Budget  ·  🚩 No one on camera",IF(H93="No","🚩 Budget under AED 5k",IF(J93="No","🚩 No one on camera",""))))</f>
        <v/>
      </c>
      <c r="R93" s="44" t="str">
        <f aca="false">IF(C93="","",IF(N(N93)&lt;6,"Finish the scoresheet before closing",IF(P93="Hot","Close now – send the contract / proposal today",IF(P93="Warm","Send proposal + a relevant result; follow up in 3 days","Rep's call – nurture or close politely")))&amp;IF(Q93&lt;&gt;""," (handle the 🚩 first)",""))</f>
        <v/>
      </c>
      <c r="S93" s="17"/>
      <c r="T93" s="17"/>
      <c r="U93" s="44" t="str">
        <f aca="false">IF(C93="","",IF(COUNTIF(C94:C$501,C93)=0,1,0))</f>
        <v/>
      </c>
    </row>
    <row r="94" customFormat="false" ht="15" hidden="false" customHeight="false" outlineLevel="0" collapsed="false">
      <c r="A94" s="17"/>
      <c r="B94" s="40"/>
      <c r="C94" s="17"/>
      <c r="D94" s="44" t="str">
        <f aca="false">IF(C94="","",IFERROR(INDEX(Inbound!$E$2:$E$501,MATCH(C94,Inbound!$A$2:$A$501,0)),IFERROR(INDEX(Outbound!$D$2:$D$501,MATCH(C94,Outbound!$A$2:$A$501,0)),"Lead ID not found")))</f>
        <v/>
      </c>
      <c r="E94" s="44" t="str">
        <f aca="false">IF(C94="","",IFERROR(INDEX(Inbound!$F$2:$F$501,MATCH(C94,Inbound!$A$2:$A$501,0)),IFERROR(INDEX(Outbound!$E$2:$E$501,MATCH(C94,Outbound!$A$2:$A$501,0)),"Lead ID not found")))</f>
        <v/>
      </c>
      <c r="F94" s="17"/>
      <c r="G94" s="17"/>
      <c r="H94" s="17"/>
      <c r="I94" s="17"/>
      <c r="J94" s="17"/>
      <c r="K94" s="17"/>
      <c r="L94" s="17"/>
      <c r="M94" s="17"/>
      <c r="N94" s="44" t="str">
        <f aca="false">IF(C94="","",COUNTA(H94:M94))</f>
        <v/>
      </c>
      <c r="O94" s="44" t="str">
        <f aca="false">IF(OR(C94="",N(N94)=0),"",SUMIFS(Settings!$AA$2:$AA$21,Settings!$Y$2:$Y$21,"Budget AED 5k+/mo?",Settings!$Z$2:$Z$21,H94)+SUMIFS(Settings!$AA$2:$AA$21,Settings!$Y$2:$Y$21,"Decision-maker?",Settings!$Z$2:$Z$21,I94)+SUMIFS(Settings!$AA$2:$AA$21,Settings!$Y$2:$Y$21,"Someone on camera?",Settings!$Z$2:$Z$21,J94)+SUMIFS(Settings!$AA$2:$AA$21,Settings!$Y$2:$Y$21,"OK with 3-month term?",Settings!$Z$2:$Z$21,K94)+SUMIFS(Settings!$AA$2:$AA$21,Settings!$Y$2:$Y$21,"Start timeline",Settings!$Z$2:$Z$21,L94)+SUMIFS(Settings!$AA$2:$AA$21,Settings!$Y$2:$Y$21,"Social media gap",Settings!$Z$2:$Z$21,M94)+IF(OR(E94="",E94="Lead ID not found"),0,IF(COUNTIF(Settings!$AC$2:$AC$6,E94)&gt;0,Settings!$AA$20,Settings!$AA$21)))</f>
        <v/>
      </c>
      <c r="P94" s="44" t="str">
        <f aca="false">IF(C94="","",IF(N(N94)&lt;6,"Partly scored ("&amp;N94&amp;"/6)",IF(O94&gt;=Settings!$S$8,"Hot",IF(O94&gt;=Settings!$S$9,"Warm","Cold"))))</f>
        <v/>
      </c>
      <c r="Q94" s="44" t="str">
        <f aca="false">IF(C94="","",IF(AND(H94="No",J94="No"),"🚩 Budget  ·  🚩 No one on camera",IF(H94="No","🚩 Budget under AED 5k",IF(J94="No","🚩 No one on camera",""))))</f>
        <v/>
      </c>
      <c r="R94" s="44" t="str">
        <f aca="false">IF(C94="","",IF(N(N94)&lt;6,"Finish the scoresheet before closing",IF(P94="Hot","Close now – send the contract / proposal today",IF(P94="Warm","Send proposal + a relevant result; follow up in 3 days","Rep's call – nurture or close politely")))&amp;IF(Q94&lt;&gt;""," (handle the 🚩 first)",""))</f>
        <v/>
      </c>
      <c r="S94" s="17"/>
      <c r="T94" s="17"/>
      <c r="U94" s="44" t="str">
        <f aca="false">IF(C94="","",IF(COUNTIF(C95:C$501,C94)=0,1,0))</f>
        <v/>
      </c>
    </row>
    <row r="95" customFormat="false" ht="15" hidden="false" customHeight="false" outlineLevel="0" collapsed="false">
      <c r="A95" s="17"/>
      <c r="B95" s="40"/>
      <c r="C95" s="17"/>
      <c r="D95" s="44" t="str">
        <f aca="false">IF(C95="","",IFERROR(INDEX(Inbound!$E$2:$E$501,MATCH(C95,Inbound!$A$2:$A$501,0)),IFERROR(INDEX(Outbound!$D$2:$D$501,MATCH(C95,Outbound!$A$2:$A$501,0)),"Lead ID not found")))</f>
        <v/>
      </c>
      <c r="E95" s="44" t="str">
        <f aca="false">IF(C95="","",IFERROR(INDEX(Inbound!$F$2:$F$501,MATCH(C95,Inbound!$A$2:$A$501,0)),IFERROR(INDEX(Outbound!$E$2:$E$501,MATCH(C95,Outbound!$A$2:$A$501,0)),"Lead ID not found")))</f>
        <v/>
      </c>
      <c r="F95" s="17"/>
      <c r="G95" s="17"/>
      <c r="H95" s="17"/>
      <c r="I95" s="17"/>
      <c r="J95" s="17"/>
      <c r="K95" s="17"/>
      <c r="L95" s="17"/>
      <c r="M95" s="17"/>
      <c r="N95" s="44" t="str">
        <f aca="false">IF(C95="","",COUNTA(H95:M95))</f>
        <v/>
      </c>
      <c r="O95" s="44" t="str">
        <f aca="false">IF(OR(C95="",N(N95)=0),"",SUMIFS(Settings!$AA$2:$AA$21,Settings!$Y$2:$Y$21,"Budget AED 5k+/mo?",Settings!$Z$2:$Z$21,H95)+SUMIFS(Settings!$AA$2:$AA$21,Settings!$Y$2:$Y$21,"Decision-maker?",Settings!$Z$2:$Z$21,I95)+SUMIFS(Settings!$AA$2:$AA$21,Settings!$Y$2:$Y$21,"Someone on camera?",Settings!$Z$2:$Z$21,J95)+SUMIFS(Settings!$AA$2:$AA$21,Settings!$Y$2:$Y$21,"OK with 3-month term?",Settings!$Z$2:$Z$21,K95)+SUMIFS(Settings!$AA$2:$AA$21,Settings!$Y$2:$Y$21,"Start timeline",Settings!$Z$2:$Z$21,L95)+SUMIFS(Settings!$AA$2:$AA$21,Settings!$Y$2:$Y$21,"Social media gap",Settings!$Z$2:$Z$21,M95)+IF(OR(E95="",E95="Lead ID not found"),0,IF(COUNTIF(Settings!$AC$2:$AC$6,E95)&gt;0,Settings!$AA$20,Settings!$AA$21)))</f>
        <v/>
      </c>
      <c r="P95" s="44" t="str">
        <f aca="false">IF(C95="","",IF(N(N95)&lt;6,"Partly scored ("&amp;N95&amp;"/6)",IF(O95&gt;=Settings!$S$8,"Hot",IF(O95&gt;=Settings!$S$9,"Warm","Cold"))))</f>
        <v/>
      </c>
      <c r="Q95" s="44" t="str">
        <f aca="false">IF(C95="","",IF(AND(H95="No",J95="No"),"🚩 Budget  ·  🚩 No one on camera",IF(H95="No","🚩 Budget under AED 5k",IF(J95="No","🚩 No one on camera",""))))</f>
        <v/>
      </c>
      <c r="R95" s="44" t="str">
        <f aca="false">IF(C95="","",IF(N(N95)&lt;6,"Finish the scoresheet before closing",IF(P95="Hot","Close now – send the contract / proposal today",IF(P95="Warm","Send proposal + a relevant result; follow up in 3 days","Rep's call – nurture or close politely")))&amp;IF(Q95&lt;&gt;""," (handle the 🚩 first)",""))</f>
        <v/>
      </c>
      <c r="S95" s="17"/>
      <c r="T95" s="17"/>
      <c r="U95" s="44" t="str">
        <f aca="false">IF(C95="","",IF(COUNTIF(C96:C$501,C95)=0,1,0))</f>
        <v/>
      </c>
    </row>
    <row r="96" customFormat="false" ht="15" hidden="false" customHeight="false" outlineLevel="0" collapsed="false">
      <c r="A96" s="17"/>
      <c r="B96" s="40"/>
      <c r="C96" s="17"/>
      <c r="D96" s="44" t="str">
        <f aca="false">IF(C96="","",IFERROR(INDEX(Inbound!$E$2:$E$501,MATCH(C96,Inbound!$A$2:$A$501,0)),IFERROR(INDEX(Outbound!$D$2:$D$501,MATCH(C96,Outbound!$A$2:$A$501,0)),"Lead ID not found")))</f>
        <v/>
      </c>
      <c r="E96" s="44" t="str">
        <f aca="false">IF(C96="","",IFERROR(INDEX(Inbound!$F$2:$F$501,MATCH(C96,Inbound!$A$2:$A$501,0)),IFERROR(INDEX(Outbound!$E$2:$E$501,MATCH(C96,Outbound!$A$2:$A$501,0)),"Lead ID not found")))</f>
        <v/>
      </c>
      <c r="F96" s="17"/>
      <c r="G96" s="17"/>
      <c r="H96" s="17"/>
      <c r="I96" s="17"/>
      <c r="J96" s="17"/>
      <c r="K96" s="17"/>
      <c r="L96" s="17"/>
      <c r="M96" s="17"/>
      <c r="N96" s="44" t="str">
        <f aca="false">IF(C96="","",COUNTA(H96:M96))</f>
        <v/>
      </c>
      <c r="O96" s="44" t="str">
        <f aca="false">IF(OR(C96="",N(N96)=0),"",SUMIFS(Settings!$AA$2:$AA$21,Settings!$Y$2:$Y$21,"Budget AED 5k+/mo?",Settings!$Z$2:$Z$21,H96)+SUMIFS(Settings!$AA$2:$AA$21,Settings!$Y$2:$Y$21,"Decision-maker?",Settings!$Z$2:$Z$21,I96)+SUMIFS(Settings!$AA$2:$AA$21,Settings!$Y$2:$Y$21,"Someone on camera?",Settings!$Z$2:$Z$21,J96)+SUMIFS(Settings!$AA$2:$AA$21,Settings!$Y$2:$Y$21,"OK with 3-month term?",Settings!$Z$2:$Z$21,K96)+SUMIFS(Settings!$AA$2:$AA$21,Settings!$Y$2:$Y$21,"Start timeline",Settings!$Z$2:$Z$21,L96)+SUMIFS(Settings!$AA$2:$AA$21,Settings!$Y$2:$Y$21,"Social media gap",Settings!$Z$2:$Z$21,M96)+IF(OR(E96="",E96="Lead ID not found"),0,IF(COUNTIF(Settings!$AC$2:$AC$6,E96)&gt;0,Settings!$AA$20,Settings!$AA$21)))</f>
        <v/>
      </c>
      <c r="P96" s="44" t="str">
        <f aca="false">IF(C96="","",IF(N(N96)&lt;6,"Partly scored ("&amp;N96&amp;"/6)",IF(O96&gt;=Settings!$S$8,"Hot",IF(O96&gt;=Settings!$S$9,"Warm","Cold"))))</f>
        <v/>
      </c>
      <c r="Q96" s="44" t="str">
        <f aca="false">IF(C96="","",IF(AND(H96="No",J96="No"),"🚩 Budget  ·  🚩 No one on camera",IF(H96="No","🚩 Budget under AED 5k",IF(J96="No","🚩 No one on camera",""))))</f>
        <v/>
      </c>
      <c r="R96" s="44" t="str">
        <f aca="false">IF(C96="","",IF(N(N96)&lt;6,"Finish the scoresheet before closing",IF(P96="Hot","Close now – send the contract / proposal today",IF(P96="Warm","Send proposal + a relevant result; follow up in 3 days","Rep's call – nurture or close politely")))&amp;IF(Q96&lt;&gt;""," (handle the 🚩 first)",""))</f>
        <v/>
      </c>
      <c r="S96" s="17"/>
      <c r="T96" s="17"/>
      <c r="U96" s="44" t="str">
        <f aca="false">IF(C96="","",IF(COUNTIF(C97:C$501,C96)=0,1,0))</f>
        <v/>
      </c>
    </row>
    <row r="97" customFormat="false" ht="15" hidden="false" customHeight="false" outlineLevel="0" collapsed="false">
      <c r="A97" s="17"/>
      <c r="B97" s="40"/>
      <c r="C97" s="17"/>
      <c r="D97" s="44" t="str">
        <f aca="false">IF(C97="","",IFERROR(INDEX(Inbound!$E$2:$E$501,MATCH(C97,Inbound!$A$2:$A$501,0)),IFERROR(INDEX(Outbound!$D$2:$D$501,MATCH(C97,Outbound!$A$2:$A$501,0)),"Lead ID not found")))</f>
        <v/>
      </c>
      <c r="E97" s="44" t="str">
        <f aca="false">IF(C97="","",IFERROR(INDEX(Inbound!$F$2:$F$501,MATCH(C97,Inbound!$A$2:$A$501,0)),IFERROR(INDEX(Outbound!$E$2:$E$501,MATCH(C97,Outbound!$A$2:$A$501,0)),"Lead ID not found")))</f>
        <v/>
      </c>
      <c r="F97" s="17"/>
      <c r="G97" s="17"/>
      <c r="H97" s="17"/>
      <c r="I97" s="17"/>
      <c r="J97" s="17"/>
      <c r="K97" s="17"/>
      <c r="L97" s="17"/>
      <c r="M97" s="17"/>
      <c r="N97" s="44" t="str">
        <f aca="false">IF(C97="","",COUNTA(H97:M97))</f>
        <v/>
      </c>
      <c r="O97" s="44" t="str">
        <f aca="false">IF(OR(C97="",N(N97)=0),"",SUMIFS(Settings!$AA$2:$AA$21,Settings!$Y$2:$Y$21,"Budget AED 5k+/mo?",Settings!$Z$2:$Z$21,H97)+SUMIFS(Settings!$AA$2:$AA$21,Settings!$Y$2:$Y$21,"Decision-maker?",Settings!$Z$2:$Z$21,I97)+SUMIFS(Settings!$AA$2:$AA$21,Settings!$Y$2:$Y$21,"Someone on camera?",Settings!$Z$2:$Z$21,J97)+SUMIFS(Settings!$AA$2:$AA$21,Settings!$Y$2:$Y$21,"OK with 3-month term?",Settings!$Z$2:$Z$21,K97)+SUMIFS(Settings!$AA$2:$AA$21,Settings!$Y$2:$Y$21,"Start timeline",Settings!$Z$2:$Z$21,L97)+SUMIFS(Settings!$AA$2:$AA$21,Settings!$Y$2:$Y$21,"Social media gap",Settings!$Z$2:$Z$21,M97)+IF(OR(E97="",E97="Lead ID not found"),0,IF(COUNTIF(Settings!$AC$2:$AC$6,E97)&gt;0,Settings!$AA$20,Settings!$AA$21)))</f>
        <v/>
      </c>
      <c r="P97" s="44" t="str">
        <f aca="false">IF(C97="","",IF(N(N97)&lt;6,"Partly scored ("&amp;N97&amp;"/6)",IF(O97&gt;=Settings!$S$8,"Hot",IF(O97&gt;=Settings!$S$9,"Warm","Cold"))))</f>
        <v/>
      </c>
      <c r="Q97" s="44" t="str">
        <f aca="false">IF(C97="","",IF(AND(H97="No",J97="No"),"🚩 Budget  ·  🚩 No one on camera",IF(H97="No","🚩 Budget under AED 5k",IF(J97="No","🚩 No one on camera",""))))</f>
        <v/>
      </c>
      <c r="R97" s="44" t="str">
        <f aca="false">IF(C97="","",IF(N(N97)&lt;6,"Finish the scoresheet before closing",IF(P97="Hot","Close now – send the contract / proposal today",IF(P97="Warm","Send proposal + a relevant result; follow up in 3 days","Rep's call – nurture or close politely")))&amp;IF(Q97&lt;&gt;""," (handle the 🚩 first)",""))</f>
        <v/>
      </c>
      <c r="S97" s="17"/>
      <c r="T97" s="17"/>
      <c r="U97" s="44" t="str">
        <f aca="false">IF(C97="","",IF(COUNTIF(C98:C$501,C97)=0,1,0))</f>
        <v/>
      </c>
    </row>
    <row r="98" customFormat="false" ht="15" hidden="false" customHeight="false" outlineLevel="0" collapsed="false">
      <c r="A98" s="17"/>
      <c r="B98" s="40"/>
      <c r="C98" s="17"/>
      <c r="D98" s="44" t="str">
        <f aca="false">IF(C98="","",IFERROR(INDEX(Inbound!$E$2:$E$501,MATCH(C98,Inbound!$A$2:$A$501,0)),IFERROR(INDEX(Outbound!$D$2:$D$501,MATCH(C98,Outbound!$A$2:$A$501,0)),"Lead ID not found")))</f>
        <v/>
      </c>
      <c r="E98" s="44" t="str">
        <f aca="false">IF(C98="","",IFERROR(INDEX(Inbound!$F$2:$F$501,MATCH(C98,Inbound!$A$2:$A$501,0)),IFERROR(INDEX(Outbound!$E$2:$E$501,MATCH(C98,Outbound!$A$2:$A$501,0)),"Lead ID not found")))</f>
        <v/>
      </c>
      <c r="F98" s="17"/>
      <c r="G98" s="17"/>
      <c r="H98" s="17"/>
      <c r="I98" s="17"/>
      <c r="J98" s="17"/>
      <c r="K98" s="17"/>
      <c r="L98" s="17"/>
      <c r="M98" s="17"/>
      <c r="N98" s="44" t="str">
        <f aca="false">IF(C98="","",COUNTA(H98:M98))</f>
        <v/>
      </c>
      <c r="O98" s="44" t="str">
        <f aca="false">IF(OR(C98="",N(N98)=0),"",SUMIFS(Settings!$AA$2:$AA$21,Settings!$Y$2:$Y$21,"Budget AED 5k+/mo?",Settings!$Z$2:$Z$21,H98)+SUMIFS(Settings!$AA$2:$AA$21,Settings!$Y$2:$Y$21,"Decision-maker?",Settings!$Z$2:$Z$21,I98)+SUMIFS(Settings!$AA$2:$AA$21,Settings!$Y$2:$Y$21,"Someone on camera?",Settings!$Z$2:$Z$21,J98)+SUMIFS(Settings!$AA$2:$AA$21,Settings!$Y$2:$Y$21,"OK with 3-month term?",Settings!$Z$2:$Z$21,K98)+SUMIFS(Settings!$AA$2:$AA$21,Settings!$Y$2:$Y$21,"Start timeline",Settings!$Z$2:$Z$21,L98)+SUMIFS(Settings!$AA$2:$AA$21,Settings!$Y$2:$Y$21,"Social media gap",Settings!$Z$2:$Z$21,M98)+IF(OR(E98="",E98="Lead ID not found"),0,IF(COUNTIF(Settings!$AC$2:$AC$6,E98)&gt;0,Settings!$AA$20,Settings!$AA$21)))</f>
        <v/>
      </c>
      <c r="P98" s="44" t="str">
        <f aca="false">IF(C98="","",IF(N(N98)&lt;6,"Partly scored ("&amp;N98&amp;"/6)",IF(O98&gt;=Settings!$S$8,"Hot",IF(O98&gt;=Settings!$S$9,"Warm","Cold"))))</f>
        <v/>
      </c>
      <c r="Q98" s="44" t="str">
        <f aca="false">IF(C98="","",IF(AND(H98="No",J98="No"),"🚩 Budget  ·  🚩 No one on camera",IF(H98="No","🚩 Budget under AED 5k",IF(J98="No","🚩 No one on camera",""))))</f>
        <v/>
      </c>
      <c r="R98" s="44" t="str">
        <f aca="false">IF(C98="","",IF(N(N98)&lt;6,"Finish the scoresheet before closing",IF(P98="Hot","Close now – send the contract / proposal today",IF(P98="Warm","Send proposal + a relevant result; follow up in 3 days","Rep's call – nurture or close politely")))&amp;IF(Q98&lt;&gt;""," (handle the 🚩 first)",""))</f>
        <v/>
      </c>
      <c r="S98" s="17"/>
      <c r="T98" s="17"/>
      <c r="U98" s="44" t="str">
        <f aca="false">IF(C98="","",IF(COUNTIF(C99:C$501,C98)=0,1,0))</f>
        <v/>
      </c>
    </row>
    <row r="99" customFormat="false" ht="15" hidden="false" customHeight="false" outlineLevel="0" collapsed="false">
      <c r="A99" s="17"/>
      <c r="B99" s="40"/>
      <c r="C99" s="17"/>
      <c r="D99" s="44" t="str">
        <f aca="false">IF(C99="","",IFERROR(INDEX(Inbound!$E$2:$E$501,MATCH(C99,Inbound!$A$2:$A$501,0)),IFERROR(INDEX(Outbound!$D$2:$D$501,MATCH(C99,Outbound!$A$2:$A$501,0)),"Lead ID not found")))</f>
        <v/>
      </c>
      <c r="E99" s="44" t="str">
        <f aca="false">IF(C99="","",IFERROR(INDEX(Inbound!$F$2:$F$501,MATCH(C99,Inbound!$A$2:$A$501,0)),IFERROR(INDEX(Outbound!$E$2:$E$501,MATCH(C99,Outbound!$A$2:$A$501,0)),"Lead ID not found")))</f>
        <v/>
      </c>
      <c r="F99" s="17"/>
      <c r="G99" s="17"/>
      <c r="H99" s="17"/>
      <c r="I99" s="17"/>
      <c r="J99" s="17"/>
      <c r="K99" s="17"/>
      <c r="L99" s="17"/>
      <c r="M99" s="17"/>
      <c r="N99" s="44" t="str">
        <f aca="false">IF(C99="","",COUNTA(H99:M99))</f>
        <v/>
      </c>
      <c r="O99" s="44" t="str">
        <f aca="false">IF(OR(C99="",N(N99)=0),"",SUMIFS(Settings!$AA$2:$AA$21,Settings!$Y$2:$Y$21,"Budget AED 5k+/mo?",Settings!$Z$2:$Z$21,H99)+SUMIFS(Settings!$AA$2:$AA$21,Settings!$Y$2:$Y$21,"Decision-maker?",Settings!$Z$2:$Z$21,I99)+SUMIFS(Settings!$AA$2:$AA$21,Settings!$Y$2:$Y$21,"Someone on camera?",Settings!$Z$2:$Z$21,J99)+SUMIFS(Settings!$AA$2:$AA$21,Settings!$Y$2:$Y$21,"OK with 3-month term?",Settings!$Z$2:$Z$21,K99)+SUMIFS(Settings!$AA$2:$AA$21,Settings!$Y$2:$Y$21,"Start timeline",Settings!$Z$2:$Z$21,L99)+SUMIFS(Settings!$AA$2:$AA$21,Settings!$Y$2:$Y$21,"Social media gap",Settings!$Z$2:$Z$21,M99)+IF(OR(E99="",E99="Lead ID not found"),0,IF(COUNTIF(Settings!$AC$2:$AC$6,E99)&gt;0,Settings!$AA$20,Settings!$AA$21)))</f>
        <v/>
      </c>
      <c r="P99" s="44" t="str">
        <f aca="false">IF(C99="","",IF(N(N99)&lt;6,"Partly scored ("&amp;N99&amp;"/6)",IF(O99&gt;=Settings!$S$8,"Hot",IF(O99&gt;=Settings!$S$9,"Warm","Cold"))))</f>
        <v/>
      </c>
      <c r="Q99" s="44" t="str">
        <f aca="false">IF(C99="","",IF(AND(H99="No",J99="No"),"🚩 Budget  ·  🚩 No one on camera",IF(H99="No","🚩 Budget under AED 5k",IF(J99="No","🚩 No one on camera",""))))</f>
        <v/>
      </c>
      <c r="R99" s="44" t="str">
        <f aca="false">IF(C99="","",IF(N(N99)&lt;6,"Finish the scoresheet before closing",IF(P99="Hot","Close now – send the contract / proposal today",IF(P99="Warm","Send proposal + a relevant result; follow up in 3 days","Rep's call – nurture or close politely")))&amp;IF(Q99&lt;&gt;""," (handle the 🚩 first)",""))</f>
        <v/>
      </c>
      <c r="S99" s="17"/>
      <c r="T99" s="17"/>
      <c r="U99" s="44" t="str">
        <f aca="false">IF(C99="","",IF(COUNTIF(C100:C$501,C99)=0,1,0))</f>
        <v/>
      </c>
    </row>
    <row r="100" customFormat="false" ht="15" hidden="false" customHeight="false" outlineLevel="0" collapsed="false">
      <c r="A100" s="17"/>
      <c r="B100" s="40"/>
      <c r="C100" s="17"/>
      <c r="D100" s="44" t="str">
        <f aca="false">IF(C100="","",IFERROR(INDEX(Inbound!$E$2:$E$501,MATCH(C100,Inbound!$A$2:$A$501,0)),IFERROR(INDEX(Outbound!$D$2:$D$501,MATCH(C100,Outbound!$A$2:$A$501,0)),"Lead ID not found")))</f>
        <v/>
      </c>
      <c r="E100" s="44" t="str">
        <f aca="false">IF(C100="","",IFERROR(INDEX(Inbound!$F$2:$F$501,MATCH(C100,Inbound!$A$2:$A$501,0)),IFERROR(INDEX(Outbound!$E$2:$E$501,MATCH(C100,Outbound!$A$2:$A$501,0)),"Lead ID not found")))</f>
        <v/>
      </c>
      <c r="F100" s="17"/>
      <c r="G100" s="17"/>
      <c r="H100" s="17"/>
      <c r="I100" s="17"/>
      <c r="J100" s="17"/>
      <c r="K100" s="17"/>
      <c r="L100" s="17"/>
      <c r="M100" s="17"/>
      <c r="N100" s="44" t="str">
        <f aca="false">IF(C100="","",COUNTA(H100:M100))</f>
        <v/>
      </c>
      <c r="O100" s="44" t="str">
        <f aca="false">IF(OR(C100="",N(N100)=0),"",SUMIFS(Settings!$AA$2:$AA$21,Settings!$Y$2:$Y$21,"Budget AED 5k+/mo?",Settings!$Z$2:$Z$21,H100)+SUMIFS(Settings!$AA$2:$AA$21,Settings!$Y$2:$Y$21,"Decision-maker?",Settings!$Z$2:$Z$21,I100)+SUMIFS(Settings!$AA$2:$AA$21,Settings!$Y$2:$Y$21,"Someone on camera?",Settings!$Z$2:$Z$21,J100)+SUMIFS(Settings!$AA$2:$AA$21,Settings!$Y$2:$Y$21,"OK with 3-month term?",Settings!$Z$2:$Z$21,K100)+SUMIFS(Settings!$AA$2:$AA$21,Settings!$Y$2:$Y$21,"Start timeline",Settings!$Z$2:$Z$21,L100)+SUMIFS(Settings!$AA$2:$AA$21,Settings!$Y$2:$Y$21,"Social media gap",Settings!$Z$2:$Z$21,M100)+IF(OR(E100="",E100="Lead ID not found"),0,IF(COUNTIF(Settings!$AC$2:$AC$6,E100)&gt;0,Settings!$AA$20,Settings!$AA$21)))</f>
        <v/>
      </c>
      <c r="P100" s="44" t="str">
        <f aca="false">IF(C100="","",IF(N(N100)&lt;6,"Partly scored ("&amp;N100&amp;"/6)",IF(O100&gt;=Settings!$S$8,"Hot",IF(O100&gt;=Settings!$S$9,"Warm","Cold"))))</f>
        <v/>
      </c>
      <c r="Q100" s="44" t="str">
        <f aca="false">IF(C100="","",IF(AND(H100="No",J100="No"),"🚩 Budget  ·  🚩 No one on camera",IF(H100="No","🚩 Budget under AED 5k",IF(J100="No","🚩 No one on camera",""))))</f>
        <v/>
      </c>
      <c r="R100" s="44" t="str">
        <f aca="false">IF(C100="","",IF(N(N100)&lt;6,"Finish the scoresheet before closing",IF(P100="Hot","Close now – send the contract / proposal today",IF(P100="Warm","Send proposal + a relevant result; follow up in 3 days","Rep's call – nurture or close politely")))&amp;IF(Q100&lt;&gt;""," (handle the 🚩 first)",""))</f>
        <v/>
      </c>
      <c r="S100" s="17"/>
      <c r="T100" s="17"/>
      <c r="U100" s="44" t="str">
        <f aca="false">IF(C100="","",IF(COUNTIF(C101:C$501,C100)=0,1,0))</f>
        <v/>
      </c>
    </row>
    <row r="101" customFormat="false" ht="15" hidden="false" customHeight="false" outlineLevel="0" collapsed="false">
      <c r="A101" s="17"/>
      <c r="B101" s="40"/>
      <c r="C101" s="17"/>
      <c r="D101" s="44" t="str">
        <f aca="false">IF(C101="","",IFERROR(INDEX(Inbound!$E$2:$E$501,MATCH(C101,Inbound!$A$2:$A$501,0)),IFERROR(INDEX(Outbound!$D$2:$D$501,MATCH(C101,Outbound!$A$2:$A$501,0)),"Lead ID not found")))</f>
        <v/>
      </c>
      <c r="E101" s="44" t="str">
        <f aca="false">IF(C101="","",IFERROR(INDEX(Inbound!$F$2:$F$501,MATCH(C101,Inbound!$A$2:$A$501,0)),IFERROR(INDEX(Outbound!$E$2:$E$501,MATCH(C101,Outbound!$A$2:$A$501,0)),"Lead ID not found")))</f>
        <v/>
      </c>
      <c r="F101" s="17"/>
      <c r="G101" s="17"/>
      <c r="H101" s="17"/>
      <c r="I101" s="17"/>
      <c r="J101" s="17"/>
      <c r="K101" s="17"/>
      <c r="L101" s="17"/>
      <c r="M101" s="17"/>
      <c r="N101" s="44" t="str">
        <f aca="false">IF(C101="","",COUNTA(H101:M101))</f>
        <v/>
      </c>
      <c r="O101" s="44" t="str">
        <f aca="false">IF(OR(C101="",N(N101)=0),"",SUMIFS(Settings!$AA$2:$AA$21,Settings!$Y$2:$Y$21,"Budget AED 5k+/mo?",Settings!$Z$2:$Z$21,H101)+SUMIFS(Settings!$AA$2:$AA$21,Settings!$Y$2:$Y$21,"Decision-maker?",Settings!$Z$2:$Z$21,I101)+SUMIFS(Settings!$AA$2:$AA$21,Settings!$Y$2:$Y$21,"Someone on camera?",Settings!$Z$2:$Z$21,J101)+SUMIFS(Settings!$AA$2:$AA$21,Settings!$Y$2:$Y$21,"OK with 3-month term?",Settings!$Z$2:$Z$21,K101)+SUMIFS(Settings!$AA$2:$AA$21,Settings!$Y$2:$Y$21,"Start timeline",Settings!$Z$2:$Z$21,L101)+SUMIFS(Settings!$AA$2:$AA$21,Settings!$Y$2:$Y$21,"Social media gap",Settings!$Z$2:$Z$21,M101)+IF(OR(E101="",E101="Lead ID not found"),0,IF(COUNTIF(Settings!$AC$2:$AC$6,E101)&gt;0,Settings!$AA$20,Settings!$AA$21)))</f>
        <v/>
      </c>
      <c r="P101" s="44" t="str">
        <f aca="false">IF(C101="","",IF(N(N101)&lt;6,"Partly scored ("&amp;N101&amp;"/6)",IF(O101&gt;=Settings!$S$8,"Hot",IF(O101&gt;=Settings!$S$9,"Warm","Cold"))))</f>
        <v/>
      </c>
      <c r="Q101" s="44" t="str">
        <f aca="false">IF(C101="","",IF(AND(H101="No",J101="No"),"🚩 Budget  ·  🚩 No one on camera",IF(H101="No","🚩 Budget under AED 5k",IF(J101="No","🚩 No one on camera",""))))</f>
        <v/>
      </c>
      <c r="R101" s="44" t="str">
        <f aca="false">IF(C101="","",IF(N(N101)&lt;6,"Finish the scoresheet before closing",IF(P101="Hot","Close now – send the contract / proposal today",IF(P101="Warm","Send proposal + a relevant result; follow up in 3 days","Rep's call – nurture or close politely")))&amp;IF(Q101&lt;&gt;""," (handle the 🚩 first)",""))</f>
        <v/>
      </c>
      <c r="S101" s="17"/>
      <c r="T101" s="17"/>
      <c r="U101" s="44" t="str">
        <f aca="false">IF(C101="","",IF(COUNTIF(C102:C$501,C101)=0,1,0))</f>
        <v/>
      </c>
    </row>
    <row r="102" customFormat="false" ht="15" hidden="false" customHeight="false" outlineLevel="0" collapsed="false">
      <c r="A102" s="17"/>
      <c r="B102" s="40"/>
      <c r="C102" s="17"/>
      <c r="D102" s="44" t="str">
        <f aca="false">IF(C102="","",IFERROR(INDEX(Inbound!$E$2:$E$501,MATCH(C102,Inbound!$A$2:$A$501,0)),IFERROR(INDEX(Outbound!$D$2:$D$501,MATCH(C102,Outbound!$A$2:$A$501,0)),"Lead ID not found")))</f>
        <v/>
      </c>
      <c r="E102" s="44" t="str">
        <f aca="false">IF(C102="","",IFERROR(INDEX(Inbound!$F$2:$F$501,MATCH(C102,Inbound!$A$2:$A$501,0)),IFERROR(INDEX(Outbound!$E$2:$E$501,MATCH(C102,Outbound!$A$2:$A$501,0)),"Lead ID not found")))</f>
        <v/>
      </c>
      <c r="F102" s="17"/>
      <c r="G102" s="17"/>
      <c r="H102" s="17"/>
      <c r="I102" s="17"/>
      <c r="J102" s="17"/>
      <c r="K102" s="17"/>
      <c r="L102" s="17"/>
      <c r="M102" s="17"/>
      <c r="N102" s="44" t="str">
        <f aca="false">IF(C102="","",COUNTA(H102:M102))</f>
        <v/>
      </c>
      <c r="O102" s="44" t="str">
        <f aca="false">IF(OR(C102="",N(N102)=0),"",SUMIFS(Settings!$AA$2:$AA$21,Settings!$Y$2:$Y$21,"Budget AED 5k+/mo?",Settings!$Z$2:$Z$21,H102)+SUMIFS(Settings!$AA$2:$AA$21,Settings!$Y$2:$Y$21,"Decision-maker?",Settings!$Z$2:$Z$21,I102)+SUMIFS(Settings!$AA$2:$AA$21,Settings!$Y$2:$Y$21,"Someone on camera?",Settings!$Z$2:$Z$21,J102)+SUMIFS(Settings!$AA$2:$AA$21,Settings!$Y$2:$Y$21,"OK with 3-month term?",Settings!$Z$2:$Z$21,K102)+SUMIFS(Settings!$AA$2:$AA$21,Settings!$Y$2:$Y$21,"Start timeline",Settings!$Z$2:$Z$21,L102)+SUMIFS(Settings!$AA$2:$AA$21,Settings!$Y$2:$Y$21,"Social media gap",Settings!$Z$2:$Z$21,M102)+IF(OR(E102="",E102="Lead ID not found"),0,IF(COUNTIF(Settings!$AC$2:$AC$6,E102)&gt;0,Settings!$AA$20,Settings!$AA$21)))</f>
        <v/>
      </c>
      <c r="P102" s="44" t="str">
        <f aca="false">IF(C102="","",IF(N(N102)&lt;6,"Partly scored ("&amp;N102&amp;"/6)",IF(O102&gt;=Settings!$S$8,"Hot",IF(O102&gt;=Settings!$S$9,"Warm","Cold"))))</f>
        <v/>
      </c>
      <c r="Q102" s="44" t="str">
        <f aca="false">IF(C102="","",IF(AND(H102="No",J102="No"),"🚩 Budget  ·  🚩 No one on camera",IF(H102="No","🚩 Budget under AED 5k",IF(J102="No","🚩 No one on camera",""))))</f>
        <v/>
      </c>
      <c r="R102" s="44" t="str">
        <f aca="false">IF(C102="","",IF(N(N102)&lt;6,"Finish the scoresheet before closing",IF(P102="Hot","Close now – send the contract / proposal today",IF(P102="Warm","Send proposal + a relevant result; follow up in 3 days","Rep's call – nurture or close politely")))&amp;IF(Q102&lt;&gt;""," (handle the 🚩 first)",""))</f>
        <v/>
      </c>
      <c r="S102" s="17"/>
      <c r="T102" s="17"/>
      <c r="U102" s="44" t="str">
        <f aca="false">IF(C102="","",IF(COUNTIF(C103:C$501,C102)=0,1,0))</f>
        <v/>
      </c>
    </row>
    <row r="103" customFormat="false" ht="15" hidden="false" customHeight="false" outlineLevel="0" collapsed="false">
      <c r="A103" s="17"/>
      <c r="B103" s="40"/>
      <c r="C103" s="17"/>
      <c r="D103" s="44" t="str">
        <f aca="false">IF(C103="","",IFERROR(INDEX(Inbound!$E$2:$E$501,MATCH(C103,Inbound!$A$2:$A$501,0)),IFERROR(INDEX(Outbound!$D$2:$D$501,MATCH(C103,Outbound!$A$2:$A$501,0)),"Lead ID not found")))</f>
        <v/>
      </c>
      <c r="E103" s="44" t="str">
        <f aca="false">IF(C103="","",IFERROR(INDEX(Inbound!$F$2:$F$501,MATCH(C103,Inbound!$A$2:$A$501,0)),IFERROR(INDEX(Outbound!$E$2:$E$501,MATCH(C103,Outbound!$A$2:$A$501,0)),"Lead ID not found")))</f>
        <v/>
      </c>
      <c r="F103" s="17"/>
      <c r="G103" s="17"/>
      <c r="H103" s="17"/>
      <c r="I103" s="17"/>
      <c r="J103" s="17"/>
      <c r="K103" s="17"/>
      <c r="L103" s="17"/>
      <c r="M103" s="17"/>
      <c r="N103" s="44" t="str">
        <f aca="false">IF(C103="","",COUNTA(H103:M103))</f>
        <v/>
      </c>
      <c r="O103" s="44" t="str">
        <f aca="false">IF(OR(C103="",N(N103)=0),"",SUMIFS(Settings!$AA$2:$AA$21,Settings!$Y$2:$Y$21,"Budget AED 5k+/mo?",Settings!$Z$2:$Z$21,H103)+SUMIFS(Settings!$AA$2:$AA$21,Settings!$Y$2:$Y$21,"Decision-maker?",Settings!$Z$2:$Z$21,I103)+SUMIFS(Settings!$AA$2:$AA$21,Settings!$Y$2:$Y$21,"Someone on camera?",Settings!$Z$2:$Z$21,J103)+SUMIFS(Settings!$AA$2:$AA$21,Settings!$Y$2:$Y$21,"OK with 3-month term?",Settings!$Z$2:$Z$21,K103)+SUMIFS(Settings!$AA$2:$AA$21,Settings!$Y$2:$Y$21,"Start timeline",Settings!$Z$2:$Z$21,L103)+SUMIFS(Settings!$AA$2:$AA$21,Settings!$Y$2:$Y$21,"Social media gap",Settings!$Z$2:$Z$21,M103)+IF(OR(E103="",E103="Lead ID not found"),0,IF(COUNTIF(Settings!$AC$2:$AC$6,E103)&gt;0,Settings!$AA$20,Settings!$AA$21)))</f>
        <v/>
      </c>
      <c r="P103" s="44" t="str">
        <f aca="false">IF(C103="","",IF(N(N103)&lt;6,"Partly scored ("&amp;N103&amp;"/6)",IF(O103&gt;=Settings!$S$8,"Hot",IF(O103&gt;=Settings!$S$9,"Warm","Cold"))))</f>
        <v/>
      </c>
      <c r="Q103" s="44" t="str">
        <f aca="false">IF(C103="","",IF(AND(H103="No",J103="No"),"🚩 Budget  ·  🚩 No one on camera",IF(H103="No","🚩 Budget under AED 5k",IF(J103="No","🚩 No one on camera",""))))</f>
        <v/>
      </c>
      <c r="R103" s="44" t="str">
        <f aca="false">IF(C103="","",IF(N(N103)&lt;6,"Finish the scoresheet before closing",IF(P103="Hot","Close now – send the contract / proposal today",IF(P103="Warm","Send proposal + a relevant result; follow up in 3 days","Rep's call – nurture or close politely")))&amp;IF(Q103&lt;&gt;""," (handle the 🚩 first)",""))</f>
        <v/>
      </c>
      <c r="S103" s="17"/>
      <c r="T103" s="17"/>
      <c r="U103" s="44" t="str">
        <f aca="false">IF(C103="","",IF(COUNTIF(C104:C$501,C103)=0,1,0))</f>
        <v/>
      </c>
    </row>
    <row r="104" customFormat="false" ht="15" hidden="false" customHeight="false" outlineLevel="0" collapsed="false">
      <c r="A104" s="17"/>
      <c r="B104" s="40"/>
      <c r="C104" s="17"/>
      <c r="D104" s="44" t="str">
        <f aca="false">IF(C104="","",IFERROR(INDEX(Inbound!$E$2:$E$501,MATCH(C104,Inbound!$A$2:$A$501,0)),IFERROR(INDEX(Outbound!$D$2:$D$501,MATCH(C104,Outbound!$A$2:$A$501,0)),"Lead ID not found")))</f>
        <v/>
      </c>
      <c r="E104" s="44" t="str">
        <f aca="false">IF(C104="","",IFERROR(INDEX(Inbound!$F$2:$F$501,MATCH(C104,Inbound!$A$2:$A$501,0)),IFERROR(INDEX(Outbound!$E$2:$E$501,MATCH(C104,Outbound!$A$2:$A$501,0)),"Lead ID not found")))</f>
        <v/>
      </c>
      <c r="F104" s="17"/>
      <c r="G104" s="17"/>
      <c r="H104" s="17"/>
      <c r="I104" s="17"/>
      <c r="J104" s="17"/>
      <c r="K104" s="17"/>
      <c r="L104" s="17"/>
      <c r="M104" s="17"/>
      <c r="N104" s="44" t="str">
        <f aca="false">IF(C104="","",COUNTA(H104:M104))</f>
        <v/>
      </c>
      <c r="O104" s="44" t="str">
        <f aca="false">IF(OR(C104="",N(N104)=0),"",SUMIFS(Settings!$AA$2:$AA$21,Settings!$Y$2:$Y$21,"Budget AED 5k+/mo?",Settings!$Z$2:$Z$21,H104)+SUMIFS(Settings!$AA$2:$AA$21,Settings!$Y$2:$Y$21,"Decision-maker?",Settings!$Z$2:$Z$21,I104)+SUMIFS(Settings!$AA$2:$AA$21,Settings!$Y$2:$Y$21,"Someone on camera?",Settings!$Z$2:$Z$21,J104)+SUMIFS(Settings!$AA$2:$AA$21,Settings!$Y$2:$Y$21,"OK with 3-month term?",Settings!$Z$2:$Z$21,K104)+SUMIFS(Settings!$AA$2:$AA$21,Settings!$Y$2:$Y$21,"Start timeline",Settings!$Z$2:$Z$21,L104)+SUMIFS(Settings!$AA$2:$AA$21,Settings!$Y$2:$Y$21,"Social media gap",Settings!$Z$2:$Z$21,M104)+IF(OR(E104="",E104="Lead ID not found"),0,IF(COUNTIF(Settings!$AC$2:$AC$6,E104)&gt;0,Settings!$AA$20,Settings!$AA$21)))</f>
        <v/>
      </c>
      <c r="P104" s="44" t="str">
        <f aca="false">IF(C104="","",IF(N(N104)&lt;6,"Partly scored ("&amp;N104&amp;"/6)",IF(O104&gt;=Settings!$S$8,"Hot",IF(O104&gt;=Settings!$S$9,"Warm","Cold"))))</f>
        <v/>
      </c>
      <c r="Q104" s="44" t="str">
        <f aca="false">IF(C104="","",IF(AND(H104="No",J104="No"),"🚩 Budget  ·  🚩 No one on camera",IF(H104="No","🚩 Budget under AED 5k",IF(J104="No","🚩 No one on camera",""))))</f>
        <v/>
      </c>
      <c r="R104" s="44" t="str">
        <f aca="false">IF(C104="","",IF(N(N104)&lt;6,"Finish the scoresheet before closing",IF(P104="Hot","Close now – send the contract / proposal today",IF(P104="Warm","Send proposal + a relevant result; follow up in 3 days","Rep's call – nurture or close politely")))&amp;IF(Q104&lt;&gt;""," (handle the 🚩 first)",""))</f>
        <v/>
      </c>
      <c r="S104" s="17"/>
      <c r="T104" s="17"/>
      <c r="U104" s="44" t="str">
        <f aca="false">IF(C104="","",IF(COUNTIF(C105:C$501,C104)=0,1,0))</f>
        <v/>
      </c>
    </row>
    <row r="105" customFormat="false" ht="15" hidden="false" customHeight="false" outlineLevel="0" collapsed="false">
      <c r="A105" s="17"/>
      <c r="B105" s="40"/>
      <c r="C105" s="17"/>
      <c r="D105" s="44" t="str">
        <f aca="false">IF(C105="","",IFERROR(INDEX(Inbound!$E$2:$E$501,MATCH(C105,Inbound!$A$2:$A$501,0)),IFERROR(INDEX(Outbound!$D$2:$D$501,MATCH(C105,Outbound!$A$2:$A$501,0)),"Lead ID not found")))</f>
        <v/>
      </c>
      <c r="E105" s="44" t="str">
        <f aca="false">IF(C105="","",IFERROR(INDEX(Inbound!$F$2:$F$501,MATCH(C105,Inbound!$A$2:$A$501,0)),IFERROR(INDEX(Outbound!$E$2:$E$501,MATCH(C105,Outbound!$A$2:$A$501,0)),"Lead ID not found")))</f>
        <v/>
      </c>
      <c r="F105" s="17"/>
      <c r="G105" s="17"/>
      <c r="H105" s="17"/>
      <c r="I105" s="17"/>
      <c r="J105" s="17"/>
      <c r="K105" s="17"/>
      <c r="L105" s="17"/>
      <c r="M105" s="17"/>
      <c r="N105" s="44" t="str">
        <f aca="false">IF(C105="","",COUNTA(H105:M105))</f>
        <v/>
      </c>
      <c r="O105" s="44" t="str">
        <f aca="false">IF(OR(C105="",N(N105)=0),"",SUMIFS(Settings!$AA$2:$AA$21,Settings!$Y$2:$Y$21,"Budget AED 5k+/mo?",Settings!$Z$2:$Z$21,H105)+SUMIFS(Settings!$AA$2:$AA$21,Settings!$Y$2:$Y$21,"Decision-maker?",Settings!$Z$2:$Z$21,I105)+SUMIFS(Settings!$AA$2:$AA$21,Settings!$Y$2:$Y$21,"Someone on camera?",Settings!$Z$2:$Z$21,J105)+SUMIFS(Settings!$AA$2:$AA$21,Settings!$Y$2:$Y$21,"OK with 3-month term?",Settings!$Z$2:$Z$21,K105)+SUMIFS(Settings!$AA$2:$AA$21,Settings!$Y$2:$Y$21,"Start timeline",Settings!$Z$2:$Z$21,L105)+SUMIFS(Settings!$AA$2:$AA$21,Settings!$Y$2:$Y$21,"Social media gap",Settings!$Z$2:$Z$21,M105)+IF(OR(E105="",E105="Lead ID not found"),0,IF(COUNTIF(Settings!$AC$2:$AC$6,E105)&gt;0,Settings!$AA$20,Settings!$AA$21)))</f>
        <v/>
      </c>
      <c r="P105" s="44" t="str">
        <f aca="false">IF(C105="","",IF(N(N105)&lt;6,"Partly scored ("&amp;N105&amp;"/6)",IF(O105&gt;=Settings!$S$8,"Hot",IF(O105&gt;=Settings!$S$9,"Warm","Cold"))))</f>
        <v/>
      </c>
      <c r="Q105" s="44" t="str">
        <f aca="false">IF(C105="","",IF(AND(H105="No",J105="No"),"🚩 Budget  ·  🚩 No one on camera",IF(H105="No","🚩 Budget under AED 5k",IF(J105="No","🚩 No one on camera",""))))</f>
        <v/>
      </c>
      <c r="R105" s="44" t="str">
        <f aca="false">IF(C105="","",IF(N(N105)&lt;6,"Finish the scoresheet before closing",IF(P105="Hot","Close now – send the contract / proposal today",IF(P105="Warm","Send proposal + a relevant result; follow up in 3 days","Rep's call – nurture or close politely")))&amp;IF(Q105&lt;&gt;""," (handle the 🚩 first)",""))</f>
        <v/>
      </c>
      <c r="S105" s="17"/>
      <c r="T105" s="17"/>
      <c r="U105" s="44" t="str">
        <f aca="false">IF(C105="","",IF(COUNTIF(C106:C$501,C105)=0,1,0))</f>
        <v/>
      </c>
    </row>
    <row r="106" customFormat="false" ht="15" hidden="false" customHeight="false" outlineLevel="0" collapsed="false">
      <c r="A106" s="17"/>
      <c r="B106" s="40"/>
      <c r="C106" s="17"/>
      <c r="D106" s="44" t="str">
        <f aca="false">IF(C106="","",IFERROR(INDEX(Inbound!$E$2:$E$501,MATCH(C106,Inbound!$A$2:$A$501,0)),IFERROR(INDEX(Outbound!$D$2:$D$501,MATCH(C106,Outbound!$A$2:$A$501,0)),"Lead ID not found")))</f>
        <v/>
      </c>
      <c r="E106" s="44" t="str">
        <f aca="false">IF(C106="","",IFERROR(INDEX(Inbound!$F$2:$F$501,MATCH(C106,Inbound!$A$2:$A$501,0)),IFERROR(INDEX(Outbound!$E$2:$E$501,MATCH(C106,Outbound!$A$2:$A$501,0)),"Lead ID not found")))</f>
        <v/>
      </c>
      <c r="F106" s="17"/>
      <c r="G106" s="17"/>
      <c r="H106" s="17"/>
      <c r="I106" s="17"/>
      <c r="J106" s="17"/>
      <c r="K106" s="17"/>
      <c r="L106" s="17"/>
      <c r="M106" s="17"/>
      <c r="N106" s="44" t="str">
        <f aca="false">IF(C106="","",COUNTA(H106:M106))</f>
        <v/>
      </c>
      <c r="O106" s="44" t="str">
        <f aca="false">IF(OR(C106="",N(N106)=0),"",SUMIFS(Settings!$AA$2:$AA$21,Settings!$Y$2:$Y$21,"Budget AED 5k+/mo?",Settings!$Z$2:$Z$21,H106)+SUMIFS(Settings!$AA$2:$AA$21,Settings!$Y$2:$Y$21,"Decision-maker?",Settings!$Z$2:$Z$21,I106)+SUMIFS(Settings!$AA$2:$AA$21,Settings!$Y$2:$Y$21,"Someone on camera?",Settings!$Z$2:$Z$21,J106)+SUMIFS(Settings!$AA$2:$AA$21,Settings!$Y$2:$Y$21,"OK with 3-month term?",Settings!$Z$2:$Z$21,K106)+SUMIFS(Settings!$AA$2:$AA$21,Settings!$Y$2:$Y$21,"Start timeline",Settings!$Z$2:$Z$21,L106)+SUMIFS(Settings!$AA$2:$AA$21,Settings!$Y$2:$Y$21,"Social media gap",Settings!$Z$2:$Z$21,M106)+IF(OR(E106="",E106="Lead ID not found"),0,IF(COUNTIF(Settings!$AC$2:$AC$6,E106)&gt;0,Settings!$AA$20,Settings!$AA$21)))</f>
        <v/>
      </c>
      <c r="P106" s="44" t="str">
        <f aca="false">IF(C106="","",IF(N(N106)&lt;6,"Partly scored ("&amp;N106&amp;"/6)",IF(O106&gt;=Settings!$S$8,"Hot",IF(O106&gt;=Settings!$S$9,"Warm","Cold"))))</f>
        <v/>
      </c>
      <c r="Q106" s="44" t="str">
        <f aca="false">IF(C106="","",IF(AND(H106="No",J106="No"),"🚩 Budget  ·  🚩 No one on camera",IF(H106="No","🚩 Budget under AED 5k",IF(J106="No","🚩 No one on camera",""))))</f>
        <v/>
      </c>
      <c r="R106" s="44" t="str">
        <f aca="false">IF(C106="","",IF(N(N106)&lt;6,"Finish the scoresheet before closing",IF(P106="Hot","Close now – send the contract / proposal today",IF(P106="Warm","Send proposal + a relevant result; follow up in 3 days","Rep's call – nurture or close politely")))&amp;IF(Q106&lt;&gt;""," (handle the 🚩 first)",""))</f>
        <v/>
      </c>
      <c r="S106" s="17"/>
      <c r="T106" s="17"/>
      <c r="U106" s="44" t="str">
        <f aca="false">IF(C106="","",IF(COUNTIF(C107:C$501,C106)=0,1,0))</f>
        <v/>
      </c>
    </row>
    <row r="107" customFormat="false" ht="15" hidden="false" customHeight="false" outlineLevel="0" collapsed="false">
      <c r="A107" s="17"/>
      <c r="B107" s="40"/>
      <c r="C107" s="17"/>
      <c r="D107" s="44" t="str">
        <f aca="false">IF(C107="","",IFERROR(INDEX(Inbound!$E$2:$E$501,MATCH(C107,Inbound!$A$2:$A$501,0)),IFERROR(INDEX(Outbound!$D$2:$D$501,MATCH(C107,Outbound!$A$2:$A$501,0)),"Lead ID not found")))</f>
        <v/>
      </c>
      <c r="E107" s="44" t="str">
        <f aca="false">IF(C107="","",IFERROR(INDEX(Inbound!$F$2:$F$501,MATCH(C107,Inbound!$A$2:$A$501,0)),IFERROR(INDEX(Outbound!$E$2:$E$501,MATCH(C107,Outbound!$A$2:$A$501,0)),"Lead ID not found")))</f>
        <v/>
      </c>
      <c r="F107" s="17"/>
      <c r="G107" s="17"/>
      <c r="H107" s="17"/>
      <c r="I107" s="17"/>
      <c r="J107" s="17"/>
      <c r="K107" s="17"/>
      <c r="L107" s="17"/>
      <c r="M107" s="17"/>
      <c r="N107" s="44" t="str">
        <f aca="false">IF(C107="","",COUNTA(H107:M107))</f>
        <v/>
      </c>
      <c r="O107" s="44" t="str">
        <f aca="false">IF(OR(C107="",N(N107)=0),"",SUMIFS(Settings!$AA$2:$AA$21,Settings!$Y$2:$Y$21,"Budget AED 5k+/mo?",Settings!$Z$2:$Z$21,H107)+SUMIFS(Settings!$AA$2:$AA$21,Settings!$Y$2:$Y$21,"Decision-maker?",Settings!$Z$2:$Z$21,I107)+SUMIFS(Settings!$AA$2:$AA$21,Settings!$Y$2:$Y$21,"Someone on camera?",Settings!$Z$2:$Z$21,J107)+SUMIFS(Settings!$AA$2:$AA$21,Settings!$Y$2:$Y$21,"OK with 3-month term?",Settings!$Z$2:$Z$21,K107)+SUMIFS(Settings!$AA$2:$AA$21,Settings!$Y$2:$Y$21,"Start timeline",Settings!$Z$2:$Z$21,L107)+SUMIFS(Settings!$AA$2:$AA$21,Settings!$Y$2:$Y$21,"Social media gap",Settings!$Z$2:$Z$21,M107)+IF(OR(E107="",E107="Lead ID not found"),0,IF(COUNTIF(Settings!$AC$2:$AC$6,E107)&gt;0,Settings!$AA$20,Settings!$AA$21)))</f>
        <v/>
      </c>
      <c r="P107" s="44" t="str">
        <f aca="false">IF(C107="","",IF(N(N107)&lt;6,"Partly scored ("&amp;N107&amp;"/6)",IF(O107&gt;=Settings!$S$8,"Hot",IF(O107&gt;=Settings!$S$9,"Warm","Cold"))))</f>
        <v/>
      </c>
      <c r="Q107" s="44" t="str">
        <f aca="false">IF(C107="","",IF(AND(H107="No",J107="No"),"🚩 Budget  ·  🚩 No one on camera",IF(H107="No","🚩 Budget under AED 5k",IF(J107="No","🚩 No one on camera",""))))</f>
        <v/>
      </c>
      <c r="R107" s="44" t="str">
        <f aca="false">IF(C107="","",IF(N(N107)&lt;6,"Finish the scoresheet before closing",IF(P107="Hot","Close now – send the contract / proposal today",IF(P107="Warm","Send proposal + a relevant result; follow up in 3 days","Rep's call – nurture or close politely")))&amp;IF(Q107&lt;&gt;""," (handle the 🚩 first)",""))</f>
        <v/>
      </c>
      <c r="S107" s="17"/>
      <c r="T107" s="17"/>
      <c r="U107" s="44" t="str">
        <f aca="false">IF(C107="","",IF(COUNTIF(C108:C$501,C107)=0,1,0))</f>
        <v/>
      </c>
    </row>
    <row r="108" customFormat="false" ht="15" hidden="false" customHeight="false" outlineLevel="0" collapsed="false">
      <c r="A108" s="17"/>
      <c r="B108" s="40"/>
      <c r="C108" s="17"/>
      <c r="D108" s="44" t="str">
        <f aca="false">IF(C108="","",IFERROR(INDEX(Inbound!$E$2:$E$501,MATCH(C108,Inbound!$A$2:$A$501,0)),IFERROR(INDEX(Outbound!$D$2:$D$501,MATCH(C108,Outbound!$A$2:$A$501,0)),"Lead ID not found")))</f>
        <v/>
      </c>
      <c r="E108" s="44" t="str">
        <f aca="false">IF(C108="","",IFERROR(INDEX(Inbound!$F$2:$F$501,MATCH(C108,Inbound!$A$2:$A$501,0)),IFERROR(INDEX(Outbound!$E$2:$E$501,MATCH(C108,Outbound!$A$2:$A$501,0)),"Lead ID not found")))</f>
        <v/>
      </c>
      <c r="F108" s="17"/>
      <c r="G108" s="17"/>
      <c r="H108" s="17"/>
      <c r="I108" s="17"/>
      <c r="J108" s="17"/>
      <c r="K108" s="17"/>
      <c r="L108" s="17"/>
      <c r="M108" s="17"/>
      <c r="N108" s="44" t="str">
        <f aca="false">IF(C108="","",COUNTA(H108:M108))</f>
        <v/>
      </c>
      <c r="O108" s="44" t="str">
        <f aca="false">IF(OR(C108="",N(N108)=0),"",SUMIFS(Settings!$AA$2:$AA$21,Settings!$Y$2:$Y$21,"Budget AED 5k+/mo?",Settings!$Z$2:$Z$21,H108)+SUMIFS(Settings!$AA$2:$AA$21,Settings!$Y$2:$Y$21,"Decision-maker?",Settings!$Z$2:$Z$21,I108)+SUMIFS(Settings!$AA$2:$AA$21,Settings!$Y$2:$Y$21,"Someone on camera?",Settings!$Z$2:$Z$21,J108)+SUMIFS(Settings!$AA$2:$AA$21,Settings!$Y$2:$Y$21,"OK with 3-month term?",Settings!$Z$2:$Z$21,K108)+SUMIFS(Settings!$AA$2:$AA$21,Settings!$Y$2:$Y$21,"Start timeline",Settings!$Z$2:$Z$21,L108)+SUMIFS(Settings!$AA$2:$AA$21,Settings!$Y$2:$Y$21,"Social media gap",Settings!$Z$2:$Z$21,M108)+IF(OR(E108="",E108="Lead ID not found"),0,IF(COUNTIF(Settings!$AC$2:$AC$6,E108)&gt;0,Settings!$AA$20,Settings!$AA$21)))</f>
        <v/>
      </c>
      <c r="P108" s="44" t="str">
        <f aca="false">IF(C108="","",IF(N(N108)&lt;6,"Partly scored ("&amp;N108&amp;"/6)",IF(O108&gt;=Settings!$S$8,"Hot",IF(O108&gt;=Settings!$S$9,"Warm","Cold"))))</f>
        <v/>
      </c>
      <c r="Q108" s="44" t="str">
        <f aca="false">IF(C108="","",IF(AND(H108="No",J108="No"),"🚩 Budget  ·  🚩 No one on camera",IF(H108="No","🚩 Budget under AED 5k",IF(J108="No","🚩 No one on camera",""))))</f>
        <v/>
      </c>
      <c r="R108" s="44" t="str">
        <f aca="false">IF(C108="","",IF(N(N108)&lt;6,"Finish the scoresheet before closing",IF(P108="Hot","Close now – send the contract / proposal today",IF(P108="Warm","Send proposal + a relevant result; follow up in 3 days","Rep's call – nurture or close politely")))&amp;IF(Q108&lt;&gt;""," (handle the 🚩 first)",""))</f>
        <v/>
      </c>
      <c r="S108" s="17"/>
      <c r="T108" s="17"/>
      <c r="U108" s="44" t="str">
        <f aca="false">IF(C108="","",IF(COUNTIF(C109:C$501,C108)=0,1,0))</f>
        <v/>
      </c>
    </row>
    <row r="109" customFormat="false" ht="15" hidden="false" customHeight="false" outlineLevel="0" collapsed="false">
      <c r="A109" s="17"/>
      <c r="B109" s="40"/>
      <c r="C109" s="17"/>
      <c r="D109" s="44" t="str">
        <f aca="false">IF(C109="","",IFERROR(INDEX(Inbound!$E$2:$E$501,MATCH(C109,Inbound!$A$2:$A$501,0)),IFERROR(INDEX(Outbound!$D$2:$D$501,MATCH(C109,Outbound!$A$2:$A$501,0)),"Lead ID not found")))</f>
        <v/>
      </c>
      <c r="E109" s="44" t="str">
        <f aca="false">IF(C109="","",IFERROR(INDEX(Inbound!$F$2:$F$501,MATCH(C109,Inbound!$A$2:$A$501,0)),IFERROR(INDEX(Outbound!$E$2:$E$501,MATCH(C109,Outbound!$A$2:$A$501,0)),"Lead ID not found")))</f>
        <v/>
      </c>
      <c r="F109" s="17"/>
      <c r="G109" s="17"/>
      <c r="H109" s="17"/>
      <c r="I109" s="17"/>
      <c r="J109" s="17"/>
      <c r="K109" s="17"/>
      <c r="L109" s="17"/>
      <c r="M109" s="17"/>
      <c r="N109" s="44" t="str">
        <f aca="false">IF(C109="","",COUNTA(H109:M109))</f>
        <v/>
      </c>
      <c r="O109" s="44" t="str">
        <f aca="false">IF(OR(C109="",N(N109)=0),"",SUMIFS(Settings!$AA$2:$AA$21,Settings!$Y$2:$Y$21,"Budget AED 5k+/mo?",Settings!$Z$2:$Z$21,H109)+SUMIFS(Settings!$AA$2:$AA$21,Settings!$Y$2:$Y$21,"Decision-maker?",Settings!$Z$2:$Z$21,I109)+SUMIFS(Settings!$AA$2:$AA$21,Settings!$Y$2:$Y$21,"Someone on camera?",Settings!$Z$2:$Z$21,J109)+SUMIFS(Settings!$AA$2:$AA$21,Settings!$Y$2:$Y$21,"OK with 3-month term?",Settings!$Z$2:$Z$21,K109)+SUMIFS(Settings!$AA$2:$AA$21,Settings!$Y$2:$Y$21,"Start timeline",Settings!$Z$2:$Z$21,L109)+SUMIFS(Settings!$AA$2:$AA$21,Settings!$Y$2:$Y$21,"Social media gap",Settings!$Z$2:$Z$21,M109)+IF(OR(E109="",E109="Lead ID not found"),0,IF(COUNTIF(Settings!$AC$2:$AC$6,E109)&gt;0,Settings!$AA$20,Settings!$AA$21)))</f>
        <v/>
      </c>
      <c r="P109" s="44" t="str">
        <f aca="false">IF(C109="","",IF(N(N109)&lt;6,"Partly scored ("&amp;N109&amp;"/6)",IF(O109&gt;=Settings!$S$8,"Hot",IF(O109&gt;=Settings!$S$9,"Warm","Cold"))))</f>
        <v/>
      </c>
      <c r="Q109" s="44" t="str">
        <f aca="false">IF(C109="","",IF(AND(H109="No",J109="No"),"🚩 Budget  ·  🚩 No one on camera",IF(H109="No","🚩 Budget under AED 5k",IF(J109="No","🚩 No one on camera",""))))</f>
        <v/>
      </c>
      <c r="R109" s="44" t="str">
        <f aca="false">IF(C109="","",IF(N(N109)&lt;6,"Finish the scoresheet before closing",IF(P109="Hot","Close now – send the contract / proposal today",IF(P109="Warm","Send proposal + a relevant result; follow up in 3 days","Rep's call – nurture or close politely")))&amp;IF(Q109&lt;&gt;""," (handle the 🚩 first)",""))</f>
        <v/>
      </c>
      <c r="S109" s="17"/>
      <c r="T109" s="17"/>
      <c r="U109" s="44" t="str">
        <f aca="false">IF(C109="","",IF(COUNTIF(C110:C$501,C109)=0,1,0))</f>
        <v/>
      </c>
    </row>
    <row r="110" customFormat="false" ht="15" hidden="false" customHeight="false" outlineLevel="0" collapsed="false">
      <c r="A110" s="17"/>
      <c r="B110" s="40"/>
      <c r="C110" s="17"/>
      <c r="D110" s="44" t="str">
        <f aca="false">IF(C110="","",IFERROR(INDEX(Inbound!$E$2:$E$501,MATCH(C110,Inbound!$A$2:$A$501,0)),IFERROR(INDEX(Outbound!$D$2:$D$501,MATCH(C110,Outbound!$A$2:$A$501,0)),"Lead ID not found")))</f>
        <v/>
      </c>
      <c r="E110" s="44" t="str">
        <f aca="false">IF(C110="","",IFERROR(INDEX(Inbound!$F$2:$F$501,MATCH(C110,Inbound!$A$2:$A$501,0)),IFERROR(INDEX(Outbound!$E$2:$E$501,MATCH(C110,Outbound!$A$2:$A$501,0)),"Lead ID not found")))</f>
        <v/>
      </c>
      <c r="F110" s="17"/>
      <c r="G110" s="17"/>
      <c r="H110" s="17"/>
      <c r="I110" s="17"/>
      <c r="J110" s="17"/>
      <c r="K110" s="17"/>
      <c r="L110" s="17"/>
      <c r="M110" s="17"/>
      <c r="N110" s="44" t="str">
        <f aca="false">IF(C110="","",COUNTA(H110:M110))</f>
        <v/>
      </c>
      <c r="O110" s="44" t="str">
        <f aca="false">IF(OR(C110="",N(N110)=0),"",SUMIFS(Settings!$AA$2:$AA$21,Settings!$Y$2:$Y$21,"Budget AED 5k+/mo?",Settings!$Z$2:$Z$21,H110)+SUMIFS(Settings!$AA$2:$AA$21,Settings!$Y$2:$Y$21,"Decision-maker?",Settings!$Z$2:$Z$21,I110)+SUMIFS(Settings!$AA$2:$AA$21,Settings!$Y$2:$Y$21,"Someone on camera?",Settings!$Z$2:$Z$21,J110)+SUMIFS(Settings!$AA$2:$AA$21,Settings!$Y$2:$Y$21,"OK with 3-month term?",Settings!$Z$2:$Z$21,K110)+SUMIFS(Settings!$AA$2:$AA$21,Settings!$Y$2:$Y$21,"Start timeline",Settings!$Z$2:$Z$21,L110)+SUMIFS(Settings!$AA$2:$AA$21,Settings!$Y$2:$Y$21,"Social media gap",Settings!$Z$2:$Z$21,M110)+IF(OR(E110="",E110="Lead ID not found"),0,IF(COUNTIF(Settings!$AC$2:$AC$6,E110)&gt;0,Settings!$AA$20,Settings!$AA$21)))</f>
        <v/>
      </c>
      <c r="P110" s="44" t="str">
        <f aca="false">IF(C110="","",IF(N(N110)&lt;6,"Partly scored ("&amp;N110&amp;"/6)",IF(O110&gt;=Settings!$S$8,"Hot",IF(O110&gt;=Settings!$S$9,"Warm","Cold"))))</f>
        <v/>
      </c>
      <c r="Q110" s="44" t="str">
        <f aca="false">IF(C110="","",IF(AND(H110="No",J110="No"),"🚩 Budget  ·  🚩 No one on camera",IF(H110="No","🚩 Budget under AED 5k",IF(J110="No","🚩 No one on camera",""))))</f>
        <v/>
      </c>
      <c r="R110" s="44" t="str">
        <f aca="false">IF(C110="","",IF(N(N110)&lt;6,"Finish the scoresheet before closing",IF(P110="Hot","Close now – send the contract / proposal today",IF(P110="Warm","Send proposal + a relevant result; follow up in 3 days","Rep's call – nurture or close politely")))&amp;IF(Q110&lt;&gt;""," (handle the 🚩 first)",""))</f>
        <v/>
      </c>
      <c r="S110" s="17"/>
      <c r="T110" s="17"/>
      <c r="U110" s="44" t="str">
        <f aca="false">IF(C110="","",IF(COUNTIF(C111:C$501,C110)=0,1,0))</f>
        <v/>
      </c>
    </row>
    <row r="111" customFormat="false" ht="15" hidden="false" customHeight="false" outlineLevel="0" collapsed="false">
      <c r="A111" s="17"/>
      <c r="B111" s="40"/>
      <c r="C111" s="17"/>
      <c r="D111" s="44" t="str">
        <f aca="false">IF(C111="","",IFERROR(INDEX(Inbound!$E$2:$E$501,MATCH(C111,Inbound!$A$2:$A$501,0)),IFERROR(INDEX(Outbound!$D$2:$D$501,MATCH(C111,Outbound!$A$2:$A$501,0)),"Lead ID not found")))</f>
        <v/>
      </c>
      <c r="E111" s="44" t="str">
        <f aca="false">IF(C111="","",IFERROR(INDEX(Inbound!$F$2:$F$501,MATCH(C111,Inbound!$A$2:$A$501,0)),IFERROR(INDEX(Outbound!$E$2:$E$501,MATCH(C111,Outbound!$A$2:$A$501,0)),"Lead ID not found")))</f>
        <v/>
      </c>
      <c r="F111" s="17"/>
      <c r="G111" s="17"/>
      <c r="H111" s="17"/>
      <c r="I111" s="17"/>
      <c r="J111" s="17"/>
      <c r="K111" s="17"/>
      <c r="L111" s="17"/>
      <c r="M111" s="17"/>
      <c r="N111" s="44" t="str">
        <f aca="false">IF(C111="","",COUNTA(H111:M111))</f>
        <v/>
      </c>
      <c r="O111" s="44" t="str">
        <f aca="false">IF(OR(C111="",N(N111)=0),"",SUMIFS(Settings!$AA$2:$AA$21,Settings!$Y$2:$Y$21,"Budget AED 5k+/mo?",Settings!$Z$2:$Z$21,H111)+SUMIFS(Settings!$AA$2:$AA$21,Settings!$Y$2:$Y$21,"Decision-maker?",Settings!$Z$2:$Z$21,I111)+SUMIFS(Settings!$AA$2:$AA$21,Settings!$Y$2:$Y$21,"Someone on camera?",Settings!$Z$2:$Z$21,J111)+SUMIFS(Settings!$AA$2:$AA$21,Settings!$Y$2:$Y$21,"OK with 3-month term?",Settings!$Z$2:$Z$21,K111)+SUMIFS(Settings!$AA$2:$AA$21,Settings!$Y$2:$Y$21,"Start timeline",Settings!$Z$2:$Z$21,L111)+SUMIFS(Settings!$AA$2:$AA$21,Settings!$Y$2:$Y$21,"Social media gap",Settings!$Z$2:$Z$21,M111)+IF(OR(E111="",E111="Lead ID not found"),0,IF(COUNTIF(Settings!$AC$2:$AC$6,E111)&gt;0,Settings!$AA$20,Settings!$AA$21)))</f>
        <v/>
      </c>
      <c r="P111" s="44" t="str">
        <f aca="false">IF(C111="","",IF(N(N111)&lt;6,"Partly scored ("&amp;N111&amp;"/6)",IF(O111&gt;=Settings!$S$8,"Hot",IF(O111&gt;=Settings!$S$9,"Warm","Cold"))))</f>
        <v/>
      </c>
      <c r="Q111" s="44" t="str">
        <f aca="false">IF(C111="","",IF(AND(H111="No",J111="No"),"🚩 Budget  ·  🚩 No one on camera",IF(H111="No","🚩 Budget under AED 5k",IF(J111="No","🚩 No one on camera",""))))</f>
        <v/>
      </c>
      <c r="R111" s="44" t="str">
        <f aca="false">IF(C111="","",IF(N(N111)&lt;6,"Finish the scoresheet before closing",IF(P111="Hot","Close now – send the contract / proposal today",IF(P111="Warm","Send proposal + a relevant result; follow up in 3 days","Rep's call – nurture or close politely")))&amp;IF(Q111&lt;&gt;""," (handle the 🚩 first)",""))</f>
        <v/>
      </c>
      <c r="S111" s="17"/>
      <c r="T111" s="17"/>
      <c r="U111" s="44" t="str">
        <f aca="false">IF(C111="","",IF(COUNTIF(C112:C$501,C111)=0,1,0))</f>
        <v/>
      </c>
    </row>
    <row r="112" customFormat="false" ht="15" hidden="false" customHeight="false" outlineLevel="0" collapsed="false">
      <c r="A112" s="17"/>
      <c r="B112" s="40"/>
      <c r="C112" s="17"/>
      <c r="D112" s="44" t="str">
        <f aca="false">IF(C112="","",IFERROR(INDEX(Inbound!$E$2:$E$501,MATCH(C112,Inbound!$A$2:$A$501,0)),IFERROR(INDEX(Outbound!$D$2:$D$501,MATCH(C112,Outbound!$A$2:$A$501,0)),"Lead ID not found")))</f>
        <v/>
      </c>
      <c r="E112" s="44" t="str">
        <f aca="false">IF(C112="","",IFERROR(INDEX(Inbound!$F$2:$F$501,MATCH(C112,Inbound!$A$2:$A$501,0)),IFERROR(INDEX(Outbound!$E$2:$E$501,MATCH(C112,Outbound!$A$2:$A$501,0)),"Lead ID not found")))</f>
        <v/>
      </c>
      <c r="F112" s="17"/>
      <c r="G112" s="17"/>
      <c r="H112" s="17"/>
      <c r="I112" s="17"/>
      <c r="J112" s="17"/>
      <c r="K112" s="17"/>
      <c r="L112" s="17"/>
      <c r="M112" s="17"/>
      <c r="N112" s="44" t="str">
        <f aca="false">IF(C112="","",COUNTA(H112:M112))</f>
        <v/>
      </c>
      <c r="O112" s="44" t="str">
        <f aca="false">IF(OR(C112="",N(N112)=0),"",SUMIFS(Settings!$AA$2:$AA$21,Settings!$Y$2:$Y$21,"Budget AED 5k+/mo?",Settings!$Z$2:$Z$21,H112)+SUMIFS(Settings!$AA$2:$AA$21,Settings!$Y$2:$Y$21,"Decision-maker?",Settings!$Z$2:$Z$21,I112)+SUMIFS(Settings!$AA$2:$AA$21,Settings!$Y$2:$Y$21,"Someone on camera?",Settings!$Z$2:$Z$21,J112)+SUMIFS(Settings!$AA$2:$AA$21,Settings!$Y$2:$Y$21,"OK with 3-month term?",Settings!$Z$2:$Z$21,K112)+SUMIFS(Settings!$AA$2:$AA$21,Settings!$Y$2:$Y$21,"Start timeline",Settings!$Z$2:$Z$21,L112)+SUMIFS(Settings!$AA$2:$AA$21,Settings!$Y$2:$Y$21,"Social media gap",Settings!$Z$2:$Z$21,M112)+IF(OR(E112="",E112="Lead ID not found"),0,IF(COUNTIF(Settings!$AC$2:$AC$6,E112)&gt;0,Settings!$AA$20,Settings!$AA$21)))</f>
        <v/>
      </c>
      <c r="P112" s="44" t="str">
        <f aca="false">IF(C112="","",IF(N(N112)&lt;6,"Partly scored ("&amp;N112&amp;"/6)",IF(O112&gt;=Settings!$S$8,"Hot",IF(O112&gt;=Settings!$S$9,"Warm","Cold"))))</f>
        <v/>
      </c>
      <c r="Q112" s="44" t="str">
        <f aca="false">IF(C112="","",IF(AND(H112="No",J112="No"),"🚩 Budget  ·  🚩 No one on camera",IF(H112="No","🚩 Budget under AED 5k",IF(J112="No","🚩 No one on camera",""))))</f>
        <v/>
      </c>
      <c r="R112" s="44" t="str">
        <f aca="false">IF(C112="","",IF(N(N112)&lt;6,"Finish the scoresheet before closing",IF(P112="Hot","Close now – send the contract / proposal today",IF(P112="Warm","Send proposal + a relevant result; follow up in 3 days","Rep's call – nurture or close politely")))&amp;IF(Q112&lt;&gt;""," (handle the 🚩 first)",""))</f>
        <v/>
      </c>
      <c r="S112" s="17"/>
      <c r="T112" s="17"/>
      <c r="U112" s="44" t="str">
        <f aca="false">IF(C112="","",IF(COUNTIF(C113:C$501,C112)=0,1,0))</f>
        <v/>
      </c>
    </row>
    <row r="113" customFormat="false" ht="15" hidden="false" customHeight="false" outlineLevel="0" collapsed="false">
      <c r="A113" s="17"/>
      <c r="B113" s="40"/>
      <c r="C113" s="17"/>
      <c r="D113" s="44" t="str">
        <f aca="false">IF(C113="","",IFERROR(INDEX(Inbound!$E$2:$E$501,MATCH(C113,Inbound!$A$2:$A$501,0)),IFERROR(INDEX(Outbound!$D$2:$D$501,MATCH(C113,Outbound!$A$2:$A$501,0)),"Lead ID not found")))</f>
        <v/>
      </c>
      <c r="E113" s="44" t="str">
        <f aca="false">IF(C113="","",IFERROR(INDEX(Inbound!$F$2:$F$501,MATCH(C113,Inbound!$A$2:$A$501,0)),IFERROR(INDEX(Outbound!$E$2:$E$501,MATCH(C113,Outbound!$A$2:$A$501,0)),"Lead ID not found")))</f>
        <v/>
      </c>
      <c r="F113" s="17"/>
      <c r="G113" s="17"/>
      <c r="H113" s="17"/>
      <c r="I113" s="17"/>
      <c r="J113" s="17"/>
      <c r="K113" s="17"/>
      <c r="L113" s="17"/>
      <c r="M113" s="17"/>
      <c r="N113" s="44" t="str">
        <f aca="false">IF(C113="","",COUNTA(H113:M113))</f>
        <v/>
      </c>
      <c r="O113" s="44" t="str">
        <f aca="false">IF(OR(C113="",N(N113)=0),"",SUMIFS(Settings!$AA$2:$AA$21,Settings!$Y$2:$Y$21,"Budget AED 5k+/mo?",Settings!$Z$2:$Z$21,H113)+SUMIFS(Settings!$AA$2:$AA$21,Settings!$Y$2:$Y$21,"Decision-maker?",Settings!$Z$2:$Z$21,I113)+SUMIFS(Settings!$AA$2:$AA$21,Settings!$Y$2:$Y$21,"Someone on camera?",Settings!$Z$2:$Z$21,J113)+SUMIFS(Settings!$AA$2:$AA$21,Settings!$Y$2:$Y$21,"OK with 3-month term?",Settings!$Z$2:$Z$21,K113)+SUMIFS(Settings!$AA$2:$AA$21,Settings!$Y$2:$Y$21,"Start timeline",Settings!$Z$2:$Z$21,L113)+SUMIFS(Settings!$AA$2:$AA$21,Settings!$Y$2:$Y$21,"Social media gap",Settings!$Z$2:$Z$21,M113)+IF(OR(E113="",E113="Lead ID not found"),0,IF(COUNTIF(Settings!$AC$2:$AC$6,E113)&gt;0,Settings!$AA$20,Settings!$AA$21)))</f>
        <v/>
      </c>
      <c r="P113" s="44" t="str">
        <f aca="false">IF(C113="","",IF(N(N113)&lt;6,"Partly scored ("&amp;N113&amp;"/6)",IF(O113&gt;=Settings!$S$8,"Hot",IF(O113&gt;=Settings!$S$9,"Warm","Cold"))))</f>
        <v/>
      </c>
      <c r="Q113" s="44" t="str">
        <f aca="false">IF(C113="","",IF(AND(H113="No",J113="No"),"🚩 Budget  ·  🚩 No one on camera",IF(H113="No","🚩 Budget under AED 5k",IF(J113="No","🚩 No one on camera",""))))</f>
        <v/>
      </c>
      <c r="R113" s="44" t="str">
        <f aca="false">IF(C113="","",IF(N(N113)&lt;6,"Finish the scoresheet before closing",IF(P113="Hot","Close now – send the contract / proposal today",IF(P113="Warm","Send proposal + a relevant result; follow up in 3 days","Rep's call – nurture or close politely")))&amp;IF(Q113&lt;&gt;""," (handle the 🚩 first)",""))</f>
        <v/>
      </c>
      <c r="S113" s="17"/>
      <c r="T113" s="17"/>
      <c r="U113" s="44" t="str">
        <f aca="false">IF(C113="","",IF(COUNTIF(C114:C$501,C113)=0,1,0))</f>
        <v/>
      </c>
    </row>
    <row r="114" customFormat="false" ht="15" hidden="false" customHeight="false" outlineLevel="0" collapsed="false">
      <c r="A114" s="17"/>
      <c r="B114" s="40"/>
      <c r="C114" s="17"/>
      <c r="D114" s="44" t="str">
        <f aca="false">IF(C114="","",IFERROR(INDEX(Inbound!$E$2:$E$501,MATCH(C114,Inbound!$A$2:$A$501,0)),IFERROR(INDEX(Outbound!$D$2:$D$501,MATCH(C114,Outbound!$A$2:$A$501,0)),"Lead ID not found")))</f>
        <v/>
      </c>
      <c r="E114" s="44" t="str">
        <f aca="false">IF(C114="","",IFERROR(INDEX(Inbound!$F$2:$F$501,MATCH(C114,Inbound!$A$2:$A$501,0)),IFERROR(INDEX(Outbound!$E$2:$E$501,MATCH(C114,Outbound!$A$2:$A$501,0)),"Lead ID not found")))</f>
        <v/>
      </c>
      <c r="F114" s="17"/>
      <c r="G114" s="17"/>
      <c r="H114" s="17"/>
      <c r="I114" s="17"/>
      <c r="J114" s="17"/>
      <c r="K114" s="17"/>
      <c r="L114" s="17"/>
      <c r="M114" s="17"/>
      <c r="N114" s="44" t="str">
        <f aca="false">IF(C114="","",COUNTA(H114:M114))</f>
        <v/>
      </c>
      <c r="O114" s="44" t="str">
        <f aca="false">IF(OR(C114="",N(N114)=0),"",SUMIFS(Settings!$AA$2:$AA$21,Settings!$Y$2:$Y$21,"Budget AED 5k+/mo?",Settings!$Z$2:$Z$21,H114)+SUMIFS(Settings!$AA$2:$AA$21,Settings!$Y$2:$Y$21,"Decision-maker?",Settings!$Z$2:$Z$21,I114)+SUMIFS(Settings!$AA$2:$AA$21,Settings!$Y$2:$Y$21,"Someone on camera?",Settings!$Z$2:$Z$21,J114)+SUMIFS(Settings!$AA$2:$AA$21,Settings!$Y$2:$Y$21,"OK with 3-month term?",Settings!$Z$2:$Z$21,K114)+SUMIFS(Settings!$AA$2:$AA$21,Settings!$Y$2:$Y$21,"Start timeline",Settings!$Z$2:$Z$21,L114)+SUMIFS(Settings!$AA$2:$AA$21,Settings!$Y$2:$Y$21,"Social media gap",Settings!$Z$2:$Z$21,M114)+IF(OR(E114="",E114="Lead ID not found"),0,IF(COUNTIF(Settings!$AC$2:$AC$6,E114)&gt;0,Settings!$AA$20,Settings!$AA$21)))</f>
        <v/>
      </c>
      <c r="P114" s="44" t="str">
        <f aca="false">IF(C114="","",IF(N(N114)&lt;6,"Partly scored ("&amp;N114&amp;"/6)",IF(O114&gt;=Settings!$S$8,"Hot",IF(O114&gt;=Settings!$S$9,"Warm","Cold"))))</f>
        <v/>
      </c>
      <c r="Q114" s="44" t="str">
        <f aca="false">IF(C114="","",IF(AND(H114="No",J114="No"),"🚩 Budget  ·  🚩 No one on camera",IF(H114="No","🚩 Budget under AED 5k",IF(J114="No","🚩 No one on camera",""))))</f>
        <v/>
      </c>
      <c r="R114" s="44" t="str">
        <f aca="false">IF(C114="","",IF(N(N114)&lt;6,"Finish the scoresheet before closing",IF(P114="Hot","Close now – send the contract / proposal today",IF(P114="Warm","Send proposal + a relevant result; follow up in 3 days","Rep's call – nurture or close politely")))&amp;IF(Q114&lt;&gt;""," (handle the 🚩 first)",""))</f>
        <v/>
      </c>
      <c r="S114" s="17"/>
      <c r="T114" s="17"/>
      <c r="U114" s="44" t="str">
        <f aca="false">IF(C114="","",IF(COUNTIF(C115:C$501,C114)=0,1,0))</f>
        <v/>
      </c>
    </row>
    <row r="115" customFormat="false" ht="15" hidden="false" customHeight="false" outlineLevel="0" collapsed="false">
      <c r="A115" s="17"/>
      <c r="B115" s="40"/>
      <c r="C115" s="17"/>
      <c r="D115" s="44" t="str">
        <f aca="false">IF(C115="","",IFERROR(INDEX(Inbound!$E$2:$E$501,MATCH(C115,Inbound!$A$2:$A$501,0)),IFERROR(INDEX(Outbound!$D$2:$D$501,MATCH(C115,Outbound!$A$2:$A$501,0)),"Lead ID not found")))</f>
        <v/>
      </c>
      <c r="E115" s="44" t="str">
        <f aca="false">IF(C115="","",IFERROR(INDEX(Inbound!$F$2:$F$501,MATCH(C115,Inbound!$A$2:$A$501,0)),IFERROR(INDEX(Outbound!$E$2:$E$501,MATCH(C115,Outbound!$A$2:$A$501,0)),"Lead ID not found")))</f>
        <v/>
      </c>
      <c r="F115" s="17"/>
      <c r="G115" s="17"/>
      <c r="H115" s="17"/>
      <c r="I115" s="17"/>
      <c r="J115" s="17"/>
      <c r="K115" s="17"/>
      <c r="L115" s="17"/>
      <c r="M115" s="17"/>
      <c r="N115" s="44" t="str">
        <f aca="false">IF(C115="","",COUNTA(H115:M115))</f>
        <v/>
      </c>
      <c r="O115" s="44" t="str">
        <f aca="false">IF(OR(C115="",N(N115)=0),"",SUMIFS(Settings!$AA$2:$AA$21,Settings!$Y$2:$Y$21,"Budget AED 5k+/mo?",Settings!$Z$2:$Z$21,H115)+SUMIFS(Settings!$AA$2:$AA$21,Settings!$Y$2:$Y$21,"Decision-maker?",Settings!$Z$2:$Z$21,I115)+SUMIFS(Settings!$AA$2:$AA$21,Settings!$Y$2:$Y$21,"Someone on camera?",Settings!$Z$2:$Z$21,J115)+SUMIFS(Settings!$AA$2:$AA$21,Settings!$Y$2:$Y$21,"OK with 3-month term?",Settings!$Z$2:$Z$21,K115)+SUMIFS(Settings!$AA$2:$AA$21,Settings!$Y$2:$Y$21,"Start timeline",Settings!$Z$2:$Z$21,L115)+SUMIFS(Settings!$AA$2:$AA$21,Settings!$Y$2:$Y$21,"Social media gap",Settings!$Z$2:$Z$21,M115)+IF(OR(E115="",E115="Lead ID not found"),0,IF(COUNTIF(Settings!$AC$2:$AC$6,E115)&gt;0,Settings!$AA$20,Settings!$AA$21)))</f>
        <v/>
      </c>
      <c r="P115" s="44" t="str">
        <f aca="false">IF(C115="","",IF(N(N115)&lt;6,"Partly scored ("&amp;N115&amp;"/6)",IF(O115&gt;=Settings!$S$8,"Hot",IF(O115&gt;=Settings!$S$9,"Warm","Cold"))))</f>
        <v/>
      </c>
      <c r="Q115" s="44" t="str">
        <f aca="false">IF(C115="","",IF(AND(H115="No",J115="No"),"🚩 Budget  ·  🚩 No one on camera",IF(H115="No","🚩 Budget under AED 5k",IF(J115="No","🚩 No one on camera",""))))</f>
        <v/>
      </c>
      <c r="R115" s="44" t="str">
        <f aca="false">IF(C115="","",IF(N(N115)&lt;6,"Finish the scoresheet before closing",IF(P115="Hot","Close now – send the contract / proposal today",IF(P115="Warm","Send proposal + a relevant result; follow up in 3 days","Rep's call – nurture or close politely")))&amp;IF(Q115&lt;&gt;""," (handle the 🚩 first)",""))</f>
        <v/>
      </c>
      <c r="S115" s="17"/>
      <c r="T115" s="17"/>
      <c r="U115" s="44" t="str">
        <f aca="false">IF(C115="","",IF(COUNTIF(C116:C$501,C115)=0,1,0))</f>
        <v/>
      </c>
    </row>
    <row r="116" customFormat="false" ht="15" hidden="false" customHeight="false" outlineLevel="0" collapsed="false">
      <c r="A116" s="17"/>
      <c r="B116" s="40"/>
      <c r="C116" s="17"/>
      <c r="D116" s="44" t="str">
        <f aca="false">IF(C116="","",IFERROR(INDEX(Inbound!$E$2:$E$501,MATCH(C116,Inbound!$A$2:$A$501,0)),IFERROR(INDEX(Outbound!$D$2:$D$501,MATCH(C116,Outbound!$A$2:$A$501,0)),"Lead ID not found")))</f>
        <v/>
      </c>
      <c r="E116" s="44" t="str">
        <f aca="false">IF(C116="","",IFERROR(INDEX(Inbound!$F$2:$F$501,MATCH(C116,Inbound!$A$2:$A$501,0)),IFERROR(INDEX(Outbound!$E$2:$E$501,MATCH(C116,Outbound!$A$2:$A$501,0)),"Lead ID not found")))</f>
        <v/>
      </c>
      <c r="F116" s="17"/>
      <c r="G116" s="17"/>
      <c r="H116" s="17"/>
      <c r="I116" s="17"/>
      <c r="J116" s="17"/>
      <c r="K116" s="17"/>
      <c r="L116" s="17"/>
      <c r="M116" s="17"/>
      <c r="N116" s="44" t="str">
        <f aca="false">IF(C116="","",COUNTA(H116:M116))</f>
        <v/>
      </c>
      <c r="O116" s="44" t="str">
        <f aca="false">IF(OR(C116="",N(N116)=0),"",SUMIFS(Settings!$AA$2:$AA$21,Settings!$Y$2:$Y$21,"Budget AED 5k+/mo?",Settings!$Z$2:$Z$21,H116)+SUMIFS(Settings!$AA$2:$AA$21,Settings!$Y$2:$Y$21,"Decision-maker?",Settings!$Z$2:$Z$21,I116)+SUMIFS(Settings!$AA$2:$AA$21,Settings!$Y$2:$Y$21,"Someone on camera?",Settings!$Z$2:$Z$21,J116)+SUMIFS(Settings!$AA$2:$AA$21,Settings!$Y$2:$Y$21,"OK with 3-month term?",Settings!$Z$2:$Z$21,K116)+SUMIFS(Settings!$AA$2:$AA$21,Settings!$Y$2:$Y$21,"Start timeline",Settings!$Z$2:$Z$21,L116)+SUMIFS(Settings!$AA$2:$AA$21,Settings!$Y$2:$Y$21,"Social media gap",Settings!$Z$2:$Z$21,M116)+IF(OR(E116="",E116="Lead ID not found"),0,IF(COUNTIF(Settings!$AC$2:$AC$6,E116)&gt;0,Settings!$AA$20,Settings!$AA$21)))</f>
        <v/>
      </c>
      <c r="P116" s="44" t="str">
        <f aca="false">IF(C116="","",IF(N(N116)&lt;6,"Partly scored ("&amp;N116&amp;"/6)",IF(O116&gt;=Settings!$S$8,"Hot",IF(O116&gt;=Settings!$S$9,"Warm","Cold"))))</f>
        <v/>
      </c>
      <c r="Q116" s="44" t="str">
        <f aca="false">IF(C116="","",IF(AND(H116="No",J116="No"),"🚩 Budget  ·  🚩 No one on camera",IF(H116="No","🚩 Budget under AED 5k",IF(J116="No","🚩 No one on camera",""))))</f>
        <v/>
      </c>
      <c r="R116" s="44" t="str">
        <f aca="false">IF(C116="","",IF(N(N116)&lt;6,"Finish the scoresheet before closing",IF(P116="Hot","Close now – send the contract / proposal today",IF(P116="Warm","Send proposal + a relevant result; follow up in 3 days","Rep's call – nurture or close politely")))&amp;IF(Q116&lt;&gt;""," (handle the 🚩 first)",""))</f>
        <v/>
      </c>
      <c r="S116" s="17"/>
      <c r="T116" s="17"/>
      <c r="U116" s="44" t="str">
        <f aca="false">IF(C116="","",IF(COUNTIF(C117:C$501,C116)=0,1,0))</f>
        <v/>
      </c>
    </row>
    <row r="117" customFormat="false" ht="15" hidden="false" customHeight="false" outlineLevel="0" collapsed="false">
      <c r="A117" s="17"/>
      <c r="B117" s="40"/>
      <c r="C117" s="17"/>
      <c r="D117" s="44" t="str">
        <f aca="false">IF(C117="","",IFERROR(INDEX(Inbound!$E$2:$E$501,MATCH(C117,Inbound!$A$2:$A$501,0)),IFERROR(INDEX(Outbound!$D$2:$D$501,MATCH(C117,Outbound!$A$2:$A$501,0)),"Lead ID not found")))</f>
        <v/>
      </c>
      <c r="E117" s="44" t="str">
        <f aca="false">IF(C117="","",IFERROR(INDEX(Inbound!$F$2:$F$501,MATCH(C117,Inbound!$A$2:$A$501,0)),IFERROR(INDEX(Outbound!$E$2:$E$501,MATCH(C117,Outbound!$A$2:$A$501,0)),"Lead ID not found")))</f>
        <v/>
      </c>
      <c r="F117" s="17"/>
      <c r="G117" s="17"/>
      <c r="H117" s="17"/>
      <c r="I117" s="17"/>
      <c r="J117" s="17"/>
      <c r="K117" s="17"/>
      <c r="L117" s="17"/>
      <c r="M117" s="17"/>
      <c r="N117" s="44" t="str">
        <f aca="false">IF(C117="","",COUNTA(H117:M117))</f>
        <v/>
      </c>
      <c r="O117" s="44" t="str">
        <f aca="false">IF(OR(C117="",N(N117)=0),"",SUMIFS(Settings!$AA$2:$AA$21,Settings!$Y$2:$Y$21,"Budget AED 5k+/mo?",Settings!$Z$2:$Z$21,H117)+SUMIFS(Settings!$AA$2:$AA$21,Settings!$Y$2:$Y$21,"Decision-maker?",Settings!$Z$2:$Z$21,I117)+SUMIFS(Settings!$AA$2:$AA$21,Settings!$Y$2:$Y$21,"Someone on camera?",Settings!$Z$2:$Z$21,J117)+SUMIFS(Settings!$AA$2:$AA$21,Settings!$Y$2:$Y$21,"OK with 3-month term?",Settings!$Z$2:$Z$21,K117)+SUMIFS(Settings!$AA$2:$AA$21,Settings!$Y$2:$Y$21,"Start timeline",Settings!$Z$2:$Z$21,L117)+SUMIFS(Settings!$AA$2:$AA$21,Settings!$Y$2:$Y$21,"Social media gap",Settings!$Z$2:$Z$21,M117)+IF(OR(E117="",E117="Lead ID not found"),0,IF(COUNTIF(Settings!$AC$2:$AC$6,E117)&gt;0,Settings!$AA$20,Settings!$AA$21)))</f>
        <v/>
      </c>
      <c r="P117" s="44" t="str">
        <f aca="false">IF(C117="","",IF(N(N117)&lt;6,"Partly scored ("&amp;N117&amp;"/6)",IF(O117&gt;=Settings!$S$8,"Hot",IF(O117&gt;=Settings!$S$9,"Warm","Cold"))))</f>
        <v/>
      </c>
      <c r="Q117" s="44" t="str">
        <f aca="false">IF(C117="","",IF(AND(H117="No",J117="No"),"🚩 Budget  ·  🚩 No one on camera",IF(H117="No","🚩 Budget under AED 5k",IF(J117="No","🚩 No one on camera",""))))</f>
        <v/>
      </c>
      <c r="R117" s="44" t="str">
        <f aca="false">IF(C117="","",IF(N(N117)&lt;6,"Finish the scoresheet before closing",IF(P117="Hot","Close now – send the contract / proposal today",IF(P117="Warm","Send proposal + a relevant result; follow up in 3 days","Rep's call – nurture or close politely")))&amp;IF(Q117&lt;&gt;""," (handle the 🚩 first)",""))</f>
        <v/>
      </c>
      <c r="S117" s="17"/>
      <c r="T117" s="17"/>
      <c r="U117" s="44" t="str">
        <f aca="false">IF(C117="","",IF(COUNTIF(C118:C$501,C117)=0,1,0))</f>
        <v/>
      </c>
    </row>
    <row r="118" customFormat="false" ht="15" hidden="false" customHeight="false" outlineLevel="0" collapsed="false">
      <c r="A118" s="17"/>
      <c r="B118" s="40"/>
      <c r="C118" s="17"/>
      <c r="D118" s="44" t="str">
        <f aca="false">IF(C118="","",IFERROR(INDEX(Inbound!$E$2:$E$501,MATCH(C118,Inbound!$A$2:$A$501,0)),IFERROR(INDEX(Outbound!$D$2:$D$501,MATCH(C118,Outbound!$A$2:$A$501,0)),"Lead ID not found")))</f>
        <v/>
      </c>
      <c r="E118" s="44" t="str">
        <f aca="false">IF(C118="","",IFERROR(INDEX(Inbound!$F$2:$F$501,MATCH(C118,Inbound!$A$2:$A$501,0)),IFERROR(INDEX(Outbound!$E$2:$E$501,MATCH(C118,Outbound!$A$2:$A$501,0)),"Lead ID not found")))</f>
        <v/>
      </c>
      <c r="F118" s="17"/>
      <c r="G118" s="17"/>
      <c r="H118" s="17"/>
      <c r="I118" s="17"/>
      <c r="J118" s="17"/>
      <c r="K118" s="17"/>
      <c r="L118" s="17"/>
      <c r="M118" s="17"/>
      <c r="N118" s="44" t="str">
        <f aca="false">IF(C118="","",COUNTA(H118:M118))</f>
        <v/>
      </c>
      <c r="O118" s="44" t="str">
        <f aca="false">IF(OR(C118="",N(N118)=0),"",SUMIFS(Settings!$AA$2:$AA$21,Settings!$Y$2:$Y$21,"Budget AED 5k+/mo?",Settings!$Z$2:$Z$21,H118)+SUMIFS(Settings!$AA$2:$AA$21,Settings!$Y$2:$Y$21,"Decision-maker?",Settings!$Z$2:$Z$21,I118)+SUMIFS(Settings!$AA$2:$AA$21,Settings!$Y$2:$Y$21,"Someone on camera?",Settings!$Z$2:$Z$21,J118)+SUMIFS(Settings!$AA$2:$AA$21,Settings!$Y$2:$Y$21,"OK with 3-month term?",Settings!$Z$2:$Z$21,K118)+SUMIFS(Settings!$AA$2:$AA$21,Settings!$Y$2:$Y$21,"Start timeline",Settings!$Z$2:$Z$21,L118)+SUMIFS(Settings!$AA$2:$AA$21,Settings!$Y$2:$Y$21,"Social media gap",Settings!$Z$2:$Z$21,M118)+IF(OR(E118="",E118="Lead ID not found"),0,IF(COUNTIF(Settings!$AC$2:$AC$6,E118)&gt;0,Settings!$AA$20,Settings!$AA$21)))</f>
        <v/>
      </c>
      <c r="P118" s="44" t="str">
        <f aca="false">IF(C118="","",IF(N(N118)&lt;6,"Partly scored ("&amp;N118&amp;"/6)",IF(O118&gt;=Settings!$S$8,"Hot",IF(O118&gt;=Settings!$S$9,"Warm","Cold"))))</f>
        <v/>
      </c>
      <c r="Q118" s="44" t="str">
        <f aca="false">IF(C118="","",IF(AND(H118="No",J118="No"),"🚩 Budget  ·  🚩 No one on camera",IF(H118="No","🚩 Budget under AED 5k",IF(J118="No","🚩 No one on camera",""))))</f>
        <v/>
      </c>
      <c r="R118" s="44" t="str">
        <f aca="false">IF(C118="","",IF(N(N118)&lt;6,"Finish the scoresheet before closing",IF(P118="Hot","Close now – send the contract / proposal today",IF(P118="Warm","Send proposal + a relevant result; follow up in 3 days","Rep's call – nurture or close politely")))&amp;IF(Q118&lt;&gt;""," (handle the 🚩 first)",""))</f>
        <v/>
      </c>
      <c r="S118" s="17"/>
      <c r="T118" s="17"/>
      <c r="U118" s="44" t="str">
        <f aca="false">IF(C118="","",IF(COUNTIF(C119:C$501,C118)=0,1,0))</f>
        <v/>
      </c>
    </row>
    <row r="119" customFormat="false" ht="15" hidden="false" customHeight="false" outlineLevel="0" collapsed="false">
      <c r="A119" s="17"/>
      <c r="B119" s="40"/>
      <c r="C119" s="17"/>
      <c r="D119" s="44" t="str">
        <f aca="false">IF(C119="","",IFERROR(INDEX(Inbound!$E$2:$E$501,MATCH(C119,Inbound!$A$2:$A$501,0)),IFERROR(INDEX(Outbound!$D$2:$D$501,MATCH(C119,Outbound!$A$2:$A$501,0)),"Lead ID not found")))</f>
        <v/>
      </c>
      <c r="E119" s="44" t="str">
        <f aca="false">IF(C119="","",IFERROR(INDEX(Inbound!$F$2:$F$501,MATCH(C119,Inbound!$A$2:$A$501,0)),IFERROR(INDEX(Outbound!$E$2:$E$501,MATCH(C119,Outbound!$A$2:$A$501,0)),"Lead ID not found")))</f>
        <v/>
      </c>
      <c r="F119" s="17"/>
      <c r="G119" s="17"/>
      <c r="H119" s="17"/>
      <c r="I119" s="17"/>
      <c r="J119" s="17"/>
      <c r="K119" s="17"/>
      <c r="L119" s="17"/>
      <c r="M119" s="17"/>
      <c r="N119" s="44" t="str">
        <f aca="false">IF(C119="","",COUNTA(H119:M119))</f>
        <v/>
      </c>
      <c r="O119" s="44" t="str">
        <f aca="false">IF(OR(C119="",N(N119)=0),"",SUMIFS(Settings!$AA$2:$AA$21,Settings!$Y$2:$Y$21,"Budget AED 5k+/mo?",Settings!$Z$2:$Z$21,H119)+SUMIFS(Settings!$AA$2:$AA$21,Settings!$Y$2:$Y$21,"Decision-maker?",Settings!$Z$2:$Z$21,I119)+SUMIFS(Settings!$AA$2:$AA$21,Settings!$Y$2:$Y$21,"Someone on camera?",Settings!$Z$2:$Z$21,J119)+SUMIFS(Settings!$AA$2:$AA$21,Settings!$Y$2:$Y$21,"OK with 3-month term?",Settings!$Z$2:$Z$21,K119)+SUMIFS(Settings!$AA$2:$AA$21,Settings!$Y$2:$Y$21,"Start timeline",Settings!$Z$2:$Z$21,L119)+SUMIFS(Settings!$AA$2:$AA$21,Settings!$Y$2:$Y$21,"Social media gap",Settings!$Z$2:$Z$21,M119)+IF(OR(E119="",E119="Lead ID not found"),0,IF(COUNTIF(Settings!$AC$2:$AC$6,E119)&gt;0,Settings!$AA$20,Settings!$AA$21)))</f>
        <v/>
      </c>
      <c r="P119" s="44" t="str">
        <f aca="false">IF(C119="","",IF(N(N119)&lt;6,"Partly scored ("&amp;N119&amp;"/6)",IF(O119&gt;=Settings!$S$8,"Hot",IF(O119&gt;=Settings!$S$9,"Warm","Cold"))))</f>
        <v/>
      </c>
      <c r="Q119" s="44" t="str">
        <f aca="false">IF(C119="","",IF(AND(H119="No",J119="No"),"🚩 Budget  ·  🚩 No one on camera",IF(H119="No","🚩 Budget under AED 5k",IF(J119="No","🚩 No one on camera",""))))</f>
        <v/>
      </c>
      <c r="R119" s="44" t="str">
        <f aca="false">IF(C119="","",IF(N(N119)&lt;6,"Finish the scoresheet before closing",IF(P119="Hot","Close now – send the contract / proposal today",IF(P119="Warm","Send proposal + a relevant result; follow up in 3 days","Rep's call – nurture or close politely")))&amp;IF(Q119&lt;&gt;""," (handle the 🚩 first)",""))</f>
        <v/>
      </c>
      <c r="S119" s="17"/>
      <c r="T119" s="17"/>
      <c r="U119" s="44" t="str">
        <f aca="false">IF(C119="","",IF(COUNTIF(C120:C$501,C119)=0,1,0))</f>
        <v/>
      </c>
    </row>
    <row r="120" customFormat="false" ht="15" hidden="false" customHeight="false" outlineLevel="0" collapsed="false">
      <c r="A120" s="17"/>
      <c r="B120" s="40"/>
      <c r="C120" s="17"/>
      <c r="D120" s="44" t="str">
        <f aca="false">IF(C120="","",IFERROR(INDEX(Inbound!$E$2:$E$501,MATCH(C120,Inbound!$A$2:$A$501,0)),IFERROR(INDEX(Outbound!$D$2:$D$501,MATCH(C120,Outbound!$A$2:$A$501,0)),"Lead ID not found")))</f>
        <v/>
      </c>
      <c r="E120" s="44" t="str">
        <f aca="false">IF(C120="","",IFERROR(INDEX(Inbound!$F$2:$F$501,MATCH(C120,Inbound!$A$2:$A$501,0)),IFERROR(INDEX(Outbound!$E$2:$E$501,MATCH(C120,Outbound!$A$2:$A$501,0)),"Lead ID not found")))</f>
        <v/>
      </c>
      <c r="F120" s="17"/>
      <c r="G120" s="17"/>
      <c r="H120" s="17"/>
      <c r="I120" s="17"/>
      <c r="J120" s="17"/>
      <c r="K120" s="17"/>
      <c r="L120" s="17"/>
      <c r="M120" s="17"/>
      <c r="N120" s="44" t="str">
        <f aca="false">IF(C120="","",COUNTA(H120:M120))</f>
        <v/>
      </c>
      <c r="O120" s="44" t="str">
        <f aca="false">IF(OR(C120="",N(N120)=0),"",SUMIFS(Settings!$AA$2:$AA$21,Settings!$Y$2:$Y$21,"Budget AED 5k+/mo?",Settings!$Z$2:$Z$21,H120)+SUMIFS(Settings!$AA$2:$AA$21,Settings!$Y$2:$Y$21,"Decision-maker?",Settings!$Z$2:$Z$21,I120)+SUMIFS(Settings!$AA$2:$AA$21,Settings!$Y$2:$Y$21,"Someone on camera?",Settings!$Z$2:$Z$21,J120)+SUMIFS(Settings!$AA$2:$AA$21,Settings!$Y$2:$Y$21,"OK with 3-month term?",Settings!$Z$2:$Z$21,K120)+SUMIFS(Settings!$AA$2:$AA$21,Settings!$Y$2:$Y$21,"Start timeline",Settings!$Z$2:$Z$21,L120)+SUMIFS(Settings!$AA$2:$AA$21,Settings!$Y$2:$Y$21,"Social media gap",Settings!$Z$2:$Z$21,M120)+IF(OR(E120="",E120="Lead ID not found"),0,IF(COUNTIF(Settings!$AC$2:$AC$6,E120)&gt;0,Settings!$AA$20,Settings!$AA$21)))</f>
        <v/>
      </c>
      <c r="P120" s="44" t="str">
        <f aca="false">IF(C120="","",IF(N(N120)&lt;6,"Partly scored ("&amp;N120&amp;"/6)",IF(O120&gt;=Settings!$S$8,"Hot",IF(O120&gt;=Settings!$S$9,"Warm","Cold"))))</f>
        <v/>
      </c>
      <c r="Q120" s="44" t="str">
        <f aca="false">IF(C120="","",IF(AND(H120="No",J120="No"),"🚩 Budget  ·  🚩 No one on camera",IF(H120="No","🚩 Budget under AED 5k",IF(J120="No","🚩 No one on camera",""))))</f>
        <v/>
      </c>
      <c r="R120" s="44" t="str">
        <f aca="false">IF(C120="","",IF(N(N120)&lt;6,"Finish the scoresheet before closing",IF(P120="Hot","Close now – send the contract / proposal today",IF(P120="Warm","Send proposal + a relevant result; follow up in 3 days","Rep's call – nurture or close politely")))&amp;IF(Q120&lt;&gt;""," (handle the 🚩 first)",""))</f>
        <v/>
      </c>
      <c r="S120" s="17"/>
      <c r="T120" s="17"/>
      <c r="U120" s="44" t="str">
        <f aca="false">IF(C120="","",IF(COUNTIF(C121:C$501,C120)=0,1,0))</f>
        <v/>
      </c>
    </row>
    <row r="121" customFormat="false" ht="15" hidden="false" customHeight="false" outlineLevel="0" collapsed="false">
      <c r="A121" s="17"/>
      <c r="B121" s="40"/>
      <c r="C121" s="17"/>
      <c r="D121" s="44" t="str">
        <f aca="false">IF(C121="","",IFERROR(INDEX(Inbound!$E$2:$E$501,MATCH(C121,Inbound!$A$2:$A$501,0)),IFERROR(INDEX(Outbound!$D$2:$D$501,MATCH(C121,Outbound!$A$2:$A$501,0)),"Lead ID not found")))</f>
        <v/>
      </c>
      <c r="E121" s="44" t="str">
        <f aca="false">IF(C121="","",IFERROR(INDEX(Inbound!$F$2:$F$501,MATCH(C121,Inbound!$A$2:$A$501,0)),IFERROR(INDEX(Outbound!$E$2:$E$501,MATCH(C121,Outbound!$A$2:$A$501,0)),"Lead ID not found")))</f>
        <v/>
      </c>
      <c r="F121" s="17"/>
      <c r="G121" s="17"/>
      <c r="H121" s="17"/>
      <c r="I121" s="17"/>
      <c r="J121" s="17"/>
      <c r="K121" s="17"/>
      <c r="L121" s="17"/>
      <c r="M121" s="17"/>
      <c r="N121" s="44" t="str">
        <f aca="false">IF(C121="","",COUNTA(H121:M121))</f>
        <v/>
      </c>
      <c r="O121" s="44" t="str">
        <f aca="false">IF(OR(C121="",N(N121)=0),"",SUMIFS(Settings!$AA$2:$AA$21,Settings!$Y$2:$Y$21,"Budget AED 5k+/mo?",Settings!$Z$2:$Z$21,H121)+SUMIFS(Settings!$AA$2:$AA$21,Settings!$Y$2:$Y$21,"Decision-maker?",Settings!$Z$2:$Z$21,I121)+SUMIFS(Settings!$AA$2:$AA$21,Settings!$Y$2:$Y$21,"Someone on camera?",Settings!$Z$2:$Z$21,J121)+SUMIFS(Settings!$AA$2:$AA$21,Settings!$Y$2:$Y$21,"OK with 3-month term?",Settings!$Z$2:$Z$21,K121)+SUMIFS(Settings!$AA$2:$AA$21,Settings!$Y$2:$Y$21,"Start timeline",Settings!$Z$2:$Z$21,L121)+SUMIFS(Settings!$AA$2:$AA$21,Settings!$Y$2:$Y$21,"Social media gap",Settings!$Z$2:$Z$21,M121)+IF(OR(E121="",E121="Lead ID not found"),0,IF(COUNTIF(Settings!$AC$2:$AC$6,E121)&gt;0,Settings!$AA$20,Settings!$AA$21)))</f>
        <v/>
      </c>
      <c r="P121" s="44" t="str">
        <f aca="false">IF(C121="","",IF(N(N121)&lt;6,"Partly scored ("&amp;N121&amp;"/6)",IF(O121&gt;=Settings!$S$8,"Hot",IF(O121&gt;=Settings!$S$9,"Warm","Cold"))))</f>
        <v/>
      </c>
      <c r="Q121" s="44" t="str">
        <f aca="false">IF(C121="","",IF(AND(H121="No",J121="No"),"🚩 Budget  ·  🚩 No one on camera",IF(H121="No","🚩 Budget under AED 5k",IF(J121="No","🚩 No one on camera",""))))</f>
        <v/>
      </c>
      <c r="R121" s="44" t="str">
        <f aca="false">IF(C121="","",IF(N(N121)&lt;6,"Finish the scoresheet before closing",IF(P121="Hot","Close now – send the contract / proposal today",IF(P121="Warm","Send proposal + a relevant result; follow up in 3 days","Rep's call – nurture or close politely")))&amp;IF(Q121&lt;&gt;""," (handle the 🚩 first)",""))</f>
        <v/>
      </c>
      <c r="S121" s="17"/>
      <c r="T121" s="17"/>
      <c r="U121" s="44" t="str">
        <f aca="false">IF(C121="","",IF(COUNTIF(C122:C$501,C121)=0,1,0))</f>
        <v/>
      </c>
    </row>
    <row r="122" customFormat="false" ht="15" hidden="false" customHeight="false" outlineLevel="0" collapsed="false">
      <c r="A122" s="17"/>
      <c r="B122" s="40"/>
      <c r="C122" s="17"/>
      <c r="D122" s="44" t="str">
        <f aca="false">IF(C122="","",IFERROR(INDEX(Inbound!$E$2:$E$501,MATCH(C122,Inbound!$A$2:$A$501,0)),IFERROR(INDEX(Outbound!$D$2:$D$501,MATCH(C122,Outbound!$A$2:$A$501,0)),"Lead ID not found")))</f>
        <v/>
      </c>
      <c r="E122" s="44" t="str">
        <f aca="false">IF(C122="","",IFERROR(INDEX(Inbound!$F$2:$F$501,MATCH(C122,Inbound!$A$2:$A$501,0)),IFERROR(INDEX(Outbound!$E$2:$E$501,MATCH(C122,Outbound!$A$2:$A$501,0)),"Lead ID not found")))</f>
        <v/>
      </c>
      <c r="F122" s="17"/>
      <c r="G122" s="17"/>
      <c r="H122" s="17"/>
      <c r="I122" s="17"/>
      <c r="J122" s="17"/>
      <c r="K122" s="17"/>
      <c r="L122" s="17"/>
      <c r="M122" s="17"/>
      <c r="N122" s="44" t="str">
        <f aca="false">IF(C122="","",COUNTA(H122:M122))</f>
        <v/>
      </c>
      <c r="O122" s="44" t="str">
        <f aca="false">IF(OR(C122="",N(N122)=0),"",SUMIFS(Settings!$AA$2:$AA$21,Settings!$Y$2:$Y$21,"Budget AED 5k+/mo?",Settings!$Z$2:$Z$21,H122)+SUMIFS(Settings!$AA$2:$AA$21,Settings!$Y$2:$Y$21,"Decision-maker?",Settings!$Z$2:$Z$21,I122)+SUMIFS(Settings!$AA$2:$AA$21,Settings!$Y$2:$Y$21,"Someone on camera?",Settings!$Z$2:$Z$21,J122)+SUMIFS(Settings!$AA$2:$AA$21,Settings!$Y$2:$Y$21,"OK with 3-month term?",Settings!$Z$2:$Z$21,K122)+SUMIFS(Settings!$AA$2:$AA$21,Settings!$Y$2:$Y$21,"Start timeline",Settings!$Z$2:$Z$21,L122)+SUMIFS(Settings!$AA$2:$AA$21,Settings!$Y$2:$Y$21,"Social media gap",Settings!$Z$2:$Z$21,M122)+IF(OR(E122="",E122="Lead ID not found"),0,IF(COUNTIF(Settings!$AC$2:$AC$6,E122)&gt;0,Settings!$AA$20,Settings!$AA$21)))</f>
        <v/>
      </c>
      <c r="P122" s="44" t="str">
        <f aca="false">IF(C122="","",IF(N(N122)&lt;6,"Partly scored ("&amp;N122&amp;"/6)",IF(O122&gt;=Settings!$S$8,"Hot",IF(O122&gt;=Settings!$S$9,"Warm","Cold"))))</f>
        <v/>
      </c>
      <c r="Q122" s="44" t="str">
        <f aca="false">IF(C122="","",IF(AND(H122="No",J122="No"),"🚩 Budget  ·  🚩 No one on camera",IF(H122="No","🚩 Budget under AED 5k",IF(J122="No","🚩 No one on camera",""))))</f>
        <v/>
      </c>
      <c r="R122" s="44" t="str">
        <f aca="false">IF(C122="","",IF(N(N122)&lt;6,"Finish the scoresheet before closing",IF(P122="Hot","Close now – send the contract / proposal today",IF(P122="Warm","Send proposal + a relevant result; follow up in 3 days","Rep's call – nurture or close politely")))&amp;IF(Q122&lt;&gt;""," (handle the 🚩 first)",""))</f>
        <v/>
      </c>
      <c r="S122" s="17"/>
      <c r="T122" s="17"/>
      <c r="U122" s="44" t="str">
        <f aca="false">IF(C122="","",IF(COUNTIF(C123:C$501,C122)=0,1,0))</f>
        <v/>
      </c>
    </row>
    <row r="123" customFormat="false" ht="15" hidden="false" customHeight="false" outlineLevel="0" collapsed="false">
      <c r="A123" s="17"/>
      <c r="B123" s="40"/>
      <c r="C123" s="17"/>
      <c r="D123" s="44" t="str">
        <f aca="false">IF(C123="","",IFERROR(INDEX(Inbound!$E$2:$E$501,MATCH(C123,Inbound!$A$2:$A$501,0)),IFERROR(INDEX(Outbound!$D$2:$D$501,MATCH(C123,Outbound!$A$2:$A$501,0)),"Lead ID not found")))</f>
        <v/>
      </c>
      <c r="E123" s="44" t="str">
        <f aca="false">IF(C123="","",IFERROR(INDEX(Inbound!$F$2:$F$501,MATCH(C123,Inbound!$A$2:$A$501,0)),IFERROR(INDEX(Outbound!$E$2:$E$501,MATCH(C123,Outbound!$A$2:$A$501,0)),"Lead ID not found")))</f>
        <v/>
      </c>
      <c r="F123" s="17"/>
      <c r="G123" s="17"/>
      <c r="H123" s="17"/>
      <c r="I123" s="17"/>
      <c r="J123" s="17"/>
      <c r="K123" s="17"/>
      <c r="L123" s="17"/>
      <c r="M123" s="17"/>
      <c r="N123" s="44" t="str">
        <f aca="false">IF(C123="","",COUNTA(H123:M123))</f>
        <v/>
      </c>
      <c r="O123" s="44" t="str">
        <f aca="false">IF(OR(C123="",N(N123)=0),"",SUMIFS(Settings!$AA$2:$AA$21,Settings!$Y$2:$Y$21,"Budget AED 5k+/mo?",Settings!$Z$2:$Z$21,H123)+SUMIFS(Settings!$AA$2:$AA$21,Settings!$Y$2:$Y$21,"Decision-maker?",Settings!$Z$2:$Z$21,I123)+SUMIFS(Settings!$AA$2:$AA$21,Settings!$Y$2:$Y$21,"Someone on camera?",Settings!$Z$2:$Z$21,J123)+SUMIFS(Settings!$AA$2:$AA$21,Settings!$Y$2:$Y$21,"OK with 3-month term?",Settings!$Z$2:$Z$21,K123)+SUMIFS(Settings!$AA$2:$AA$21,Settings!$Y$2:$Y$21,"Start timeline",Settings!$Z$2:$Z$21,L123)+SUMIFS(Settings!$AA$2:$AA$21,Settings!$Y$2:$Y$21,"Social media gap",Settings!$Z$2:$Z$21,M123)+IF(OR(E123="",E123="Lead ID not found"),0,IF(COUNTIF(Settings!$AC$2:$AC$6,E123)&gt;0,Settings!$AA$20,Settings!$AA$21)))</f>
        <v/>
      </c>
      <c r="P123" s="44" t="str">
        <f aca="false">IF(C123="","",IF(N(N123)&lt;6,"Partly scored ("&amp;N123&amp;"/6)",IF(O123&gt;=Settings!$S$8,"Hot",IF(O123&gt;=Settings!$S$9,"Warm","Cold"))))</f>
        <v/>
      </c>
      <c r="Q123" s="44" t="str">
        <f aca="false">IF(C123="","",IF(AND(H123="No",J123="No"),"🚩 Budget  ·  🚩 No one on camera",IF(H123="No","🚩 Budget under AED 5k",IF(J123="No","🚩 No one on camera",""))))</f>
        <v/>
      </c>
      <c r="R123" s="44" t="str">
        <f aca="false">IF(C123="","",IF(N(N123)&lt;6,"Finish the scoresheet before closing",IF(P123="Hot","Close now – send the contract / proposal today",IF(P123="Warm","Send proposal + a relevant result; follow up in 3 days","Rep's call – nurture or close politely")))&amp;IF(Q123&lt;&gt;""," (handle the 🚩 first)",""))</f>
        <v/>
      </c>
      <c r="S123" s="17"/>
      <c r="T123" s="17"/>
      <c r="U123" s="44" t="str">
        <f aca="false">IF(C123="","",IF(COUNTIF(C124:C$501,C123)=0,1,0))</f>
        <v/>
      </c>
    </row>
    <row r="124" customFormat="false" ht="15" hidden="false" customHeight="false" outlineLevel="0" collapsed="false">
      <c r="A124" s="17"/>
      <c r="B124" s="40"/>
      <c r="C124" s="17"/>
      <c r="D124" s="44" t="str">
        <f aca="false">IF(C124="","",IFERROR(INDEX(Inbound!$E$2:$E$501,MATCH(C124,Inbound!$A$2:$A$501,0)),IFERROR(INDEX(Outbound!$D$2:$D$501,MATCH(C124,Outbound!$A$2:$A$501,0)),"Lead ID not found")))</f>
        <v/>
      </c>
      <c r="E124" s="44" t="str">
        <f aca="false">IF(C124="","",IFERROR(INDEX(Inbound!$F$2:$F$501,MATCH(C124,Inbound!$A$2:$A$501,0)),IFERROR(INDEX(Outbound!$E$2:$E$501,MATCH(C124,Outbound!$A$2:$A$501,0)),"Lead ID not found")))</f>
        <v/>
      </c>
      <c r="F124" s="17"/>
      <c r="G124" s="17"/>
      <c r="H124" s="17"/>
      <c r="I124" s="17"/>
      <c r="J124" s="17"/>
      <c r="K124" s="17"/>
      <c r="L124" s="17"/>
      <c r="M124" s="17"/>
      <c r="N124" s="44" t="str">
        <f aca="false">IF(C124="","",COUNTA(H124:M124))</f>
        <v/>
      </c>
      <c r="O124" s="44" t="str">
        <f aca="false">IF(OR(C124="",N(N124)=0),"",SUMIFS(Settings!$AA$2:$AA$21,Settings!$Y$2:$Y$21,"Budget AED 5k+/mo?",Settings!$Z$2:$Z$21,H124)+SUMIFS(Settings!$AA$2:$AA$21,Settings!$Y$2:$Y$21,"Decision-maker?",Settings!$Z$2:$Z$21,I124)+SUMIFS(Settings!$AA$2:$AA$21,Settings!$Y$2:$Y$21,"Someone on camera?",Settings!$Z$2:$Z$21,J124)+SUMIFS(Settings!$AA$2:$AA$21,Settings!$Y$2:$Y$21,"OK with 3-month term?",Settings!$Z$2:$Z$21,K124)+SUMIFS(Settings!$AA$2:$AA$21,Settings!$Y$2:$Y$21,"Start timeline",Settings!$Z$2:$Z$21,L124)+SUMIFS(Settings!$AA$2:$AA$21,Settings!$Y$2:$Y$21,"Social media gap",Settings!$Z$2:$Z$21,M124)+IF(OR(E124="",E124="Lead ID not found"),0,IF(COUNTIF(Settings!$AC$2:$AC$6,E124)&gt;0,Settings!$AA$20,Settings!$AA$21)))</f>
        <v/>
      </c>
      <c r="P124" s="44" t="str">
        <f aca="false">IF(C124="","",IF(N(N124)&lt;6,"Partly scored ("&amp;N124&amp;"/6)",IF(O124&gt;=Settings!$S$8,"Hot",IF(O124&gt;=Settings!$S$9,"Warm","Cold"))))</f>
        <v/>
      </c>
      <c r="Q124" s="44" t="str">
        <f aca="false">IF(C124="","",IF(AND(H124="No",J124="No"),"🚩 Budget  ·  🚩 No one on camera",IF(H124="No","🚩 Budget under AED 5k",IF(J124="No","🚩 No one on camera",""))))</f>
        <v/>
      </c>
      <c r="R124" s="44" t="str">
        <f aca="false">IF(C124="","",IF(N(N124)&lt;6,"Finish the scoresheet before closing",IF(P124="Hot","Close now – send the contract / proposal today",IF(P124="Warm","Send proposal + a relevant result; follow up in 3 days","Rep's call – nurture or close politely")))&amp;IF(Q124&lt;&gt;""," (handle the 🚩 first)",""))</f>
        <v/>
      </c>
      <c r="S124" s="17"/>
      <c r="T124" s="17"/>
      <c r="U124" s="44" t="str">
        <f aca="false">IF(C124="","",IF(COUNTIF(C125:C$501,C124)=0,1,0))</f>
        <v/>
      </c>
    </row>
    <row r="125" customFormat="false" ht="15" hidden="false" customHeight="false" outlineLevel="0" collapsed="false">
      <c r="A125" s="17"/>
      <c r="B125" s="40"/>
      <c r="C125" s="17"/>
      <c r="D125" s="44" t="str">
        <f aca="false">IF(C125="","",IFERROR(INDEX(Inbound!$E$2:$E$501,MATCH(C125,Inbound!$A$2:$A$501,0)),IFERROR(INDEX(Outbound!$D$2:$D$501,MATCH(C125,Outbound!$A$2:$A$501,0)),"Lead ID not found")))</f>
        <v/>
      </c>
      <c r="E125" s="44" t="str">
        <f aca="false">IF(C125="","",IFERROR(INDEX(Inbound!$F$2:$F$501,MATCH(C125,Inbound!$A$2:$A$501,0)),IFERROR(INDEX(Outbound!$E$2:$E$501,MATCH(C125,Outbound!$A$2:$A$501,0)),"Lead ID not found")))</f>
        <v/>
      </c>
      <c r="F125" s="17"/>
      <c r="G125" s="17"/>
      <c r="H125" s="17"/>
      <c r="I125" s="17"/>
      <c r="J125" s="17"/>
      <c r="K125" s="17"/>
      <c r="L125" s="17"/>
      <c r="M125" s="17"/>
      <c r="N125" s="44" t="str">
        <f aca="false">IF(C125="","",COUNTA(H125:M125))</f>
        <v/>
      </c>
      <c r="O125" s="44" t="str">
        <f aca="false">IF(OR(C125="",N(N125)=0),"",SUMIFS(Settings!$AA$2:$AA$21,Settings!$Y$2:$Y$21,"Budget AED 5k+/mo?",Settings!$Z$2:$Z$21,H125)+SUMIFS(Settings!$AA$2:$AA$21,Settings!$Y$2:$Y$21,"Decision-maker?",Settings!$Z$2:$Z$21,I125)+SUMIFS(Settings!$AA$2:$AA$21,Settings!$Y$2:$Y$21,"Someone on camera?",Settings!$Z$2:$Z$21,J125)+SUMIFS(Settings!$AA$2:$AA$21,Settings!$Y$2:$Y$21,"OK with 3-month term?",Settings!$Z$2:$Z$21,K125)+SUMIFS(Settings!$AA$2:$AA$21,Settings!$Y$2:$Y$21,"Start timeline",Settings!$Z$2:$Z$21,L125)+SUMIFS(Settings!$AA$2:$AA$21,Settings!$Y$2:$Y$21,"Social media gap",Settings!$Z$2:$Z$21,M125)+IF(OR(E125="",E125="Lead ID not found"),0,IF(COUNTIF(Settings!$AC$2:$AC$6,E125)&gt;0,Settings!$AA$20,Settings!$AA$21)))</f>
        <v/>
      </c>
      <c r="P125" s="44" t="str">
        <f aca="false">IF(C125="","",IF(N(N125)&lt;6,"Partly scored ("&amp;N125&amp;"/6)",IF(O125&gt;=Settings!$S$8,"Hot",IF(O125&gt;=Settings!$S$9,"Warm","Cold"))))</f>
        <v/>
      </c>
      <c r="Q125" s="44" t="str">
        <f aca="false">IF(C125="","",IF(AND(H125="No",J125="No"),"🚩 Budget  ·  🚩 No one on camera",IF(H125="No","🚩 Budget under AED 5k",IF(J125="No","🚩 No one on camera",""))))</f>
        <v/>
      </c>
      <c r="R125" s="44" t="str">
        <f aca="false">IF(C125="","",IF(N(N125)&lt;6,"Finish the scoresheet before closing",IF(P125="Hot","Close now – send the contract / proposal today",IF(P125="Warm","Send proposal + a relevant result; follow up in 3 days","Rep's call – nurture or close politely")))&amp;IF(Q125&lt;&gt;""," (handle the 🚩 first)",""))</f>
        <v/>
      </c>
      <c r="S125" s="17"/>
      <c r="T125" s="17"/>
      <c r="U125" s="44" t="str">
        <f aca="false">IF(C125="","",IF(COUNTIF(C126:C$501,C125)=0,1,0))</f>
        <v/>
      </c>
    </row>
    <row r="126" customFormat="false" ht="15" hidden="false" customHeight="false" outlineLevel="0" collapsed="false">
      <c r="A126" s="17"/>
      <c r="B126" s="40"/>
      <c r="C126" s="17"/>
      <c r="D126" s="44" t="str">
        <f aca="false">IF(C126="","",IFERROR(INDEX(Inbound!$E$2:$E$501,MATCH(C126,Inbound!$A$2:$A$501,0)),IFERROR(INDEX(Outbound!$D$2:$D$501,MATCH(C126,Outbound!$A$2:$A$501,0)),"Lead ID not found")))</f>
        <v/>
      </c>
      <c r="E126" s="44" t="str">
        <f aca="false">IF(C126="","",IFERROR(INDEX(Inbound!$F$2:$F$501,MATCH(C126,Inbound!$A$2:$A$501,0)),IFERROR(INDEX(Outbound!$E$2:$E$501,MATCH(C126,Outbound!$A$2:$A$501,0)),"Lead ID not found")))</f>
        <v/>
      </c>
      <c r="F126" s="17"/>
      <c r="G126" s="17"/>
      <c r="H126" s="17"/>
      <c r="I126" s="17"/>
      <c r="J126" s="17"/>
      <c r="K126" s="17"/>
      <c r="L126" s="17"/>
      <c r="M126" s="17"/>
      <c r="N126" s="44" t="str">
        <f aca="false">IF(C126="","",COUNTA(H126:M126))</f>
        <v/>
      </c>
      <c r="O126" s="44" t="str">
        <f aca="false">IF(OR(C126="",N(N126)=0),"",SUMIFS(Settings!$AA$2:$AA$21,Settings!$Y$2:$Y$21,"Budget AED 5k+/mo?",Settings!$Z$2:$Z$21,H126)+SUMIFS(Settings!$AA$2:$AA$21,Settings!$Y$2:$Y$21,"Decision-maker?",Settings!$Z$2:$Z$21,I126)+SUMIFS(Settings!$AA$2:$AA$21,Settings!$Y$2:$Y$21,"Someone on camera?",Settings!$Z$2:$Z$21,J126)+SUMIFS(Settings!$AA$2:$AA$21,Settings!$Y$2:$Y$21,"OK with 3-month term?",Settings!$Z$2:$Z$21,K126)+SUMIFS(Settings!$AA$2:$AA$21,Settings!$Y$2:$Y$21,"Start timeline",Settings!$Z$2:$Z$21,L126)+SUMIFS(Settings!$AA$2:$AA$21,Settings!$Y$2:$Y$21,"Social media gap",Settings!$Z$2:$Z$21,M126)+IF(OR(E126="",E126="Lead ID not found"),0,IF(COUNTIF(Settings!$AC$2:$AC$6,E126)&gt;0,Settings!$AA$20,Settings!$AA$21)))</f>
        <v/>
      </c>
      <c r="P126" s="44" t="str">
        <f aca="false">IF(C126="","",IF(N(N126)&lt;6,"Partly scored ("&amp;N126&amp;"/6)",IF(O126&gt;=Settings!$S$8,"Hot",IF(O126&gt;=Settings!$S$9,"Warm","Cold"))))</f>
        <v/>
      </c>
      <c r="Q126" s="44" t="str">
        <f aca="false">IF(C126="","",IF(AND(H126="No",J126="No"),"🚩 Budget  ·  🚩 No one on camera",IF(H126="No","🚩 Budget under AED 5k",IF(J126="No","🚩 No one on camera",""))))</f>
        <v/>
      </c>
      <c r="R126" s="44" t="str">
        <f aca="false">IF(C126="","",IF(N(N126)&lt;6,"Finish the scoresheet before closing",IF(P126="Hot","Close now – send the contract / proposal today",IF(P126="Warm","Send proposal + a relevant result; follow up in 3 days","Rep's call – nurture or close politely")))&amp;IF(Q126&lt;&gt;""," (handle the 🚩 first)",""))</f>
        <v/>
      </c>
      <c r="S126" s="17"/>
      <c r="T126" s="17"/>
      <c r="U126" s="44" t="str">
        <f aca="false">IF(C126="","",IF(COUNTIF(C127:C$501,C126)=0,1,0))</f>
        <v/>
      </c>
    </row>
    <row r="127" customFormat="false" ht="15" hidden="false" customHeight="false" outlineLevel="0" collapsed="false">
      <c r="A127" s="17"/>
      <c r="B127" s="40"/>
      <c r="C127" s="17"/>
      <c r="D127" s="44" t="str">
        <f aca="false">IF(C127="","",IFERROR(INDEX(Inbound!$E$2:$E$501,MATCH(C127,Inbound!$A$2:$A$501,0)),IFERROR(INDEX(Outbound!$D$2:$D$501,MATCH(C127,Outbound!$A$2:$A$501,0)),"Lead ID not found")))</f>
        <v/>
      </c>
      <c r="E127" s="44" t="str">
        <f aca="false">IF(C127="","",IFERROR(INDEX(Inbound!$F$2:$F$501,MATCH(C127,Inbound!$A$2:$A$501,0)),IFERROR(INDEX(Outbound!$E$2:$E$501,MATCH(C127,Outbound!$A$2:$A$501,0)),"Lead ID not found")))</f>
        <v/>
      </c>
      <c r="F127" s="17"/>
      <c r="G127" s="17"/>
      <c r="H127" s="17"/>
      <c r="I127" s="17"/>
      <c r="J127" s="17"/>
      <c r="K127" s="17"/>
      <c r="L127" s="17"/>
      <c r="M127" s="17"/>
      <c r="N127" s="44" t="str">
        <f aca="false">IF(C127="","",COUNTA(H127:M127))</f>
        <v/>
      </c>
      <c r="O127" s="44" t="str">
        <f aca="false">IF(OR(C127="",N(N127)=0),"",SUMIFS(Settings!$AA$2:$AA$21,Settings!$Y$2:$Y$21,"Budget AED 5k+/mo?",Settings!$Z$2:$Z$21,H127)+SUMIFS(Settings!$AA$2:$AA$21,Settings!$Y$2:$Y$21,"Decision-maker?",Settings!$Z$2:$Z$21,I127)+SUMIFS(Settings!$AA$2:$AA$21,Settings!$Y$2:$Y$21,"Someone on camera?",Settings!$Z$2:$Z$21,J127)+SUMIFS(Settings!$AA$2:$AA$21,Settings!$Y$2:$Y$21,"OK with 3-month term?",Settings!$Z$2:$Z$21,K127)+SUMIFS(Settings!$AA$2:$AA$21,Settings!$Y$2:$Y$21,"Start timeline",Settings!$Z$2:$Z$21,L127)+SUMIFS(Settings!$AA$2:$AA$21,Settings!$Y$2:$Y$21,"Social media gap",Settings!$Z$2:$Z$21,M127)+IF(OR(E127="",E127="Lead ID not found"),0,IF(COUNTIF(Settings!$AC$2:$AC$6,E127)&gt;0,Settings!$AA$20,Settings!$AA$21)))</f>
        <v/>
      </c>
      <c r="P127" s="44" t="str">
        <f aca="false">IF(C127="","",IF(N(N127)&lt;6,"Partly scored ("&amp;N127&amp;"/6)",IF(O127&gt;=Settings!$S$8,"Hot",IF(O127&gt;=Settings!$S$9,"Warm","Cold"))))</f>
        <v/>
      </c>
      <c r="Q127" s="44" t="str">
        <f aca="false">IF(C127="","",IF(AND(H127="No",J127="No"),"🚩 Budget  ·  🚩 No one on camera",IF(H127="No","🚩 Budget under AED 5k",IF(J127="No","🚩 No one on camera",""))))</f>
        <v/>
      </c>
      <c r="R127" s="44" t="str">
        <f aca="false">IF(C127="","",IF(N(N127)&lt;6,"Finish the scoresheet before closing",IF(P127="Hot","Close now – send the contract / proposal today",IF(P127="Warm","Send proposal + a relevant result; follow up in 3 days","Rep's call – nurture or close politely")))&amp;IF(Q127&lt;&gt;""," (handle the 🚩 first)",""))</f>
        <v/>
      </c>
      <c r="S127" s="17"/>
      <c r="T127" s="17"/>
      <c r="U127" s="44" t="str">
        <f aca="false">IF(C127="","",IF(COUNTIF(C128:C$501,C127)=0,1,0))</f>
        <v/>
      </c>
    </row>
    <row r="128" customFormat="false" ht="15" hidden="false" customHeight="false" outlineLevel="0" collapsed="false">
      <c r="A128" s="17"/>
      <c r="B128" s="40"/>
      <c r="C128" s="17"/>
      <c r="D128" s="44" t="str">
        <f aca="false">IF(C128="","",IFERROR(INDEX(Inbound!$E$2:$E$501,MATCH(C128,Inbound!$A$2:$A$501,0)),IFERROR(INDEX(Outbound!$D$2:$D$501,MATCH(C128,Outbound!$A$2:$A$501,0)),"Lead ID not found")))</f>
        <v/>
      </c>
      <c r="E128" s="44" t="str">
        <f aca="false">IF(C128="","",IFERROR(INDEX(Inbound!$F$2:$F$501,MATCH(C128,Inbound!$A$2:$A$501,0)),IFERROR(INDEX(Outbound!$E$2:$E$501,MATCH(C128,Outbound!$A$2:$A$501,0)),"Lead ID not found")))</f>
        <v/>
      </c>
      <c r="F128" s="17"/>
      <c r="G128" s="17"/>
      <c r="H128" s="17"/>
      <c r="I128" s="17"/>
      <c r="J128" s="17"/>
      <c r="K128" s="17"/>
      <c r="L128" s="17"/>
      <c r="M128" s="17"/>
      <c r="N128" s="44" t="str">
        <f aca="false">IF(C128="","",COUNTA(H128:M128))</f>
        <v/>
      </c>
      <c r="O128" s="44" t="str">
        <f aca="false">IF(OR(C128="",N(N128)=0),"",SUMIFS(Settings!$AA$2:$AA$21,Settings!$Y$2:$Y$21,"Budget AED 5k+/mo?",Settings!$Z$2:$Z$21,H128)+SUMIFS(Settings!$AA$2:$AA$21,Settings!$Y$2:$Y$21,"Decision-maker?",Settings!$Z$2:$Z$21,I128)+SUMIFS(Settings!$AA$2:$AA$21,Settings!$Y$2:$Y$21,"Someone on camera?",Settings!$Z$2:$Z$21,J128)+SUMIFS(Settings!$AA$2:$AA$21,Settings!$Y$2:$Y$21,"OK with 3-month term?",Settings!$Z$2:$Z$21,K128)+SUMIFS(Settings!$AA$2:$AA$21,Settings!$Y$2:$Y$21,"Start timeline",Settings!$Z$2:$Z$21,L128)+SUMIFS(Settings!$AA$2:$AA$21,Settings!$Y$2:$Y$21,"Social media gap",Settings!$Z$2:$Z$21,M128)+IF(OR(E128="",E128="Lead ID not found"),0,IF(COUNTIF(Settings!$AC$2:$AC$6,E128)&gt;0,Settings!$AA$20,Settings!$AA$21)))</f>
        <v/>
      </c>
      <c r="P128" s="44" t="str">
        <f aca="false">IF(C128="","",IF(N(N128)&lt;6,"Partly scored ("&amp;N128&amp;"/6)",IF(O128&gt;=Settings!$S$8,"Hot",IF(O128&gt;=Settings!$S$9,"Warm","Cold"))))</f>
        <v/>
      </c>
      <c r="Q128" s="44" t="str">
        <f aca="false">IF(C128="","",IF(AND(H128="No",J128="No"),"🚩 Budget  ·  🚩 No one on camera",IF(H128="No","🚩 Budget under AED 5k",IF(J128="No","🚩 No one on camera",""))))</f>
        <v/>
      </c>
      <c r="R128" s="44" t="str">
        <f aca="false">IF(C128="","",IF(N(N128)&lt;6,"Finish the scoresheet before closing",IF(P128="Hot","Close now – send the contract / proposal today",IF(P128="Warm","Send proposal + a relevant result; follow up in 3 days","Rep's call – nurture or close politely")))&amp;IF(Q128&lt;&gt;""," (handle the 🚩 first)",""))</f>
        <v/>
      </c>
      <c r="S128" s="17"/>
      <c r="T128" s="17"/>
      <c r="U128" s="44" t="str">
        <f aca="false">IF(C128="","",IF(COUNTIF(C129:C$501,C128)=0,1,0))</f>
        <v/>
      </c>
    </row>
    <row r="129" customFormat="false" ht="15" hidden="false" customHeight="false" outlineLevel="0" collapsed="false">
      <c r="A129" s="17"/>
      <c r="B129" s="40"/>
      <c r="C129" s="17"/>
      <c r="D129" s="44" t="str">
        <f aca="false">IF(C129="","",IFERROR(INDEX(Inbound!$E$2:$E$501,MATCH(C129,Inbound!$A$2:$A$501,0)),IFERROR(INDEX(Outbound!$D$2:$D$501,MATCH(C129,Outbound!$A$2:$A$501,0)),"Lead ID not found")))</f>
        <v/>
      </c>
      <c r="E129" s="44" t="str">
        <f aca="false">IF(C129="","",IFERROR(INDEX(Inbound!$F$2:$F$501,MATCH(C129,Inbound!$A$2:$A$501,0)),IFERROR(INDEX(Outbound!$E$2:$E$501,MATCH(C129,Outbound!$A$2:$A$501,0)),"Lead ID not found")))</f>
        <v/>
      </c>
      <c r="F129" s="17"/>
      <c r="G129" s="17"/>
      <c r="H129" s="17"/>
      <c r="I129" s="17"/>
      <c r="J129" s="17"/>
      <c r="K129" s="17"/>
      <c r="L129" s="17"/>
      <c r="M129" s="17"/>
      <c r="N129" s="44" t="str">
        <f aca="false">IF(C129="","",COUNTA(H129:M129))</f>
        <v/>
      </c>
      <c r="O129" s="44" t="str">
        <f aca="false">IF(OR(C129="",N(N129)=0),"",SUMIFS(Settings!$AA$2:$AA$21,Settings!$Y$2:$Y$21,"Budget AED 5k+/mo?",Settings!$Z$2:$Z$21,H129)+SUMIFS(Settings!$AA$2:$AA$21,Settings!$Y$2:$Y$21,"Decision-maker?",Settings!$Z$2:$Z$21,I129)+SUMIFS(Settings!$AA$2:$AA$21,Settings!$Y$2:$Y$21,"Someone on camera?",Settings!$Z$2:$Z$21,J129)+SUMIFS(Settings!$AA$2:$AA$21,Settings!$Y$2:$Y$21,"OK with 3-month term?",Settings!$Z$2:$Z$21,K129)+SUMIFS(Settings!$AA$2:$AA$21,Settings!$Y$2:$Y$21,"Start timeline",Settings!$Z$2:$Z$21,L129)+SUMIFS(Settings!$AA$2:$AA$21,Settings!$Y$2:$Y$21,"Social media gap",Settings!$Z$2:$Z$21,M129)+IF(OR(E129="",E129="Lead ID not found"),0,IF(COUNTIF(Settings!$AC$2:$AC$6,E129)&gt;0,Settings!$AA$20,Settings!$AA$21)))</f>
        <v/>
      </c>
      <c r="P129" s="44" t="str">
        <f aca="false">IF(C129="","",IF(N(N129)&lt;6,"Partly scored ("&amp;N129&amp;"/6)",IF(O129&gt;=Settings!$S$8,"Hot",IF(O129&gt;=Settings!$S$9,"Warm","Cold"))))</f>
        <v/>
      </c>
      <c r="Q129" s="44" t="str">
        <f aca="false">IF(C129="","",IF(AND(H129="No",J129="No"),"🚩 Budget  ·  🚩 No one on camera",IF(H129="No","🚩 Budget under AED 5k",IF(J129="No","🚩 No one on camera",""))))</f>
        <v/>
      </c>
      <c r="R129" s="44" t="str">
        <f aca="false">IF(C129="","",IF(N(N129)&lt;6,"Finish the scoresheet before closing",IF(P129="Hot","Close now – send the contract / proposal today",IF(P129="Warm","Send proposal + a relevant result; follow up in 3 days","Rep's call – nurture or close politely")))&amp;IF(Q129&lt;&gt;""," (handle the 🚩 first)",""))</f>
        <v/>
      </c>
      <c r="S129" s="17"/>
      <c r="T129" s="17"/>
      <c r="U129" s="44" t="str">
        <f aca="false">IF(C129="","",IF(COUNTIF(C130:C$501,C129)=0,1,0))</f>
        <v/>
      </c>
    </row>
    <row r="130" customFormat="false" ht="15" hidden="false" customHeight="false" outlineLevel="0" collapsed="false">
      <c r="A130" s="17"/>
      <c r="B130" s="40"/>
      <c r="C130" s="17"/>
      <c r="D130" s="44" t="str">
        <f aca="false">IF(C130="","",IFERROR(INDEX(Inbound!$E$2:$E$501,MATCH(C130,Inbound!$A$2:$A$501,0)),IFERROR(INDEX(Outbound!$D$2:$D$501,MATCH(C130,Outbound!$A$2:$A$501,0)),"Lead ID not found")))</f>
        <v/>
      </c>
      <c r="E130" s="44" t="str">
        <f aca="false">IF(C130="","",IFERROR(INDEX(Inbound!$F$2:$F$501,MATCH(C130,Inbound!$A$2:$A$501,0)),IFERROR(INDEX(Outbound!$E$2:$E$501,MATCH(C130,Outbound!$A$2:$A$501,0)),"Lead ID not found")))</f>
        <v/>
      </c>
      <c r="F130" s="17"/>
      <c r="G130" s="17"/>
      <c r="H130" s="17"/>
      <c r="I130" s="17"/>
      <c r="J130" s="17"/>
      <c r="K130" s="17"/>
      <c r="L130" s="17"/>
      <c r="M130" s="17"/>
      <c r="N130" s="44" t="str">
        <f aca="false">IF(C130="","",COUNTA(H130:M130))</f>
        <v/>
      </c>
      <c r="O130" s="44" t="str">
        <f aca="false">IF(OR(C130="",N(N130)=0),"",SUMIFS(Settings!$AA$2:$AA$21,Settings!$Y$2:$Y$21,"Budget AED 5k+/mo?",Settings!$Z$2:$Z$21,H130)+SUMIFS(Settings!$AA$2:$AA$21,Settings!$Y$2:$Y$21,"Decision-maker?",Settings!$Z$2:$Z$21,I130)+SUMIFS(Settings!$AA$2:$AA$21,Settings!$Y$2:$Y$21,"Someone on camera?",Settings!$Z$2:$Z$21,J130)+SUMIFS(Settings!$AA$2:$AA$21,Settings!$Y$2:$Y$21,"OK with 3-month term?",Settings!$Z$2:$Z$21,K130)+SUMIFS(Settings!$AA$2:$AA$21,Settings!$Y$2:$Y$21,"Start timeline",Settings!$Z$2:$Z$21,L130)+SUMIFS(Settings!$AA$2:$AA$21,Settings!$Y$2:$Y$21,"Social media gap",Settings!$Z$2:$Z$21,M130)+IF(OR(E130="",E130="Lead ID not found"),0,IF(COUNTIF(Settings!$AC$2:$AC$6,E130)&gt;0,Settings!$AA$20,Settings!$AA$21)))</f>
        <v/>
      </c>
      <c r="P130" s="44" t="str">
        <f aca="false">IF(C130="","",IF(N(N130)&lt;6,"Partly scored ("&amp;N130&amp;"/6)",IF(O130&gt;=Settings!$S$8,"Hot",IF(O130&gt;=Settings!$S$9,"Warm","Cold"))))</f>
        <v/>
      </c>
      <c r="Q130" s="44" t="str">
        <f aca="false">IF(C130="","",IF(AND(H130="No",J130="No"),"🚩 Budget  ·  🚩 No one on camera",IF(H130="No","🚩 Budget under AED 5k",IF(J130="No","🚩 No one on camera",""))))</f>
        <v/>
      </c>
      <c r="R130" s="44" t="str">
        <f aca="false">IF(C130="","",IF(N(N130)&lt;6,"Finish the scoresheet before closing",IF(P130="Hot","Close now – send the contract / proposal today",IF(P130="Warm","Send proposal + a relevant result; follow up in 3 days","Rep's call – nurture or close politely")))&amp;IF(Q130&lt;&gt;""," (handle the 🚩 first)",""))</f>
        <v/>
      </c>
      <c r="S130" s="17"/>
      <c r="T130" s="17"/>
      <c r="U130" s="44" t="str">
        <f aca="false">IF(C130="","",IF(COUNTIF(C131:C$501,C130)=0,1,0))</f>
        <v/>
      </c>
    </row>
    <row r="131" customFormat="false" ht="15" hidden="false" customHeight="false" outlineLevel="0" collapsed="false">
      <c r="A131" s="17"/>
      <c r="B131" s="40"/>
      <c r="C131" s="17"/>
      <c r="D131" s="44" t="str">
        <f aca="false">IF(C131="","",IFERROR(INDEX(Inbound!$E$2:$E$501,MATCH(C131,Inbound!$A$2:$A$501,0)),IFERROR(INDEX(Outbound!$D$2:$D$501,MATCH(C131,Outbound!$A$2:$A$501,0)),"Lead ID not found")))</f>
        <v/>
      </c>
      <c r="E131" s="44" t="str">
        <f aca="false">IF(C131="","",IFERROR(INDEX(Inbound!$F$2:$F$501,MATCH(C131,Inbound!$A$2:$A$501,0)),IFERROR(INDEX(Outbound!$E$2:$E$501,MATCH(C131,Outbound!$A$2:$A$501,0)),"Lead ID not found")))</f>
        <v/>
      </c>
      <c r="F131" s="17"/>
      <c r="G131" s="17"/>
      <c r="H131" s="17"/>
      <c r="I131" s="17"/>
      <c r="J131" s="17"/>
      <c r="K131" s="17"/>
      <c r="L131" s="17"/>
      <c r="M131" s="17"/>
      <c r="N131" s="44" t="str">
        <f aca="false">IF(C131="","",COUNTA(H131:M131))</f>
        <v/>
      </c>
      <c r="O131" s="44" t="str">
        <f aca="false">IF(OR(C131="",N(N131)=0),"",SUMIFS(Settings!$AA$2:$AA$21,Settings!$Y$2:$Y$21,"Budget AED 5k+/mo?",Settings!$Z$2:$Z$21,H131)+SUMIFS(Settings!$AA$2:$AA$21,Settings!$Y$2:$Y$21,"Decision-maker?",Settings!$Z$2:$Z$21,I131)+SUMIFS(Settings!$AA$2:$AA$21,Settings!$Y$2:$Y$21,"Someone on camera?",Settings!$Z$2:$Z$21,J131)+SUMIFS(Settings!$AA$2:$AA$21,Settings!$Y$2:$Y$21,"OK with 3-month term?",Settings!$Z$2:$Z$21,K131)+SUMIFS(Settings!$AA$2:$AA$21,Settings!$Y$2:$Y$21,"Start timeline",Settings!$Z$2:$Z$21,L131)+SUMIFS(Settings!$AA$2:$AA$21,Settings!$Y$2:$Y$21,"Social media gap",Settings!$Z$2:$Z$21,M131)+IF(OR(E131="",E131="Lead ID not found"),0,IF(COUNTIF(Settings!$AC$2:$AC$6,E131)&gt;0,Settings!$AA$20,Settings!$AA$21)))</f>
        <v/>
      </c>
      <c r="P131" s="44" t="str">
        <f aca="false">IF(C131="","",IF(N(N131)&lt;6,"Partly scored ("&amp;N131&amp;"/6)",IF(O131&gt;=Settings!$S$8,"Hot",IF(O131&gt;=Settings!$S$9,"Warm","Cold"))))</f>
        <v/>
      </c>
      <c r="Q131" s="44" t="str">
        <f aca="false">IF(C131="","",IF(AND(H131="No",J131="No"),"🚩 Budget  ·  🚩 No one on camera",IF(H131="No","🚩 Budget under AED 5k",IF(J131="No","🚩 No one on camera",""))))</f>
        <v/>
      </c>
      <c r="R131" s="44" t="str">
        <f aca="false">IF(C131="","",IF(N(N131)&lt;6,"Finish the scoresheet before closing",IF(P131="Hot","Close now – send the contract / proposal today",IF(P131="Warm","Send proposal + a relevant result; follow up in 3 days","Rep's call – nurture or close politely")))&amp;IF(Q131&lt;&gt;""," (handle the 🚩 first)",""))</f>
        <v/>
      </c>
      <c r="S131" s="17"/>
      <c r="T131" s="17"/>
      <c r="U131" s="44" t="str">
        <f aca="false">IF(C131="","",IF(COUNTIF(C132:C$501,C131)=0,1,0))</f>
        <v/>
      </c>
    </row>
    <row r="132" customFormat="false" ht="15" hidden="false" customHeight="false" outlineLevel="0" collapsed="false">
      <c r="A132" s="17"/>
      <c r="B132" s="40"/>
      <c r="C132" s="17"/>
      <c r="D132" s="44" t="str">
        <f aca="false">IF(C132="","",IFERROR(INDEX(Inbound!$E$2:$E$501,MATCH(C132,Inbound!$A$2:$A$501,0)),IFERROR(INDEX(Outbound!$D$2:$D$501,MATCH(C132,Outbound!$A$2:$A$501,0)),"Lead ID not found")))</f>
        <v/>
      </c>
      <c r="E132" s="44" t="str">
        <f aca="false">IF(C132="","",IFERROR(INDEX(Inbound!$F$2:$F$501,MATCH(C132,Inbound!$A$2:$A$501,0)),IFERROR(INDEX(Outbound!$E$2:$E$501,MATCH(C132,Outbound!$A$2:$A$501,0)),"Lead ID not found")))</f>
        <v/>
      </c>
      <c r="F132" s="17"/>
      <c r="G132" s="17"/>
      <c r="H132" s="17"/>
      <c r="I132" s="17"/>
      <c r="J132" s="17"/>
      <c r="K132" s="17"/>
      <c r="L132" s="17"/>
      <c r="M132" s="17"/>
      <c r="N132" s="44" t="str">
        <f aca="false">IF(C132="","",COUNTA(H132:M132))</f>
        <v/>
      </c>
      <c r="O132" s="44" t="str">
        <f aca="false">IF(OR(C132="",N(N132)=0),"",SUMIFS(Settings!$AA$2:$AA$21,Settings!$Y$2:$Y$21,"Budget AED 5k+/mo?",Settings!$Z$2:$Z$21,H132)+SUMIFS(Settings!$AA$2:$AA$21,Settings!$Y$2:$Y$21,"Decision-maker?",Settings!$Z$2:$Z$21,I132)+SUMIFS(Settings!$AA$2:$AA$21,Settings!$Y$2:$Y$21,"Someone on camera?",Settings!$Z$2:$Z$21,J132)+SUMIFS(Settings!$AA$2:$AA$21,Settings!$Y$2:$Y$21,"OK with 3-month term?",Settings!$Z$2:$Z$21,K132)+SUMIFS(Settings!$AA$2:$AA$21,Settings!$Y$2:$Y$21,"Start timeline",Settings!$Z$2:$Z$21,L132)+SUMIFS(Settings!$AA$2:$AA$21,Settings!$Y$2:$Y$21,"Social media gap",Settings!$Z$2:$Z$21,M132)+IF(OR(E132="",E132="Lead ID not found"),0,IF(COUNTIF(Settings!$AC$2:$AC$6,E132)&gt;0,Settings!$AA$20,Settings!$AA$21)))</f>
        <v/>
      </c>
      <c r="P132" s="44" t="str">
        <f aca="false">IF(C132="","",IF(N(N132)&lt;6,"Partly scored ("&amp;N132&amp;"/6)",IF(O132&gt;=Settings!$S$8,"Hot",IF(O132&gt;=Settings!$S$9,"Warm","Cold"))))</f>
        <v/>
      </c>
      <c r="Q132" s="44" t="str">
        <f aca="false">IF(C132="","",IF(AND(H132="No",J132="No"),"🚩 Budget  ·  🚩 No one on camera",IF(H132="No","🚩 Budget under AED 5k",IF(J132="No","🚩 No one on camera",""))))</f>
        <v/>
      </c>
      <c r="R132" s="44" t="str">
        <f aca="false">IF(C132="","",IF(N(N132)&lt;6,"Finish the scoresheet before closing",IF(P132="Hot","Close now – send the contract / proposal today",IF(P132="Warm","Send proposal + a relevant result; follow up in 3 days","Rep's call – nurture or close politely")))&amp;IF(Q132&lt;&gt;""," (handle the 🚩 first)",""))</f>
        <v/>
      </c>
      <c r="S132" s="17"/>
      <c r="T132" s="17"/>
      <c r="U132" s="44" t="str">
        <f aca="false">IF(C132="","",IF(COUNTIF(C133:C$501,C132)=0,1,0))</f>
        <v/>
      </c>
    </row>
    <row r="133" customFormat="false" ht="15" hidden="false" customHeight="false" outlineLevel="0" collapsed="false">
      <c r="A133" s="17"/>
      <c r="B133" s="40"/>
      <c r="C133" s="17"/>
      <c r="D133" s="44" t="str">
        <f aca="false">IF(C133="","",IFERROR(INDEX(Inbound!$E$2:$E$501,MATCH(C133,Inbound!$A$2:$A$501,0)),IFERROR(INDEX(Outbound!$D$2:$D$501,MATCH(C133,Outbound!$A$2:$A$501,0)),"Lead ID not found")))</f>
        <v/>
      </c>
      <c r="E133" s="44" t="str">
        <f aca="false">IF(C133="","",IFERROR(INDEX(Inbound!$F$2:$F$501,MATCH(C133,Inbound!$A$2:$A$501,0)),IFERROR(INDEX(Outbound!$E$2:$E$501,MATCH(C133,Outbound!$A$2:$A$501,0)),"Lead ID not found")))</f>
        <v/>
      </c>
      <c r="F133" s="17"/>
      <c r="G133" s="17"/>
      <c r="H133" s="17"/>
      <c r="I133" s="17"/>
      <c r="J133" s="17"/>
      <c r="K133" s="17"/>
      <c r="L133" s="17"/>
      <c r="M133" s="17"/>
      <c r="N133" s="44" t="str">
        <f aca="false">IF(C133="","",COUNTA(H133:M133))</f>
        <v/>
      </c>
      <c r="O133" s="44" t="str">
        <f aca="false">IF(OR(C133="",N(N133)=0),"",SUMIFS(Settings!$AA$2:$AA$21,Settings!$Y$2:$Y$21,"Budget AED 5k+/mo?",Settings!$Z$2:$Z$21,H133)+SUMIFS(Settings!$AA$2:$AA$21,Settings!$Y$2:$Y$21,"Decision-maker?",Settings!$Z$2:$Z$21,I133)+SUMIFS(Settings!$AA$2:$AA$21,Settings!$Y$2:$Y$21,"Someone on camera?",Settings!$Z$2:$Z$21,J133)+SUMIFS(Settings!$AA$2:$AA$21,Settings!$Y$2:$Y$21,"OK with 3-month term?",Settings!$Z$2:$Z$21,K133)+SUMIFS(Settings!$AA$2:$AA$21,Settings!$Y$2:$Y$21,"Start timeline",Settings!$Z$2:$Z$21,L133)+SUMIFS(Settings!$AA$2:$AA$21,Settings!$Y$2:$Y$21,"Social media gap",Settings!$Z$2:$Z$21,M133)+IF(OR(E133="",E133="Lead ID not found"),0,IF(COUNTIF(Settings!$AC$2:$AC$6,E133)&gt;0,Settings!$AA$20,Settings!$AA$21)))</f>
        <v/>
      </c>
      <c r="P133" s="44" t="str">
        <f aca="false">IF(C133="","",IF(N(N133)&lt;6,"Partly scored ("&amp;N133&amp;"/6)",IF(O133&gt;=Settings!$S$8,"Hot",IF(O133&gt;=Settings!$S$9,"Warm","Cold"))))</f>
        <v/>
      </c>
      <c r="Q133" s="44" t="str">
        <f aca="false">IF(C133="","",IF(AND(H133="No",J133="No"),"🚩 Budget  ·  🚩 No one on camera",IF(H133="No","🚩 Budget under AED 5k",IF(J133="No","🚩 No one on camera",""))))</f>
        <v/>
      </c>
      <c r="R133" s="44" t="str">
        <f aca="false">IF(C133="","",IF(N(N133)&lt;6,"Finish the scoresheet before closing",IF(P133="Hot","Close now – send the contract / proposal today",IF(P133="Warm","Send proposal + a relevant result; follow up in 3 days","Rep's call – nurture or close politely")))&amp;IF(Q133&lt;&gt;""," (handle the 🚩 first)",""))</f>
        <v/>
      </c>
      <c r="S133" s="17"/>
      <c r="T133" s="17"/>
      <c r="U133" s="44" t="str">
        <f aca="false">IF(C133="","",IF(COUNTIF(C134:C$501,C133)=0,1,0))</f>
        <v/>
      </c>
    </row>
    <row r="134" customFormat="false" ht="15" hidden="false" customHeight="false" outlineLevel="0" collapsed="false">
      <c r="A134" s="17"/>
      <c r="B134" s="40"/>
      <c r="C134" s="17"/>
      <c r="D134" s="44" t="str">
        <f aca="false">IF(C134="","",IFERROR(INDEX(Inbound!$E$2:$E$501,MATCH(C134,Inbound!$A$2:$A$501,0)),IFERROR(INDEX(Outbound!$D$2:$D$501,MATCH(C134,Outbound!$A$2:$A$501,0)),"Lead ID not found")))</f>
        <v/>
      </c>
      <c r="E134" s="44" t="str">
        <f aca="false">IF(C134="","",IFERROR(INDEX(Inbound!$F$2:$F$501,MATCH(C134,Inbound!$A$2:$A$501,0)),IFERROR(INDEX(Outbound!$E$2:$E$501,MATCH(C134,Outbound!$A$2:$A$501,0)),"Lead ID not found")))</f>
        <v/>
      </c>
      <c r="F134" s="17"/>
      <c r="G134" s="17"/>
      <c r="H134" s="17"/>
      <c r="I134" s="17"/>
      <c r="J134" s="17"/>
      <c r="K134" s="17"/>
      <c r="L134" s="17"/>
      <c r="M134" s="17"/>
      <c r="N134" s="44" t="str">
        <f aca="false">IF(C134="","",COUNTA(H134:M134))</f>
        <v/>
      </c>
      <c r="O134" s="44" t="str">
        <f aca="false">IF(OR(C134="",N(N134)=0),"",SUMIFS(Settings!$AA$2:$AA$21,Settings!$Y$2:$Y$21,"Budget AED 5k+/mo?",Settings!$Z$2:$Z$21,H134)+SUMIFS(Settings!$AA$2:$AA$21,Settings!$Y$2:$Y$21,"Decision-maker?",Settings!$Z$2:$Z$21,I134)+SUMIFS(Settings!$AA$2:$AA$21,Settings!$Y$2:$Y$21,"Someone on camera?",Settings!$Z$2:$Z$21,J134)+SUMIFS(Settings!$AA$2:$AA$21,Settings!$Y$2:$Y$21,"OK with 3-month term?",Settings!$Z$2:$Z$21,K134)+SUMIFS(Settings!$AA$2:$AA$21,Settings!$Y$2:$Y$21,"Start timeline",Settings!$Z$2:$Z$21,L134)+SUMIFS(Settings!$AA$2:$AA$21,Settings!$Y$2:$Y$21,"Social media gap",Settings!$Z$2:$Z$21,M134)+IF(OR(E134="",E134="Lead ID not found"),0,IF(COUNTIF(Settings!$AC$2:$AC$6,E134)&gt;0,Settings!$AA$20,Settings!$AA$21)))</f>
        <v/>
      </c>
      <c r="P134" s="44" t="str">
        <f aca="false">IF(C134="","",IF(N(N134)&lt;6,"Partly scored ("&amp;N134&amp;"/6)",IF(O134&gt;=Settings!$S$8,"Hot",IF(O134&gt;=Settings!$S$9,"Warm","Cold"))))</f>
        <v/>
      </c>
      <c r="Q134" s="44" t="str">
        <f aca="false">IF(C134="","",IF(AND(H134="No",J134="No"),"🚩 Budget  ·  🚩 No one on camera",IF(H134="No","🚩 Budget under AED 5k",IF(J134="No","🚩 No one on camera",""))))</f>
        <v/>
      </c>
      <c r="R134" s="44" t="str">
        <f aca="false">IF(C134="","",IF(N(N134)&lt;6,"Finish the scoresheet before closing",IF(P134="Hot","Close now – send the contract / proposal today",IF(P134="Warm","Send proposal + a relevant result; follow up in 3 days","Rep's call – nurture or close politely")))&amp;IF(Q134&lt;&gt;""," (handle the 🚩 first)",""))</f>
        <v/>
      </c>
      <c r="S134" s="17"/>
      <c r="T134" s="17"/>
      <c r="U134" s="44" t="str">
        <f aca="false">IF(C134="","",IF(COUNTIF(C135:C$501,C134)=0,1,0))</f>
        <v/>
      </c>
    </row>
    <row r="135" customFormat="false" ht="15" hidden="false" customHeight="false" outlineLevel="0" collapsed="false">
      <c r="A135" s="17"/>
      <c r="B135" s="40"/>
      <c r="C135" s="17"/>
      <c r="D135" s="44" t="str">
        <f aca="false">IF(C135="","",IFERROR(INDEX(Inbound!$E$2:$E$501,MATCH(C135,Inbound!$A$2:$A$501,0)),IFERROR(INDEX(Outbound!$D$2:$D$501,MATCH(C135,Outbound!$A$2:$A$501,0)),"Lead ID not found")))</f>
        <v/>
      </c>
      <c r="E135" s="44" t="str">
        <f aca="false">IF(C135="","",IFERROR(INDEX(Inbound!$F$2:$F$501,MATCH(C135,Inbound!$A$2:$A$501,0)),IFERROR(INDEX(Outbound!$E$2:$E$501,MATCH(C135,Outbound!$A$2:$A$501,0)),"Lead ID not found")))</f>
        <v/>
      </c>
      <c r="F135" s="17"/>
      <c r="G135" s="17"/>
      <c r="H135" s="17"/>
      <c r="I135" s="17"/>
      <c r="J135" s="17"/>
      <c r="K135" s="17"/>
      <c r="L135" s="17"/>
      <c r="M135" s="17"/>
      <c r="N135" s="44" t="str">
        <f aca="false">IF(C135="","",COUNTA(H135:M135))</f>
        <v/>
      </c>
      <c r="O135" s="44" t="str">
        <f aca="false">IF(OR(C135="",N(N135)=0),"",SUMIFS(Settings!$AA$2:$AA$21,Settings!$Y$2:$Y$21,"Budget AED 5k+/mo?",Settings!$Z$2:$Z$21,H135)+SUMIFS(Settings!$AA$2:$AA$21,Settings!$Y$2:$Y$21,"Decision-maker?",Settings!$Z$2:$Z$21,I135)+SUMIFS(Settings!$AA$2:$AA$21,Settings!$Y$2:$Y$21,"Someone on camera?",Settings!$Z$2:$Z$21,J135)+SUMIFS(Settings!$AA$2:$AA$21,Settings!$Y$2:$Y$21,"OK with 3-month term?",Settings!$Z$2:$Z$21,K135)+SUMIFS(Settings!$AA$2:$AA$21,Settings!$Y$2:$Y$21,"Start timeline",Settings!$Z$2:$Z$21,L135)+SUMIFS(Settings!$AA$2:$AA$21,Settings!$Y$2:$Y$21,"Social media gap",Settings!$Z$2:$Z$21,M135)+IF(OR(E135="",E135="Lead ID not found"),0,IF(COUNTIF(Settings!$AC$2:$AC$6,E135)&gt;0,Settings!$AA$20,Settings!$AA$21)))</f>
        <v/>
      </c>
      <c r="P135" s="44" t="str">
        <f aca="false">IF(C135="","",IF(N(N135)&lt;6,"Partly scored ("&amp;N135&amp;"/6)",IF(O135&gt;=Settings!$S$8,"Hot",IF(O135&gt;=Settings!$S$9,"Warm","Cold"))))</f>
        <v/>
      </c>
      <c r="Q135" s="44" t="str">
        <f aca="false">IF(C135="","",IF(AND(H135="No",J135="No"),"🚩 Budget  ·  🚩 No one on camera",IF(H135="No","🚩 Budget under AED 5k",IF(J135="No","🚩 No one on camera",""))))</f>
        <v/>
      </c>
      <c r="R135" s="44" t="str">
        <f aca="false">IF(C135="","",IF(N(N135)&lt;6,"Finish the scoresheet before closing",IF(P135="Hot","Close now – send the contract / proposal today",IF(P135="Warm","Send proposal + a relevant result; follow up in 3 days","Rep's call – nurture or close politely")))&amp;IF(Q135&lt;&gt;""," (handle the 🚩 first)",""))</f>
        <v/>
      </c>
      <c r="S135" s="17"/>
      <c r="T135" s="17"/>
      <c r="U135" s="44" t="str">
        <f aca="false">IF(C135="","",IF(COUNTIF(C136:C$501,C135)=0,1,0))</f>
        <v/>
      </c>
    </row>
    <row r="136" customFormat="false" ht="15" hidden="false" customHeight="false" outlineLevel="0" collapsed="false">
      <c r="A136" s="17"/>
      <c r="B136" s="40"/>
      <c r="C136" s="17"/>
      <c r="D136" s="44" t="str">
        <f aca="false">IF(C136="","",IFERROR(INDEX(Inbound!$E$2:$E$501,MATCH(C136,Inbound!$A$2:$A$501,0)),IFERROR(INDEX(Outbound!$D$2:$D$501,MATCH(C136,Outbound!$A$2:$A$501,0)),"Lead ID not found")))</f>
        <v/>
      </c>
      <c r="E136" s="44" t="str">
        <f aca="false">IF(C136="","",IFERROR(INDEX(Inbound!$F$2:$F$501,MATCH(C136,Inbound!$A$2:$A$501,0)),IFERROR(INDEX(Outbound!$E$2:$E$501,MATCH(C136,Outbound!$A$2:$A$501,0)),"Lead ID not found")))</f>
        <v/>
      </c>
      <c r="F136" s="17"/>
      <c r="G136" s="17"/>
      <c r="H136" s="17"/>
      <c r="I136" s="17"/>
      <c r="J136" s="17"/>
      <c r="K136" s="17"/>
      <c r="L136" s="17"/>
      <c r="M136" s="17"/>
      <c r="N136" s="44" t="str">
        <f aca="false">IF(C136="","",COUNTA(H136:M136))</f>
        <v/>
      </c>
      <c r="O136" s="44" t="str">
        <f aca="false">IF(OR(C136="",N(N136)=0),"",SUMIFS(Settings!$AA$2:$AA$21,Settings!$Y$2:$Y$21,"Budget AED 5k+/mo?",Settings!$Z$2:$Z$21,H136)+SUMIFS(Settings!$AA$2:$AA$21,Settings!$Y$2:$Y$21,"Decision-maker?",Settings!$Z$2:$Z$21,I136)+SUMIFS(Settings!$AA$2:$AA$21,Settings!$Y$2:$Y$21,"Someone on camera?",Settings!$Z$2:$Z$21,J136)+SUMIFS(Settings!$AA$2:$AA$21,Settings!$Y$2:$Y$21,"OK with 3-month term?",Settings!$Z$2:$Z$21,K136)+SUMIFS(Settings!$AA$2:$AA$21,Settings!$Y$2:$Y$21,"Start timeline",Settings!$Z$2:$Z$21,L136)+SUMIFS(Settings!$AA$2:$AA$21,Settings!$Y$2:$Y$21,"Social media gap",Settings!$Z$2:$Z$21,M136)+IF(OR(E136="",E136="Lead ID not found"),0,IF(COUNTIF(Settings!$AC$2:$AC$6,E136)&gt;0,Settings!$AA$20,Settings!$AA$21)))</f>
        <v/>
      </c>
      <c r="P136" s="44" t="str">
        <f aca="false">IF(C136="","",IF(N(N136)&lt;6,"Partly scored ("&amp;N136&amp;"/6)",IF(O136&gt;=Settings!$S$8,"Hot",IF(O136&gt;=Settings!$S$9,"Warm","Cold"))))</f>
        <v/>
      </c>
      <c r="Q136" s="44" t="str">
        <f aca="false">IF(C136="","",IF(AND(H136="No",J136="No"),"🚩 Budget  ·  🚩 No one on camera",IF(H136="No","🚩 Budget under AED 5k",IF(J136="No","🚩 No one on camera",""))))</f>
        <v/>
      </c>
      <c r="R136" s="44" t="str">
        <f aca="false">IF(C136="","",IF(N(N136)&lt;6,"Finish the scoresheet before closing",IF(P136="Hot","Close now – send the contract / proposal today",IF(P136="Warm","Send proposal + a relevant result; follow up in 3 days","Rep's call – nurture or close politely")))&amp;IF(Q136&lt;&gt;""," (handle the 🚩 first)",""))</f>
        <v/>
      </c>
      <c r="S136" s="17"/>
      <c r="T136" s="17"/>
      <c r="U136" s="44" t="str">
        <f aca="false">IF(C136="","",IF(COUNTIF(C137:C$501,C136)=0,1,0))</f>
        <v/>
      </c>
    </row>
    <row r="137" customFormat="false" ht="15" hidden="false" customHeight="false" outlineLevel="0" collapsed="false">
      <c r="A137" s="17"/>
      <c r="B137" s="40"/>
      <c r="C137" s="17"/>
      <c r="D137" s="44" t="str">
        <f aca="false">IF(C137="","",IFERROR(INDEX(Inbound!$E$2:$E$501,MATCH(C137,Inbound!$A$2:$A$501,0)),IFERROR(INDEX(Outbound!$D$2:$D$501,MATCH(C137,Outbound!$A$2:$A$501,0)),"Lead ID not found")))</f>
        <v/>
      </c>
      <c r="E137" s="44" t="str">
        <f aca="false">IF(C137="","",IFERROR(INDEX(Inbound!$F$2:$F$501,MATCH(C137,Inbound!$A$2:$A$501,0)),IFERROR(INDEX(Outbound!$E$2:$E$501,MATCH(C137,Outbound!$A$2:$A$501,0)),"Lead ID not found")))</f>
        <v/>
      </c>
      <c r="F137" s="17"/>
      <c r="G137" s="17"/>
      <c r="H137" s="17"/>
      <c r="I137" s="17"/>
      <c r="J137" s="17"/>
      <c r="K137" s="17"/>
      <c r="L137" s="17"/>
      <c r="M137" s="17"/>
      <c r="N137" s="44" t="str">
        <f aca="false">IF(C137="","",COUNTA(H137:M137))</f>
        <v/>
      </c>
      <c r="O137" s="44" t="str">
        <f aca="false">IF(OR(C137="",N(N137)=0),"",SUMIFS(Settings!$AA$2:$AA$21,Settings!$Y$2:$Y$21,"Budget AED 5k+/mo?",Settings!$Z$2:$Z$21,H137)+SUMIFS(Settings!$AA$2:$AA$21,Settings!$Y$2:$Y$21,"Decision-maker?",Settings!$Z$2:$Z$21,I137)+SUMIFS(Settings!$AA$2:$AA$21,Settings!$Y$2:$Y$21,"Someone on camera?",Settings!$Z$2:$Z$21,J137)+SUMIFS(Settings!$AA$2:$AA$21,Settings!$Y$2:$Y$21,"OK with 3-month term?",Settings!$Z$2:$Z$21,K137)+SUMIFS(Settings!$AA$2:$AA$21,Settings!$Y$2:$Y$21,"Start timeline",Settings!$Z$2:$Z$21,L137)+SUMIFS(Settings!$AA$2:$AA$21,Settings!$Y$2:$Y$21,"Social media gap",Settings!$Z$2:$Z$21,M137)+IF(OR(E137="",E137="Lead ID not found"),0,IF(COUNTIF(Settings!$AC$2:$AC$6,E137)&gt;0,Settings!$AA$20,Settings!$AA$21)))</f>
        <v/>
      </c>
      <c r="P137" s="44" t="str">
        <f aca="false">IF(C137="","",IF(N(N137)&lt;6,"Partly scored ("&amp;N137&amp;"/6)",IF(O137&gt;=Settings!$S$8,"Hot",IF(O137&gt;=Settings!$S$9,"Warm","Cold"))))</f>
        <v/>
      </c>
      <c r="Q137" s="44" t="str">
        <f aca="false">IF(C137="","",IF(AND(H137="No",J137="No"),"🚩 Budget  ·  🚩 No one on camera",IF(H137="No","🚩 Budget under AED 5k",IF(J137="No","🚩 No one on camera",""))))</f>
        <v/>
      </c>
      <c r="R137" s="44" t="str">
        <f aca="false">IF(C137="","",IF(N(N137)&lt;6,"Finish the scoresheet before closing",IF(P137="Hot","Close now – send the contract / proposal today",IF(P137="Warm","Send proposal + a relevant result; follow up in 3 days","Rep's call – nurture or close politely")))&amp;IF(Q137&lt;&gt;""," (handle the 🚩 first)",""))</f>
        <v/>
      </c>
      <c r="S137" s="17"/>
      <c r="T137" s="17"/>
      <c r="U137" s="44" t="str">
        <f aca="false">IF(C137="","",IF(COUNTIF(C138:C$501,C137)=0,1,0))</f>
        <v/>
      </c>
    </row>
    <row r="138" customFormat="false" ht="15" hidden="false" customHeight="false" outlineLevel="0" collapsed="false">
      <c r="A138" s="17"/>
      <c r="B138" s="40"/>
      <c r="C138" s="17"/>
      <c r="D138" s="44" t="str">
        <f aca="false">IF(C138="","",IFERROR(INDEX(Inbound!$E$2:$E$501,MATCH(C138,Inbound!$A$2:$A$501,0)),IFERROR(INDEX(Outbound!$D$2:$D$501,MATCH(C138,Outbound!$A$2:$A$501,0)),"Lead ID not found")))</f>
        <v/>
      </c>
      <c r="E138" s="44" t="str">
        <f aca="false">IF(C138="","",IFERROR(INDEX(Inbound!$F$2:$F$501,MATCH(C138,Inbound!$A$2:$A$501,0)),IFERROR(INDEX(Outbound!$E$2:$E$501,MATCH(C138,Outbound!$A$2:$A$501,0)),"Lead ID not found")))</f>
        <v/>
      </c>
      <c r="F138" s="17"/>
      <c r="G138" s="17"/>
      <c r="H138" s="17"/>
      <c r="I138" s="17"/>
      <c r="J138" s="17"/>
      <c r="K138" s="17"/>
      <c r="L138" s="17"/>
      <c r="M138" s="17"/>
      <c r="N138" s="44" t="str">
        <f aca="false">IF(C138="","",COUNTA(H138:M138))</f>
        <v/>
      </c>
      <c r="O138" s="44" t="str">
        <f aca="false">IF(OR(C138="",N(N138)=0),"",SUMIFS(Settings!$AA$2:$AA$21,Settings!$Y$2:$Y$21,"Budget AED 5k+/mo?",Settings!$Z$2:$Z$21,H138)+SUMIFS(Settings!$AA$2:$AA$21,Settings!$Y$2:$Y$21,"Decision-maker?",Settings!$Z$2:$Z$21,I138)+SUMIFS(Settings!$AA$2:$AA$21,Settings!$Y$2:$Y$21,"Someone on camera?",Settings!$Z$2:$Z$21,J138)+SUMIFS(Settings!$AA$2:$AA$21,Settings!$Y$2:$Y$21,"OK with 3-month term?",Settings!$Z$2:$Z$21,K138)+SUMIFS(Settings!$AA$2:$AA$21,Settings!$Y$2:$Y$21,"Start timeline",Settings!$Z$2:$Z$21,L138)+SUMIFS(Settings!$AA$2:$AA$21,Settings!$Y$2:$Y$21,"Social media gap",Settings!$Z$2:$Z$21,M138)+IF(OR(E138="",E138="Lead ID not found"),0,IF(COUNTIF(Settings!$AC$2:$AC$6,E138)&gt;0,Settings!$AA$20,Settings!$AA$21)))</f>
        <v/>
      </c>
      <c r="P138" s="44" t="str">
        <f aca="false">IF(C138="","",IF(N(N138)&lt;6,"Partly scored ("&amp;N138&amp;"/6)",IF(O138&gt;=Settings!$S$8,"Hot",IF(O138&gt;=Settings!$S$9,"Warm","Cold"))))</f>
        <v/>
      </c>
      <c r="Q138" s="44" t="str">
        <f aca="false">IF(C138="","",IF(AND(H138="No",J138="No"),"🚩 Budget  ·  🚩 No one on camera",IF(H138="No","🚩 Budget under AED 5k",IF(J138="No","🚩 No one on camera",""))))</f>
        <v/>
      </c>
      <c r="R138" s="44" t="str">
        <f aca="false">IF(C138="","",IF(N(N138)&lt;6,"Finish the scoresheet before closing",IF(P138="Hot","Close now – send the contract / proposal today",IF(P138="Warm","Send proposal + a relevant result; follow up in 3 days","Rep's call – nurture or close politely")))&amp;IF(Q138&lt;&gt;""," (handle the 🚩 first)",""))</f>
        <v/>
      </c>
      <c r="S138" s="17"/>
      <c r="T138" s="17"/>
      <c r="U138" s="44" t="str">
        <f aca="false">IF(C138="","",IF(COUNTIF(C139:C$501,C138)=0,1,0))</f>
        <v/>
      </c>
    </row>
    <row r="139" customFormat="false" ht="15" hidden="false" customHeight="false" outlineLevel="0" collapsed="false">
      <c r="A139" s="17"/>
      <c r="B139" s="40"/>
      <c r="C139" s="17"/>
      <c r="D139" s="44" t="str">
        <f aca="false">IF(C139="","",IFERROR(INDEX(Inbound!$E$2:$E$501,MATCH(C139,Inbound!$A$2:$A$501,0)),IFERROR(INDEX(Outbound!$D$2:$D$501,MATCH(C139,Outbound!$A$2:$A$501,0)),"Lead ID not found")))</f>
        <v/>
      </c>
      <c r="E139" s="44" t="str">
        <f aca="false">IF(C139="","",IFERROR(INDEX(Inbound!$F$2:$F$501,MATCH(C139,Inbound!$A$2:$A$501,0)),IFERROR(INDEX(Outbound!$E$2:$E$501,MATCH(C139,Outbound!$A$2:$A$501,0)),"Lead ID not found")))</f>
        <v/>
      </c>
      <c r="F139" s="17"/>
      <c r="G139" s="17"/>
      <c r="H139" s="17"/>
      <c r="I139" s="17"/>
      <c r="J139" s="17"/>
      <c r="K139" s="17"/>
      <c r="L139" s="17"/>
      <c r="M139" s="17"/>
      <c r="N139" s="44" t="str">
        <f aca="false">IF(C139="","",COUNTA(H139:M139))</f>
        <v/>
      </c>
      <c r="O139" s="44" t="str">
        <f aca="false">IF(OR(C139="",N(N139)=0),"",SUMIFS(Settings!$AA$2:$AA$21,Settings!$Y$2:$Y$21,"Budget AED 5k+/mo?",Settings!$Z$2:$Z$21,H139)+SUMIFS(Settings!$AA$2:$AA$21,Settings!$Y$2:$Y$21,"Decision-maker?",Settings!$Z$2:$Z$21,I139)+SUMIFS(Settings!$AA$2:$AA$21,Settings!$Y$2:$Y$21,"Someone on camera?",Settings!$Z$2:$Z$21,J139)+SUMIFS(Settings!$AA$2:$AA$21,Settings!$Y$2:$Y$21,"OK with 3-month term?",Settings!$Z$2:$Z$21,K139)+SUMIFS(Settings!$AA$2:$AA$21,Settings!$Y$2:$Y$21,"Start timeline",Settings!$Z$2:$Z$21,L139)+SUMIFS(Settings!$AA$2:$AA$21,Settings!$Y$2:$Y$21,"Social media gap",Settings!$Z$2:$Z$21,M139)+IF(OR(E139="",E139="Lead ID not found"),0,IF(COUNTIF(Settings!$AC$2:$AC$6,E139)&gt;0,Settings!$AA$20,Settings!$AA$21)))</f>
        <v/>
      </c>
      <c r="P139" s="44" t="str">
        <f aca="false">IF(C139="","",IF(N(N139)&lt;6,"Partly scored ("&amp;N139&amp;"/6)",IF(O139&gt;=Settings!$S$8,"Hot",IF(O139&gt;=Settings!$S$9,"Warm","Cold"))))</f>
        <v/>
      </c>
      <c r="Q139" s="44" t="str">
        <f aca="false">IF(C139="","",IF(AND(H139="No",J139="No"),"🚩 Budget  ·  🚩 No one on camera",IF(H139="No","🚩 Budget under AED 5k",IF(J139="No","🚩 No one on camera",""))))</f>
        <v/>
      </c>
      <c r="R139" s="44" t="str">
        <f aca="false">IF(C139="","",IF(N(N139)&lt;6,"Finish the scoresheet before closing",IF(P139="Hot","Close now – send the contract / proposal today",IF(P139="Warm","Send proposal + a relevant result; follow up in 3 days","Rep's call – nurture or close politely")))&amp;IF(Q139&lt;&gt;""," (handle the 🚩 first)",""))</f>
        <v/>
      </c>
      <c r="S139" s="17"/>
      <c r="T139" s="17"/>
      <c r="U139" s="44" t="str">
        <f aca="false">IF(C139="","",IF(COUNTIF(C140:C$501,C139)=0,1,0))</f>
        <v/>
      </c>
    </row>
    <row r="140" customFormat="false" ht="15" hidden="false" customHeight="false" outlineLevel="0" collapsed="false">
      <c r="A140" s="17"/>
      <c r="B140" s="40"/>
      <c r="C140" s="17"/>
      <c r="D140" s="44" t="str">
        <f aca="false">IF(C140="","",IFERROR(INDEX(Inbound!$E$2:$E$501,MATCH(C140,Inbound!$A$2:$A$501,0)),IFERROR(INDEX(Outbound!$D$2:$D$501,MATCH(C140,Outbound!$A$2:$A$501,0)),"Lead ID not found")))</f>
        <v/>
      </c>
      <c r="E140" s="44" t="str">
        <f aca="false">IF(C140="","",IFERROR(INDEX(Inbound!$F$2:$F$501,MATCH(C140,Inbound!$A$2:$A$501,0)),IFERROR(INDEX(Outbound!$E$2:$E$501,MATCH(C140,Outbound!$A$2:$A$501,0)),"Lead ID not found")))</f>
        <v/>
      </c>
      <c r="F140" s="17"/>
      <c r="G140" s="17"/>
      <c r="H140" s="17"/>
      <c r="I140" s="17"/>
      <c r="J140" s="17"/>
      <c r="K140" s="17"/>
      <c r="L140" s="17"/>
      <c r="M140" s="17"/>
      <c r="N140" s="44" t="str">
        <f aca="false">IF(C140="","",COUNTA(H140:M140))</f>
        <v/>
      </c>
      <c r="O140" s="44" t="str">
        <f aca="false">IF(OR(C140="",N(N140)=0),"",SUMIFS(Settings!$AA$2:$AA$21,Settings!$Y$2:$Y$21,"Budget AED 5k+/mo?",Settings!$Z$2:$Z$21,H140)+SUMIFS(Settings!$AA$2:$AA$21,Settings!$Y$2:$Y$21,"Decision-maker?",Settings!$Z$2:$Z$21,I140)+SUMIFS(Settings!$AA$2:$AA$21,Settings!$Y$2:$Y$21,"Someone on camera?",Settings!$Z$2:$Z$21,J140)+SUMIFS(Settings!$AA$2:$AA$21,Settings!$Y$2:$Y$21,"OK with 3-month term?",Settings!$Z$2:$Z$21,K140)+SUMIFS(Settings!$AA$2:$AA$21,Settings!$Y$2:$Y$21,"Start timeline",Settings!$Z$2:$Z$21,L140)+SUMIFS(Settings!$AA$2:$AA$21,Settings!$Y$2:$Y$21,"Social media gap",Settings!$Z$2:$Z$21,M140)+IF(OR(E140="",E140="Lead ID not found"),0,IF(COUNTIF(Settings!$AC$2:$AC$6,E140)&gt;0,Settings!$AA$20,Settings!$AA$21)))</f>
        <v/>
      </c>
      <c r="P140" s="44" t="str">
        <f aca="false">IF(C140="","",IF(N(N140)&lt;6,"Partly scored ("&amp;N140&amp;"/6)",IF(O140&gt;=Settings!$S$8,"Hot",IF(O140&gt;=Settings!$S$9,"Warm","Cold"))))</f>
        <v/>
      </c>
      <c r="Q140" s="44" t="str">
        <f aca="false">IF(C140="","",IF(AND(H140="No",J140="No"),"🚩 Budget  ·  🚩 No one on camera",IF(H140="No","🚩 Budget under AED 5k",IF(J140="No","🚩 No one on camera",""))))</f>
        <v/>
      </c>
      <c r="R140" s="44" t="str">
        <f aca="false">IF(C140="","",IF(N(N140)&lt;6,"Finish the scoresheet before closing",IF(P140="Hot","Close now – send the contract / proposal today",IF(P140="Warm","Send proposal + a relevant result; follow up in 3 days","Rep's call – nurture or close politely")))&amp;IF(Q140&lt;&gt;""," (handle the 🚩 first)",""))</f>
        <v/>
      </c>
      <c r="S140" s="17"/>
      <c r="T140" s="17"/>
      <c r="U140" s="44" t="str">
        <f aca="false">IF(C140="","",IF(COUNTIF(C141:C$501,C140)=0,1,0))</f>
        <v/>
      </c>
    </row>
    <row r="141" customFormat="false" ht="15" hidden="false" customHeight="false" outlineLevel="0" collapsed="false">
      <c r="A141" s="17"/>
      <c r="B141" s="40"/>
      <c r="C141" s="17"/>
      <c r="D141" s="44" t="str">
        <f aca="false">IF(C141="","",IFERROR(INDEX(Inbound!$E$2:$E$501,MATCH(C141,Inbound!$A$2:$A$501,0)),IFERROR(INDEX(Outbound!$D$2:$D$501,MATCH(C141,Outbound!$A$2:$A$501,0)),"Lead ID not found")))</f>
        <v/>
      </c>
      <c r="E141" s="44" t="str">
        <f aca="false">IF(C141="","",IFERROR(INDEX(Inbound!$F$2:$F$501,MATCH(C141,Inbound!$A$2:$A$501,0)),IFERROR(INDEX(Outbound!$E$2:$E$501,MATCH(C141,Outbound!$A$2:$A$501,0)),"Lead ID not found")))</f>
        <v/>
      </c>
      <c r="F141" s="17"/>
      <c r="G141" s="17"/>
      <c r="H141" s="17"/>
      <c r="I141" s="17"/>
      <c r="J141" s="17"/>
      <c r="K141" s="17"/>
      <c r="L141" s="17"/>
      <c r="M141" s="17"/>
      <c r="N141" s="44" t="str">
        <f aca="false">IF(C141="","",COUNTA(H141:M141))</f>
        <v/>
      </c>
      <c r="O141" s="44" t="str">
        <f aca="false">IF(OR(C141="",N(N141)=0),"",SUMIFS(Settings!$AA$2:$AA$21,Settings!$Y$2:$Y$21,"Budget AED 5k+/mo?",Settings!$Z$2:$Z$21,H141)+SUMIFS(Settings!$AA$2:$AA$21,Settings!$Y$2:$Y$21,"Decision-maker?",Settings!$Z$2:$Z$21,I141)+SUMIFS(Settings!$AA$2:$AA$21,Settings!$Y$2:$Y$21,"Someone on camera?",Settings!$Z$2:$Z$21,J141)+SUMIFS(Settings!$AA$2:$AA$21,Settings!$Y$2:$Y$21,"OK with 3-month term?",Settings!$Z$2:$Z$21,K141)+SUMIFS(Settings!$AA$2:$AA$21,Settings!$Y$2:$Y$21,"Start timeline",Settings!$Z$2:$Z$21,L141)+SUMIFS(Settings!$AA$2:$AA$21,Settings!$Y$2:$Y$21,"Social media gap",Settings!$Z$2:$Z$21,M141)+IF(OR(E141="",E141="Lead ID not found"),0,IF(COUNTIF(Settings!$AC$2:$AC$6,E141)&gt;0,Settings!$AA$20,Settings!$AA$21)))</f>
        <v/>
      </c>
      <c r="P141" s="44" t="str">
        <f aca="false">IF(C141="","",IF(N(N141)&lt;6,"Partly scored ("&amp;N141&amp;"/6)",IF(O141&gt;=Settings!$S$8,"Hot",IF(O141&gt;=Settings!$S$9,"Warm","Cold"))))</f>
        <v/>
      </c>
      <c r="Q141" s="44" t="str">
        <f aca="false">IF(C141="","",IF(AND(H141="No",J141="No"),"🚩 Budget  ·  🚩 No one on camera",IF(H141="No","🚩 Budget under AED 5k",IF(J141="No","🚩 No one on camera",""))))</f>
        <v/>
      </c>
      <c r="R141" s="44" t="str">
        <f aca="false">IF(C141="","",IF(N(N141)&lt;6,"Finish the scoresheet before closing",IF(P141="Hot","Close now – send the contract / proposal today",IF(P141="Warm","Send proposal + a relevant result; follow up in 3 days","Rep's call – nurture or close politely")))&amp;IF(Q141&lt;&gt;""," (handle the 🚩 first)",""))</f>
        <v/>
      </c>
      <c r="S141" s="17"/>
      <c r="T141" s="17"/>
      <c r="U141" s="44" t="str">
        <f aca="false">IF(C141="","",IF(COUNTIF(C142:C$501,C141)=0,1,0))</f>
        <v/>
      </c>
    </row>
    <row r="142" customFormat="false" ht="15" hidden="false" customHeight="false" outlineLevel="0" collapsed="false">
      <c r="A142" s="17"/>
      <c r="B142" s="40"/>
      <c r="C142" s="17"/>
      <c r="D142" s="44" t="str">
        <f aca="false">IF(C142="","",IFERROR(INDEX(Inbound!$E$2:$E$501,MATCH(C142,Inbound!$A$2:$A$501,0)),IFERROR(INDEX(Outbound!$D$2:$D$501,MATCH(C142,Outbound!$A$2:$A$501,0)),"Lead ID not found")))</f>
        <v/>
      </c>
      <c r="E142" s="44" t="str">
        <f aca="false">IF(C142="","",IFERROR(INDEX(Inbound!$F$2:$F$501,MATCH(C142,Inbound!$A$2:$A$501,0)),IFERROR(INDEX(Outbound!$E$2:$E$501,MATCH(C142,Outbound!$A$2:$A$501,0)),"Lead ID not found")))</f>
        <v/>
      </c>
      <c r="F142" s="17"/>
      <c r="G142" s="17"/>
      <c r="H142" s="17"/>
      <c r="I142" s="17"/>
      <c r="J142" s="17"/>
      <c r="K142" s="17"/>
      <c r="L142" s="17"/>
      <c r="M142" s="17"/>
      <c r="N142" s="44" t="str">
        <f aca="false">IF(C142="","",COUNTA(H142:M142))</f>
        <v/>
      </c>
      <c r="O142" s="44" t="str">
        <f aca="false">IF(OR(C142="",N(N142)=0),"",SUMIFS(Settings!$AA$2:$AA$21,Settings!$Y$2:$Y$21,"Budget AED 5k+/mo?",Settings!$Z$2:$Z$21,H142)+SUMIFS(Settings!$AA$2:$AA$21,Settings!$Y$2:$Y$21,"Decision-maker?",Settings!$Z$2:$Z$21,I142)+SUMIFS(Settings!$AA$2:$AA$21,Settings!$Y$2:$Y$21,"Someone on camera?",Settings!$Z$2:$Z$21,J142)+SUMIFS(Settings!$AA$2:$AA$21,Settings!$Y$2:$Y$21,"OK with 3-month term?",Settings!$Z$2:$Z$21,K142)+SUMIFS(Settings!$AA$2:$AA$21,Settings!$Y$2:$Y$21,"Start timeline",Settings!$Z$2:$Z$21,L142)+SUMIFS(Settings!$AA$2:$AA$21,Settings!$Y$2:$Y$21,"Social media gap",Settings!$Z$2:$Z$21,M142)+IF(OR(E142="",E142="Lead ID not found"),0,IF(COUNTIF(Settings!$AC$2:$AC$6,E142)&gt;0,Settings!$AA$20,Settings!$AA$21)))</f>
        <v/>
      </c>
      <c r="P142" s="44" t="str">
        <f aca="false">IF(C142="","",IF(N(N142)&lt;6,"Partly scored ("&amp;N142&amp;"/6)",IF(O142&gt;=Settings!$S$8,"Hot",IF(O142&gt;=Settings!$S$9,"Warm","Cold"))))</f>
        <v/>
      </c>
      <c r="Q142" s="44" t="str">
        <f aca="false">IF(C142="","",IF(AND(H142="No",J142="No"),"🚩 Budget  ·  🚩 No one on camera",IF(H142="No","🚩 Budget under AED 5k",IF(J142="No","🚩 No one on camera",""))))</f>
        <v/>
      </c>
      <c r="R142" s="44" t="str">
        <f aca="false">IF(C142="","",IF(N(N142)&lt;6,"Finish the scoresheet before closing",IF(P142="Hot","Close now – send the contract / proposal today",IF(P142="Warm","Send proposal + a relevant result; follow up in 3 days","Rep's call – nurture or close politely")))&amp;IF(Q142&lt;&gt;""," (handle the 🚩 first)",""))</f>
        <v/>
      </c>
      <c r="S142" s="17"/>
      <c r="T142" s="17"/>
      <c r="U142" s="44" t="str">
        <f aca="false">IF(C142="","",IF(COUNTIF(C143:C$501,C142)=0,1,0))</f>
        <v/>
      </c>
    </row>
    <row r="143" customFormat="false" ht="15" hidden="false" customHeight="false" outlineLevel="0" collapsed="false">
      <c r="A143" s="17"/>
      <c r="B143" s="40"/>
      <c r="C143" s="17"/>
      <c r="D143" s="44" t="str">
        <f aca="false">IF(C143="","",IFERROR(INDEX(Inbound!$E$2:$E$501,MATCH(C143,Inbound!$A$2:$A$501,0)),IFERROR(INDEX(Outbound!$D$2:$D$501,MATCH(C143,Outbound!$A$2:$A$501,0)),"Lead ID not found")))</f>
        <v/>
      </c>
      <c r="E143" s="44" t="str">
        <f aca="false">IF(C143="","",IFERROR(INDEX(Inbound!$F$2:$F$501,MATCH(C143,Inbound!$A$2:$A$501,0)),IFERROR(INDEX(Outbound!$E$2:$E$501,MATCH(C143,Outbound!$A$2:$A$501,0)),"Lead ID not found")))</f>
        <v/>
      </c>
      <c r="F143" s="17"/>
      <c r="G143" s="17"/>
      <c r="H143" s="17"/>
      <c r="I143" s="17"/>
      <c r="J143" s="17"/>
      <c r="K143" s="17"/>
      <c r="L143" s="17"/>
      <c r="M143" s="17"/>
      <c r="N143" s="44" t="str">
        <f aca="false">IF(C143="","",COUNTA(H143:M143))</f>
        <v/>
      </c>
      <c r="O143" s="44" t="str">
        <f aca="false">IF(OR(C143="",N(N143)=0),"",SUMIFS(Settings!$AA$2:$AA$21,Settings!$Y$2:$Y$21,"Budget AED 5k+/mo?",Settings!$Z$2:$Z$21,H143)+SUMIFS(Settings!$AA$2:$AA$21,Settings!$Y$2:$Y$21,"Decision-maker?",Settings!$Z$2:$Z$21,I143)+SUMIFS(Settings!$AA$2:$AA$21,Settings!$Y$2:$Y$21,"Someone on camera?",Settings!$Z$2:$Z$21,J143)+SUMIFS(Settings!$AA$2:$AA$21,Settings!$Y$2:$Y$21,"OK with 3-month term?",Settings!$Z$2:$Z$21,K143)+SUMIFS(Settings!$AA$2:$AA$21,Settings!$Y$2:$Y$21,"Start timeline",Settings!$Z$2:$Z$21,L143)+SUMIFS(Settings!$AA$2:$AA$21,Settings!$Y$2:$Y$21,"Social media gap",Settings!$Z$2:$Z$21,M143)+IF(OR(E143="",E143="Lead ID not found"),0,IF(COUNTIF(Settings!$AC$2:$AC$6,E143)&gt;0,Settings!$AA$20,Settings!$AA$21)))</f>
        <v/>
      </c>
      <c r="P143" s="44" t="str">
        <f aca="false">IF(C143="","",IF(N(N143)&lt;6,"Partly scored ("&amp;N143&amp;"/6)",IF(O143&gt;=Settings!$S$8,"Hot",IF(O143&gt;=Settings!$S$9,"Warm","Cold"))))</f>
        <v/>
      </c>
      <c r="Q143" s="44" t="str">
        <f aca="false">IF(C143="","",IF(AND(H143="No",J143="No"),"🚩 Budget  ·  🚩 No one on camera",IF(H143="No","🚩 Budget under AED 5k",IF(J143="No","🚩 No one on camera",""))))</f>
        <v/>
      </c>
      <c r="R143" s="44" t="str">
        <f aca="false">IF(C143="","",IF(N(N143)&lt;6,"Finish the scoresheet before closing",IF(P143="Hot","Close now – send the contract / proposal today",IF(P143="Warm","Send proposal + a relevant result; follow up in 3 days","Rep's call – nurture or close politely")))&amp;IF(Q143&lt;&gt;""," (handle the 🚩 first)",""))</f>
        <v/>
      </c>
      <c r="S143" s="17"/>
      <c r="T143" s="17"/>
      <c r="U143" s="44" t="str">
        <f aca="false">IF(C143="","",IF(COUNTIF(C144:C$501,C143)=0,1,0))</f>
        <v/>
      </c>
    </row>
    <row r="144" customFormat="false" ht="15" hidden="false" customHeight="false" outlineLevel="0" collapsed="false">
      <c r="A144" s="17"/>
      <c r="B144" s="40"/>
      <c r="C144" s="17"/>
      <c r="D144" s="44" t="str">
        <f aca="false">IF(C144="","",IFERROR(INDEX(Inbound!$E$2:$E$501,MATCH(C144,Inbound!$A$2:$A$501,0)),IFERROR(INDEX(Outbound!$D$2:$D$501,MATCH(C144,Outbound!$A$2:$A$501,0)),"Lead ID not found")))</f>
        <v/>
      </c>
      <c r="E144" s="44" t="str">
        <f aca="false">IF(C144="","",IFERROR(INDEX(Inbound!$F$2:$F$501,MATCH(C144,Inbound!$A$2:$A$501,0)),IFERROR(INDEX(Outbound!$E$2:$E$501,MATCH(C144,Outbound!$A$2:$A$501,0)),"Lead ID not found")))</f>
        <v/>
      </c>
      <c r="F144" s="17"/>
      <c r="G144" s="17"/>
      <c r="H144" s="17"/>
      <c r="I144" s="17"/>
      <c r="J144" s="17"/>
      <c r="K144" s="17"/>
      <c r="L144" s="17"/>
      <c r="M144" s="17"/>
      <c r="N144" s="44" t="str">
        <f aca="false">IF(C144="","",COUNTA(H144:M144))</f>
        <v/>
      </c>
      <c r="O144" s="44" t="str">
        <f aca="false">IF(OR(C144="",N(N144)=0),"",SUMIFS(Settings!$AA$2:$AA$21,Settings!$Y$2:$Y$21,"Budget AED 5k+/mo?",Settings!$Z$2:$Z$21,H144)+SUMIFS(Settings!$AA$2:$AA$21,Settings!$Y$2:$Y$21,"Decision-maker?",Settings!$Z$2:$Z$21,I144)+SUMIFS(Settings!$AA$2:$AA$21,Settings!$Y$2:$Y$21,"Someone on camera?",Settings!$Z$2:$Z$21,J144)+SUMIFS(Settings!$AA$2:$AA$21,Settings!$Y$2:$Y$21,"OK with 3-month term?",Settings!$Z$2:$Z$21,K144)+SUMIFS(Settings!$AA$2:$AA$21,Settings!$Y$2:$Y$21,"Start timeline",Settings!$Z$2:$Z$21,L144)+SUMIFS(Settings!$AA$2:$AA$21,Settings!$Y$2:$Y$21,"Social media gap",Settings!$Z$2:$Z$21,M144)+IF(OR(E144="",E144="Lead ID not found"),0,IF(COUNTIF(Settings!$AC$2:$AC$6,E144)&gt;0,Settings!$AA$20,Settings!$AA$21)))</f>
        <v/>
      </c>
      <c r="P144" s="44" t="str">
        <f aca="false">IF(C144="","",IF(N(N144)&lt;6,"Partly scored ("&amp;N144&amp;"/6)",IF(O144&gt;=Settings!$S$8,"Hot",IF(O144&gt;=Settings!$S$9,"Warm","Cold"))))</f>
        <v/>
      </c>
      <c r="Q144" s="44" t="str">
        <f aca="false">IF(C144="","",IF(AND(H144="No",J144="No"),"🚩 Budget  ·  🚩 No one on camera",IF(H144="No","🚩 Budget under AED 5k",IF(J144="No","🚩 No one on camera",""))))</f>
        <v/>
      </c>
      <c r="R144" s="44" t="str">
        <f aca="false">IF(C144="","",IF(N(N144)&lt;6,"Finish the scoresheet before closing",IF(P144="Hot","Close now – send the contract / proposal today",IF(P144="Warm","Send proposal + a relevant result; follow up in 3 days","Rep's call – nurture or close politely")))&amp;IF(Q144&lt;&gt;""," (handle the 🚩 first)",""))</f>
        <v/>
      </c>
      <c r="S144" s="17"/>
      <c r="T144" s="17"/>
      <c r="U144" s="44" t="str">
        <f aca="false">IF(C144="","",IF(COUNTIF(C145:C$501,C144)=0,1,0))</f>
        <v/>
      </c>
    </row>
    <row r="145" customFormat="false" ht="15" hidden="false" customHeight="false" outlineLevel="0" collapsed="false">
      <c r="A145" s="17"/>
      <c r="B145" s="40"/>
      <c r="C145" s="17"/>
      <c r="D145" s="44" t="str">
        <f aca="false">IF(C145="","",IFERROR(INDEX(Inbound!$E$2:$E$501,MATCH(C145,Inbound!$A$2:$A$501,0)),IFERROR(INDEX(Outbound!$D$2:$D$501,MATCH(C145,Outbound!$A$2:$A$501,0)),"Lead ID not found")))</f>
        <v/>
      </c>
      <c r="E145" s="44" t="str">
        <f aca="false">IF(C145="","",IFERROR(INDEX(Inbound!$F$2:$F$501,MATCH(C145,Inbound!$A$2:$A$501,0)),IFERROR(INDEX(Outbound!$E$2:$E$501,MATCH(C145,Outbound!$A$2:$A$501,0)),"Lead ID not found")))</f>
        <v/>
      </c>
      <c r="F145" s="17"/>
      <c r="G145" s="17"/>
      <c r="H145" s="17"/>
      <c r="I145" s="17"/>
      <c r="J145" s="17"/>
      <c r="K145" s="17"/>
      <c r="L145" s="17"/>
      <c r="M145" s="17"/>
      <c r="N145" s="44" t="str">
        <f aca="false">IF(C145="","",COUNTA(H145:M145))</f>
        <v/>
      </c>
      <c r="O145" s="44" t="str">
        <f aca="false">IF(OR(C145="",N(N145)=0),"",SUMIFS(Settings!$AA$2:$AA$21,Settings!$Y$2:$Y$21,"Budget AED 5k+/mo?",Settings!$Z$2:$Z$21,H145)+SUMIFS(Settings!$AA$2:$AA$21,Settings!$Y$2:$Y$21,"Decision-maker?",Settings!$Z$2:$Z$21,I145)+SUMIFS(Settings!$AA$2:$AA$21,Settings!$Y$2:$Y$21,"Someone on camera?",Settings!$Z$2:$Z$21,J145)+SUMIFS(Settings!$AA$2:$AA$21,Settings!$Y$2:$Y$21,"OK with 3-month term?",Settings!$Z$2:$Z$21,K145)+SUMIFS(Settings!$AA$2:$AA$21,Settings!$Y$2:$Y$21,"Start timeline",Settings!$Z$2:$Z$21,L145)+SUMIFS(Settings!$AA$2:$AA$21,Settings!$Y$2:$Y$21,"Social media gap",Settings!$Z$2:$Z$21,M145)+IF(OR(E145="",E145="Lead ID not found"),0,IF(COUNTIF(Settings!$AC$2:$AC$6,E145)&gt;0,Settings!$AA$20,Settings!$AA$21)))</f>
        <v/>
      </c>
      <c r="P145" s="44" t="str">
        <f aca="false">IF(C145="","",IF(N(N145)&lt;6,"Partly scored ("&amp;N145&amp;"/6)",IF(O145&gt;=Settings!$S$8,"Hot",IF(O145&gt;=Settings!$S$9,"Warm","Cold"))))</f>
        <v/>
      </c>
      <c r="Q145" s="44" t="str">
        <f aca="false">IF(C145="","",IF(AND(H145="No",J145="No"),"🚩 Budget  ·  🚩 No one on camera",IF(H145="No","🚩 Budget under AED 5k",IF(J145="No","🚩 No one on camera",""))))</f>
        <v/>
      </c>
      <c r="R145" s="44" t="str">
        <f aca="false">IF(C145="","",IF(N(N145)&lt;6,"Finish the scoresheet before closing",IF(P145="Hot","Close now – send the contract / proposal today",IF(P145="Warm","Send proposal + a relevant result; follow up in 3 days","Rep's call – nurture or close politely")))&amp;IF(Q145&lt;&gt;""," (handle the 🚩 first)",""))</f>
        <v/>
      </c>
      <c r="S145" s="17"/>
      <c r="T145" s="17"/>
      <c r="U145" s="44" t="str">
        <f aca="false">IF(C145="","",IF(COUNTIF(C146:C$501,C145)=0,1,0))</f>
        <v/>
      </c>
    </row>
    <row r="146" customFormat="false" ht="15" hidden="false" customHeight="false" outlineLevel="0" collapsed="false">
      <c r="A146" s="17"/>
      <c r="B146" s="40"/>
      <c r="C146" s="17"/>
      <c r="D146" s="44" t="str">
        <f aca="false">IF(C146="","",IFERROR(INDEX(Inbound!$E$2:$E$501,MATCH(C146,Inbound!$A$2:$A$501,0)),IFERROR(INDEX(Outbound!$D$2:$D$501,MATCH(C146,Outbound!$A$2:$A$501,0)),"Lead ID not found")))</f>
        <v/>
      </c>
      <c r="E146" s="44" t="str">
        <f aca="false">IF(C146="","",IFERROR(INDEX(Inbound!$F$2:$F$501,MATCH(C146,Inbound!$A$2:$A$501,0)),IFERROR(INDEX(Outbound!$E$2:$E$501,MATCH(C146,Outbound!$A$2:$A$501,0)),"Lead ID not found")))</f>
        <v/>
      </c>
      <c r="F146" s="17"/>
      <c r="G146" s="17"/>
      <c r="H146" s="17"/>
      <c r="I146" s="17"/>
      <c r="J146" s="17"/>
      <c r="K146" s="17"/>
      <c r="L146" s="17"/>
      <c r="M146" s="17"/>
      <c r="N146" s="44" t="str">
        <f aca="false">IF(C146="","",COUNTA(H146:M146))</f>
        <v/>
      </c>
      <c r="O146" s="44" t="str">
        <f aca="false">IF(OR(C146="",N(N146)=0),"",SUMIFS(Settings!$AA$2:$AA$21,Settings!$Y$2:$Y$21,"Budget AED 5k+/mo?",Settings!$Z$2:$Z$21,H146)+SUMIFS(Settings!$AA$2:$AA$21,Settings!$Y$2:$Y$21,"Decision-maker?",Settings!$Z$2:$Z$21,I146)+SUMIFS(Settings!$AA$2:$AA$21,Settings!$Y$2:$Y$21,"Someone on camera?",Settings!$Z$2:$Z$21,J146)+SUMIFS(Settings!$AA$2:$AA$21,Settings!$Y$2:$Y$21,"OK with 3-month term?",Settings!$Z$2:$Z$21,K146)+SUMIFS(Settings!$AA$2:$AA$21,Settings!$Y$2:$Y$21,"Start timeline",Settings!$Z$2:$Z$21,L146)+SUMIFS(Settings!$AA$2:$AA$21,Settings!$Y$2:$Y$21,"Social media gap",Settings!$Z$2:$Z$21,M146)+IF(OR(E146="",E146="Lead ID not found"),0,IF(COUNTIF(Settings!$AC$2:$AC$6,E146)&gt;0,Settings!$AA$20,Settings!$AA$21)))</f>
        <v/>
      </c>
      <c r="P146" s="44" t="str">
        <f aca="false">IF(C146="","",IF(N(N146)&lt;6,"Partly scored ("&amp;N146&amp;"/6)",IF(O146&gt;=Settings!$S$8,"Hot",IF(O146&gt;=Settings!$S$9,"Warm","Cold"))))</f>
        <v/>
      </c>
      <c r="Q146" s="44" t="str">
        <f aca="false">IF(C146="","",IF(AND(H146="No",J146="No"),"🚩 Budget  ·  🚩 No one on camera",IF(H146="No","🚩 Budget under AED 5k",IF(J146="No","🚩 No one on camera",""))))</f>
        <v/>
      </c>
      <c r="R146" s="44" t="str">
        <f aca="false">IF(C146="","",IF(N(N146)&lt;6,"Finish the scoresheet before closing",IF(P146="Hot","Close now – send the contract / proposal today",IF(P146="Warm","Send proposal + a relevant result; follow up in 3 days","Rep's call – nurture or close politely")))&amp;IF(Q146&lt;&gt;""," (handle the 🚩 first)",""))</f>
        <v/>
      </c>
      <c r="S146" s="17"/>
      <c r="T146" s="17"/>
      <c r="U146" s="44" t="str">
        <f aca="false">IF(C146="","",IF(COUNTIF(C147:C$501,C146)=0,1,0))</f>
        <v/>
      </c>
    </row>
    <row r="147" customFormat="false" ht="15" hidden="false" customHeight="false" outlineLevel="0" collapsed="false">
      <c r="A147" s="17"/>
      <c r="B147" s="40"/>
      <c r="C147" s="17"/>
      <c r="D147" s="44" t="str">
        <f aca="false">IF(C147="","",IFERROR(INDEX(Inbound!$E$2:$E$501,MATCH(C147,Inbound!$A$2:$A$501,0)),IFERROR(INDEX(Outbound!$D$2:$D$501,MATCH(C147,Outbound!$A$2:$A$501,0)),"Lead ID not found")))</f>
        <v/>
      </c>
      <c r="E147" s="44" t="str">
        <f aca="false">IF(C147="","",IFERROR(INDEX(Inbound!$F$2:$F$501,MATCH(C147,Inbound!$A$2:$A$501,0)),IFERROR(INDEX(Outbound!$E$2:$E$501,MATCH(C147,Outbound!$A$2:$A$501,0)),"Lead ID not found")))</f>
        <v/>
      </c>
      <c r="F147" s="17"/>
      <c r="G147" s="17"/>
      <c r="H147" s="17"/>
      <c r="I147" s="17"/>
      <c r="J147" s="17"/>
      <c r="K147" s="17"/>
      <c r="L147" s="17"/>
      <c r="M147" s="17"/>
      <c r="N147" s="44" t="str">
        <f aca="false">IF(C147="","",COUNTA(H147:M147))</f>
        <v/>
      </c>
      <c r="O147" s="44" t="str">
        <f aca="false">IF(OR(C147="",N(N147)=0),"",SUMIFS(Settings!$AA$2:$AA$21,Settings!$Y$2:$Y$21,"Budget AED 5k+/mo?",Settings!$Z$2:$Z$21,H147)+SUMIFS(Settings!$AA$2:$AA$21,Settings!$Y$2:$Y$21,"Decision-maker?",Settings!$Z$2:$Z$21,I147)+SUMIFS(Settings!$AA$2:$AA$21,Settings!$Y$2:$Y$21,"Someone on camera?",Settings!$Z$2:$Z$21,J147)+SUMIFS(Settings!$AA$2:$AA$21,Settings!$Y$2:$Y$21,"OK with 3-month term?",Settings!$Z$2:$Z$21,K147)+SUMIFS(Settings!$AA$2:$AA$21,Settings!$Y$2:$Y$21,"Start timeline",Settings!$Z$2:$Z$21,L147)+SUMIFS(Settings!$AA$2:$AA$21,Settings!$Y$2:$Y$21,"Social media gap",Settings!$Z$2:$Z$21,M147)+IF(OR(E147="",E147="Lead ID not found"),0,IF(COUNTIF(Settings!$AC$2:$AC$6,E147)&gt;0,Settings!$AA$20,Settings!$AA$21)))</f>
        <v/>
      </c>
      <c r="P147" s="44" t="str">
        <f aca="false">IF(C147="","",IF(N(N147)&lt;6,"Partly scored ("&amp;N147&amp;"/6)",IF(O147&gt;=Settings!$S$8,"Hot",IF(O147&gt;=Settings!$S$9,"Warm","Cold"))))</f>
        <v/>
      </c>
      <c r="Q147" s="44" t="str">
        <f aca="false">IF(C147="","",IF(AND(H147="No",J147="No"),"🚩 Budget  ·  🚩 No one on camera",IF(H147="No","🚩 Budget under AED 5k",IF(J147="No","🚩 No one on camera",""))))</f>
        <v/>
      </c>
      <c r="R147" s="44" t="str">
        <f aca="false">IF(C147="","",IF(N(N147)&lt;6,"Finish the scoresheet before closing",IF(P147="Hot","Close now – send the contract / proposal today",IF(P147="Warm","Send proposal + a relevant result; follow up in 3 days","Rep's call – nurture or close politely")))&amp;IF(Q147&lt;&gt;""," (handle the 🚩 first)",""))</f>
        <v/>
      </c>
      <c r="S147" s="17"/>
      <c r="T147" s="17"/>
      <c r="U147" s="44" t="str">
        <f aca="false">IF(C147="","",IF(COUNTIF(C148:C$501,C147)=0,1,0))</f>
        <v/>
      </c>
    </row>
    <row r="148" customFormat="false" ht="15" hidden="false" customHeight="false" outlineLevel="0" collapsed="false">
      <c r="A148" s="17"/>
      <c r="B148" s="40"/>
      <c r="C148" s="17"/>
      <c r="D148" s="44" t="str">
        <f aca="false">IF(C148="","",IFERROR(INDEX(Inbound!$E$2:$E$501,MATCH(C148,Inbound!$A$2:$A$501,0)),IFERROR(INDEX(Outbound!$D$2:$D$501,MATCH(C148,Outbound!$A$2:$A$501,0)),"Lead ID not found")))</f>
        <v/>
      </c>
      <c r="E148" s="44" t="str">
        <f aca="false">IF(C148="","",IFERROR(INDEX(Inbound!$F$2:$F$501,MATCH(C148,Inbound!$A$2:$A$501,0)),IFERROR(INDEX(Outbound!$E$2:$E$501,MATCH(C148,Outbound!$A$2:$A$501,0)),"Lead ID not found")))</f>
        <v/>
      </c>
      <c r="F148" s="17"/>
      <c r="G148" s="17"/>
      <c r="H148" s="17"/>
      <c r="I148" s="17"/>
      <c r="J148" s="17"/>
      <c r="K148" s="17"/>
      <c r="L148" s="17"/>
      <c r="M148" s="17"/>
      <c r="N148" s="44" t="str">
        <f aca="false">IF(C148="","",COUNTA(H148:M148))</f>
        <v/>
      </c>
      <c r="O148" s="44" t="str">
        <f aca="false">IF(OR(C148="",N(N148)=0),"",SUMIFS(Settings!$AA$2:$AA$21,Settings!$Y$2:$Y$21,"Budget AED 5k+/mo?",Settings!$Z$2:$Z$21,H148)+SUMIFS(Settings!$AA$2:$AA$21,Settings!$Y$2:$Y$21,"Decision-maker?",Settings!$Z$2:$Z$21,I148)+SUMIFS(Settings!$AA$2:$AA$21,Settings!$Y$2:$Y$21,"Someone on camera?",Settings!$Z$2:$Z$21,J148)+SUMIFS(Settings!$AA$2:$AA$21,Settings!$Y$2:$Y$21,"OK with 3-month term?",Settings!$Z$2:$Z$21,K148)+SUMIFS(Settings!$AA$2:$AA$21,Settings!$Y$2:$Y$21,"Start timeline",Settings!$Z$2:$Z$21,L148)+SUMIFS(Settings!$AA$2:$AA$21,Settings!$Y$2:$Y$21,"Social media gap",Settings!$Z$2:$Z$21,M148)+IF(OR(E148="",E148="Lead ID not found"),0,IF(COUNTIF(Settings!$AC$2:$AC$6,E148)&gt;0,Settings!$AA$20,Settings!$AA$21)))</f>
        <v/>
      </c>
      <c r="P148" s="44" t="str">
        <f aca="false">IF(C148="","",IF(N(N148)&lt;6,"Partly scored ("&amp;N148&amp;"/6)",IF(O148&gt;=Settings!$S$8,"Hot",IF(O148&gt;=Settings!$S$9,"Warm","Cold"))))</f>
        <v/>
      </c>
      <c r="Q148" s="44" t="str">
        <f aca="false">IF(C148="","",IF(AND(H148="No",J148="No"),"🚩 Budget  ·  🚩 No one on camera",IF(H148="No","🚩 Budget under AED 5k",IF(J148="No","🚩 No one on camera",""))))</f>
        <v/>
      </c>
      <c r="R148" s="44" t="str">
        <f aca="false">IF(C148="","",IF(N(N148)&lt;6,"Finish the scoresheet before closing",IF(P148="Hot","Close now – send the contract / proposal today",IF(P148="Warm","Send proposal + a relevant result; follow up in 3 days","Rep's call – nurture or close politely")))&amp;IF(Q148&lt;&gt;""," (handle the 🚩 first)",""))</f>
        <v/>
      </c>
      <c r="S148" s="17"/>
      <c r="T148" s="17"/>
      <c r="U148" s="44" t="str">
        <f aca="false">IF(C148="","",IF(COUNTIF(C149:C$501,C148)=0,1,0))</f>
        <v/>
      </c>
    </row>
    <row r="149" customFormat="false" ht="15" hidden="false" customHeight="false" outlineLevel="0" collapsed="false">
      <c r="A149" s="17"/>
      <c r="B149" s="40"/>
      <c r="C149" s="17"/>
      <c r="D149" s="44" t="str">
        <f aca="false">IF(C149="","",IFERROR(INDEX(Inbound!$E$2:$E$501,MATCH(C149,Inbound!$A$2:$A$501,0)),IFERROR(INDEX(Outbound!$D$2:$D$501,MATCH(C149,Outbound!$A$2:$A$501,0)),"Lead ID not found")))</f>
        <v/>
      </c>
      <c r="E149" s="44" t="str">
        <f aca="false">IF(C149="","",IFERROR(INDEX(Inbound!$F$2:$F$501,MATCH(C149,Inbound!$A$2:$A$501,0)),IFERROR(INDEX(Outbound!$E$2:$E$501,MATCH(C149,Outbound!$A$2:$A$501,0)),"Lead ID not found")))</f>
        <v/>
      </c>
      <c r="F149" s="17"/>
      <c r="G149" s="17"/>
      <c r="H149" s="17"/>
      <c r="I149" s="17"/>
      <c r="J149" s="17"/>
      <c r="K149" s="17"/>
      <c r="L149" s="17"/>
      <c r="M149" s="17"/>
      <c r="N149" s="44" t="str">
        <f aca="false">IF(C149="","",COUNTA(H149:M149))</f>
        <v/>
      </c>
      <c r="O149" s="44" t="str">
        <f aca="false">IF(OR(C149="",N(N149)=0),"",SUMIFS(Settings!$AA$2:$AA$21,Settings!$Y$2:$Y$21,"Budget AED 5k+/mo?",Settings!$Z$2:$Z$21,H149)+SUMIFS(Settings!$AA$2:$AA$21,Settings!$Y$2:$Y$21,"Decision-maker?",Settings!$Z$2:$Z$21,I149)+SUMIFS(Settings!$AA$2:$AA$21,Settings!$Y$2:$Y$21,"Someone on camera?",Settings!$Z$2:$Z$21,J149)+SUMIFS(Settings!$AA$2:$AA$21,Settings!$Y$2:$Y$21,"OK with 3-month term?",Settings!$Z$2:$Z$21,K149)+SUMIFS(Settings!$AA$2:$AA$21,Settings!$Y$2:$Y$21,"Start timeline",Settings!$Z$2:$Z$21,L149)+SUMIFS(Settings!$AA$2:$AA$21,Settings!$Y$2:$Y$21,"Social media gap",Settings!$Z$2:$Z$21,M149)+IF(OR(E149="",E149="Lead ID not found"),0,IF(COUNTIF(Settings!$AC$2:$AC$6,E149)&gt;0,Settings!$AA$20,Settings!$AA$21)))</f>
        <v/>
      </c>
      <c r="P149" s="44" t="str">
        <f aca="false">IF(C149="","",IF(N(N149)&lt;6,"Partly scored ("&amp;N149&amp;"/6)",IF(O149&gt;=Settings!$S$8,"Hot",IF(O149&gt;=Settings!$S$9,"Warm","Cold"))))</f>
        <v/>
      </c>
      <c r="Q149" s="44" t="str">
        <f aca="false">IF(C149="","",IF(AND(H149="No",J149="No"),"🚩 Budget  ·  🚩 No one on camera",IF(H149="No","🚩 Budget under AED 5k",IF(J149="No","🚩 No one on camera",""))))</f>
        <v/>
      </c>
      <c r="R149" s="44" t="str">
        <f aca="false">IF(C149="","",IF(N(N149)&lt;6,"Finish the scoresheet before closing",IF(P149="Hot","Close now – send the contract / proposal today",IF(P149="Warm","Send proposal + a relevant result; follow up in 3 days","Rep's call – nurture or close politely")))&amp;IF(Q149&lt;&gt;""," (handle the 🚩 first)",""))</f>
        <v/>
      </c>
      <c r="S149" s="17"/>
      <c r="T149" s="17"/>
      <c r="U149" s="44" t="str">
        <f aca="false">IF(C149="","",IF(COUNTIF(C150:C$501,C149)=0,1,0))</f>
        <v/>
      </c>
    </row>
    <row r="150" customFormat="false" ht="15" hidden="false" customHeight="false" outlineLevel="0" collapsed="false">
      <c r="A150" s="17"/>
      <c r="B150" s="40"/>
      <c r="C150" s="17"/>
      <c r="D150" s="44" t="str">
        <f aca="false">IF(C150="","",IFERROR(INDEX(Inbound!$E$2:$E$501,MATCH(C150,Inbound!$A$2:$A$501,0)),IFERROR(INDEX(Outbound!$D$2:$D$501,MATCH(C150,Outbound!$A$2:$A$501,0)),"Lead ID not found")))</f>
        <v/>
      </c>
      <c r="E150" s="44" t="str">
        <f aca="false">IF(C150="","",IFERROR(INDEX(Inbound!$F$2:$F$501,MATCH(C150,Inbound!$A$2:$A$501,0)),IFERROR(INDEX(Outbound!$E$2:$E$501,MATCH(C150,Outbound!$A$2:$A$501,0)),"Lead ID not found")))</f>
        <v/>
      </c>
      <c r="F150" s="17"/>
      <c r="G150" s="17"/>
      <c r="H150" s="17"/>
      <c r="I150" s="17"/>
      <c r="J150" s="17"/>
      <c r="K150" s="17"/>
      <c r="L150" s="17"/>
      <c r="M150" s="17"/>
      <c r="N150" s="44" t="str">
        <f aca="false">IF(C150="","",COUNTA(H150:M150))</f>
        <v/>
      </c>
      <c r="O150" s="44" t="str">
        <f aca="false">IF(OR(C150="",N(N150)=0),"",SUMIFS(Settings!$AA$2:$AA$21,Settings!$Y$2:$Y$21,"Budget AED 5k+/mo?",Settings!$Z$2:$Z$21,H150)+SUMIFS(Settings!$AA$2:$AA$21,Settings!$Y$2:$Y$21,"Decision-maker?",Settings!$Z$2:$Z$21,I150)+SUMIFS(Settings!$AA$2:$AA$21,Settings!$Y$2:$Y$21,"Someone on camera?",Settings!$Z$2:$Z$21,J150)+SUMIFS(Settings!$AA$2:$AA$21,Settings!$Y$2:$Y$21,"OK with 3-month term?",Settings!$Z$2:$Z$21,K150)+SUMIFS(Settings!$AA$2:$AA$21,Settings!$Y$2:$Y$21,"Start timeline",Settings!$Z$2:$Z$21,L150)+SUMIFS(Settings!$AA$2:$AA$21,Settings!$Y$2:$Y$21,"Social media gap",Settings!$Z$2:$Z$21,M150)+IF(OR(E150="",E150="Lead ID not found"),0,IF(COUNTIF(Settings!$AC$2:$AC$6,E150)&gt;0,Settings!$AA$20,Settings!$AA$21)))</f>
        <v/>
      </c>
      <c r="P150" s="44" t="str">
        <f aca="false">IF(C150="","",IF(N(N150)&lt;6,"Partly scored ("&amp;N150&amp;"/6)",IF(O150&gt;=Settings!$S$8,"Hot",IF(O150&gt;=Settings!$S$9,"Warm","Cold"))))</f>
        <v/>
      </c>
      <c r="Q150" s="44" t="str">
        <f aca="false">IF(C150="","",IF(AND(H150="No",J150="No"),"🚩 Budget  ·  🚩 No one on camera",IF(H150="No","🚩 Budget under AED 5k",IF(J150="No","🚩 No one on camera",""))))</f>
        <v/>
      </c>
      <c r="R150" s="44" t="str">
        <f aca="false">IF(C150="","",IF(N(N150)&lt;6,"Finish the scoresheet before closing",IF(P150="Hot","Close now – send the contract / proposal today",IF(P150="Warm","Send proposal + a relevant result; follow up in 3 days","Rep's call – nurture or close politely")))&amp;IF(Q150&lt;&gt;""," (handle the 🚩 first)",""))</f>
        <v/>
      </c>
      <c r="S150" s="17"/>
      <c r="T150" s="17"/>
      <c r="U150" s="44" t="str">
        <f aca="false">IF(C150="","",IF(COUNTIF(C151:C$501,C150)=0,1,0))</f>
        <v/>
      </c>
    </row>
    <row r="151" customFormat="false" ht="15" hidden="false" customHeight="false" outlineLevel="0" collapsed="false">
      <c r="A151" s="17"/>
      <c r="B151" s="40"/>
      <c r="C151" s="17"/>
      <c r="D151" s="44" t="str">
        <f aca="false">IF(C151="","",IFERROR(INDEX(Inbound!$E$2:$E$501,MATCH(C151,Inbound!$A$2:$A$501,0)),IFERROR(INDEX(Outbound!$D$2:$D$501,MATCH(C151,Outbound!$A$2:$A$501,0)),"Lead ID not found")))</f>
        <v/>
      </c>
      <c r="E151" s="44" t="str">
        <f aca="false">IF(C151="","",IFERROR(INDEX(Inbound!$F$2:$F$501,MATCH(C151,Inbound!$A$2:$A$501,0)),IFERROR(INDEX(Outbound!$E$2:$E$501,MATCH(C151,Outbound!$A$2:$A$501,0)),"Lead ID not found")))</f>
        <v/>
      </c>
      <c r="F151" s="17"/>
      <c r="G151" s="17"/>
      <c r="H151" s="17"/>
      <c r="I151" s="17"/>
      <c r="J151" s="17"/>
      <c r="K151" s="17"/>
      <c r="L151" s="17"/>
      <c r="M151" s="17"/>
      <c r="N151" s="44" t="str">
        <f aca="false">IF(C151="","",COUNTA(H151:M151))</f>
        <v/>
      </c>
      <c r="O151" s="44" t="str">
        <f aca="false">IF(OR(C151="",N(N151)=0),"",SUMIFS(Settings!$AA$2:$AA$21,Settings!$Y$2:$Y$21,"Budget AED 5k+/mo?",Settings!$Z$2:$Z$21,H151)+SUMIFS(Settings!$AA$2:$AA$21,Settings!$Y$2:$Y$21,"Decision-maker?",Settings!$Z$2:$Z$21,I151)+SUMIFS(Settings!$AA$2:$AA$21,Settings!$Y$2:$Y$21,"Someone on camera?",Settings!$Z$2:$Z$21,J151)+SUMIFS(Settings!$AA$2:$AA$21,Settings!$Y$2:$Y$21,"OK with 3-month term?",Settings!$Z$2:$Z$21,K151)+SUMIFS(Settings!$AA$2:$AA$21,Settings!$Y$2:$Y$21,"Start timeline",Settings!$Z$2:$Z$21,L151)+SUMIFS(Settings!$AA$2:$AA$21,Settings!$Y$2:$Y$21,"Social media gap",Settings!$Z$2:$Z$21,M151)+IF(OR(E151="",E151="Lead ID not found"),0,IF(COUNTIF(Settings!$AC$2:$AC$6,E151)&gt;0,Settings!$AA$20,Settings!$AA$21)))</f>
        <v/>
      </c>
      <c r="P151" s="44" t="str">
        <f aca="false">IF(C151="","",IF(N(N151)&lt;6,"Partly scored ("&amp;N151&amp;"/6)",IF(O151&gt;=Settings!$S$8,"Hot",IF(O151&gt;=Settings!$S$9,"Warm","Cold"))))</f>
        <v/>
      </c>
      <c r="Q151" s="44" t="str">
        <f aca="false">IF(C151="","",IF(AND(H151="No",J151="No"),"🚩 Budget  ·  🚩 No one on camera",IF(H151="No","🚩 Budget under AED 5k",IF(J151="No","🚩 No one on camera",""))))</f>
        <v/>
      </c>
      <c r="R151" s="44" t="str">
        <f aca="false">IF(C151="","",IF(N(N151)&lt;6,"Finish the scoresheet before closing",IF(P151="Hot","Close now – send the contract / proposal today",IF(P151="Warm","Send proposal + a relevant result; follow up in 3 days","Rep's call – nurture or close politely")))&amp;IF(Q151&lt;&gt;""," (handle the 🚩 first)",""))</f>
        <v/>
      </c>
      <c r="S151" s="17"/>
      <c r="T151" s="17"/>
      <c r="U151" s="44" t="str">
        <f aca="false">IF(C151="","",IF(COUNTIF(C152:C$501,C151)=0,1,0))</f>
        <v/>
      </c>
    </row>
    <row r="152" customFormat="false" ht="15" hidden="false" customHeight="false" outlineLevel="0" collapsed="false">
      <c r="A152" s="17"/>
      <c r="B152" s="40"/>
      <c r="C152" s="17"/>
      <c r="D152" s="44" t="str">
        <f aca="false">IF(C152="","",IFERROR(INDEX(Inbound!$E$2:$E$501,MATCH(C152,Inbound!$A$2:$A$501,0)),IFERROR(INDEX(Outbound!$D$2:$D$501,MATCH(C152,Outbound!$A$2:$A$501,0)),"Lead ID not found")))</f>
        <v/>
      </c>
      <c r="E152" s="44" t="str">
        <f aca="false">IF(C152="","",IFERROR(INDEX(Inbound!$F$2:$F$501,MATCH(C152,Inbound!$A$2:$A$501,0)),IFERROR(INDEX(Outbound!$E$2:$E$501,MATCH(C152,Outbound!$A$2:$A$501,0)),"Lead ID not found")))</f>
        <v/>
      </c>
      <c r="F152" s="17"/>
      <c r="G152" s="17"/>
      <c r="H152" s="17"/>
      <c r="I152" s="17"/>
      <c r="J152" s="17"/>
      <c r="K152" s="17"/>
      <c r="L152" s="17"/>
      <c r="M152" s="17"/>
      <c r="N152" s="44" t="str">
        <f aca="false">IF(C152="","",COUNTA(H152:M152))</f>
        <v/>
      </c>
      <c r="O152" s="44" t="str">
        <f aca="false">IF(OR(C152="",N(N152)=0),"",SUMIFS(Settings!$AA$2:$AA$21,Settings!$Y$2:$Y$21,"Budget AED 5k+/mo?",Settings!$Z$2:$Z$21,H152)+SUMIFS(Settings!$AA$2:$AA$21,Settings!$Y$2:$Y$21,"Decision-maker?",Settings!$Z$2:$Z$21,I152)+SUMIFS(Settings!$AA$2:$AA$21,Settings!$Y$2:$Y$21,"Someone on camera?",Settings!$Z$2:$Z$21,J152)+SUMIFS(Settings!$AA$2:$AA$21,Settings!$Y$2:$Y$21,"OK with 3-month term?",Settings!$Z$2:$Z$21,K152)+SUMIFS(Settings!$AA$2:$AA$21,Settings!$Y$2:$Y$21,"Start timeline",Settings!$Z$2:$Z$21,L152)+SUMIFS(Settings!$AA$2:$AA$21,Settings!$Y$2:$Y$21,"Social media gap",Settings!$Z$2:$Z$21,M152)+IF(OR(E152="",E152="Lead ID not found"),0,IF(COUNTIF(Settings!$AC$2:$AC$6,E152)&gt;0,Settings!$AA$20,Settings!$AA$21)))</f>
        <v/>
      </c>
      <c r="P152" s="44" t="str">
        <f aca="false">IF(C152="","",IF(N(N152)&lt;6,"Partly scored ("&amp;N152&amp;"/6)",IF(O152&gt;=Settings!$S$8,"Hot",IF(O152&gt;=Settings!$S$9,"Warm","Cold"))))</f>
        <v/>
      </c>
      <c r="Q152" s="44" t="str">
        <f aca="false">IF(C152="","",IF(AND(H152="No",J152="No"),"🚩 Budget  ·  🚩 No one on camera",IF(H152="No","🚩 Budget under AED 5k",IF(J152="No","🚩 No one on camera",""))))</f>
        <v/>
      </c>
      <c r="R152" s="44" t="str">
        <f aca="false">IF(C152="","",IF(N(N152)&lt;6,"Finish the scoresheet before closing",IF(P152="Hot","Close now – send the contract / proposal today",IF(P152="Warm","Send proposal + a relevant result; follow up in 3 days","Rep's call – nurture or close politely")))&amp;IF(Q152&lt;&gt;""," (handle the 🚩 first)",""))</f>
        <v/>
      </c>
      <c r="S152" s="17"/>
      <c r="T152" s="17"/>
      <c r="U152" s="44" t="str">
        <f aca="false">IF(C152="","",IF(COUNTIF(C153:C$501,C152)=0,1,0))</f>
        <v/>
      </c>
    </row>
    <row r="153" customFormat="false" ht="15" hidden="false" customHeight="false" outlineLevel="0" collapsed="false">
      <c r="A153" s="17"/>
      <c r="B153" s="40"/>
      <c r="C153" s="17"/>
      <c r="D153" s="44" t="str">
        <f aca="false">IF(C153="","",IFERROR(INDEX(Inbound!$E$2:$E$501,MATCH(C153,Inbound!$A$2:$A$501,0)),IFERROR(INDEX(Outbound!$D$2:$D$501,MATCH(C153,Outbound!$A$2:$A$501,0)),"Lead ID not found")))</f>
        <v/>
      </c>
      <c r="E153" s="44" t="str">
        <f aca="false">IF(C153="","",IFERROR(INDEX(Inbound!$F$2:$F$501,MATCH(C153,Inbound!$A$2:$A$501,0)),IFERROR(INDEX(Outbound!$E$2:$E$501,MATCH(C153,Outbound!$A$2:$A$501,0)),"Lead ID not found")))</f>
        <v/>
      </c>
      <c r="F153" s="17"/>
      <c r="G153" s="17"/>
      <c r="H153" s="17"/>
      <c r="I153" s="17"/>
      <c r="J153" s="17"/>
      <c r="K153" s="17"/>
      <c r="L153" s="17"/>
      <c r="M153" s="17"/>
      <c r="N153" s="44" t="str">
        <f aca="false">IF(C153="","",COUNTA(H153:M153))</f>
        <v/>
      </c>
      <c r="O153" s="44" t="str">
        <f aca="false">IF(OR(C153="",N(N153)=0),"",SUMIFS(Settings!$AA$2:$AA$21,Settings!$Y$2:$Y$21,"Budget AED 5k+/mo?",Settings!$Z$2:$Z$21,H153)+SUMIFS(Settings!$AA$2:$AA$21,Settings!$Y$2:$Y$21,"Decision-maker?",Settings!$Z$2:$Z$21,I153)+SUMIFS(Settings!$AA$2:$AA$21,Settings!$Y$2:$Y$21,"Someone on camera?",Settings!$Z$2:$Z$21,J153)+SUMIFS(Settings!$AA$2:$AA$21,Settings!$Y$2:$Y$21,"OK with 3-month term?",Settings!$Z$2:$Z$21,K153)+SUMIFS(Settings!$AA$2:$AA$21,Settings!$Y$2:$Y$21,"Start timeline",Settings!$Z$2:$Z$21,L153)+SUMIFS(Settings!$AA$2:$AA$21,Settings!$Y$2:$Y$21,"Social media gap",Settings!$Z$2:$Z$21,M153)+IF(OR(E153="",E153="Lead ID not found"),0,IF(COUNTIF(Settings!$AC$2:$AC$6,E153)&gt;0,Settings!$AA$20,Settings!$AA$21)))</f>
        <v/>
      </c>
      <c r="P153" s="44" t="str">
        <f aca="false">IF(C153="","",IF(N(N153)&lt;6,"Partly scored ("&amp;N153&amp;"/6)",IF(O153&gt;=Settings!$S$8,"Hot",IF(O153&gt;=Settings!$S$9,"Warm","Cold"))))</f>
        <v/>
      </c>
      <c r="Q153" s="44" t="str">
        <f aca="false">IF(C153="","",IF(AND(H153="No",J153="No"),"🚩 Budget  ·  🚩 No one on camera",IF(H153="No","🚩 Budget under AED 5k",IF(J153="No","🚩 No one on camera",""))))</f>
        <v/>
      </c>
      <c r="R153" s="44" t="str">
        <f aca="false">IF(C153="","",IF(N(N153)&lt;6,"Finish the scoresheet before closing",IF(P153="Hot","Close now – send the contract / proposal today",IF(P153="Warm","Send proposal + a relevant result; follow up in 3 days","Rep's call – nurture or close politely")))&amp;IF(Q153&lt;&gt;""," (handle the 🚩 first)",""))</f>
        <v/>
      </c>
      <c r="S153" s="17"/>
      <c r="T153" s="17"/>
      <c r="U153" s="44" t="str">
        <f aca="false">IF(C153="","",IF(COUNTIF(C154:C$501,C153)=0,1,0))</f>
        <v/>
      </c>
    </row>
    <row r="154" customFormat="false" ht="15" hidden="false" customHeight="false" outlineLevel="0" collapsed="false">
      <c r="A154" s="17"/>
      <c r="B154" s="40"/>
      <c r="C154" s="17"/>
      <c r="D154" s="44" t="str">
        <f aca="false">IF(C154="","",IFERROR(INDEX(Inbound!$E$2:$E$501,MATCH(C154,Inbound!$A$2:$A$501,0)),IFERROR(INDEX(Outbound!$D$2:$D$501,MATCH(C154,Outbound!$A$2:$A$501,0)),"Lead ID not found")))</f>
        <v/>
      </c>
      <c r="E154" s="44" t="str">
        <f aca="false">IF(C154="","",IFERROR(INDEX(Inbound!$F$2:$F$501,MATCH(C154,Inbound!$A$2:$A$501,0)),IFERROR(INDEX(Outbound!$E$2:$E$501,MATCH(C154,Outbound!$A$2:$A$501,0)),"Lead ID not found")))</f>
        <v/>
      </c>
      <c r="F154" s="17"/>
      <c r="G154" s="17"/>
      <c r="H154" s="17"/>
      <c r="I154" s="17"/>
      <c r="J154" s="17"/>
      <c r="K154" s="17"/>
      <c r="L154" s="17"/>
      <c r="M154" s="17"/>
      <c r="N154" s="44" t="str">
        <f aca="false">IF(C154="","",COUNTA(H154:M154))</f>
        <v/>
      </c>
      <c r="O154" s="44" t="str">
        <f aca="false">IF(OR(C154="",N(N154)=0),"",SUMIFS(Settings!$AA$2:$AA$21,Settings!$Y$2:$Y$21,"Budget AED 5k+/mo?",Settings!$Z$2:$Z$21,H154)+SUMIFS(Settings!$AA$2:$AA$21,Settings!$Y$2:$Y$21,"Decision-maker?",Settings!$Z$2:$Z$21,I154)+SUMIFS(Settings!$AA$2:$AA$21,Settings!$Y$2:$Y$21,"Someone on camera?",Settings!$Z$2:$Z$21,J154)+SUMIFS(Settings!$AA$2:$AA$21,Settings!$Y$2:$Y$21,"OK with 3-month term?",Settings!$Z$2:$Z$21,K154)+SUMIFS(Settings!$AA$2:$AA$21,Settings!$Y$2:$Y$21,"Start timeline",Settings!$Z$2:$Z$21,L154)+SUMIFS(Settings!$AA$2:$AA$21,Settings!$Y$2:$Y$21,"Social media gap",Settings!$Z$2:$Z$21,M154)+IF(OR(E154="",E154="Lead ID not found"),0,IF(COUNTIF(Settings!$AC$2:$AC$6,E154)&gt;0,Settings!$AA$20,Settings!$AA$21)))</f>
        <v/>
      </c>
      <c r="P154" s="44" t="str">
        <f aca="false">IF(C154="","",IF(N(N154)&lt;6,"Partly scored ("&amp;N154&amp;"/6)",IF(O154&gt;=Settings!$S$8,"Hot",IF(O154&gt;=Settings!$S$9,"Warm","Cold"))))</f>
        <v/>
      </c>
      <c r="Q154" s="44" t="str">
        <f aca="false">IF(C154="","",IF(AND(H154="No",J154="No"),"🚩 Budget  ·  🚩 No one on camera",IF(H154="No","🚩 Budget under AED 5k",IF(J154="No","🚩 No one on camera",""))))</f>
        <v/>
      </c>
      <c r="R154" s="44" t="str">
        <f aca="false">IF(C154="","",IF(N(N154)&lt;6,"Finish the scoresheet before closing",IF(P154="Hot","Close now – send the contract / proposal today",IF(P154="Warm","Send proposal + a relevant result; follow up in 3 days","Rep's call – nurture or close politely")))&amp;IF(Q154&lt;&gt;""," (handle the 🚩 first)",""))</f>
        <v/>
      </c>
      <c r="S154" s="17"/>
      <c r="T154" s="17"/>
      <c r="U154" s="44" t="str">
        <f aca="false">IF(C154="","",IF(COUNTIF(C155:C$501,C154)=0,1,0))</f>
        <v/>
      </c>
    </row>
    <row r="155" customFormat="false" ht="15" hidden="false" customHeight="false" outlineLevel="0" collapsed="false">
      <c r="A155" s="17"/>
      <c r="B155" s="40"/>
      <c r="C155" s="17"/>
      <c r="D155" s="44" t="str">
        <f aca="false">IF(C155="","",IFERROR(INDEX(Inbound!$E$2:$E$501,MATCH(C155,Inbound!$A$2:$A$501,0)),IFERROR(INDEX(Outbound!$D$2:$D$501,MATCH(C155,Outbound!$A$2:$A$501,0)),"Lead ID not found")))</f>
        <v/>
      </c>
      <c r="E155" s="44" t="str">
        <f aca="false">IF(C155="","",IFERROR(INDEX(Inbound!$F$2:$F$501,MATCH(C155,Inbound!$A$2:$A$501,0)),IFERROR(INDEX(Outbound!$E$2:$E$501,MATCH(C155,Outbound!$A$2:$A$501,0)),"Lead ID not found")))</f>
        <v/>
      </c>
      <c r="F155" s="17"/>
      <c r="G155" s="17"/>
      <c r="H155" s="17"/>
      <c r="I155" s="17"/>
      <c r="J155" s="17"/>
      <c r="K155" s="17"/>
      <c r="L155" s="17"/>
      <c r="M155" s="17"/>
      <c r="N155" s="44" t="str">
        <f aca="false">IF(C155="","",COUNTA(H155:M155))</f>
        <v/>
      </c>
      <c r="O155" s="44" t="str">
        <f aca="false">IF(OR(C155="",N(N155)=0),"",SUMIFS(Settings!$AA$2:$AA$21,Settings!$Y$2:$Y$21,"Budget AED 5k+/mo?",Settings!$Z$2:$Z$21,H155)+SUMIFS(Settings!$AA$2:$AA$21,Settings!$Y$2:$Y$21,"Decision-maker?",Settings!$Z$2:$Z$21,I155)+SUMIFS(Settings!$AA$2:$AA$21,Settings!$Y$2:$Y$21,"Someone on camera?",Settings!$Z$2:$Z$21,J155)+SUMIFS(Settings!$AA$2:$AA$21,Settings!$Y$2:$Y$21,"OK with 3-month term?",Settings!$Z$2:$Z$21,K155)+SUMIFS(Settings!$AA$2:$AA$21,Settings!$Y$2:$Y$21,"Start timeline",Settings!$Z$2:$Z$21,L155)+SUMIFS(Settings!$AA$2:$AA$21,Settings!$Y$2:$Y$21,"Social media gap",Settings!$Z$2:$Z$21,M155)+IF(OR(E155="",E155="Lead ID not found"),0,IF(COUNTIF(Settings!$AC$2:$AC$6,E155)&gt;0,Settings!$AA$20,Settings!$AA$21)))</f>
        <v/>
      </c>
      <c r="P155" s="44" t="str">
        <f aca="false">IF(C155="","",IF(N(N155)&lt;6,"Partly scored ("&amp;N155&amp;"/6)",IF(O155&gt;=Settings!$S$8,"Hot",IF(O155&gt;=Settings!$S$9,"Warm","Cold"))))</f>
        <v/>
      </c>
      <c r="Q155" s="44" t="str">
        <f aca="false">IF(C155="","",IF(AND(H155="No",J155="No"),"🚩 Budget  ·  🚩 No one on camera",IF(H155="No","🚩 Budget under AED 5k",IF(J155="No","🚩 No one on camera",""))))</f>
        <v/>
      </c>
      <c r="R155" s="44" t="str">
        <f aca="false">IF(C155="","",IF(N(N155)&lt;6,"Finish the scoresheet before closing",IF(P155="Hot","Close now – send the contract / proposal today",IF(P155="Warm","Send proposal + a relevant result; follow up in 3 days","Rep's call – nurture or close politely")))&amp;IF(Q155&lt;&gt;""," (handle the 🚩 first)",""))</f>
        <v/>
      </c>
      <c r="S155" s="17"/>
      <c r="T155" s="17"/>
      <c r="U155" s="44" t="str">
        <f aca="false">IF(C155="","",IF(COUNTIF(C156:C$501,C155)=0,1,0))</f>
        <v/>
      </c>
    </row>
    <row r="156" customFormat="false" ht="15" hidden="false" customHeight="false" outlineLevel="0" collapsed="false">
      <c r="A156" s="17"/>
      <c r="B156" s="40"/>
      <c r="C156" s="17"/>
      <c r="D156" s="44" t="str">
        <f aca="false">IF(C156="","",IFERROR(INDEX(Inbound!$E$2:$E$501,MATCH(C156,Inbound!$A$2:$A$501,0)),IFERROR(INDEX(Outbound!$D$2:$D$501,MATCH(C156,Outbound!$A$2:$A$501,0)),"Lead ID not found")))</f>
        <v/>
      </c>
      <c r="E156" s="44" t="str">
        <f aca="false">IF(C156="","",IFERROR(INDEX(Inbound!$F$2:$F$501,MATCH(C156,Inbound!$A$2:$A$501,0)),IFERROR(INDEX(Outbound!$E$2:$E$501,MATCH(C156,Outbound!$A$2:$A$501,0)),"Lead ID not found")))</f>
        <v/>
      </c>
      <c r="F156" s="17"/>
      <c r="G156" s="17"/>
      <c r="H156" s="17"/>
      <c r="I156" s="17"/>
      <c r="J156" s="17"/>
      <c r="K156" s="17"/>
      <c r="L156" s="17"/>
      <c r="M156" s="17"/>
      <c r="N156" s="44" t="str">
        <f aca="false">IF(C156="","",COUNTA(H156:M156))</f>
        <v/>
      </c>
      <c r="O156" s="44" t="str">
        <f aca="false">IF(OR(C156="",N(N156)=0),"",SUMIFS(Settings!$AA$2:$AA$21,Settings!$Y$2:$Y$21,"Budget AED 5k+/mo?",Settings!$Z$2:$Z$21,H156)+SUMIFS(Settings!$AA$2:$AA$21,Settings!$Y$2:$Y$21,"Decision-maker?",Settings!$Z$2:$Z$21,I156)+SUMIFS(Settings!$AA$2:$AA$21,Settings!$Y$2:$Y$21,"Someone on camera?",Settings!$Z$2:$Z$21,J156)+SUMIFS(Settings!$AA$2:$AA$21,Settings!$Y$2:$Y$21,"OK with 3-month term?",Settings!$Z$2:$Z$21,K156)+SUMIFS(Settings!$AA$2:$AA$21,Settings!$Y$2:$Y$21,"Start timeline",Settings!$Z$2:$Z$21,L156)+SUMIFS(Settings!$AA$2:$AA$21,Settings!$Y$2:$Y$21,"Social media gap",Settings!$Z$2:$Z$21,M156)+IF(OR(E156="",E156="Lead ID not found"),0,IF(COUNTIF(Settings!$AC$2:$AC$6,E156)&gt;0,Settings!$AA$20,Settings!$AA$21)))</f>
        <v/>
      </c>
      <c r="P156" s="44" t="str">
        <f aca="false">IF(C156="","",IF(N(N156)&lt;6,"Partly scored ("&amp;N156&amp;"/6)",IF(O156&gt;=Settings!$S$8,"Hot",IF(O156&gt;=Settings!$S$9,"Warm","Cold"))))</f>
        <v/>
      </c>
      <c r="Q156" s="44" t="str">
        <f aca="false">IF(C156="","",IF(AND(H156="No",J156="No"),"🚩 Budget  ·  🚩 No one on camera",IF(H156="No","🚩 Budget under AED 5k",IF(J156="No","🚩 No one on camera",""))))</f>
        <v/>
      </c>
      <c r="R156" s="44" t="str">
        <f aca="false">IF(C156="","",IF(N(N156)&lt;6,"Finish the scoresheet before closing",IF(P156="Hot","Close now – send the contract / proposal today",IF(P156="Warm","Send proposal + a relevant result; follow up in 3 days","Rep's call – nurture or close politely")))&amp;IF(Q156&lt;&gt;""," (handle the 🚩 first)",""))</f>
        <v/>
      </c>
      <c r="S156" s="17"/>
      <c r="T156" s="17"/>
      <c r="U156" s="44" t="str">
        <f aca="false">IF(C156="","",IF(COUNTIF(C157:C$501,C156)=0,1,0))</f>
        <v/>
      </c>
    </row>
    <row r="157" customFormat="false" ht="15" hidden="false" customHeight="false" outlineLevel="0" collapsed="false">
      <c r="A157" s="17"/>
      <c r="B157" s="40"/>
      <c r="C157" s="17"/>
      <c r="D157" s="44" t="str">
        <f aca="false">IF(C157="","",IFERROR(INDEX(Inbound!$E$2:$E$501,MATCH(C157,Inbound!$A$2:$A$501,0)),IFERROR(INDEX(Outbound!$D$2:$D$501,MATCH(C157,Outbound!$A$2:$A$501,0)),"Lead ID not found")))</f>
        <v/>
      </c>
      <c r="E157" s="44" t="str">
        <f aca="false">IF(C157="","",IFERROR(INDEX(Inbound!$F$2:$F$501,MATCH(C157,Inbound!$A$2:$A$501,0)),IFERROR(INDEX(Outbound!$E$2:$E$501,MATCH(C157,Outbound!$A$2:$A$501,0)),"Lead ID not found")))</f>
        <v/>
      </c>
      <c r="F157" s="17"/>
      <c r="G157" s="17"/>
      <c r="H157" s="17"/>
      <c r="I157" s="17"/>
      <c r="J157" s="17"/>
      <c r="K157" s="17"/>
      <c r="L157" s="17"/>
      <c r="M157" s="17"/>
      <c r="N157" s="44" t="str">
        <f aca="false">IF(C157="","",COUNTA(H157:M157))</f>
        <v/>
      </c>
      <c r="O157" s="44" t="str">
        <f aca="false">IF(OR(C157="",N(N157)=0),"",SUMIFS(Settings!$AA$2:$AA$21,Settings!$Y$2:$Y$21,"Budget AED 5k+/mo?",Settings!$Z$2:$Z$21,H157)+SUMIFS(Settings!$AA$2:$AA$21,Settings!$Y$2:$Y$21,"Decision-maker?",Settings!$Z$2:$Z$21,I157)+SUMIFS(Settings!$AA$2:$AA$21,Settings!$Y$2:$Y$21,"Someone on camera?",Settings!$Z$2:$Z$21,J157)+SUMIFS(Settings!$AA$2:$AA$21,Settings!$Y$2:$Y$21,"OK with 3-month term?",Settings!$Z$2:$Z$21,K157)+SUMIFS(Settings!$AA$2:$AA$21,Settings!$Y$2:$Y$21,"Start timeline",Settings!$Z$2:$Z$21,L157)+SUMIFS(Settings!$AA$2:$AA$21,Settings!$Y$2:$Y$21,"Social media gap",Settings!$Z$2:$Z$21,M157)+IF(OR(E157="",E157="Lead ID not found"),0,IF(COUNTIF(Settings!$AC$2:$AC$6,E157)&gt;0,Settings!$AA$20,Settings!$AA$21)))</f>
        <v/>
      </c>
      <c r="P157" s="44" t="str">
        <f aca="false">IF(C157="","",IF(N(N157)&lt;6,"Partly scored ("&amp;N157&amp;"/6)",IF(O157&gt;=Settings!$S$8,"Hot",IF(O157&gt;=Settings!$S$9,"Warm","Cold"))))</f>
        <v/>
      </c>
      <c r="Q157" s="44" t="str">
        <f aca="false">IF(C157="","",IF(AND(H157="No",J157="No"),"🚩 Budget  ·  🚩 No one on camera",IF(H157="No","🚩 Budget under AED 5k",IF(J157="No","🚩 No one on camera",""))))</f>
        <v/>
      </c>
      <c r="R157" s="44" t="str">
        <f aca="false">IF(C157="","",IF(N(N157)&lt;6,"Finish the scoresheet before closing",IF(P157="Hot","Close now – send the contract / proposal today",IF(P157="Warm","Send proposal + a relevant result; follow up in 3 days","Rep's call – nurture or close politely")))&amp;IF(Q157&lt;&gt;""," (handle the 🚩 first)",""))</f>
        <v/>
      </c>
      <c r="S157" s="17"/>
      <c r="T157" s="17"/>
      <c r="U157" s="44" t="str">
        <f aca="false">IF(C157="","",IF(COUNTIF(C158:C$501,C157)=0,1,0))</f>
        <v/>
      </c>
    </row>
    <row r="158" customFormat="false" ht="15" hidden="false" customHeight="false" outlineLevel="0" collapsed="false">
      <c r="A158" s="17"/>
      <c r="B158" s="40"/>
      <c r="C158" s="17"/>
      <c r="D158" s="44" t="str">
        <f aca="false">IF(C158="","",IFERROR(INDEX(Inbound!$E$2:$E$501,MATCH(C158,Inbound!$A$2:$A$501,0)),IFERROR(INDEX(Outbound!$D$2:$D$501,MATCH(C158,Outbound!$A$2:$A$501,0)),"Lead ID not found")))</f>
        <v/>
      </c>
      <c r="E158" s="44" t="str">
        <f aca="false">IF(C158="","",IFERROR(INDEX(Inbound!$F$2:$F$501,MATCH(C158,Inbound!$A$2:$A$501,0)),IFERROR(INDEX(Outbound!$E$2:$E$501,MATCH(C158,Outbound!$A$2:$A$501,0)),"Lead ID not found")))</f>
        <v/>
      </c>
      <c r="F158" s="17"/>
      <c r="G158" s="17"/>
      <c r="H158" s="17"/>
      <c r="I158" s="17"/>
      <c r="J158" s="17"/>
      <c r="K158" s="17"/>
      <c r="L158" s="17"/>
      <c r="M158" s="17"/>
      <c r="N158" s="44" t="str">
        <f aca="false">IF(C158="","",COUNTA(H158:M158))</f>
        <v/>
      </c>
      <c r="O158" s="44" t="str">
        <f aca="false">IF(OR(C158="",N(N158)=0),"",SUMIFS(Settings!$AA$2:$AA$21,Settings!$Y$2:$Y$21,"Budget AED 5k+/mo?",Settings!$Z$2:$Z$21,H158)+SUMIFS(Settings!$AA$2:$AA$21,Settings!$Y$2:$Y$21,"Decision-maker?",Settings!$Z$2:$Z$21,I158)+SUMIFS(Settings!$AA$2:$AA$21,Settings!$Y$2:$Y$21,"Someone on camera?",Settings!$Z$2:$Z$21,J158)+SUMIFS(Settings!$AA$2:$AA$21,Settings!$Y$2:$Y$21,"OK with 3-month term?",Settings!$Z$2:$Z$21,K158)+SUMIFS(Settings!$AA$2:$AA$21,Settings!$Y$2:$Y$21,"Start timeline",Settings!$Z$2:$Z$21,L158)+SUMIFS(Settings!$AA$2:$AA$21,Settings!$Y$2:$Y$21,"Social media gap",Settings!$Z$2:$Z$21,M158)+IF(OR(E158="",E158="Lead ID not found"),0,IF(COUNTIF(Settings!$AC$2:$AC$6,E158)&gt;0,Settings!$AA$20,Settings!$AA$21)))</f>
        <v/>
      </c>
      <c r="P158" s="44" t="str">
        <f aca="false">IF(C158="","",IF(N(N158)&lt;6,"Partly scored ("&amp;N158&amp;"/6)",IF(O158&gt;=Settings!$S$8,"Hot",IF(O158&gt;=Settings!$S$9,"Warm","Cold"))))</f>
        <v/>
      </c>
      <c r="Q158" s="44" t="str">
        <f aca="false">IF(C158="","",IF(AND(H158="No",J158="No"),"🚩 Budget  ·  🚩 No one on camera",IF(H158="No","🚩 Budget under AED 5k",IF(J158="No","🚩 No one on camera",""))))</f>
        <v/>
      </c>
      <c r="R158" s="44" t="str">
        <f aca="false">IF(C158="","",IF(N(N158)&lt;6,"Finish the scoresheet before closing",IF(P158="Hot","Close now – send the contract / proposal today",IF(P158="Warm","Send proposal + a relevant result; follow up in 3 days","Rep's call – nurture or close politely")))&amp;IF(Q158&lt;&gt;""," (handle the 🚩 first)",""))</f>
        <v/>
      </c>
      <c r="S158" s="17"/>
      <c r="T158" s="17"/>
      <c r="U158" s="44" t="str">
        <f aca="false">IF(C158="","",IF(COUNTIF(C159:C$501,C158)=0,1,0))</f>
        <v/>
      </c>
    </row>
    <row r="159" customFormat="false" ht="15" hidden="false" customHeight="false" outlineLevel="0" collapsed="false">
      <c r="A159" s="17"/>
      <c r="B159" s="40"/>
      <c r="C159" s="17"/>
      <c r="D159" s="44" t="str">
        <f aca="false">IF(C159="","",IFERROR(INDEX(Inbound!$E$2:$E$501,MATCH(C159,Inbound!$A$2:$A$501,0)),IFERROR(INDEX(Outbound!$D$2:$D$501,MATCH(C159,Outbound!$A$2:$A$501,0)),"Lead ID not found")))</f>
        <v/>
      </c>
      <c r="E159" s="44" t="str">
        <f aca="false">IF(C159="","",IFERROR(INDEX(Inbound!$F$2:$F$501,MATCH(C159,Inbound!$A$2:$A$501,0)),IFERROR(INDEX(Outbound!$E$2:$E$501,MATCH(C159,Outbound!$A$2:$A$501,0)),"Lead ID not found")))</f>
        <v/>
      </c>
      <c r="F159" s="17"/>
      <c r="G159" s="17"/>
      <c r="H159" s="17"/>
      <c r="I159" s="17"/>
      <c r="J159" s="17"/>
      <c r="K159" s="17"/>
      <c r="L159" s="17"/>
      <c r="M159" s="17"/>
      <c r="N159" s="44" t="str">
        <f aca="false">IF(C159="","",COUNTA(H159:M159))</f>
        <v/>
      </c>
      <c r="O159" s="44" t="str">
        <f aca="false">IF(OR(C159="",N(N159)=0),"",SUMIFS(Settings!$AA$2:$AA$21,Settings!$Y$2:$Y$21,"Budget AED 5k+/mo?",Settings!$Z$2:$Z$21,H159)+SUMIFS(Settings!$AA$2:$AA$21,Settings!$Y$2:$Y$21,"Decision-maker?",Settings!$Z$2:$Z$21,I159)+SUMIFS(Settings!$AA$2:$AA$21,Settings!$Y$2:$Y$21,"Someone on camera?",Settings!$Z$2:$Z$21,J159)+SUMIFS(Settings!$AA$2:$AA$21,Settings!$Y$2:$Y$21,"OK with 3-month term?",Settings!$Z$2:$Z$21,K159)+SUMIFS(Settings!$AA$2:$AA$21,Settings!$Y$2:$Y$21,"Start timeline",Settings!$Z$2:$Z$21,L159)+SUMIFS(Settings!$AA$2:$AA$21,Settings!$Y$2:$Y$21,"Social media gap",Settings!$Z$2:$Z$21,M159)+IF(OR(E159="",E159="Lead ID not found"),0,IF(COUNTIF(Settings!$AC$2:$AC$6,E159)&gt;0,Settings!$AA$20,Settings!$AA$21)))</f>
        <v/>
      </c>
      <c r="P159" s="44" t="str">
        <f aca="false">IF(C159="","",IF(N(N159)&lt;6,"Partly scored ("&amp;N159&amp;"/6)",IF(O159&gt;=Settings!$S$8,"Hot",IF(O159&gt;=Settings!$S$9,"Warm","Cold"))))</f>
        <v/>
      </c>
      <c r="Q159" s="44" t="str">
        <f aca="false">IF(C159="","",IF(AND(H159="No",J159="No"),"🚩 Budget  ·  🚩 No one on camera",IF(H159="No","🚩 Budget under AED 5k",IF(J159="No","🚩 No one on camera",""))))</f>
        <v/>
      </c>
      <c r="R159" s="44" t="str">
        <f aca="false">IF(C159="","",IF(N(N159)&lt;6,"Finish the scoresheet before closing",IF(P159="Hot","Close now – send the contract / proposal today",IF(P159="Warm","Send proposal + a relevant result; follow up in 3 days","Rep's call – nurture or close politely")))&amp;IF(Q159&lt;&gt;""," (handle the 🚩 first)",""))</f>
        <v/>
      </c>
      <c r="S159" s="17"/>
      <c r="T159" s="17"/>
      <c r="U159" s="44" t="str">
        <f aca="false">IF(C159="","",IF(COUNTIF(C160:C$501,C159)=0,1,0))</f>
        <v/>
      </c>
    </row>
    <row r="160" customFormat="false" ht="15" hidden="false" customHeight="false" outlineLevel="0" collapsed="false">
      <c r="A160" s="17"/>
      <c r="B160" s="40"/>
      <c r="C160" s="17"/>
      <c r="D160" s="44" t="str">
        <f aca="false">IF(C160="","",IFERROR(INDEX(Inbound!$E$2:$E$501,MATCH(C160,Inbound!$A$2:$A$501,0)),IFERROR(INDEX(Outbound!$D$2:$D$501,MATCH(C160,Outbound!$A$2:$A$501,0)),"Lead ID not found")))</f>
        <v/>
      </c>
      <c r="E160" s="44" t="str">
        <f aca="false">IF(C160="","",IFERROR(INDEX(Inbound!$F$2:$F$501,MATCH(C160,Inbound!$A$2:$A$501,0)),IFERROR(INDEX(Outbound!$E$2:$E$501,MATCH(C160,Outbound!$A$2:$A$501,0)),"Lead ID not found")))</f>
        <v/>
      </c>
      <c r="F160" s="17"/>
      <c r="G160" s="17"/>
      <c r="H160" s="17"/>
      <c r="I160" s="17"/>
      <c r="J160" s="17"/>
      <c r="K160" s="17"/>
      <c r="L160" s="17"/>
      <c r="M160" s="17"/>
      <c r="N160" s="44" t="str">
        <f aca="false">IF(C160="","",COUNTA(H160:M160))</f>
        <v/>
      </c>
      <c r="O160" s="44" t="str">
        <f aca="false">IF(OR(C160="",N(N160)=0),"",SUMIFS(Settings!$AA$2:$AA$21,Settings!$Y$2:$Y$21,"Budget AED 5k+/mo?",Settings!$Z$2:$Z$21,H160)+SUMIFS(Settings!$AA$2:$AA$21,Settings!$Y$2:$Y$21,"Decision-maker?",Settings!$Z$2:$Z$21,I160)+SUMIFS(Settings!$AA$2:$AA$21,Settings!$Y$2:$Y$21,"Someone on camera?",Settings!$Z$2:$Z$21,J160)+SUMIFS(Settings!$AA$2:$AA$21,Settings!$Y$2:$Y$21,"OK with 3-month term?",Settings!$Z$2:$Z$21,K160)+SUMIFS(Settings!$AA$2:$AA$21,Settings!$Y$2:$Y$21,"Start timeline",Settings!$Z$2:$Z$21,L160)+SUMIFS(Settings!$AA$2:$AA$21,Settings!$Y$2:$Y$21,"Social media gap",Settings!$Z$2:$Z$21,M160)+IF(OR(E160="",E160="Lead ID not found"),0,IF(COUNTIF(Settings!$AC$2:$AC$6,E160)&gt;0,Settings!$AA$20,Settings!$AA$21)))</f>
        <v/>
      </c>
      <c r="P160" s="44" t="str">
        <f aca="false">IF(C160="","",IF(N(N160)&lt;6,"Partly scored ("&amp;N160&amp;"/6)",IF(O160&gt;=Settings!$S$8,"Hot",IF(O160&gt;=Settings!$S$9,"Warm","Cold"))))</f>
        <v/>
      </c>
      <c r="Q160" s="44" t="str">
        <f aca="false">IF(C160="","",IF(AND(H160="No",J160="No"),"🚩 Budget  ·  🚩 No one on camera",IF(H160="No","🚩 Budget under AED 5k",IF(J160="No","🚩 No one on camera",""))))</f>
        <v/>
      </c>
      <c r="R160" s="44" t="str">
        <f aca="false">IF(C160="","",IF(N(N160)&lt;6,"Finish the scoresheet before closing",IF(P160="Hot","Close now – send the contract / proposal today",IF(P160="Warm","Send proposal + a relevant result; follow up in 3 days","Rep's call – nurture or close politely")))&amp;IF(Q160&lt;&gt;""," (handle the 🚩 first)",""))</f>
        <v/>
      </c>
      <c r="S160" s="17"/>
      <c r="T160" s="17"/>
      <c r="U160" s="44" t="str">
        <f aca="false">IF(C160="","",IF(COUNTIF(C161:C$501,C160)=0,1,0))</f>
        <v/>
      </c>
    </row>
    <row r="161" customFormat="false" ht="15" hidden="false" customHeight="false" outlineLevel="0" collapsed="false">
      <c r="A161" s="17"/>
      <c r="B161" s="40"/>
      <c r="C161" s="17"/>
      <c r="D161" s="44" t="str">
        <f aca="false">IF(C161="","",IFERROR(INDEX(Inbound!$E$2:$E$501,MATCH(C161,Inbound!$A$2:$A$501,0)),IFERROR(INDEX(Outbound!$D$2:$D$501,MATCH(C161,Outbound!$A$2:$A$501,0)),"Lead ID not found")))</f>
        <v/>
      </c>
      <c r="E161" s="44" t="str">
        <f aca="false">IF(C161="","",IFERROR(INDEX(Inbound!$F$2:$F$501,MATCH(C161,Inbound!$A$2:$A$501,0)),IFERROR(INDEX(Outbound!$E$2:$E$501,MATCH(C161,Outbound!$A$2:$A$501,0)),"Lead ID not found")))</f>
        <v/>
      </c>
      <c r="F161" s="17"/>
      <c r="G161" s="17"/>
      <c r="H161" s="17"/>
      <c r="I161" s="17"/>
      <c r="J161" s="17"/>
      <c r="K161" s="17"/>
      <c r="L161" s="17"/>
      <c r="M161" s="17"/>
      <c r="N161" s="44" t="str">
        <f aca="false">IF(C161="","",COUNTA(H161:M161))</f>
        <v/>
      </c>
      <c r="O161" s="44" t="str">
        <f aca="false">IF(OR(C161="",N(N161)=0),"",SUMIFS(Settings!$AA$2:$AA$21,Settings!$Y$2:$Y$21,"Budget AED 5k+/mo?",Settings!$Z$2:$Z$21,H161)+SUMIFS(Settings!$AA$2:$AA$21,Settings!$Y$2:$Y$21,"Decision-maker?",Settings!$Z$2:$Z$21,I161)+SUMIFS(Settings!$AA$2:$AA$21,Settings!$Y$2:$Y$21,"Someone on camera?",Settings!$Z$2:$Z$21,J161)+SUMIFS(Settings!$AA$2:$AA$21,Settings!$Y$2:$Y$21,"OK with 3-month term?",Settings!$Z$2:$Z$21,K161)+SUMIFS(Settings!$AA$2:$AA$21,Settings!$Y$2:$Y$21,"Start timeline",Settings!$Z$2:$Z$21,L161)+SUMIFS(Settings!$AA$2:$AA$21,Settings!$Y$2:$Y$21,"Social media gap",Settings!$Z$2:$Z$21,M161)+IF(OR(E161="",E161="Lead ID not found"),0,IF(COUNTIF(Settings!$AC$2:$AC$6,E161)&gt;0,Settings!$AA$20,Settings!$AA$21)))</f>
        <v/>
      </c>
      <c r="P161" s="44" t="str">
        <f aca="false">IF(C161="","",IF(N(N161)&lt;6,"Partly scored ("&amp;N161&amp;"/6)",IF(O161&gt;=Settings!$S$8,"Hot",IF(O161&gt;=Settings!$S$9,"Warm","Cold"))))</f>
        <v/>
      </c>
      <c r="Q161" s="44" t="str">
        <f aca="false">IF(C161="","",IF(AND(H161="No",J161="No"),"🚩 Budget  ·  🚩 No one on camera",IF(H161="No","🚩 Budget under AED 5k",IF(J161="No","🚩 No one on camera",""))))</f>
        <v/>
      </c>
      <c r="R161" s="44" t="str">
        <f aca="false">IF(C161="","",IF(N(N161)&lt;6,"Finish the scoresheet before closing",IF(P161="Hot","Close now – send the contract / proposal today",IF(P161="Warm","Send proposal + a relevant result; follow up in 3 days","Rep's call – nurture or close politely")))&amp;IF(Q161&lt;&gt;""," (handle the 🚩 first)",""))</f>
        <v/>
      </c>
      <c r="S161" s="17"/>
      <c r="T161" s="17"/>
      <c r="U161" s="44" t="str">
        <f aca="false">IF(C161="","",IF(COUNTIF(C162:C$501,C161)=0,1,0))</f>
        <v/>
      </c>
    </row>
    <row r="162" customFormat="false" ht="15" hidden="false" customHeight="false" outlineLevel="0" collapsed="false">
      <c r="A162" s="17"/>
      <c r="B162" s="40"/>
      <c r="C162" s="17"/>
      <c r="D162" s="44" t="str">
        <f aca="false">IF(C162="","",IFERROR(INDEX(Inbound!$E$2:$E$501,MATCH(C162,Inbound!$A$2:$A$501,0)),IFERROR(INDEX(Outbound!$D$2:$D$501,MATCH(C162,Outbound!$A$2:$A$501,0)),"Lead ID not found")))</f>
        <v/>
      </c>
      <c r="E162" s="44" t="str">
        <f aca="false">IF(C162="","",IFERROR(INDEX(Inbound!$F$2:$F$501,MATCH(C162,Inbound!$A$2:$A$501,0)),IFERROR(INDEX(Outbound!$E$2:$E$501,MATCH(C162,Outbound!$A$2:$A$501,0)),"Lead ID not found")))</f>
        <v/>
      </c>
      <c r="F162" s="17"/>
      <c r="G162" s="17"/>
      <c r="H162" s="17"/>
      <c r="I162" s="17"/>
      <c r="J162" s="17"/>
      <c r="K162" s="17"/>
      <c r="L162" s="17"/>
      <c r="M162" s="17"/>
      <c r="N162" s="44" t="str">
        <f aca="false">IF(C162="","",COUNTA(H162:M162))</f>
        <v/>
      </c>
      <c r="O162" s="44" t="str">
        <f aca="false">IF(OR(C162="",N(N162)=0),"",SUMIFS(Settings!$AA$2:$AA$21,Settings!$Y$2:$Y$21,"Budget AED 5k+/mo?",Settings!$Z$2:$Z$21,H162)+SUMIFS(Settings!$AA$2:$AA$21,Settings!$Y$2:$Y$21,"Decision-maker?",Settings!$Z$2:$Z$21,I162)+SUMIFS(Settings!$AA$2:$AA$21,Settings!$Y$2:$Y$21,"Someone on camera?",Settings!$Z$2:$Z$21,J162)+SUMIFS(Settings!$AA$2:$AA$21,Settings!$Y$2:$Y$21,"OK with 3-month term?",Settings!$Z$2:$Z$21,K162)+SUMIFS(Settings!$AA$2:$AA$21,Settings!$Y$2:$Y$21,"Start timeline",Settings!$Z$2:$Z$21,L162)+SUMIFS(Settings!$AA$2:$AA$21,Settings!$Y$2:$Y$21,"Social media gap",Settings!$Z$2:$Z$21,M162)+IF(OR(E162="",E162="Lead ID not found"),0,IF(COUNTIF(Settings!$AC$2:$AC$6,E162)&gt;0,Settings!$AA$20,Settings!$AA$21)))</f>
        <v/>
      </c>
      <c r="P162" s="44" t="str">
        <f aca="false">IF(C162="","",IF(N(N162)&lt;6,"Partly scored ("&amp;N162&amp;"/6)",IF(O162&gt;=Settings!$S$8,"Hot",IF(O162&gt;=Settings!$S$9,"Warm","Cold"))))</f>
        <v/>
      </c>
      <c r="Q162" s="44" t="str">
        <f aca="false">IF(C162="","",IF(AND(H162="No",J162="No"),"🚩 Budget  ·  🚩 No one on camera",IF(H162="No","🚩 Budget under AED 5k",IF(J162="No","🚩 No one on camera",""))))</f>
        <v/>
      </c>
      <c r="R162" s="44" t="str">
        <f aca="false">IF(C162="","",IF(N(N162)&lt;6,"Finish the scoresheet before closing",IF(P162="Hot","Close now – send the contract / proposal today",IF(P162="Warm","Send proposal + a relevant result; follow up in 3 days","Rep's call – nurture or close politely")))&amp;IF(Q162&lt;&gt;""," (handle the 🚩 first)",""))</f>
        <v/>
      </c>
      <c r="S162" s="17"/>
      <c r="T162" s="17"/>
      <c r="U162" s="44" t="str">
        <f aca="false">IF(C162="","",IF(COUNTIF(C163:C$501,C162)=0,1,0))</f>
        <v/>
      </c>
    </row>
    <row r="163" customFormat="false" ht="15" hidden="false" customHeight="false" outlineLevel="0" collapsed="false">
      <c r="A163" s="17"/>
      <c r="B163" s="40"/>
      <c r="C163" s="17"/>
      <c r="D163" s="44" t="str">
        <f aca="false">IF(C163="","",IFERROR(INDEX(Inbound!$E$2:$E$501,MATCH(C163,Inbound!$A$2:$A$501,0)),IFERROR(INDEX(Outbound!$D$2:$D$501,MATCH(C163,Outbound!$A$2:$A$501,0)),"Lead ID not found")))</f>
        <v/>
      </c>
      <c r="E163" s="44" t="str">
        <f aca="false">IF(C163="","",IFERROR(INDEX(Inbound!$F$2:$F$501,MATCH(C163,Inbound!$A$2:$A$501,0)),IFERROR(INDEX(Outbound!$E$2:$E$501,MATCH(C163,Outbound!$A$2:$A$501,0)),"Lead ID not found")))</f>
        <v/>
      </c>
      <c r="F163" s="17"/>
      <c r="G163" s="17"/>
      <c r="H163" s="17"/>
      <c r="I163" s="17"/>
      <c r="J163" s="17"/>
      <c r="K163" s="17"/>
      <c r="L163" s="17"/>
      <c r="M163" s="17"/>
      <c r="N163" s="44" t="str">
        <f aca="false">IF(C163="","",COUNTA(H163:M163))</f>
        <v/>
      </c>
      <c r="O163" s="44" t="str">
        <f aca="false">IF(OR(C163="",N(N163)=0),"",SUMIFS(Settings!$AA$2:$AA$21,Settings!$Y$2:$Y$21,"Budget AED 5k+/mo?",Settings!$Z$2:$Z$21,H163)+SUMIFS(Settings!$AA$2:$AA$21,Settings!$Y$2:$Y$21,"Decision-maker?",Settings!$Z$2:$Z$21,I163)+SUMIFS(Settings!$AA$2:$AA$21,Settings!$Y$2:$Y$21,"Someone on camera?",Settings!$Z$2:$Z$21,J163)+SUMIFS(Settings!$AA$2:$AA$21,Settings!$Y$2:$Y$21,"OK with 3-month term?",Settings!$Z$2:$Z$21,K163)+SUMIFS(Settings!$AA$2:$AA$21,Settings!$Y$2:$Y$21,"Start timeline",Settings!$Z$2:$Z$21,L163)+SUMIFS(Settings!$AA$2:$AA$21,Settings!$Y$2:$Y$21,"Social media gap",Settings!$Z$2:$Z$21,M163)+IF(OR(E163="",E163="Lead ID not found"),0,IF(COUNTIF(Settings!$AC$2:$AC$6,E163)&gt;0,Settings!$AA$20,Settings!$AA$21)))</f>
        <v/>
      </c>
      <c r="P163" s="44" t="str">
        <f aca="false">IF(C163="","",IF(N(N163)&lt;6,"Partly scored ("&amp;N163&amp;"/6)",IF(O163&gt;=Settings!$S$8,"Hot",IF(O163&gt;=Settings!$S$9,"Warm","Cold"))))</f>
        <v/>
      </c>
      <c r="Q163" s="44" t="str">
        <f aca="false">IF(C163="","",IF(AND(H163="No",J163="No"),"🚩 Budget  ·  🚩 No one on camera",IF(H163="No","🚩 Budget under AED 5k",IF(J163="No","🚩 No one on camera",""))))</f>
        <v/>
      </c>
      <c r="R163" s="44" t="str">
        <f aca="false">IF(C163="","",IF(N(N163)&lt;6,"Finish the scoresheet before closing",IF(P163="Hot","Close now – send the contract / proposal today",IF(P163="Warm","Send proposal + a relevant result; follow up in 3 days","Rep's call – nurture or close politely")))&amp;IF(Q163&lt;&gt;""," (handle the 🚩 first)",""))</f>
        <v/>
      </c>
      <c r="S163" s="17"/>
      <c r="T163" s="17"/>
      <c r="U163" s="44" t="str">
        <f aca="false">IF(C163="","",IF(COUNTIF(C164:C$501,C163)=0,1,0))</f>
        <v/>
      </c>
    </row>
    <row r="164" customFormat="false" ht="15" hidden="false" customHeight="false" outlineLevel="0" collapsed="false">
      <c r="A164" s="17"/>
      <c r="B164" s="40"/>
      <c r="C164" s="17"/>
      <c r="D164" s="44" t="str">
        <f aca="false">IF(C164="","",IFERROR(INDEX(Inbound!$E$2:$E$501,MATCH(C164,Inbound!$A$2:$A$501,0)),IFERROR(INDEX(Outbound!$D$2:$D$501,MATCH(C164,Outbound!$A$2:$A$501,0)),"Lead ID not found")))</f>
        <v/>
      </c>
      <c r="E164" s="44" t="str">
        <f aca="false">IF(C164="","",IFERROR(INDEX(Inbound!$F$2:$F$501,MATCH(C164,Inbound!$A$2:$A$501,0)),IFERROR(INDEX(Outbound!$E$2:$E$501,MATCH(C164,Outbound!$A$2:$A$501,0)),"Lead ID not found")))</f>
        <v/>
      </c>
      <c r="F164" s="17"/>
      <c r="G164" s="17"/>
      <c r="H164" s="17"/>
      <c r="I164" s="17"/>
      <c r="J164" s="17"/>
      <c r="K164" s="17"/>
      <c r="L164" s="17"/>
      <c r="M164" s="17"/>
      <c r="N164" s="44" t="str">
        <f aca="false">IF(C164="","",COUNTA(H164:M164))</f>
        <v/>
      </c>
      <c r="O164" s="44" t="str">
        <f aca="false">IF(OR(C164="",N(N164)=0),"",SUMIFS(Settings!$AA$2:$AA$21,Settings!$Y$2:$Y$21,"Budget AED 5k+/mo?",Settings!$Z$2:$Z$21,H164)+SUMIFS(Settings!$AA$2:$AA$21,Settings!$Y$2:$Y$21,"Decision-maker?",Settings!$Z$2:$Z$21,I164)+SUMIFS(Settings!$AA$2:$AA$21,Settings!$Y$2:$Y$21,"Someone on camera?",Settings!$Z$2:$Z$21,J164)+SUMIFS(Settings!$AA$2:$AA$21,Settings!$Y$2:$Y$21,"OK with 3-month term?",Settings!$Z$2:$Z$21,K164)+SUMIFS(Settings!$AA$2:$AA$21,Settings!$Y$2:$Y$21,"Start timeline",Settings!$Z$2:$Z$21,L164)+SUMIFS(Settings!$AA$2:$AA$21,Settings!$Y$2:$Y$21,"Social media gap",Settings!$Z$2:$Z$21,M164)+IF(OR(E164="",E164="Lead ID not found"),0,IF(COUNTIF(Settings!$AC$2:$AC$6,E164)&gt;0,Settings!$AA$20,Settings!$AA$21)))</f>
        <v/>
      </c>
      <c r="P164" s="44" t="str">
        <f aca="false">IF(C164="","",IF(N(N164)&lt;6,"Partly scored ("&amp;N164&amp;"/6)",IF(O164&gt;=Settings!$S$8,"Hot",IF(O164&gt;=Settings!$S$9,"Warm","Cold"))))</f>
        <v/>
      </c>
      <c r="Q164" s="44" t="str">
        <f aca="false">IF(C164="","",IF(AND(H164="No",J164="No"),"🚩 Budget  ·  🚩 No one on camera",IF(H164="No","🚩 Budget under AED 5k",IF(J164="No","🚩 No one on camera",""))))</f>
        <v/>
      </c>
      <c r="R164" s="44" t="str">
        <f aca="false">IF(C164="","",IF(N(N164)&lt;6,"Finish the scoresheet before closing",IF(P164="Hot","Close now – send the contract / proposal today",IF(P164="Warm","Send proposal + a relevant result; follow up in 3 days","Rep's call – nurture or close politely")))&amp;IF(Q164&lt;&gt;""," (handle the 🚩 first)",""))</f>
        <v/>
      </c>
      <c r="S164" s="17"/>
      <c r="T164" s="17"/>
      <c r="U164" s="44" t="str">
        <f aca="false">IF(C164="","",IF(COUNTIF(C165:C$501,C164)=0,1,0))</f>
        <v/>
      </c>
    </row>
    <row r="165" customFormat="false" ht="15" hidden="false" customHeight="false" outlineLevel="0" collapsed="false">
      <c r="A165" s="17"/>
      <c r="B165" s="40"/>
      <c r="C165" s="17"/>
      <c r="D165" s="44" t="str">
        <f aca="false">IF(C165="","",IFERROR(INDEX(Inbound!$E$2:$E$501,MATCH(C165,Inbound!$A$2:$A$501,0)),IFERROR(INDEX(Outbound!$D$2:$D$501,MATCH(C165,Outbound!$A$2:$A$501,0)),"Lead ID not found")))</f>
        <v/>
      </c>
      <c r="E165" s="44" t="str">
        <f aca="false">IF(C165="","",IFERROR(INDEX(Inbound!$F$2:$F$501,MATCH(C165,Inbound!$A$2:$A$501,0)),IFERROR(INDEX(Outbound!$E$2:$E$501,MATCH(C165,Outbound!$A$2:$A$501,0)),"Lead ID not found")))</f>
        <v/>
      </c>
      <c r="F165" s="17"/>
      <c r="G165" s="17"/>
      <c r="H165" s="17"/>
      <c r="I165" s="17"/>
      <c r="J165" s="17"/>
      <c r="K165" s="17"/>
      <c r="L165" s="17"/>
      <c r="M165" s="17"/>
      <c r="N165" s="44" t="str">
        <f aca="false">IF(C165="","",COUNTA(H165:M165))</f>
        <v/>
      </c>
      <c r="O165" s="44" t="str">
        <f aca="false">IF(OR(C165="",N(N165)=0),"",SUMIFS(Settings!$AA$2:$AA$21,Settings!$Y$2:$Y$21,"Budget AED 5k+/mo?",Settings!$Z$2:$Z$21,H165)+SUMIFS(Settings!$AA$2:$AA$21,Settings!$Y$2:$Y$21,"Decision-maker?",Settings!$Z$2:$Z$21,I165)+SUMIFS(Settings!$AA$2:$AA$21,Settings!$Y$2:$Y$21,"Someone on camera?",Settings!$Z$2:$Z$21,J165)+SUMIFS(Settings!$AA$2:$AA$21,Settings!$Y$2:$Y$21,"OK with 3-month term?",Settings!$Z$2:$Z$21,K165)+SUMIFS(Settings!$AA$2:$AA$21,Settings!$Y$2:$Y$21,"Start timeline",Settings!$Z$2:$Z$21,L165)+SUMIFS(Settings!$AA$2:$AA$21,Settings!$Y$2:$Y$21,"Social media gap",Settings!$Z$2:$Z$21,M165)+IF(OR(E165="",E165="Lead ID not found"),0,IF(COUNTIF(Settings!$AC$2:$AC$6,E165)&gt;0,Settings!$AA$20,Settings!$AA$21)))</f>
        <v/>
      </c>
      <c r="P165" s="44" t="str">
        <f aca="false">IF(C165="","",IF(N(N165)&lt;6,"Partly scored ("&amp;N165&amp;"/6)",IF(O165&gt;=Settings!$S$8,"Hot",IF(O165&gt;=Settings!$S$9,"Warm","Cold"))))</f>
        <v/>
      </c>
      <c r="Q165" s="44" t="str">
        <f aca="false">IF(C165="","",IF(AND(H165="No",J165="No"),"🚩 Budget  ·  🚩 No one on camera",IF(H165="No","🚩 Budget under AED 5k",IF(J165="No","🚩 No one on camera",""))))</f>
        <v/>
      </c>
      <c r="R165" s="44" t="str">
        <f aca="false">IF(C165="","",IF(N(N165)&lt;6,"Finish the scoresheet before closing",IF(P165="Hot","Close now – send the contract / proposal today",IF(P165="Warm","Send proposal + a relevant result; follow up in 3 days","Rep's call – nurture or close politely")))&amp;IF(Q165&lt;&gt;""," (handle the 🚩 first)",""))</f>
        <v/>
      </c>
      <c r="S165" s="17"/>
      <c r="T165" s="17"/>
      <c r="U165" s="44" t="str">
        <f aca="false">IF(C165="","",IF(COUNTIF(C166:C$501,C165)=0,1,0))</f>
        <v/>
      </c>
    </row>
    <row r="166" customFormat="false" ht="15" hidden="false" customHeight="false" outlineLevel="0" collapsed="false">
      <c r="A166" s="17"/>
      <c r="B166" s="40"/>
      <c r="C166" s="17"/>
      <c r="D166" s="44" t="str">
        <f aca="false">IF(C166="","",IFERROR(INDEX(Inbound!$E$2:$E$501,MATCH(C166,Inbound!$A$2:$A$501,0)),IFERROR(INDEX(Outbound!$D$2:$D$501,MATCH(C166,Outbound!$A$2:$A$501,0)),"Lead ID not found")))</f>
        <v/>
      </c>
      <c r="E166" s="44" t="str">
        <f aca="false">IF(C166="","",IFERROR(INDEX(Inbound!$F$2:$F$501,MATCH(C166,Inbound!$A$2:$A$501,0)),IFERROR(INDEX(Outbound!$E$2:$E$501,MATCH(C166,Outbound!$A$2:$A$501,0)),"Lead ID not found")))</f>
        <v/>
      </c>
      <c r="F166" s="17"/>
      <c r="G166" s="17"/>
      <c r="H166" s="17"/>
      <c r="I166" s="17"/>
      <c r="J166" s="17"/>
      <c r="K166" s="17"/>
      <c r="L166" s="17"/>
      <c r="M166" s="17"/>
      <c r="N166" s="44" t="str">
        <f aca="false">IF(C166="","",COUNTA(H166:M166))</f>
        <v/>
      </c>
      <c r="O166" s="44" t="str">
        <f aca="false">IF(OR(C166="",N(N166)=0),"",SUMIFS(Settings!$AA$2:$AA$21,Settings!$Y$2:$Y$21,"Budget AED 5k+/mo?",Settings!$Z$2:$Z$21,H166)+SUMIFS(Settings!$AA$2:$AA$21,Settings!$Y$2:$Y$21,"Decision-maker?",Settings!$Z$2:$Z$21,I166)+SUMIFS(Settings!$AA$2:$AA$21,Settings!$Y$2:$Y$21,"Someone on camera?",Settings!$Z$2:$Z$21,J166)+SUMIFS(Settings!$AA$2:$AA$21,Settings!$Y$2:$Y$21,"OK with 3-month term?",Settings!$Z$2:$Z$21,K166)+SUMIFS(Settings!$AA$2:$AA$21,Settings!$Y$2:$Y$21,"Start timeline",Settings!$Z$2:$Z$21,L166)+SUMIFS(Settings!$AA$2:$AA$21,Settings!$Y$2:$Y$21,"Social media gap",Settings!$Z$2:$Z$21,M166)+IF(OR(E166="",E166="Lead ID not found"),0,IF(COUNTIF(Settings!$AC$2:$AC$6,E166)&gt;0,Settings!$AA$20,Settings!$AA$21)))</f>
        <v/>
      </c>
      <c r="P166" s="44" t="str">
        <f aca="false">IF(C166="","",IF(N(N166)&lt;6,"Partly scored ("&amp;N166&amp;"/6)",IF(O166&gt;=Settings!$S$8,"Hot",IF(O166&gt;=Settings!$S$9,"Warm","Cold"))))</f>
        <v/>
      </c>
      <c r="Q166" s="44" t="str">
        <f aca="false">IF(C166="","",IF(AND(H166="No",J166="No"),"🚩 Budget  ·  🚩 No one on camera",IF(H166="No","🚩 Budget under AED 5k",IF(J166="No","🚩 No one on camera",""))))</f>
        <v/>
      </c>
      <c r="R166" s="44" t="str">
        <f aca="false">IF(C166="","",IF(N(N166)&lt;6,"Finish the scoresheet before closing",IF(P166="Hot","Close now – send the contract / proposal today",IF(P166="Warm","Send proposal + a relevant result; follow up in 3 days","Rep's call – nurture or close politely")))&amp;IF(Q166&lt;&gt;""," (handle the 🚩 first)",""))</f>
        <v/>
      </c>
      <c r="S166" s="17"/>
      <c r="T166" s="17"/>
      <c r="U166" s="44" t="str">
        <f aca="false">IF(C166="","",IF(COUNTIF(C167:C$501,C166)=0,1,0))</f>
        <v/>
      </c>
    </row>
    <row r="167" customFormat="false" ht="15" hidden="false" customHeight="false" outlineLevel="0" collapsed="false">
      <c r="A167" s="17"/>
      <c r="B167" s="40"/>
      <c r="C167" s="17"/>
      <c r="D167" s="44" t="str">
        <f aca="false">IF(C167="","",IFERROR(INDEX(Inbound!$E$2:$E$501,MATCH(C167,Inbound!$A$2:$A$501,0)),IFERROR(INDEX(Outbound!$D$2:$D$501,MATCH(C167,Outbound!$A$2:$A$501,0)),"Lead ID not found")))</f>
        <v/>
      </c>
      <c r="E167" s="44" t="str">
        <f aca="false">IF(C167="","",IFERROR(INDEX(Inbound!$F$2:$F$501,MATCH(C167,Inbound!$A$2:$A$501,0)),IFERROR(INDEX(Outbound!$E$2:$E$501,MATCH(C167,Outbound!$A$2:$A$501,0)),"Lead ID not found")))</f>
        <v/>
      </c>
      <c r="F167" s="17"/>
      <c r="G167" s="17"/>
      <c r="H167" s="17"/>
      <c r="I167" s="17"/>
      <c r="J167" s="17"/>
      <c r="K167" s="17"/>
      <c r="L167" s="17"/>
      <c r="M167" s="17"/>
      <c r="N167" s="44" t="str">
        <f aca="false">IF(C167="","",COUNTA(H167:M167))</f>
        <v/>
      </c>
      <c r="O167" s="44" t="str">
        <f aca="false">IF(OR(C167="",N(N167)=0),"",SUMIFS(Settings!$AA$2:$AA$21,Settings!$Y$2:$Y$21,"Budget AED 5k+/mo?",Settings!$Z$2:$Z$21,H167)+SUMIFS(Settings!$AA$2:$AA$21,Settings!$Y$2:$Y$21,"Decision-maker?",Settings!$Z$2:$Z$21,I167)+SUMIFS(Settings!$AA$2:$AA$21,Settings!$Y$2:$Y$21,"Someone on camera?",Settings!$Z$2:$Z$21,J167)+SUMIFS(Settings!$AA$2:$AA$21,Settings!$Y$2:$Y$21,"OK with 3-month term?",Settings!$Z$2:$Z$21,K167)+SUMIFS(Settings!$AA$2:$AA$21,Settings!$Y$2:$Y$21,"Start timeline",Settings!$Z$2:$Z$21,L167)+SUMIFS(Settings!$AA$2:$AA$21,Settings!$Y$2:$Y$21,"Social media gap",Settings!$Z$2:$Z$21,M167)+IF(OR(E167="",E167="Lead ID not found"),0,IF(COUNTIF(Settings!$AC$2:$AC$6,E167)&gt;0,Settings!$AA$20,Settings!$AA$21)))</f>
        <v/>
      </c>
      <c r="P167" s="44" t="str">
        <f aca="false">IF(C167="","",IF(N(N167)&lt;6,"Partly scored ("&amp;N167&amp;"/6)",IF(O167&gt;=Settings!$S$8,"Hot",IF(O167&gt;=Settings!$S$9,"Warm","Cold"))))</f>
        <v/>
      </c>
      <c r="Q167" s="44" t="str">
        <f aca="false">IF(C167="","",IF(AND(H167="No",J167="No"),"🚩 Budget  ·  🚩 No one on camera",IF(H167="No","🚩 Budget under AED 5k",IF(J167="No","🚩 No one on camera",""))))</f>
        <v/>
      </c>
      <c r="R167" s="44" t="str">
        <f aca="false">IF(C167="","",IF(N(N167)&lt;6,"Finish the scoresheet before closing",IF(P167="Hot","Close now – send the contract / proposal today",IF(P167="Warm","Send proposal + a relevant result; follow up in 3 days","Rep's call – nurture or close politely")))&amp;IF(Q167&lt;&gt;""," (handle the 🚩 first)",""))</f>
        <v/>
      </c>
      <c r="S167" s="17"/>
      <c r="T167" s="17"/>
      <c r="U167" s="44" t="str">
        <f aca="false">IF(C167="","",IF(COUNTIF(C168:C$501,C167)=0,1,0))</f>
        <v/>
      </c>
    </row>
    <row r="168" customFormat="false" ht="15" hidden="false" customHeight="false" outlineLevel="0" collapsed="false">
      <c r="A168" s="17"/>
      <c r="B168" s="40"/>
      <c r="C168" s="17"/>
      <c r="D168" s="44" t="str">
        <f aca="false">IF(C168="","",IFERROR(INDEX(Inbound!$E$2:$E$501,MATCH(C168,Inbound!$A$2:$A$501,0)),IFERROR(INDEX(Outbound!$D$2:$D$501,MATCH(C168,Outbound!$A$2:$A$501,0)),"Lead ID not found")))</f>
        <v/>
      </c>
      <c r="E168" s="44" t="str">
        <f aca="false">IF(C168="","",IFERROR(INDEX(Inbound!$F$2:$F$501,MATCH(C168,Inbound!$A$2:$A$501,0)),IFERROR(INDEX(Outbound!$E$2:$E$501,MATCH(C168,Outbound!$A$2:$A$501,0)),"Lead ID not found")))</f>
        <v/>
      </c>
      <c r="F168" s="17"/>
      <c r="G168" s="17"/>
      <c r="H168" s="17"/>
      <c r="I168" s="17"/>
      <c r="J168" s="17"/>
      <c r="K168" s="17"/>
      <c r="L168" s="17"/>
      <c r="M168" s="17"/>
      <c r="N168" s="44" t="str">
        <f aca="false">IF(C168="","",COUNTA(H168:M168))</f>
        <v/>
      </c>
      <c r="O168" s="44" t="str">
        <f aca="false">IF(OR(C168="",N(N168)=0),"",SUMIFS(Settings!$AA$2:$AA$21,Settings!$Y$2:$Y$21,"Budget AED 5k+/mo?",Settings!$Z$2:$Z$21,H168)+SUMIFS(Settings!$AA$2:$AA$21,Settings!$Y$2:$Y$21,"Decision-maker?",Settings!$Z$2:$Z$21,I168)+SUMIFS(Settings!$AA$2:$AA$21,Settings!$Y$2:$Y$21,"Someone on camera?",Settings!$Z$2:$Z$21,J168)+SUMIFS(Settings!$AA$2:$AA$21,Settings!$Y$2:$Y$21,"OK with 3-month term?",Settings!$Z$2:$Z$21,K168)+SUMIFS(Settings!$AA$2:$AA$21,Settings!$Y$2:$Y$21,"Start timeline",Settings!$Z$2:$Z$21,L168)+SUMIFS(Settings!$AA$2:$AA$21,Settings!$Y$2:$Y$21,"Social media gap",Settings!$Z$2:$Z$21,M168)+IF(OR(E168="",E168="Lead ID not found"),0,IF(COUNTIF(Settings!$AC$2:$AC$6,E168)&gt;0,Settings!$AA$20,Settings!$AA$21)))</f>
        <v/>
      </c>
      <c r="P168" s="44" t="str">
        <f aca="false">IF(C168="","",IF(N(N168)&lt;6,"Partly scored ("&amp;N168&amp;"/6)",IF(O168&gt;=Settings!$S$8,"Hot",IF(O168&gt;=Settings!$S$9,"Warm","Cold"))))</f>
        <v/>
      </c>
      <c r="Q168" s="44" t="str">
        <f aca="false">IF(C168="","",IF(AND(H168="No",J168="No"),"🚩 Budget  ·  🚩 No one on camera",IF(H168="No","🚩 Budget under AED 5k",IF(J168="No","🚩 No one on camera",""))))</f>
        <v/>
      </c>
      <c r="R168" s="44" t="str">
        <f aca="false">IF(C168="","",IF(N(N168)&lt;6,"Finish the scoresheet before closing",IF(P168="Hot","Close now – send the contract / proposal today",IF(P168="Warm","Send proposal + a relevant result; follow up in 3 days","Rep's call – nurture or close politely")))&amp;IF(Q168&lt;&gt;""," (handle the 🚩 first)",""))</f>
        <v/>
      </c>
      <c r="S168" s="17"/>
      <c r="T168" s="17"/>
      <c r="U168" s="44" t="str">
        <f aca="false">IF(C168="","",IF(COUNTIF(C169:C$501,C168)=0,1,0))</f>
        <v/>
      </c>
    </row>
    <row r="169" customFormat="false" ht="15" hidden="false" customHeight="false" outlineLevel="0" collapsed="false">
      <c r="A169" s="17"/>
      <c r="B169" s="40"/>
      <c r="C169" s="17"/>
      <c r="D169" s="44" t="str">
        <f aca="false">IF(C169="","",IFERROR(INDEX(Inbound!$E$2:$E$501,MATCH(C169,Inbound!$A$2:$A$501,0)),IFERROR(INDEX(Outbound!$D$2:$D$501,MATCH(C169,Outbound!$A$2:$A$501,0)),"Lead ID not found")))</f>
        <v/>
      </c>
      <c r="E169" s="44" t="str">
        <f aca="false">IF(C169="","",IFERROR(INDEX(Inbound!$F$2:$F$501,MATCH(C169,Inbound!$A$2:$A$501,0)),IFERROR(INDEX(Outbound!$E$2:$E$501,MATCH(C169,Outbound!$A$2:$A$501,0)),"Lead ID not found")))</f>
        <v/>
      </c>
      <c r="F169" s="17"/>
      <c r="G169" s="17"/>
      <c r="H169" s="17"/>
      <c r="I169" s="17"/>
      <c r="J169" s="17"/>
      <c r="K169" s="17"/>
      <c r="L169" s="17"/>
      <c r="M169" s="17"/>
      <c r="N169" s="44" t="str">
        <f aca="false">IF(C169="","",COUNTA(H169:M169))</f>
        <v/>
      </c>
      <c r="O169" s="44" t="str">
        <f aca="false">IF(OR(C169="",N(N169)=0),"",SUMIFS(Settings!$AA$2:$AA$21,Settings!$Y$2:$Y$21,"Budget AED 5k+/mo?",Settings!$Z$2:$Z$21,H169)+SUMIFS(Settings!$AA$2:$AA$21,Settings!$Y$2:$Y$21,"Decision-maker?",Settings!$Z$2:$Z$21,I169)+SUMIFS(Settings!$AA$2:$AA$21,Settings!$Y$2:$Y$21,"Someone on camera?",Settings!$Z$2:$Z$21,J169)+SUMIFS(Settings!$AA$2:$AA$21,Settings!$Y$2:$Y$21,"OK with 3-month term?",Settings!$Z$2:$Z$21,K169)+SUMIFS(Settings!$AA$2:$AA$21,Settings!$Y$2:$Y$21,"Start timeline",Settings!$Z$2:$Z$21,L169)+SUMIFS(Settings!$AA$2:$AA$21,Settings!$Y$2:$Y$21,"Social media gap",Settings!$Z$2:$Z$21,M169)+IF(OR(E169="",E169="Lead ID not found"),0,IF(COUNTIF(Settings!$AC$2:$AC$6,E169)&gt;0,Settings!$AA$20,Settings!$AA$21)))</f>
        <v/>
      </c>
      <c r="P169" s="44" t="str">
        <f aca="false">IF(C169="","",IF(N(N169)&lt;6,"Partly scored ("&amp;N169&amp;"/6)",IF(O169&gt;=Settings!$S$8,"Hot",IF(O169&gt;=Settings!$S$9,"Warm","Cold"))))</f>
        <v/>
      </c>
      <c r="Q169" s="44" t="str">
        <f aca="false">IF(C169="","",IF(AND(H169="No",J169="No"),"🚩 Budget  ·  🚩 No one on camera",IF(H169="No","🚩 Budget under AED 5k",IF(J169="No","🚩 No one on camera",""))))</f>
        <v/>
      </c>
      <c r="R169" s="44" t="str">
        <f aca="false">IF(C169="","",IF(N(N169)&lt;6,"Finish the scoresheet before closing",IF(P169="Hot","Close now – send the contract / proposal today",IF(P169="Warm","Send proposal + a relevant result; follow up in 3 days","Rep's call – nurture or close politely")))&amp;IF(Q169&lt;&gt;""," (handle the 🚩 first)",""))</f>
        <v/>
      </c>
      <c r="S169" s="17"/>
      <c r="T169" s="17"/>
      <c r="U169" s="44" t="str">
        <f aca="false">IF(C169="","",IF(COUNTIF(C170:C$501,C169)=0,1,0))</f>
        <v/>
      </c>
    </row>
    <row r="170" customFormat="false" ht="15" hidden="false" customHeight="false" outlineLevel="0" collapsed="false">
      <c r="A170" s="17"/>
      <c r="B170" s="40"/>
      <c r="C170" s="17"/>
      <c r="D170" s="44" t="str">
        <f aca="false">IF(C170="","",IFERROR(INDEX(Inbound!$E$2:$E$501,MATCH(C170,Inbound!$A$2:$A$501,0)),IFERROR(INDEX(Outbound!$D$2:$D$501,MATCH(C170,Outbound!$A$2:$A$501,0)),"Lead ID not found")))</f>
        <v/>
      </c>
      <c r="E170" s="44" t="str">
        <f aca="false">IF(C170="","",IFERROR(INDEX(Inbound!$F$2:$F$501,MATCH(C170,Inbound!$A$2:$A$501,0)),IFERROR(INDEX(Outbound!$E$2:$E$501,MATCH(C170,Outbound!$A$2:$A$501,0)),"Lead ID not found")))</f>
        <v/>
      </c>
      <c r="F170" s="17"/>
      <c r="G170" s="17"/>
      <c r="H170" s="17"/>
      <c r="I170" s="17"/>
      <c r="J170" s="17"/>
      <c r="K170" s="17"/>
      <c r="L170" s="17"/>
      <c r="M170" s="17"/>
      <c r="N170" s="44" t="str">
        <f aca="false">IF(C170="","",COUNTA(H170:M170))</f>
        <v/>
      </c>
      <c r="O170" s="44" t="str">
        <f aca="false">IF(OR(C170="",N(N170)=0),"",SUMIFS(Settings!$AA$2:$AA$21,Settings!$Y$2:$Y$21,"Budget AED 5k+/mo?",Settings!$Z$2:$Z$21,H170)+SUMIFS(Settings!$AA$2:$AA$21,Settings!$Y$2:$Y$21,"Decision-maker?",Settings!$Z$2:$Z$21,I170)+SUMIFS(Settings!$AA$2:$AA$21,Settings!$Y$2:$Y$21,"Someone on camera?",Settings!$Z$2:$Z$21,J170)+SUMIFS(Settings!$AA$2:$AA$21,Settings!$Y$2:$Y$21,"OK with 3-month term?",Settings!$Z$2:$Z$21,K170)+SUMIFS(Settings!$AA$2:$AA$21,Settings!$Y$2:$Y$21,"Start timeline",Settings!$Z$2:$Z$21,L170)+SUMIFS(Settings!$AA$2:$AA$21,Settings!$Y$2:$Y$21,"Social media gap",Settings!$Z$2:$Z$21,M170)+IF(OR(E170="",E170="Lead ID not found"),0,IF(COUNTIF(Settings!$AC$2:$AC$6,E170)&gt;0,Settings!$AA$20,Settings!$AA$21)))</f>
        <v/>
      </c>
      <c r="P170" s="44" t="str">
        <f aca="false">IF(C170="","",IF(N(N170)&lt;6,"Partly scored ("&amp;N170&amp;"/6)",IF(O170&gt;=Settings!$S$8,"Hot",IF(O170&gt;=Settings!$S$9,"Warm","Cold"))))</f>
        <v/>
      </c>
      <c r="Q170" s="44" t="str">
        <f aca="false">IF(C170="","",IF(AND(H170="No",J170="No"),"🚩 Budget  ·  🚩 No one on camera",IF(H170="No","🚩 Budget under AED 5k",IF(J170="No","🚩 No one on camera",""))))</f>
        <v/>
      </c>
      <c r="R170" s="44" t="str">
        <f aca="false">IF(C170="","",IF(N(N170)&lt;6,"Finish the scoresheet before closing",IF(P170="Hot","Close now – send the contract / proposal today",IF(P170="Warm","Send proposal + a relevant result; follow up in 3 days","Rep's call – nurture or close politely")))&amp;IF(Q170&lt;&gt;""," (handle the 🚩 first)",""))</f>
        <v/>
      </c>
      <c r="S170" s="17"/>
      <c r="T170" s="17"/>
      <c r="U170" s="44" t="str">
        <f aca="false">IF(C170="","",IF(COUNTIF(C171:C$501,C170)=0,1,0))</f>
        <v/>
      </c>
    </row>
    <row r="171" customFormat="false" ht="15" hidden="false" customHeight="false" outlineLevel="0" collapsed="false">
      <c r="A171" s="17"/>
      <c r="B171" s="40"/>
      <c r="C171" s="17"/>
      <c r="D171" s="44" t="str">
        <f aca="false">IF(C171="","",IFERROR(INDEX(Inbound!$E$2:$E$501,MATCH(C171,Inbound!$A$2:$A$501,0)),IFERROR(INDEX(Outbound!$D$2:$D$501,MATCH(C171,Outbound!$A$2:$A$501,0)),"Lead ID not found")))</f>
        <v/>
      </c>
      <c r="E171" s="44" t="str">
        <f aca="false">IF(C171="","",IFERROR(INDEX(Inbound!$F$2:$F$501,MATCH(C171,Inbound!$A$2:$A$501,0)),IFERROR(INDEX(Outbound!$E$2:$E$501,MATCH(C171,Outbound!$A$2:$A$501,0)),"Lead ID not found")))</f>
        <v/>
      </c>
      <c r="F171" s="17"/>
      <c r="G171" s="17"/>
      <c r="H171" s="17"/>
      <c r="I171" s="17"/>
      <c r="J171" s="17"/>
      <c r="K171" s="17"/>
      <c r="L171" s="17"/>
      <c r="M171" s="17"/>
      <c r="N171" s="44" t="str">
        <f aca="false">IF(C171="","",COUNTA(H171:M171))</f>
        <v/>
      </c>
      <c r="O171" s="44" t="str">
        <f aca="false">IF(OR(C171="",N(N171)=0),"",SUMIFS(Settings!$AA$2:$AA$21,Settings!$Y$2:$Y$21,"Budget AED 5k+/mo?",Settings!$Z$2:$Z$21,H171)+SUMIFS(Settings!$AA$2:$AA$21,Settings!$Y$2:$Y$21,"Decision-maker?",Settings!$Z$2:$Z$21,I171)+SUMIFS(Settings!$AA$2:$AA$21,Settings!$Y$2:$Y$21,"Someone on camera?",Settings!$Z$2:$Z$21,J171)+SUMIFS(Settings!$AA$2:$AA$21,Settings!$Y$2:$Y$21,"OK with 3-month term?",Settings!$Z$2:$Z$21,K171)+SUMIFS(Settings!$AA$2:$AA$21,Settings!$Y$2:$Y$21,"Start timeline",Settings!$Z$2:$Z$21,L171)+SUMIFS(Settings!$AA$2:$AA$21,Settings!$Y$2:$Y$21,"Social media gap",Settings!$Z$2:$Z$21,M171)+IF(OR(E171="",E171="Lead ID not found"),0,IF(COUNTIF(Settings!$AC$2:$AC$6,E171)&gt;0,Settings!$AA$20,Settings!$AA$21)))</f>
        <v/>
      </c>
      <c r="P171" s="44" t="str">
        <f aca="false">IF(C171="","",IF(N(N171)&lt;6,"Partly scored ("&amp;N171&amp;"/6)",IF(O171&gt;=Settings!$S$8,"Hot",IF(O171&gt;=Settings!$S$9,"Warm","Cold"))))</f>
        <v/>
      </c>
      <c r="Q171" s="44" t="str">
        <f aca="false">IF(C171="","",IF(AND(H171="No",J171="No"),"🚩 Budget  ·  🚩 No one on camera",IF(H171="No","🚩 Budget under AED 5k",IF(J171="No","🚩 No one on camera",""))))</f>
        <v/>
      </c>
      <c r="R171" s="44" t="str">
        <f aca="false">IF(C171="","",IF(N(N171)&lt;6,"Finish the scoresheet before closing",IF(P171="Hot","Close now – send the contract / proposal today",IF(P171="Warm","Send proposal + a relevant result; follow up in 3 days","Rep's call – nurture or close politely")))&amp;IF(Q171&lt;&gt;""," (handle the 🚩 first)",""))</f>
        <v/>
      </c>
      <c r="S171" s="17"/>
      <c r="T171" s="17"/>
      <c r="U171" s="44" t="str">
        <f aca="false">IF(C171="","",IF(COUNTIF(C172:C$501,C171)=0,1,0))</f>
        <v/>
      </c>
    </row>
    <row r="172" customFormat="false" ht="15" hidden="false" customHeight="false" outlineLevel="0" collapsed="false">
      <c r="A172" s="17"/>
      <c r="B172" s="40"/>
      <c r="C172" s="17"/>
      <c r="D172" s="44" t="str">
        <f aca="false">IF(C172="","",IFERROR(INDEX(Inbound!$E$2:$E$501,MATCH(C172,Inbound!$A$2:$A$501,0)),IFERROR(INDEX(Outbound!$D$2:$D$501,MATCH(C172,Outbound!$A$2:$A$501,0)),"Lead ID not found")))</f>
        <v/>
      </c>
      <c r="E172" s="44" t="str">
        <f aca="false">IF(C172="","",IFERROR(INDEX(Inbound!$F$2:$F$501,MATCH(C172,Inbound!$A$2:$A$501,0)),IFERROR(INDEX(Outbound!$E$2:$E$501,MATCH(C172,Outbound!$A$2:$A$501,0)),"Lead ID not found")))</f>
        <v/>
      </c>
      <c r="F172" s="17"/>
      <c r="G172" s="17"/>
      <c r="H172" s="17"/>
      <c r="I172" s="17"/>
      <c r="J172" s="17"/>
      <c r="K172" s="17"/>
      <c r="L172" s="17"/>
      <c r="M172" s="17"/>
      <c r="N172" s="44" t="str">
        <f aca="false">IF(C172="","",COUNTA(H172:M172))</f>
        <v/>
      </c>
      <c r="O172" s="44" t="str">
        <f aca="false">IF(OR(C172="",N(N172)=0),"",SUMIFS(Settings!$AA$2:$AA$21,Settings!$Y$2:$Y$21,"Budget AED 5k+/mo?",Settings!$Z$2:$Z$21,H172)+SUMIFS(Settings!$AA$2:$AA$21,Settings!$Y$2:$Y$21,"Decision-maker?",Settings!$Z$2:$Z$21,I172)+SUMIFS(Settings!$AA$2:$AA$21,Settings!$Y$2:$Y$21,"Someone on camera?",Settings!$Z$2:$Z$21,J172)+SUMIFS(Settings!$AA$2:$AA$21,Settings!$Y$2:$Y$21,"OK with 3-month term?",Settings!$Z$2:$Z$21,K172)+SUMIFS(Settings!$AA$2:$AA$21,Settings!$Y$2:$Y$21,"Start timeline",Settings!$Z$2:$Z$21,L172)+SUMIFS(Settings!$AA$2:$AA$21,Settings!$Y$2:$Y$21,"Social media gap",Settings!$Z$2:$Z$21,M172)+IF(OR(E172="",E172="Lead ID not found"),0,IF(COUNTIF(Settings!$AC$2:$AC$6,E172)&gt;0,Settings!$AA$20,Settings!$AA$21)))</f>
        <v/>
      </c>
      <c r="P172" s="44" t="str">
        <f aca="false">IF(C172="","",IF(N(N172)&lt;6,"Partly scored ("&amp;N172&amp;"/6)",IF(O172&gt;=Settings!$S$8,"Hot",IF(O172&gt;=Settings!$S$9,"Warm","Cold"))))</f>
        <v/>
      </c>
      <c r="Q172" s="44" t="str">
        <f aca="false">IF(C172="","",IF(AND(H172="No",J172="No"),"🚩 Budget  ·  🚩 No one on camera",IF(H172="No","🚩 Budget under AED 5k",IF(J172="No","🚩 No one on camera",""))))</f>
        <v/>
      </c>
      <c r="R172" s="44" t="str">
        <f aca="false">IF(C172="","",IF(N(N172)&lt;6,"Finish the scoresheet before closing",IF(P172="Hot","Close now – send the contract / proposal today",IF(P172="Warm","Send proposal + a relevant result; follow up in 3 days","Rep's call – nurture or close politely")))&amp;IF(Q172&lt;&gt;""," (handle the 🚩 first)",""))</f>
        <v/>
      </c>
      <c r="S172" s="17"/>
      <c r="T172" s="17"/>
      <c r="U172" s="44" t="str">
        <f aca="false">IF(C172="","",IF(COUNTIF(C173:C$501,C172)=0,1,0))</f>
        <v/>
      </c>
    </row>
    <row r="173" customFormat="false" ht="15" hidden="false" customHeight="false" outlineLevel="0" collapsed="false">
      <c r="A173" s="17"/>
      <c r="B173" s="40"/>
      <c r="C173" s="17"/>
      <c r="D173" s="44" t="str">
        <f aca="false">IF(C173="","",IFERROR(INDEX(Inbound!$E$2:$E$501,MATCH(C173,Inbound!$A$2:$A$501,0)),IFERROR(INDEX(Outbound!$D$2:$D$501,MATCH(C173,Outbound!$A$2:$A$501,0)),"Lead ID not found")))</f>
        <v/>
      </c>
      <c r="E173" s="44" t="str">
        <f aca="false">IF(C173="","",IFERROR(INDEX(Inbound!$F$2:$F$501,MATCH(C173,Inbound!$A$2:$A$501,0)),IFERROR(INDEX(Outbound!$E$2:$E$501,MATCH(C173,Outbound!$A$2:$A$501,0)),"Lead ID not found")))</f>
        <v/>
      </c>
      <c r="F173" s="17"/>
      <c r="G173" s="17"/>
      <c r="H173" s="17"/>
      <c r="I173" s="17"/>
      <c r="J173" s="17"/>
      <c r="K173" s="17"/>
      <c r="L173" s="17"/>
      <c r="M173" s="17"/>
      <c r="N173" s="44" t="str">
        <f aca="false">IF(C173="","",COUNTA(H173:M173))</f>
        <v/>
      </c>
      <c r="O173" s="44" t="str">
        <f aca="false">IF(OR(C173="",N(N173)=0),"",SUMIFS(Settings!$AA$2:$AA$21,Settings!$Y$2:$Y$21,"Budget AED 5k+/mo?",Settings!$Z$2:$Z$21,H173)+SUMIFS(Settings!$AA$2:$AA$21,Settings!$Y$2:$Y$21,"Decision-maker?",Settings!$Z$2:$Z$21,I173)+SUMIFS(Settings!$AA$2:$AA$21,Settings!$Y$2:$Y$21,"Someone on camera?",Settings!$Z$2:$Z$21,J173)+SUMIFS(Settings!$AA$2:$AA$21,Settings!$Y$2:$Y$21,"OK with 3-month term?",Settings!$Z$2:$Z$21,K173)+SUMIFS(Settings!$AA$2:$AA$21,Settings!$Y$2:$Y$21,"Start timeline",Settings!$Z$2:$Z$21,L173)+SUMIFS(Settings!$AA$2:$AA$21,Settings!$Y$2:$Y$21,"Social media gap",Settings!$Z$2:$Z$21,M173)+IF(OR(E173="",E173="Lead ID not found"),0,IF(COUNTIF(Settings!$AC$2:$AC$6,E173)&gt;0,Settings!$AA$20,Settings!$AA$21)))</f>
        <v/>
      </c>
      <c r="P173" s="44" t="str">
        <f aca="false">IF(C173="","",IF(N(N173)&lt;6,"Partly scored ("&amp;N173&amp;"/6)",IF(O173&gt;=Settings!$S$8,"Hot",IF(O173&gt;=Settings!$S$9,"Warm","Cold"))))</f>
        <v/>
      </c>
      <c r="Q173" s="44" t="str">
        <f aca="false">IF(C173="","",IF(AND(H173="No",J173="No"),"🚩 Budget  ·  🚩 No one on camera",IF(H173="No","🚩 Budget under AED 5k",IF(J173="No","🚩 No one on camera",""))))</f>
        <v/>
      </c>
      <c r="R173" s="44" t="str">
        <f aca="false">IF(C173="","",IF(N(N173)&lt;6,"Finish the scoresheet before closing",IF(P173="Hot","Close now – send the contract / proposal today",IF(P173="Warm","Send proposal + a relevant result; follow up in 3 days","Rep's call – nurture or close politely")))&amp;IF(Q173&lt;&gt;""," (handle the 🚩 first)",""))</f>
        <v/>
      </c>
      <c r="S173" s="17"/>
      <c r="T173" s="17"/>
      <c r="U173" s="44" t="str">
        <f aca="false">IF(C173="","",IF(COUNTIF(C174:C$501,C173)=0,1,0))</f>
        <v/>
      </c>
    </row>
    <row r="174" customFormat="false" ht="15" hidden="false" customHeight="false" outlineLevel="0" collapsed="false">
      <c r="A174" s="17"/>
      <c r="B174" s="40"/>
      <c r="C174" s="17"/>
      <c r="D174" s="44" t="str">
        <f aca="false">IF(C174="","",IFERROR(INDEX(Inbound!$E$2:$E$501,MATCH(C174,Inbound!$A$2:$A$501,0)),IFERROR(INDEX(Outbound!$D$2:$D$501,MATCH(C174,Outbound!$A$2:$A$501,0)),"Lead ID not found")))</f>
        <v/>
      </c>
      <c r="E174" s="44" t="str">
        <f aca="false">IF(C174="","",IFERROR(INDEX(Inbound!$F$2:$F$501,MATCH(C174,Inbound!$A$2:$A$501,0)),IFERROR(INDEX(Outbound!$E$2:$E$501,MATCH(C174,Outbound!$A$2:$A$501,0)),"Lead ID not found")))</f>
        <v/>
      </c>
      <c r="F174" s="17"/>
      <c r="G174" s="17"/>
      <c r="H174" s="17"/>
      <c r="I174" s="17"/>
      <c r="J174" s="17"/>
      <c r="K174" s="17"/>
      <c r="L174" s="17"/>
      <c r="M174" s="17"/>
      <c r="N174" s="44" t="str">
        <f aca="false">IF(C174="","",COUNTA(H174:M174))</f>
        <v/>
      </c>
      <c r="O174" s="44" t="str">
        <f aca="false">IF(OR(C174="",N(N174)=0),"",SUMIFS(Settings!$AA$2:$AA$21,Settings!$Y$2:$Y$21,"Budget AED 5k+/mo?",Settings!$Z$2:$Z$21,H174)+SUMIFS(Settings!$AA$2:$AA$21,Settings!$Y$2:$Y$21,"Decision-maker?",Settings!$Z$2:$Z$21,I174)+SUMIFS(Settings!$AA$2:$AA$21,Settings!$Y$2:$Y$21,"Someone on camera?",Settings!$Z$2:$Z$21,J174)+SUMIFS(Settings!$AA$2:$AA$21,Settings!$Y$2:$Y$21,"OK with 3-month term?",Settings!$Z$2:$Z$21,K174)+SUMIFS(Settings!$AA$2:$AA$21,Settings!$Y$2:$Y$21,"Start timeline",Settings!$Z$2:$Z$21,L174)+SUMIFS(Settings!$AA$2:$AA$21,Settings!$Y$2:$Y$21,"Social media gap",Settings!$Z$2:$Z$21,M174)+IF(OR(E174="",E174="Lead ID not found"),0,IF(COUNTIF(Settings!$AC$2:$AC$6,E174)&gt;0,Settings!$AA$20,Settings!$AA$21)))</f>
        <v/>
      </c>
      <c r="P174" s="44" t="str">
        <f aca="false">IF(C174="","",IF(N(N174)&lt;6,"Partly scored ("&amp;N174&amp;"/6)",IF(O174&gt;=Settings!$S$8,"Hot",IF(O174&gt;=Settings!$S$9,"Warm","Cold"))))</f>
        <v/>
      </c>
      <c r="Q174" s="44" t="str">
        <f aca="false">IF(C174="","",IF(AND(H174="No",J174="No"),"🚩 Budget  ·  🚩 No one on camera",IF(H174="No","🚩 Budget under AED 5k",IF(J174="No","🚩 No one on camera",""))))</f>
        <v/>
      </c>
      <c r="R174" s="44" t="str">
        <f aca="false">IF(C174="","",IF(N(N174)&lt;6,"Finish the scoresheet before closing",IF(P174="Hot","Close now – send the contract / proposal today",IF(P174="Warm","Send proposal + a relevant result; follow up in 3 days","Rep's call – nurture or close politely")))&amp;IF(Q174&lt;&gt;""," (handle the 🚩 first)",""))</f>
        <v/>
      </c>
      <c r="S174" s="17"/>
      <c r="T174" s="17"/>
      <c r="U174" s="44" t="str">
        <f aca="false">IF(C174="","",IF(COUNTIF(C175:C$501,C174)=0,1,0))</f>
        <v/>
      </c>
    </row>
    <row r="175" customFormat="false" ht="15" hidden="false" customHeight="false" outlineLevel="0" collapsed="false">
      <c r="A175" s="17"/>
      <c r="B175" s="40"/>
      <c r="C175" s="17"/>
      <c r="D175" s="44" t="str">
        <f aca="false">IF(C175="","",IFERROR(INDEX(Inbound!$E$2:$E$501,MATCH(C175,Inbound!$A$2:$A$501,0)),IFERROR(INDEX(Outbound!$D$2:$D$501,MATCH(C175,Outbound!$A$2:$A$501,0)),"Lead ID not found")))</f>
        <v/>
      </c>
      <c r="E175" s="44" t="str">
        <f aca="false">IF(C175="","",IFERROR(INDEX(Inbound!$F$2:$F$501,MATCH(C175,Inbound!$A$2:$A$501,0)),IFERROR(INDEX(Outbound!$E$2:$E$501,MATCH(C175,Outbound!$A$2:$A$501,0)),"Lead ID not found")))</f>
        <v/>
      </c>
      <c r="F175" s="17"/>
      <c r="G175" s="17"/>
      <c r="H175" s="17"/>
      <c r="I175" s="17"/>
      <c r="J175" s="17"/>
      <c r="K175" s="17"/>
      <c r="L175" s="17"/>
      <c r="M175" s="17"/>
      <c r="N175" s="44" t="str">
        <f aca="false">IF(C175="","",COUNTA(H175:M175))</f>
        <v/>
      </c>
      <c r="O175" s="44" t="str">
        <f aca="false">IF(OR(C175="",N(N175)=0),"",SUMIFS(Settings!$AA$2:$AA$21,Settings!$Y$2:$Y$21,"Budget AED 5k+/mo?",Settings!$Z$2:$Z$21,H175)+SUMIFS(Settings!$AA$2:$AA$21,Settings!$Y$2:$Y$21,"Decision-maker?",Settings!$Z$2:$Z$21,I175)+SUMIFS(Settings!$AA$2:$AA$21,Settings!$Y$2:$Y$21,"Someone on camera?",Settings!$Z$2:$Z$21,J175)+SUMIFS(Settings!$AA$2:$AA$21,Settings!$Y$2:$Y$21,"OK with 3-month term?",Settings!$Z$2:$Z$21,K175)+SUMIFS(Settings!$AA$2:$AA$21,Settings!$Y$2:$Y$21,"Start timeline",Settings!$Z$2:$Z$21,L175)+SUMIFS(Settings!$AA$2:$AA$21,Settings!$Y$2:$Y$21,"Social media gap",Settings!$Z$2:$Z$21,M175)+IF(OR(E175="",E175="Lead ID not found"),0,IF(COUNTIF(Settings!$AC$2:$AC$6,E175)&gt;0,Settings!$AA$20,Settings!$AA$21)))</f>
        <v/>
      </c>
      <c r="P175" s="44" t="str">
        <f aca="false">IF(C175="","",IF(N(N175)&lt;6,"Partly scored ("&amp;N175&amp;"/6)",IF(O175&gt;=Settings!$S$8,"Hot",IF(O175&gt;=Settings!$S$9,"Warm","Cold"))))</f>
        <v/>
      </c>
      <c r="Q175" s="44" t="str">
        <f aca="false">IF(C175="","",IF(AND(H175="No",J175="No"),"🚩 Budget  ·  🚩 No one on camera",IF(H175="No","🚩 Budget under AED 5k",IF(J175="No","🚩 No one on camera",""))))</f>
        <v/>
      </c>
      <c r="R175" s="44" t="str">
        <f aca="false">IF(C175="","",IF(N(N175)&lt;6,"Finish the scoresheet before closing",IF(P175="Hot","Close now – send the contract / proposal today",IF(P175="Warm","Send proposal + a relevant result; follow up in 3 days","Rep's call – nurture or close politely")))&amp;IF(Q175&lt;&gt;""," (handle the 🚩 first)",""))</f>
        <v/>
      </c>
      <c r="S175" s="17"/>
      <c r="T175" s="17"/>
      <c r="U175" s="44" t="str">
        <f aca="false">IF(C175="","",IF(COUNTIF(C176:C$501,C175)=0,1,0))</f>
        <v/>
      </c>
    </row>
    <row r="176" customFormat="false" ht="15" hidden="false" customHeight="false" outlineLevel="0" collapsed="false">
      <c r="A176" s="17"/>
      <c r="B176" s="40"/>
      <c r="C176" s="17"/>
      <c r="D176" s="44" t="str">
        <f aca="false">IF(C176="","",IFERROR(INDEX(Inbound!$E$2:$E$501,MATCH(C176,Inbound!$A$2:$A$501,0)),IFERROR(INDEX(Outbound!$D$2:$D$501,MATCH(C176,Outbound!$A$2:$A$501,0)),"Lead ID not found")))</f>
        <v/>
      </c>
      <c r="E176" s="44" t="str">
        <f aca="false">IF(C176="","",IFERROR(INDEX(Inbound!$F$2:$F$501,MATCH(C176,Inbound!$A$2:$A$501,0)),IFERROR(INDEX(Outbound!$E$2:$E$501,MATCH(C176,Outbound!$A$2:$A$501,0)),"Lead ID not found")))</f>
        <v/>
      </c>
      <c r="F176" s="17"/>
      <c r="G176" s="17"/>
      <c r="H176" s="17"/>
      <c r="I176" s="17"/>
      <c r="J176" s="17"/>
      <c r="K176" s="17"/>
      <c r="L176" s="17"/>
      <c r="M176" s="17"/>
      <c r="N176" s="44" t="str">
        <f aca="false">IF(C176="","",COUNTA(H176:M176))</f>
        <v/>
      </c>
      <c r="O176" s="44" t="str">
        <f aca="false">IF(OR(C176="",N(N176)=0),"",SUMIFS(Settings!$AA$2:$AA$21,Settings!$Y$2:$Y$21,"Budget AED 5k+/mo?",Settings!$Z$2:$Z$21,H176)+SUMIFS(Settings!$AA$2:$AA$21,Settings!$Y$2:$Y$21,"Decision-maker?",Settings!$Z$2:$Z$21,I176)+SUMIFS(Settings!$AA$2:$AA$21,Settings!$Y$2:$Y$21,"Someone on camera?",Settings!$Z$2:$Z$21,J176)+SUMIFS(Settings!$AA$2:$AA$21,Settings!$Y$2:$Y$21,"OK with 3-month term?",Settings!$Z$2:$Z$21,K176)+SUMIFS(Settings!$AA$2:$AA$21,Settings!$Y$2:$Y$21,"Start timeline",Settings!$Z$2:$Z$21,L176)+SUMIFS(Settings!$AA$2:$AA$21,Settings!$Y$2:$Y$21,"Social media gap",Settings!$Z$2:$Z$21,M176)+IF(OR(E176="",E176="Lead ID not found"),0,IF(COUNTIF(Settings!$AC$2:$AC$6,E176)&gt;0,Settings!$AA$20,Settings!$AA$21)))</f>
        <v/>
      </c>
      <c r="P176" s="44" t="str">
        <f aca="false">IF(C176="","",IF(N(N176)&lt;6,"Partly scored ("&amp;N176&amp;"/6)",IF(O176&gt;=Settings!$S$8,"Hot",IF(O176&gt;=Settings!$S$9,"Warm","Cold"))))</f>
        <v/>
      </c>
      <c r="Q176" s="44" t="str">
        <f aca="false">IF(C176="","",IF(AND(H176="No",J176="No"),"🚩 Budget  ·  🚩 No one on camera",IF(H176="No","🚩 Budget under AED 5k",IF(J176="No","🚩 No one on camera",""))))</f>
        <v/>
      </c>
      <c r="R176" s="44" t="str">
        <f aca="false">IF(C176="","",IF(N(N176)&lt;6,"Finish the scoresheet before closing",IF(P176="Hot","Close now – send the contract / proposal today",IF(P176="Warm","Send proposal + a relevant result; follow up in 3 days","Rep's call – nurture or close politely")))&amp;IF(Q176&lt;&gt;""," (handle the 🚩 first)",""))</f>
        <v/>
      </c>
      <c r="S176" s="17"/>
      <c r="T176" s="17"/>
      <c r="U176" s="44" t="str">
        <f aca="false">IF(C176="","",IF(COUNTIF(C177:C$501,C176)=0,1,0))</f>
        <v/>
      </c>
    </row>
    <row r="177" customFormat="false" ht="15" hidden="false" customHeight="false" outlineLevel="0" collapsed="false">
      <c r="A177" s="17"/>
      <c r="B177" s="40"/>
      <c r="C177" s="17"/>
      <c r="D177" s="44" t="str">
        <f aca="false">IF(C177="","",IFERROR(INDEX(Inbound!$E$2:$E$501,MATCH(C177,Inbound!$A$2:$A$501,0)),IFERROR(INDEX(Outbound!$D$2:$D$501,MATCH(C177,Outbound!$A$2:$A$501,0)),"Lead ID not found")))</f>
        <v/>
      </c>
      <c r="E177" s="44" t="str">
        <f aca="false">IF(C177="","",IFERROR(INDEX(Inbound!$F$2:$F$501,MATCH(C177,Inbound!$A$2:$A$501,0)),IFERROR(INDEX(Outbound!$E$2:$E$501,MATCH(C177,Outbound!$A$2:$A$501,0)),"Lead ID not found")))</f>
        <v/>
      </c>
      <c r="F177" s="17"/>
      <c r="G177" s="17"/>
      <c r="H177" s="17"/>
      <c r="I177" s="17"/>
      <c r="J177" s="17"/>
      <c r="K177" s="17"/>
      <c r="L177" s="17"/>
      <c r="M177" s="17"/>
      <c r="N177" s="44" t="str">
        <f aca="false">IF(C177="","",COUNTA(H177:M177))</f>
        <v/>
      </c>
      <c r="O177" s="44" t="str">
        <f aca="false">IF(OR(C177="",N(N177)=0),"",SUMIFS(Settings!$AA$2:$AA$21,Settings!$Y$2:$Y$21,"Budget AED 5k+/mo?",Settings!$Z$2:$Z$21,H177)+SUMIFS(Settings!$AA$2:$AA$21,Settings!$Y$2:$Y$21,"Decision-maker?",Settings!$Z$2:$Z$21,I177)+SUMIFS(Settings!$AA$2:$AA$21,Settings!$Y$2:$Y$21,"Someone on camera?",Settings!$Z$2:$Z$21,J177)+SUMIFS(Settings!$AA$2:$AA$21,Settings!$Y$2:$Y$21,"OK with 3-month term?",Settings!$Z$2:$Z$21,K177)+SUMIFS(Settings!$AA$2:$AA$21,Settings!$Y$2:$Y$21,"Start timeline",Settings!$Z$2:$Z$21,L177)+SUMIFS(Settings!$AA$2:$AA$21,Settings!$Y$2:$Y$21,"Social media gap",Settings!$Z$2:$Z$21,M177)+IF(OR(E177="",E177="Lead ID not found"),0,IF(COUNTIF(Settings!$AC$2:$AC$6,E177)&gt;0,Settings!$AA$20,Settings!$AA$21)))</f>
        <v/>
      </c>
      <c r="P177" s="44" t="str">
        <f aca="false">IF(C177="","",IF(N(N177)&lt;6,"Partly scored ("&amp;N177&amp;"/6)",IF(O177&gt;=Settings!$S$8,"Hot",IF(O177&gt;=Settings!$S$9,"Warm","Cold"))))</f>
        <v/>
      </c>
      <c r="Q177" s="44" t="str">
        <f aca="false">IF(C177="","",IF(AND(H177="No",J177="No"),"🚩 Budget  ·  🚩 No one on camera",IF(H177="No","🚩 Budget under AED 5k",IF(J177="No","🚩 No one on camera",""))))</f>
        <v/>
      </c>
      <c r="R177" s="44" t="str">
        <f aca="false">IF(C177="","",IF(N(N177)&lt;6,"Finish the scoresheet before closing",IF(P177="Hot","Close now – send the contract / proposal today",IF(P177="Warm","Send proposal + a relevant result; follow up in 3 days","Rep's call – nurture or close politely")))&amp;IF(Q177&lt;&gt;""," (handle the 🚩 first)",""))</f>
        <v/>
      </c>
      <c r="S177" s="17"/>
      <c r="T177" s="17"/>
      <c r="U177" s="44" t="str">
        <f aca="false">IF(C177="","",IF(COUNTIF(C178:C$501,C177)=0,1,0))</f>
        <v/>
      </c>
    </row>
    <row r="178" customFormat="false" ht="15" hidden="false" customHeight="false" outlineLevel="0" collapsed="false">
      <c r="A178" s="17"/>
      <c r="B178" s="40"/>
      <c r="C178" s="17"/>
      <c r="D178" s="44" t="str">
        <f aca="false">IF(C178="","",IFERROR(INDEX(Inbound!$E$2:$E$501,MATCH(C178,Inbound!$A$2:$A$501,0)),IFERROR(INDEX(Outbound!$D$2:$D$501,MATCH(C178,Outbound!$A$2:$A$501,0)),"Lead ID not found")))</f>
        <v/>
      </c>
      <c r="E178" s="44" t="str">
        <f aca="false">IF(C178="","",IFERROR(INDEX(Inbound!$F$2:$F$501,MATCH(C178,Inbound!$A$2:$A$501,0)),IFERROR(INDEX(Outbound!$E$2:$E$501,MATCH(C178,Outbound!$A$2:$A$501,0)),"Lead ID not found")))</f>
        <v/>
      </c>
      <c r="F178" s="17"/>
      <c r="G178" s="17"/>
      <c r="H178" s="17"/>
      <c r="I178" s="17"/>
      <c r="J178" s="17"/>
      <c r="K178" s="17"/>
      <c r="L178" s="17"/>
      <c r="M178" s="17"/>
      <c r="N178" s="44" t="str">
        <f aca="false">IF(C178="","",COUNTA(H178:M178))</f>
        <v/>
      </c>
      <c r="O178" s="44" t="str">
        <f aca="false">IF(OR(C178="",N(N178)=0),"",SUMIFS(Settings!$AA$2:$AA$21,Settings!$Y$2:$Y$21,"Budget AED 5k+/mo?",Settings!$Z$2:$Z$21,H178)+SUMIFS(Settings!$AA$2:$AA$21,Settings!$Y$2:$Y$21,"Decision-maker?",Settings!$Z$2:$Z$21,I178)+SUMIFS(Settings!$AA$2:$AA$21,Settings!$Y$2:$Y$21,"Someone on camera?",Settings!$Z$2:$Z$21,J178)+SUMIFS(Settings!$AA$2:$AA$21,Settings!$Y$2:$Y$21,"OK with 3-month term?",Settings!$Z$2:$Z$21,K178)+SUMIFS(Settings!$AA$2:$AA$21,Settings!$Y$2:$Y$21,"Start timeline",Settings!$Z$2:$Z$21,L178)+SUMIFS(Settings!$AA$2:$AA$21,Settings!$Y$2:$Y$21,"Social media gap",Settings!$Z$2:$Z$21,M178)+IF(OR(E178="",E178="Lead ID not found"),0,IF(COUNTIF(Settings!$AC$2:$AC$6,E178)&gt;0,Settings!$AA$20,Settings!$AA$21)))</f>
        <v/>
      </c>
      <c r="P178" s="44" t="str">
        <f aca="false">IF(C178="","",IF(N(N178)&lt;6,"Partly scored ("&amp;N178&amp;"/6)",IF(O178&gt;=Settings!$S$8,"Hot",IF(O178&gt;=Settings!$S$9,"Warm","Cold"))))</f>
        <v/>
      </c>
      <c r="Q178" s="44" t="str">
        <f aca="false">IF(C178="","",IF(AND(H178="No",J178="No"),"🚩 Budget  ·  🚩 No one on camera",IF(H178="No","🚩 Budget under AED 5k",IF(J178="No","🚩 No one on camera",""))))</f>
        <v/>
      </c>
      <c r="R178" s="44" t="str">
        <f aca="false">IF(C178="","",IF(N(N178)&lt;6,"Finish the scoresheet before closing",IF(P178="Hot","Close now – send the contract / proposal today",IF(P178="Warm","Send proposal + a relevant result; follow up in 3 days","Rep's call – nurture or close politely")))&amp;IF(Q178&lt;&gt;""," (handle the 🚩 first)",""))</f>
        <v/>
      </c>
      <c r="S178" s="17"/>
      <c r="T178" s="17"/>
      <c r="U178" s="44" t="str">
        <f aca="false">IF(C178="","",IF(COUNTIF(C179:C$501,C178)=0,1,0))</f>
        <v/>
      </c>
    </row>
    <row r="179" customFormat="false" ht="15" hidden="false" customHeight="false" outlineLevel="0" collapsed="false">
      <c r="A179" s="17"/>
      <c r="B179" s="40"/>
      <c r="C179" s="17"/>
      <c r="D179" s="44" t="str">
        <f aca="false">IF(C179="","",IFERROR(INDEX(Inbound!$E$2:$E$501,MATCH(C179,Inbound!$A$2:$A$501,0)),IFERROR(INDEX(Outbound!$D$2:$D$501,MATCH(C179,Outbound!$A$2:$A$501,0)),"Lead ID not found")))</f>
        <v/>
      </c>
      <c r="E179" s="44" t="str">
        <f aca="false">IF(C179="","",IFERROR(INDEX(Inbound!$F$2:$F$501,MATCH(C179,Inbound!$A$2:$A$501,0)),IFERROR(INDEX(Outbound!$E$2:$E$501,MATCH(C179,Outbound!$A$2:$A$501,0)),"Lead ID not found")))</f>
        <v/>
      </c>
      <c r="F179" s="17"/>
      <c r="G179" s="17"/>
      <c r="H179" s="17"/>
      <c r="I179" s="17"/>
      <c r="J179" s="17"/>
      <c r="K179" s="17"/>
      <c r="L179" s="17"/>
      <c r="M179" s="17"/>
      <c r="N179" s="44" t="str">
        <f aca="false">IF(C179="","",COUNTA(H179:M179))</f>
        <v/>
      </c>
      <c r="O179" s="44" t="str">
        <f aca="false">IF(OR(C179="",N(N179)=0),"",SUMIFS(Settings!$AA$2:$AA$21,Settings!$Y$2:$Y$21,"Budget AED 5k+/mo?",Settings!$Z$2:$Z$21,H179)+SUMIFS(Settings!$AA$2:$AA$21,Settings!$Y$2:$Y$21,"Decision-maker?",Settings!$Z$2:$Z$21,I179)+SUMIFS(Settings!$AA$2:$AA$21,Settings!$Y$2:$Y$21,"Someone on camera?",Settings!$Z$2:$Z$21,J179)+SUMIFS(Settings!$AA$2:$AA$21,Settings!$Y$2:$Y$21,"OK with 3-month term?",Settings!$Z$2:$Z$21,K179)+SUMIFS(Settings!$AA$2:$AA$21,Settings!$Y$2:$Y$21,"Start timeline",Settings!$Z$2:$Z$21,L179)+SUMIFS(Settings!$AA$2:$AA$21,Settings!$Y$2:$Y$21,"Social media gap",Settings!$Z$2:$Z$21,M179)+IF(OR(E179="",E179="Lead ID not found"),0,IF(COUNTIF(Settings!$AC$2:$AC$6,E179)&gt;0,Settings!$AA$20,Settings!$AA$21)))</f>
        <v/>
      </c>
      <c r="P179" s="44" t="str">
        <f aca="false">IF(C179="","",IF(N(N179)&lt;6,"Partly scored ("&amp;N179&amp;"/6)",IF(O179&gt;=Settings!$S$8,"Hot",IF(O179&gt;=Settings!$S$9,"Warm","Cold"))))</f>
        <v/>
      </c>
      <c r="Q179" s="44" t="str">
        <f aca="false">IF(C179="","",IF(AND(H179="No",J179="No"),"🚩 Budget  ·  🚩 No one on camera",IF(H179="No","🚩 Budget under AED 5k",IF(J179="No","🚩 No one on camera",""))))</f>
        <v/>
      </c>
      <c r="R179" s="44" t="str">
        <f aca="false">IF(C179="","",IF(N(N179)&lt;6,"Finish the scoresheet before closing",IF(P179="Hot","Close now – send the contract / proposal today",IF(P179="Warm","Send proposal + a relevant result; follow up in 3 days","Rep's call – nurture or close politely")))&amp;IF(Q179&lt;&gt;""," (handle the 🚩 first)",""))</f>
        <v/>
      </c>
      <c r="S179" s="17"/>
      <c r="T179" s="17"/>
      <c r="U179" s="44" t="str">
        <f aca="false">IF(C179="","",IF(COUNTIF(C180:C$501,C179)=0,1,0))</f>
        <v/>
      </c>
    </row>
    <row r="180" customFormat="false" ht="15" hidden="false" customHeight="false" outlineLevel="0" collapsed="false">
      <c r="A180" s="17"/>
      <c r="B180" s="40"/>
      <c r="C180" s="17"/>
      <c r="D180" s="44" t="str">
        <f aca="false">IF(C180="","",IFERROR(INDEX(Inbound!$E$2:$E$501,MATCH(C180,Inbound!$A$2:$A$501,0)),IFERROR(INDEX(Outbound!$D$2:$D$501,MATCH(C180,Outbound!$A$2:$A$501,0)),"Lead ID not found")))</f>
        <v/>
      </c>
      <c r="E180" s="44" t="str">
        <f aca="false">IF(C180="","",IFERROR(INDEX(Inbound!$F$2:$F$501,MATCH(C180,Inbound!$A$2:$A$501,0)),IFERROR(INDEX(Outbound!$E$2:$E$501,MATCH(C180,Outbound!$A$2:$A$501,0)),"Lead ID not found")))</f>
        <v/>
      </c>
      <c r="F180" s="17"/>
      <c r="G180" s="17"/>
      <c r="H180" s="17"/>
      <c r="I180" s="17"/>
      <c r="J180" s="17"/>
      <c r="K180" s="17"/>
      <c r="L180" s="17"/>
      <c r="M180" s="17"/>
      <c r="N180" s="44" t="str">
        <f aca="false">IF(C180="","",COUNTA(H180:M180))</f>
        <v/>
      </c>
      <c r="O180" s="44" t="str">
        <f aca="false">IF(OR(C180="",N(N180)=0),"",SUMIFS(Settings!$AA$2:$AA$21,Settings!$Y$2:$Y$21,"Budget AED 5k+/mo?",Settings!$Z$2:$Z$21,H180)+SUMIFS(Settings!$AA$2:$AA$21,Settings!$Y$2:$Y$21,"Decision-maker?",Settings!$Z$2:$Z$21,I180)+SUMIFS(Settings!$AA$2:$AA$21,Settings!$Y$2:$Y$21,"Someone on camera?",Settings!$Z$2:$Z$21,J180)+SUMIFS(Settings!$AA$2:$AA$21,Settings!$Y$2:$Y$21,"OK with 3-month term?",Settings!$Z$2:$Z$21,K180)+SUMIFS(Settings!$AA$2:$AA$21,Settings!$Y$2:$Y$21,"Start timeline",Settings!$Z$2:$Z$21,L180)+SUMIFS(Settings!$AA$2:$AA$21,Settings!$Y$2:$Y$21,"Social media gap",Settings!$Z$2:$Z$21,M180)+IF(OR(E180="",E180="Lead ID not found"),0,IF(COUNTIF(Settings!$AC$2:$AC$6,E180)&gt;0,Settings!$AA$20,Settings!$AA$21)))</f>
        <v/>
      </c>
      <c r="P180" s="44" t="str">
        <f aca="false">IF(C180="","",IF(N(N180)&lt;6,"Partly scored ("&amp;N180&amp;"/6)",IF(O180&gt;=Settings!$S$8,"Hot",IF(O180&gt;=Settings!$S$9,"Warm","Cold"))))</f>
        <v/>
      </c>
      <c r="Q180" s="44" t="str">
        <f aca="false">IF(C180="","",IF(AND(H180="No",J180="No"),"🚩 Budget  ·  🚩 No one on camera",IF(H180="No","🚩 Budget under AED 5k",IF(J180="No","🚩 No one on camera",""))))</f>
        <v/>
      </c>
      <c r="R180" s="44" t="str">
        <f aca="false">IF(C180="","",IF(N(N180)&lt;6,"Finish the scoresheet before closing",IF(P180="Hot","Close now – send the contract / proposal today",IF(P180="Warm","Send proposal + a relevant result; follow up in 3 days","Rep's call – nurture or close politely")))&amp;IF(Q180&lt;&gt;""," (handle the 🚩 first)",""))</f>
        <v/>
      </c>
      <c r="S180" s="17"/>
      <c r="T180" s="17"/>
      <c r="U180" s="44" t="str">
        <f aca="false">IF(C180="","",IF(COUNTIF(C181:C$501,C180)=0,1,0))</f>
        <v/>
      </c>
    </row>
    <row r="181" customFormat="false" ht="15" hidden="false" customHeight="false" outlineLevel="0" collapsed="false">
      <c r="A181" s="17"/>
      <c r="B181" s="40"/>
      <c r="C181" s="17"/>
      <c r="D181" s="44" t="str">
        <f aca="false">IF(C181="","",IFERROR(INDEX(Inbound!$E$2:$E$501,MATCH(C181,Inbound!$A$2:$A$501,0)),IFERROR(INDEX(Outbound!$D$2:$D$501,MATCH(C181,Outbound!$A$2:$A$501,0)),"Lead ID not found")))</f>
        <v/>
      </c>
      <c r="E181" s="44" t="str">
        <f aca="false">IF(C181="","",IFERROR(INDEX(Inbound!$F$2:$F$501,MATCH(C181,Inbound!$A$2:$A$501,0)),IFERROR(INDEX(Outbound!$E$2:$E$501,MATCH(C181,Outbound!$A$2:$A$501,0)),"Lead ID not found")))</f>
        <v/>
      </c>
      <c r="F181" s="17"/>
      <c r="G181" s="17"/>
      <c r="H181" s="17"/>
      <c r="I181" s="17"/>
      <c r="J181" s="17"/>
      <c r="K181" s="17"/>
      <c r="L181" s="17"/>
      <c r="M181" s="17"/>
      <c r="N181" s="44" t="str">
        <f aca="false">IF(C181="","",COUNTA(H181:M181))</f>
        <v/>
      </c>
      <c r="O181" s="44" t="str">
        <f aca="false">IF(OR(C181="",N(N181)=0),"",SUMIFS(Settings!$AA$2:$AA$21,Settings!$Y$2:$Y$21,"Budget AED 5k+/mo?",Settings!$Z$2:$Z$21,H181)+SUMIFS(Settings!$AA$2:$AA$21,Settings!$Y$2:$Y$21,"Decision-maker?",Settings!$Z$2:$Z$21,I181)+SUMIFS(Settings!$AA$2:$AA$21,Settings!$Y$2:$Y$21,"Someone on camera?",Settings!$Z$2:$Z$21,J181)+SUMIFS(Settings!$AA$2:$AA$21,Settings!$Y$2:$Y$21,"OK with 3-month term?",Settings!$Z$2:$Z$21,K181)+SUMIFS(Settings!$AA$2:$AA$21,Settings!$Y$2:$Y$21,"Start timeline",Settings!$Z$2:$Z$21,L181)+SUMIFS(Settings!$AA$2:$AA$21,Settings!$Y$2:$Y$21,"Social media gap",Settings!$Z$2:$Z$21,M181)+IF(OR(E181="",E181="Lead ID not found"),0,IF(COUNTIF(Settings!$AC$2:$AC$6,E181)&gt;0,Settings!$AA$20,Settings!$AA$21)))</f>
        <v/>
      </c>
      <c r="P181" s="44" t="str">
        <f aca="false">IF(C181="","",IF(N(N181)&lt;6,"Partly scored ("&amp;N181&amp;"/6)",IF(O181&gt;=Settings!$S$8,"Hot",IF(O181&gt;=Settings!$S$9,"Warm","Cold"))))</f>
        <v/>
      </c>
      <c r="Q181" s="44" t="str">
        <f aca="false">IF(C181="","",IF(AND(H181="No",J181="No"),"🚩 Budget  ·  🚩 No one on camera",IF(H181="No","🚩 Budget under AED 5k",IF(J181="No","🚩 No one on camera",""))))</f>
        <v/>
      </c>
      <c r="R181" s="44" t="str">
        <f aca="false">IF(C181="","",IF(N(N181)&lt;6,"Finish the scoresheet before closing",IF(P181="Hot","Close now – send the contract / proposal today",IF(P181="Warm","Send proposal + a relevant result; follow up in 3 days","Rep's call – nurture or close politely")))&amp;IF(Q181&lt;&gt;""," (handle the 🚩 first)",""))</f>
        <v/>
      </c>
      <c r="S181" s="17"/>
      <c r="T181" s="17"/>
      <c r="U181" s="44" t="str">
        <f aca="false">IF(C181="","",IF(COUNTIF(C182:C$501,C181)=0,1,0))</f>
        <v/>
      </c>
    </row>
    <row r="182" customFormat="false" ht="15" hidden="false" customHeight="false" outlineLevel="0" collapsed="false">
      <c r="A182" s="17"/>
      <c r="B182" s="40"/>
      <c r="C182" s="17"/>
      <c r="D182" s="44" t="str">
        <f aca="false">IF(C182="","",IFERROR(INDEX(Inbound!$E$2:$E$501,MATCH(C182,Inbound!$A$2:$A$501,0)),IFERROR(INDEX(Outbound!$D$2:$D$501,MATCH(C182,Outbound!$A$2:$A$501,0)),"Lead ID not found")))</f>
        <v/>
      </c>
      <c r="E182" s="44" t="str">
        <f aca="false">IF(C182="","",IFERROR(INDEX(Inbound!$F$2:$F$501,MATCH(C182,Inbound!$A$2:$A$501,0)),IFERROR(INDEX(Outbound!$E$2:$E$501,MATCH(C182,Outbound!$A$2:$A$501,0)),"Lead ID not found")))</f>
        <v/>
      </c>
      <c r="F182" s="17"/>
      <c r="G182" s="17"/>
      <c r="H182" s="17"/>
      <c r="I182" s="17"/>
      <c r="J182" s="17"/>
      <c r="K182" s="17"/>
      <c r="L182" s="17"/>
      <c r="M182" s="17"/>
      <c r="N182" s="44" t="str">
        <f aca="false">IF(C182="","",COUNTA(H182:M182))</f>
        <v/>
      </c>
      <c r="O182" s="44" t="str">
        <f aca="false">IF(OR(C182="",N(N182)=0),"",SUMIFS(Settings!$AA$2:$AA$21,Settings!$Y$2:$Y$21,"Budget AED 5k+/mo?",Settings!$Z$2:$Z$21,H182)+SUMIFS(Settings!$AA$2:$AA$21,Settings!$Y$2:$Y$21,"Decision-maker?",Settings!$Z$2:$Z$21,I182)+SUMIFS(Settings!$AA$2:$AA$21,Settings!$Y$2:$Y$21,"Someone on camera?",Settings!$Z$2:$Z$21,J182)+SUMIFS(Settings!$AA$2:$AA$21,Settings!$Y$2:$Y$21,"OK with 3-month term?",Settings!$Z$2:$Z$21,K182)+SUMIFS(Settings!$AA$2:$AA$21,Settings!$Y$2:$Y$21,"Start timeline",Settings!$Z$2:$Z$21,L182)+SUMIFS(Settings!$AA$2:$AA$21,Settings!$Y$2:$Y$21,"Social media gap",Settings!$Z$2:$Z$21,M182)+IF(OR(E182="",E182="Lead ID not found"),0,IF(COUNTIF(Settings!$AC$2:$AC$6,E182)&gt;0,Settings!$AA$20,Settings!$AA$21)))</f>
        <v/>
      </c>
      <c r="P182" s="44" t="str">
        <f aca="false">IF(C182="","",IF(N(N182)&lt;6,"Partly scored ("&amp;N182&amp;"/6)",IF(O182&gt;=Settings!$S$8,"Hot",IF(O182&gt;=Settings!$S$9,"Warm","Cold"))))</f>
        <v/>
      </c>
      <c r="Q182" s="44" t="str">
        <f aca="false">IF(C182="","",IF(AND(H182="No",J182="No"),"🚩 Budget  ·  🚩 No one on camera",IF(H182="No","🚩 Budget under AED 5k",IF(J182="No","🚩 No one on camera",""))))</f>
        <v/>
      </c>
      <c r="R182" s="44" t="str">
        <f aca="false">IF(C182="","",IF(N(N182)&lt;6,"Finish the scoresheet before closing",IF(P182="Hot","Close now – send the contract / proposal today",IF(P182="Warm","Send proposal + a relevant result; follow up in 3 days","Rep's call – nurture or close politely")))&amp;IF(Q182&lt;&gt;""," (handle the 🚩 first)",""))</f>
        <v/>
      </c>
      <c r="S182" s="17"/>
      <c r="T182" s="17"/>
      <c r="U182" s="44" t="str">
        <f aca="false">IF(C182="","",IF(COUNTIF(C183:C$501,C182)=0,1,0))</f>
        <v/>
      </c>
    </row>
    <row r="183" customFormat="false" ht="15" hidden="false" customHeight="false" outlineLevel="0" collapsed="false">
      <c r="A183" s="17"/>
      <c r="B183" s="40"/>
      <c r="C183" s="17"/>
      <c r="D183" s="44" t="str">
        <f aca="false">IF(C183="","",IFERROR(INDEX(Inbound!$E$2:$E$501,MATCH(C183,Inbound!$A$2:$A$501,0)),IFERROR(INDEX(Outbound!$D$2:$D$501,MATCH(C183,Outbound!$A$2:$A$501,0)),"Lead ID not found")))</f>
        <v/>
      </c>
      <c r="E183" s="44" t="str">
        <f aca="false">IF(C183="","",IFERROR(INDEX(Inbound!$F$2:$F$501,MATCH(C183,Inbound!$A$2:$A$501,0)),IFERROR(INDEX(Outbound!$E$2:$E$501,MATCH(C183,Outbound!$A$2:$A$501,0)),"Lead ID not found")))</f>
        <v/>
      </c>
      <c r="F183" s="17"/>
      <c r="G183" s="17"/>
      <c r="H183" s="17"/>
      <c r="I183" s="17"/>
      <c r="J183" s="17"/>
      <c r="K183" s="17"/>
      <c r="L183" s="17"/>
      <c r="M183" s="17"/>
      <c r="N183" s="44" t="str">
        <f aca="false">IF(C183="","",COUNTA(H183:M183))</f>
        <v/>
      </c>
      <c r="O183" s="44" t="str">
        <f aca="false">IF(OR(C183="",N(N183)=0),"",SUMIFS(Settings!$AA$2:$AA$21,Settings!$Y$2:$Y$21,"Budget AED 5k+/mo?",Settings!$Z$2:$Z$21,H183)+SUMIFS(Settings!$AA$2:$AA$21,Settings!$Y$2:$Y$21,"Decision-maker?",Settings!$Z$2:$Z$21,I183)+SUMIFS(Settings!$AA$2:$AA$21,Settings!$Y$2:$Y$21,"Someone on camera?",Settings!$Z$2:$Z$21,J183)+SUMIFS(Settings!$AA$2:$AA$21,Settings!$Y$2:$Y$21,"OK with 3-month term?",Settings!$Z$2:$Z$21,K183)+SUMIFS(Settings!$AA$2:$AA$21,Settings!$Y$2:$Y$21,"Start timeline",Settings!$Z$2:$Z$21,L183)+SUMIFS(Settings!$AA$2:$AA$21,Settings!$Y$2:$Y$21,"Social media gap",Settings!$Z$2:$Z$21,M183)+IF(OR(E183="",E183="Lead ID not found"),0,IF(COUNTIF(Settings!$AC$2:$AC$6,E183)&gt;0,Settings!$AA$20,Settings!$AA$21)))</f>
        <v/>
      </c>
      <c r="P183" s="44" t="str">
        <f aca="false">IF(C183="","",IF(N(N183)&lt;6,"Partly scored ("&amp;N183&amp;"/6)",IF(O183&gt;=Settings!$S$8,"Hot",IF(O183&gt;=Settings!$S$9,"Warm","Cold"))))</f>
        <v/>
      </c>
      <c r="Q183" s="44" t="str">
        <f aca="false">IF(C183="","",IF(AND(H183="No",J183="No"),"🚩 Budget  ·  🚩 No one on camera",IF(H183="No","🚩 Budget under AED 5k",IF(J183="No","🚩 No one on camera",""))))</f>
        <v/>
      </c>
      <c r="R183" s="44" t="str">
        <f aca="false">IF(C183="","",IF(N(N183)&lt;6,"Finish the scoresheet before closing",IF(P183="Hot","Close now – send the contract / proposal today",IF(P183="Warm","Send proposal + a relevant result; follow up in 3 days","Rep's call – nurture or close politely")))&amp;IF(Q183&lt;&gt;""," (handle the 🚩 first)",""))</f>
        <v/>
      </c>
      <c r="S183" s="17"/>
      <c r="T183" s="17"/>
      <c r="U183" s="44" t="str">
        <f aca="false">IF(C183="","",IF(COUNTIF(C184:C$501,C183)=0,1,0))</f>
        <v/>
      </c>
    </row>
    <row r="184" customFormat="false" ht="15" hidden="false" customHeight="false" outlineLevel="0" collapsed="false">
      <c r="A184" s="17"/>
      <c r="B184" s="40"/>
      <c r="C184" s="17"/>
      <c r="D184" s="44" t="str">
        <f aca="false">IF(C184="","",IFERROR(INDEX(Inbound!$E$2:$E$501,MATCH(C184,Inbound!$A$2:$A$501,0)),IFERROR(INDEX(Outbound!$D$2:$D$501,MATCH(C184,Outbound!$A$2:$A$501,0)),"Lead ID not found")))</f>
        <v/>
      </c>
      <c r="E184" s="44" t="str">
        <f aca="false">IF(C184="","",IFERROR(INDEX(Inbound!$F$2:$F$501,MATCH(C184,Inbound!$A$2:$A$501,0)),IFERROR(INDEX(Outbound!$E$2:$E$501,MATCH(C184,Outbound!$A$2:$A$501,0)),"Lead ID not found")))</f>
        <v/>
      </c>
      <c r="F184" s="17"/>
      <c r="G184" s="17"/>
      <c r="H184" s="17"/>
      <c r="I184" s="17"/>
      <c r="J184" s="17"/>
      <c r="K184" s="17"/>
      <c r="L184" s="17"/>
      <c r="M184" s="17"/>
      <c r="N184" s="44" t="str">
        <f aca="false">IF(C184="","",COUNTA(H184:M184))</f>
        <v/>
      </c>
      <c r="O184" s="44" t="str">
        <f aca="false">IF(OR(C184="",N(N184)=0),"",SUMIFS(Settings!$AA$2:$AA$21,Settings!$Y$2:$Y$21,"Budget AED 5k+/mo?",Settings!$Z$2:$Z$21,H184)+SUMIFS(Settings!$AA$2:$AA$21,Settings!$Y$2:$Y$21,"Decision-maker?",Settings!$Z$2:$Z$21,I184)+SUMIFS(Settings!$AA$2:$AA$21,Settings!$Y$2:$Y$21,"Someone on camera?",Settings!$Z$2:$Z$21,J184)+SUMIFS(Settings!$AA$2:$AA$21,Settings!$Y$2:$Y$21,"OK with 3-month term?",Settings!$Z$2:$Z$21,K184)+SUMIFS(Settings!$AA$2:$AA$21,Settings!$Y$2:$Y$21,"Start timeline",Settings!$Z$2:$Z$21,L184)+SUMIFS(Settings!$AA$2:$AA$21,Settings!$Y$2:$Y$21,"Social media gap",Settings!$Z$2:$Z$21,M184)+IF(OR(E184="",E184="Lead ID not found"),0,IF(COUNTIF(Settings!$AC$2:$AC$6,E184)&gt;0,Settings!$AA$20,Settings!$AA$21)))</f>
        <v/>
      </c>
      <c r="P184" s="44" t="str">
        <f aca="false">IF(C184="","",IF(N(N184)&lt;6,"Partly scored ("&amp;N184&amp;"/6)",IF(O184&gt;=Settings!$S$8,"Hot",IF(O184&gt;=Settings!$S$9,"Warm","Cold"))))</f>
        <v/>
      </c>
      <c r="Q184" s="44" t="str">
        <f aca="false">IF(C184="","",IF(AND(H184="No",J184="No"),"🚩 Budget  ·  🚩 No one on camera",IF(H184="No","🚩 Budget under AED 5k",IF(J184="No","🚩 No one on camera",""))))</f>
        <v/>
      </c>
      <c r="R184" s="44" t="str">
        <f aca="false">IF(C184="","",IF(N(N184)&lt;6,"Finish the scoresheet before closing",IF(P184="Hot","Close now – send the contract / proposal today",IF(P184="Warm","Send proposal + a relevant result; follow up in 3 days","Rep's call – nurture or close politely")))&amp;IF(Q184&lt;&gt;""," (handle the 🚩 first)",""))</f>
        <v/>
      </c>
      <c r="S184" s="17"/>
      <c r="T184" s="17"/>
      <c r="U184" s="44" t="str">
        <f aca="false">IF(C184="","",IF(COUNTIF(C185:C$501,C184)=0,1,0))</f>
        <v/>
      </c>
    </row>
    <row r="185" customFormat="false" ht="15" hidden="false" customHeight="false" outlineLevel="0" collapsed="false">
      <c r="A185" s="17"/>
      <c r="B185" s="40"/>
      <c r="C185" s="17"/>
      <c r="D185" s="44" t="str">
        <f aca="false">IF(C185="","",IFERROR(INDEX(Inbound!$E$2:$E$501,MATCH(C185,Inbound!$A$2:$A$501,0)),IFERROR(INDEX(Outbound!$D$2:$D$501,MATCH(C185,Outbound!$A$2:$A$501,0)),"Lead ID not found")))</f>
        <v/>
      </c>
      <c r="E185" s="44" t="str">
        <f aca="false">IF(C185="","",IFERROR(INDEX(Inbound!$F$2:$F$501,MATCH(C185,Inbound!$A$2:$A$501,0)),IFERROR(INDEX(Outbound!$E$2:$E$501,MATCH(C185,Outbound!$A$2:$A$501,0)),"Lead ID not found")))</f>
        <v/>
      </c>
      <c r="F185" s="17"/>
      <c r="G185" s="17"/>
      <c r="H185" s="17"/>
      <c r="I185" s="17"/>
      <c r="J185" s="17"/>
      <c r="K185" s="17"/>
      <c r="L185" s="17"/>
      <c r="M185" s="17"/>
      <c r="N185" s="44" t="str">
        <f aca="false">IF(C185="","",COUNTA(H185:M185))</f>
        <v/>
      </c>
      <c r="O185" s="44" t="str">
        <f aca="false">IF(OR(C185="",N(N185)=0),"",SUMIFS(Settings!$AA$2:$AA$21,Settings!$Y$2:$Y$21,"Budget AED 5k+/mo?",Settings!$Z$2:$Z$21,H185)+SUMIFS(Settings!$AA$2:$AA$21,Settings!$Y$2:$Y$21,"Decision-maker?",Settings!$Z$2:$Z$21,I185)+SUMIFS(Settings!$AA$2:$AA$21,Settings!$Y$2:$Y$21,"Someone on camera?",Settings!$Z$2:$Z$21,J185)+SUMIFS(Settings!$AA$2:$AA$21,Settings!$Y$2:$Y$21,"OK with 3-month term?",Settings!$Z$2:$Z$21,K185)+SUMIFS(Settings!$AA$2:$AA$21,Settings!$Y$2:$Y$21,"Start timeline",Settings!$Z$2:$Z$21,L185)+SUMIFS(Settings!$AA$2:$AA$21,Settings!$Y$2:$Y$21,"Social media gap",Settings!$Z$2:$Z$21,M185)+IF(OR(E185="",E185="Lead ID not found"),0,IF(COUNTIF(Settings!$AC$2:$AC$6,E185)&gt;0,Settings!$AA$20,Settings!$AA$21)))</f>
        <v/>
      </c>
      <c r="P185" s="44" t="str">
        <f aca="false">IF(C185="","",IF(N(N185)&lt;6,"Partly scored ("&amp;N185&amp;"/6)",IF(O185&gt;=Settings!$S$8,"Hot",IF(O185&gt;=Settings!$S$9,"Warm","Cold"))))</f>
        <v/>
      </c>
      <c r="Q185" s="44" t="str">
        <f aca="false">IF(C185="","",IF(AND(H185="No",J185="No"),"🚩 Budget  ·  🚩 No one on camera",IF(H185="No","🚩 Budget under AED 5k",IF(J185="No","🚩 No one on camera",""))))</f>
        <v/>
      </c>
      <c r="R185" s="44" t="str">
        <f aca="false">IF(C185="","",IF(N(N185)&lt;6,"Finish the scoresheet before closing",IF(P185="Hot","Close now – send the contract / proposal today",IF(P185="Warm","Send proposal + a relevant result; follow up in 3 days","Rep's call – nurture or close politely")))&amp;IF(Q185&lt;&gt;""," (handle the 🚩 first)",""))</f>
        <v/>
      </c>
      <c r="S185" s="17"/>
      <c r="T185" s="17"/>
      <c r="U185" s="44" t="str">
        <f aca="false">IF(C185="","",IF(COUNTIF(C186:C$501,C185)=0,1,0))</f>
        <v/>
      </c>
    </row>
    <row r="186" customFormat="false" ht="15" hidden="false" customHeight="false" outlineLevel="0" collapsed="false">
      <c r="A186" s="17"/>
      <c r="B186" s="40"/>
      <c r="C186" s="17"/>
      <c r="D186" s="44" t="str">
        <f aca="false">IF(C186="","",IFERROR(INDEX(Inbound!$E$2:$E$501,MATCH(C186,Inbound!$A$2:$A$501,0)),IFERROR(INDEX(Outbound!$D$2:$D$501,MATCH(C186,Outbound!$A$2:$A$501,0)),"Lead ID not found")))</f>
        <v/>
      </c>
      <c r="E186" s="44" t="str">
        <f aca="false">IF(C186="","",IFERROR(INDEX(Inbound!$F$2:$F$501,MATCH(C186,Inbound!$A$2:$A$501,0)),IFERROR(INDEX(Outbound!$E$2:$E$501,MATCH(C186,Outbound!$A$2:$A$501,0)),"Lead ID not found")))</f>
        <v/>
      </c>
      <c r="F186" s="17"/>
      <c r="G186" s="17"/>
      <c r="H186" s="17"/>
      <c r="I186" s="17"/>
      <c r="J186" s="17"/>
      <c r="K186" s="17"/>
      <c r="L186" s="17"/>
      <c r="M186" s="17"/>
      <c r="N186" s="44" t="str">
        <f aca="false">IF(C186="","",COUNTA(H186:M186))</f>
        <v/>
      </c>
      <c r="O186" s="44" t="str">
        <f aca="false">IF(OR(C186="",N(N186)=0),"",SUMIFS(Settings!$AA$2:$AA$21,Settings!$Y$2:$Y$21,"Budget AED 5k+/mo?",Settings!$Z$2:$Z$21,H186)+SUMIFS(Settings!$AA$2:$AA$21,Settings!$Y$2:$Y$21,"Decision-maker?",Settings!$Z$2:$Z$21,I186)+SUMIFS(Settings!$AA$2:$AA$21,Settings!$Y$2:$Y$21,"Someone on camera?",Settings!$Z$2:$Z$21,J186)+SUMIFS(Settings!$AA$2:$AA$21,Settings!$Y$2:$Y$21,"OK with 3-month term?",Settings!$Z$2:$Z$21,K186)+SUMIFS(Settings!$AA$2:$AA$21,Settings!$Y$2:$Y$21,"Start timeline",Settings!$Z$2:$Z$21,L186)+SUMIFS(Settings!$AA$2:$AA$21,Settings!$Y$2:$Y$21,"Social media gap",Settings!$Z$2:$Z$21,M186)+IF(OR(E186="",E186="Lead ID not found"),0,IF(COUNTIF(Settings!$AC$2:$AC$6,E186)&gt;0,Settings!$AA$20,Settings!$AA$21)))</f>
        <v/>
      </c>
      <c r="P186" s="44" t="str">
        <f aca="false">IF(C186="","",IF(N(N186)&lt;6,"Partly scored ("&amp;N186&amp;"/6)",IF(O186&gt;=Settings!$S$8,"Hot",IF(O186&gt;=Settings!$S$9,"Warm","Cold"))))</f>
        <v/>
      </c>
      <c r="Q186" s="44" t="str">
        <f aca="false">IF(C186="","",IF(AND(H186="No",J186="No"),"🚩 Budget  ·  🚩 No one on camera",IF(H186="No","🚩 Budget under AED 5k",IF(J186="No","🚩 No one on camera",""))))</f>
        <v/>
      </c>
      <c r="R186" s="44" t="str">
        <f aca="false">IF(C186="","",IF(N(N186)&lt;6,"Finish the scoresheet before closing",IF(P186="Hot","Close now – send the contract / proposal today",IF(P186="Warm","Send proposal + a relevant result; follow up in 3 days","Rep's call – nurture or close politely")))&amp;IF(Q186&lt;&gt;""," (handle the 🚩 first)",""))</f>
        <v/>
      </c>
      <c r="S186" s="17"/>
      <c r="T186" s="17"/>
      <c r="U186" s="44" t="str">
        <f aca="false">IF(C186="","",IF(COUNTIF(C187:C$501,C186)=0,1,0))</f>
        <v/>
      </c>
    </row>
    <row r="187" customFormat="false" ht="15" hidden="false" customHeight="false" outlineLevel="0" collapsed="false">
      <c r="A187" s="17"/>
      <c r="B187" s="40"/>
      <c r="C187" s="17"/>
      <c r="D187" s="44" t="str">
        <f aca="false">IF(C187="","",IFERROR(INDEX(Inbound!$E$2:$E$501,MATCH(C187,Inbound!$A$2:$A$501,0)),IFERROR(INDEX(Outbound!$D$2:$D$501,MATCH(C187,Outbound!$A$2:$A$501,0)),"Lead ID not found")))</f>
        <v/>
      </c>
      <c r="E187" s="44" t="str">
        <f aca="false">IF(C187="","",IFERROR(INDEX(Inbound!$F$2:$F$501,MATCH(C187,Inbound!$A$2:$A$501,0)),IFERROR(INDEX(Outbound!$E$2:$E$501,MATCH(C187,Outbound!$A$2:$A$501,0)),"Lead ID not found")))</f>
        <v/>
      </c>
      <c r="F187" s="17"/>
      <c r="G187" s="17"/>
      <c r="H187" s="17"/>
      <c r="I187" s="17"/>
      <c r="J187" s="17"/>
      <c r="K187" s="17"/>
      <c r="L187" s="17"/>
      <c r="M187" s="17"/>
      <c r="N187" s="44" t="str">
        <f aca="false">IF(C187="","",COUNTA(H187:M187))</f>
        <v/>
      </c>
      <c r="O187" s="44" t="str">
        <f aca="false">IF(OR(C187="",N(N187)=0),"",SUMIFS(Settings!$AA$2:$AA$21,Settings!$Y$2:$Y$21,"Budget AED 5k+/mo?",Settings!$Z$2:$Z$21,H187)+SUMIFS(Settings!$AA$2:$AA$21,Settings!$Y$2:$Y$21,"Decision-maker?",Settings!$Z$2:$Z$21,I187)+SUMIFS(Settings!$AA$2:$AA$21,Settings!$Y$2:$Y$21,"Someone on camera?",Settings!$Z$2:$Z$21,J187)+SUMIFS(Settings!$AA$2:$AA$21,Settings!$Y$2:$Y$21,"OK with 3-month term?",Settings!$Z$2:$Z$21,K187)+SUMIFS(Settings!$AA$2:$AA$21,Settings!$Y$2:$Y$21,"Start timeline",Settings!$Z$2:$Z$21,L187)+SUMIFS(Settings!$AA$2:$AA$21,Settings!$Y$2:$Y$21,"Social media gap",Settings!$Z$2:$Z$21,M187)+IF(OR(E187="",E187="Lead ID not found"),0,IF(COUNTIF(Settings!$AC$2:$AC$6,E187)&gt;0,Settings!$AA$20,Settings!$AA$21)))</f>
        <v/>
      </c>
      <c r="P187" s="44" t="str">
        <f aca="false">IF(C187="","",IF(N(N187)&lt;6,"Partly scored ("&amp;N187&amp;"/6)",IF(O187&gt;=Settings!$S$8,"Hot",IF(O187&gt;=Settings!$S$9,"Warm","Cold"))))</f>
        <v/>
      </c>
      <c r="Q187" s="44" t="str">
        <f aca="false">IF(C187="","",IF(AND(H187="No",J187="No"),"🚩 Budget  ·  🚩 No one on camera",IF(H187="No","🚩 Budget under AED 5k",IF(J187="No","🚩 No one on camera",""))))</f>
        <v/>
      </c>
      <c r="R187" s="44" t="str">
        <f aca="false">IF(C187="","",IF(N(N187)&lt;6,"Finish the scoresheet before closing",IF(P187="Hot","Close now – send the contract / proposal today",IF(P187="Warm","Send proposal + a relevant result; follow up in 3 days","Rep's call – nurture or close politely")))&amp;IF(Q187&lt;&gt;""," (handle the 🚩 first)",""))</f>
        <v/>
      </c>
      <c r="S187" s="17"/>
      <c r="T187" s="17"/>
      <c r="U187" s="44" t="str">
        <f aca="false">IF(C187="","",IF(COUNTIF(C188:C$501,C187)=0,1,0))</f>
        <v/>
      </c>
    </row>
    <row r="188" customFormat="false" ht="15" hidden="false" customHeight="false" outlineLevel="0" collapsed="false">
      <c r="A188" s="17"/>
      <c r="B188" s="40"/>
      <c r="C188" s="17"/>
      <c r="D188" s="44" t="str">
        <f aca="false">IF(C188="","",IFERROR(INDEX(Inbound!$E$2:$E$501,MATCH(C188,Inbound!$A$2:$A$501,0)),IFERROR(INDEX(Outbound!$D$2:$D$501,MATCH(C188,Outbound!$A$2:$A$501,0)),"Lead ID not found")))</f>
        <v/>
      </c>
      <c r="E188" s="44" t="str">
        <f aca="false">IF(C188="","",IFERROR(INDEX(Inbound!$F$2:$F$501,MATCH(C188,Inbound!$A$2:$A$501,0)),IFERROR(INDEX(Outbound!$E$2:$E$501,MATCH(C188,Outbound!$A$2:$A$501,0)),"Lead ID not found")))</f>
        <v/>
      </c>
      <c r="F188" s="17"/>
      <c r="G188" s="17"/>
      <c r="H188" s="17"/>
      <c r="I188" s="17"/>
      <c r="J188" s="17"/>
      <c r="K188" s="17"/>
      <c r="L188" s="17"/>
      <c r="M188" s="17"/>
      <c r="N188" s="44" t="str">
        <f aca="false">IF(C188="","",COUNTA(H188:M188))</f>
        <v/>
      </c>
      <c r="O188" s="44" t="str">
        <f aca="false">IF(OR(C188="",N(N188)=0),"",SUMIFS(Settings!$AA$2:$AA$21,Settings!$Y$2:$Y$21,"Budget AED 5k+/mo?",Settings!$Z$2:$Z$21,H188)+SUMIFS(Settings!$AA$2:$AA$21,Settings!$Y$2:$Y$21,"Decision-maker?",Settings!$Z$2:$Z$21,I188)+SUMIFS(Settings!$AA$2:$AA$21,Settings!$Y$2:$Y$21,"Someone on camera?",Settings!$Z$2:$Z$21,J188)+SUMIFS(Settings!$AA$2:$AA$21,Settings!$Y$2:$Y$21,"OK with 3-month term?",Settings!$Z$2:$Z$21,K188)+SUMIFS(Settings!$AA$2:$AA$21,Settings!$Y$2:$Y$21,"Start timeline",Settings!$Z$2:$Z$21,L188)+SUMIFS(Settings!$AA$2:$AA$21,Settings!$Y$2:$Y$21,"Social media gap",Settings!$Z$2:$Z$21,M188)+IF(OR(E188="",E188="Lead ID not found"),0,IF(COUNTIF(Settings!$AC$2:$AC$6,E188)&gt;0,Settings!$AA$20,Settings!$AA$21)))</f>
        <v/>
      </c>
      <c r="P188" s="44" t="str">
        <f aca="false">IF(C188="","",IF(N(N188)&lt;6,"Partly scored ("&amp;N188&amp;"/6)",IF(O188&gt;=Settings!$S$8,"Hot",IF(O188&gt;=Settings!$S$9,"Warm","Cold"))))</f>
        <v/>
      </c>
      <c r="Q188" s="44" t="str">
        <f aca="false">IF(C188="","",IF(AND(H188="No",J188="No"),"🚩 Budget  ·  🚩 No one on camera",IF(H188="No","🚩 Budget under AED 5k",IF(J188="No","🚩 No one on camera",""))))</f>
        <v/>
      </c>
      <c r="R188" s="44" t="str">
        <f aca="false">IF(C188="","",IF(N(N188)&lt;6,"Finish the scoresheet before closing",IF(P188="Hot","Close now – send the contract / proposal today",IF(P188="Warm","Send proposal + a relevant result; follow up in 3 days","Rep's call – nurture or close politely")))&amp;IF(Q188&lt;&gt;""," (handle the 🚩 first)",""))</f>
        <v/>
      </c>
      <c r="S188" s="17"/>
      <c r="T188" s="17"/>
      <c r="U188" s="44" t="str">
        <f aca="false">IF(C188="","",IF(COUNTIF(C189:C$501,C188)=0,1,0))</f>
        <v/>
      </c>
    </row>
    <row r="189" customFormat="false" ht="15" hidden="false" customHeight="false" outlineLevel="0" collapsed="false">
      <c r="A189" s="17"/>
      <c r="B189" s="40"/>
      <c r="C189" s="17"/>
      <c r="D189" s="44" t="str">
        <f aca="false">IF(C189="","",IFERROR(INDEX(Inbound!$E$2:$E$501,MATCH(C189,Inbound!$A$2:$A$501,0)),IFERROR(INDEX(Outbound!$D$2:$D$501,MATCH(C189,Outbound!$A$2:$A$501,0)),"Lead ID not found")))</f>
        <v/>
      </c>
      <c r="E189" s="44" t="str">
        <f aca="false">IF(C189="","",IFERROR(INDEX(Inbound!$F$2:$F$501,MATCH(C189,Inbound!$A$2:$A$501,0)),IFERROR(INDEX(Outbound!$E$2:$E$501,MATCH(C189,Outbound!$A$2:$A$501,0)),"Lead ID not found")))</f>
        <v/>
      </c>
      <c r="F189" s="17"/>
      <c r="G189" s="17"/>
      <c r="H189" s="17"/>
      <c r="I189" s="17"/>
      <c r="J189" s="17"/>
      <c r="K189" s="17"/>
      <c r="L189" s="17"/>
      <c r="M189" s="17"/>
      <c r="N189" s="44" t="str">
        <f aca="false">IF(C189="","",COUNTA(H189:M189))</f>
        <v/>
      </c>
      <c r="O189" s="44" t="str">
        <f aca="false">IF(OR(C189="",N(N189)=0),"",SUMIFS(Settings!$AA$2:$AA$21,Settings!$Y$2:$Y$21,"Budget AED 5k+/mo?",Settings!$Z$2:$Z$21,H189)+SUMIFS(Settings!$AA$2:$AA$21,Settings!$Y$2:$Y$21,"Decision-maker?",Settings!$Z$2:$Z$21,I189)+SUMIFS(Settings!$AA$2:$AA$21,Settings!$Y$2:$Y$21,"Someone on camera?",Settings!$Z$2:$Z$21,J189)+SUMIFS(Settings!$AA$2:$AA$21,Settings!$Y$2:$Y$21,"OK with 3-month term?",Settings!$Z$2:$Z$21,K189)+SUMIFS(Settings!$AA$2:$AA$21,Settings!$Y$2:$Y$21,"Start timeline",Settings!$Z$2:$Z$21,L189)+SUMIFS(Settings!$AA$2:$AA$21,Settings!$Y$2:$Y$21,"Social media gap",Settings!$Z$2:$Z$21,M189)+IF(OR(E189="",E189="Lead ID not found"),0,IF(COUNTIF(Settings!$AC$2:$AC$6,E189)&gt;0,Settings!$AA$20,Settings!$AA$21)))</f>
        <v/>
      </c>
      <c r="P189" s="44" t="str">
        <f aca="false">IF(C189="","",IF(N(N189)&lt;6,"Partly scored ("&amp;N189&amp;"/6)",IF(O189&gt;=Settings!$S$8,"Hot",IF(O189&gt;=Settings!$S$9,"Warm","Cold"))))</f>
        <v/>
      </c>
      <c r="Q189" s="44" t="str">
        <f aca="false">IF(C189="","",IF(AND(H189="No",J189="No"),"🚩 Budget  ·  🚩 No one on camera",IF(H189="No","🚩 Budget under AED 5k",IF(J189="No","🚩 No one on camera",""))))</f>
        <v/>
      </c>
      <c r="R189" s="44" t="str">
        <f aca="false">IF(C189="","",IF(N(N189)&lt;6,"Finish the scoresheet before closing",IF(P189="Hot","Close now – send the contract / proposal today",IF(P189="Warm","Send proposal + a relevant result; follow up in 3 days","Rep's call – nurture or close politely")))&amp;IF(Q189&lt;&gt;""," (handle the 🚩 first)",""))</f>
        <v/>
      </c>
      <c r="S189" s="17"/>
      <c r="T189" s="17"/>
      <c r="U189" s="44" t="str">
        <f aca="false">IF(C189="","",IF(COUNTIF(C190:C$501,C189)=0,1,0))</f>
        <v/>
      </c>
    </row>
    <row r="190" customFormat="false" ht="15" hidden="false" customHeight="false" outlineLevel="0" collapsed="false">
      <c r="A190" s="17"/>
      <c r="B190" s="40"/>
      <c r="C190" s="17"/>
      <c r="D190" s="44" t="str">
        <f aca="false">IF(C190="","",IFERROR(INDEX(Inbound!$E$2:$E$501,MATCH(C190,Inbound!$A$2:$A$501,0)),IFERROR(INDEX(Outbound!$D$2:$D$501,MATCH(C190,Outbound!$A$2:$A$501,0)),"Lead ID not found")))</f>
        <v/>
      </c>
      <c r="E190" s="44" t="str">
        <f aca="false">IF(C190="","",IFERROR(INDEX(Inbound!$F$2:$F$501,MATCH(C190,Inbound!$A$2:$A$501,0)),IFERROR(INDEX(Outbound!$E$2:$E$501,MATCH(C190,Outbound!$A$2:$A$501,0)),"Lead ID not found")))</f>
        <v/>
      </c>
      <c r="F190" s="17"/>
      <c r="G190" s="17"/>
      <c r="H190" s="17"/>
      <c r="I190" s="17"/>
      <c r="J190" s="17"/>
      <c r="K190" s="17"/>
      <c r="L190" s="17"/>
      <c r="M190" s="17"/>
      <c r="N190" s="44" t="str">
        <f aca="false">IF(C190="","",COUNTA(H190:M190))</f>
        <v/>
      </c>
      <c r="O190" s="44" t="str">
        <f aca="false">IF(OR(C190="",N(N190)=0),"",SUMIFS(Settings!$AA$2:$AA$21,Settings!$Y$2:$Y$21,"Budget AED 5k+/mo?",Settings!$Z$2:$Z$21,H190)+SUMIFS(Settings!$AA$2:$AA$21,Settings!$Y$2:$Y$21,"Decision-maker?",Settings!$Z$2:$Z$21,I190)+SUMIFS(Settings!$AA$2:$AA$21,Settings!$Y$2:$Y$21,"Someone on camera?",Settings!$Z$2:$Z$21,J190)+SUMIFS(Settings!$AA$2:$AA$21,Settings!$Y$2:$Y$21,"OK with 3-month term?",Settings!$Z$2:$Z$21,K190)+SUMIFS(Settings!$AA$2:$AA$21,Settings!$Y$2:$Y$21,"Start timeline",Settings!$Z$2:$Z$21,L190)+SUMIFS(Settings!$AA$2:$AA$21,Settings!$Y$2:$Y$21,"Social media gap",Settings!$Z$2:$Z$21,M190)+IF(OR(E190="",E190="Lead ID not found"),0,IF(COUNTIF(Settings!$AC$2:$AC$6,E190)&gt;0,Settings!$AA$20,Settings!$AA$21)))</f>
        <v/>
      </c>
      <c r="P190" s="44" t="str">
        <f aca="false">IF(C190="","",IF(N(N190)&lt;6,"Partly scored ("&amp;N190&amp;"/6)",IF(O190&gt;=Settings!$S$8,"Hot",IF(O190&gt;=Settings!$S$9,"Warm","Cold"))))</f>
        <v/>
      </c>
      <c r="Q190" s="44" t="str">
        <f aca="false">IF(C190="","",IF(AND(H190="No",J190="No"),"🚩 Budget  ·  🚩 No one on camera",IF(H190="No","🚩 Budget under AED 5k",IF(J190="No","🚩 No one on camera",""))))</f>
        <v/>
      </c>
      <c r="R190" s="44" t="str">
        <f aca="false">IF(C190="","",IF(N(N190)&lt;6,"Finish the scoresheet before closing",IF(P190="Hot","Close now – send the contract / proposal today",IF(P190="Warm","Send proposal + a relevant result; follow up in 3 days","Rep's call – nurture or close politely")))&amp;IF(Q190&lt;&gt;""," (handle the 🚩 first)",""))</f>
        <v/>
      </c>
      <c r="S190" s="17"/>
      <c r="T190" s="17"/>
      <c r="U190" s="44" t="str">
        <f aca="false">IF(C190="","",IF(COUNTIF(C191:C$501,C190)=0,1,0))</f>
        <v/>
      </c>
    </row>
    <row r="191" customFormat="false" ht="15" hidden="false" customHeight="false" outlineLevel="0" collapsed="false">
      <c r="A191" s="17"/>
      <c r="B191" s="40"/>
      <c r="C191" s="17"/>
      <c r="D191" s="44" t="str">
        <f aca="false">IF(C191="","",IFERROR(INDEX(Inbound!$E$2:$E$501,MATCH(C191,Inbound!$A$2:$A$501,0)),IFERROR(INDEX(Outbound!$D$2:$D$501,MATCH(C191,Outbound!$A$2:$A$501,0)),"Lead ID not found")))</f>
        <v/>
      </c>
      <c r="E191" s="44" t="str">
        <f aca="false">IF(C191="","",IFERROR(INDEX(Inbound!$F$2:$F$501,MATCH(C191,Inbound!$A$2:$A$501,0)),IFERROR(INDEX(Outbound!$E$2:$E$501,MATCH(C191,Outbound!$A$2:$A$501,0)),"Lead ID not found")))</f>
        <v/>
      </c>
      <c r="F191" s="17"/>
      <c r="G191" s="17"/>
      <c r="H191" s="17"/>
      <c r="I191" s="17"/>
      <c r="J191" s="17"/>
      <c r="K191" s="17"/>
      <c r="L191" s="17"/>
      <c r="M191" s="17"/>
      <c r="N191" s="44" t="str">
        <f aca="false">IF(C191="","",COUNTA(H191:M191))</f>
        <v/>
      </c>
      <c r="O191" s="44" t="str">
        <f aca="false">IF(OR(C191="",N(N191)=0),"",SUMIFS(Settings!$AA$2:$AA$21,Settings!$Y$2:$Y$21,"Budget AED 5k+/mo?",Settings!$Z$2:$Z$21,H191)+SUMIFS(Settings!$AA$2:$AA$21,Settings!$Y$2:$Y$21,"Decision-maker?",Settings!$Z$2:$Z$21,I191)+SUMIFS(Settings!$AA$2:$AA$21,Settings!$Y$2:$Y$21,"Someone on camera?",Settings!$Z$2:$Z$21,J191)+SUMIFS(Settings!$AA$2:$AA$21,Settings!$Y$2:$Y$21,"OK with 3-month term?",Settings!$Z$2:$Z$21,K191)+SUMIFS(Settings!$AA$2:$AA$21,Settings!$Y$2:$Y$21,"Start timeline",Settings!$Z$2:$Z$21,L191)+SUMIFS(Settings!$AA$2:$AA$21,Settings!$Y$2:$Y$21,"Social media gap",Settings!$Z$2:$Z$21,M191)+IF(OR(E191="",E191="Lead ID not found"),0,IF(COUNTIF(Settings!$AC$2:$AC$6,E191)&gt;0,Settings!$AA$20,Settings!$AA$21)))</f>
        <v/>
      </c>
      <c r="P191" s="44" t="str">
        <f aca="false">IF(C191="","",IF(N(N191)&lt;6,"Partly scored ("&amp;N191&amp;"/6)",IF(O191&gt;=Settings!$S$8,"Hot",IF(O191&gt;=Settings!$S$9,"Warm","Cold"))))</f>
        <v/>
      </c>
      <c r="Q191" s="44" t="str">
        <f aca="false">IF(C191="","",IF(AND(H191="No",J191="No"),"🚩 Budget  ·  🚩 No one on camera",IF(H191="No","🚩 Budget under AED 5k",IF(J191="No","🚩 No one on camera",""))))</f>
        <v/>
      </c>
      <c r="R191" s="44" t="str">
        <f aca="false">IF(C191="","",IF(N(N191)&lt;6,"Finish the scoresheet before closing",IF(P191="Hot","Close now – send the contract / proposal today",IF(P191="Warm","Send proposal + a relevant result; follow up in 3 days","Rep's call – nurture or close politely")))&amp;IF(Q191&lt;&gt;""," (handle the 🚩 first)",""))</f>
        <v/>
      </c>
      <c r="S191" s="17"/>
      <c r="T191" s="17"/>
      <c r="U191" s="44" t="str">
        <f aca="false">IF(C191="","",IF(COUNTIF(C192:C$501,C191)=0,1,0))</f>
        <v/>
      </c>
    </row>
    <row r="192" customFormat="false" ht="15" hidden="false" customHeight="false" outlineLevel="0" collapsed="false">
      <c r="A192" s="17"/>
      <c r="B192" s="40"/>
      <c r="C192" s="17"/>
      <c r="D192" s="44" t="str">
        <f aca="false">IF(C192="","",IFERROR(INDEX(Inbound!$E$2:$E$501,MATCH(C192,Inbound!$A$2:$A$501,0)),IFERROR(INDEX(Outbound!$D$2:$D$501,MATCH(C192,Outbound!$A$2:$A$501,0)),"Lead ID not found")))</f>
        <v/>
      </c>
      <c r="E192" s="44" t="str">
        <f aca="false">IF(C192="","",IFERROR(INDEX(Inbound!$F$2:$F$501,MATCH(C192,Inbound!$A$2:$A$501,0)),IFERROR(INDEX(Outbound!$E$2:$E$501,MATCH(C192,Outbound!$A$2:$A$501,0)),"Lead ID not found")))</f>
        <v/>
      </c>
      <c r="F192" s="17"/>
      <c r="G192" s="17"/>
      <c r="H192" s="17"/>
      <c r="I192" s="17"/>
      <c r="J192" s="17"/>
      <c r="K192" s="17"/>
      <c r="L192" s="17"/>
      <c r="M192" s="17"/>
      <c r="N192" s="44" t="str">
        <f aca="false">IF(C192="","",COUNTA(H192:M192))</f>
        <v/>
      </c>
      <c r="O192" s="44" t="str">
        <f aca="false">IF(OR(C192="",N(N192)=0),"",SUMIFS(Settings!$AA$2:$AA$21,Settings!$Y$2:$Y$21,"Budget AED 5k+/mo?",Settings!$Z$2:$Z$21,H192)+SUMIFS(Settings!$AA$2:$AA$21,Settings!$Y$2:$Y$21,"Decision-maker?",Settings!$Z$2:$Z$21,I192)+SUMIFS(Settings!$AA$2:$AA$21,Settings!$Y$2:$Y$21,"Someone on camera?",Settings!$Z$2:$Z$21,J192)+SUMIFS(Settings!$AA$2:$AA$21,Settings!$Y$2:$Y$21,"OK with 3-month term?",Settings!$Z$2:$Z$21,K192)+SUMIFS(Settings!$AA$2:$AA$21,Settings!$Y$2:$Y$21,"Start timeline",Settings!$Z$2:$Z$21,L192)+SUMIFS(Settings!$AA$2:$AA$21,Settings!$Y$2:$Y$21,"Social media gap",Settings!$Z$2:$Z$21,M192)+IF(OR(E192="",E192="Lead ID not found"),0,IF(COUNTIF(Settings!$AC$2:$AC$6,E192)&gt;0,Settings!$AA$20,Settings!$AA$21)))</f>
        <v/>
      </c>
      <c r="P192" s="44" t="str">
        <f aca="false">IF(C192="","",IF(N(N192)&lt;6,"Partly scored ("&amp;N192&amp;"/6)",IF(O192&gt;=Settings!$S$8,"Hot",IF(O192&gt;=Settings!$S$9,"Warm","Cold"))))</f>
        <v/>
      </c>
      <c r="Q192" s="44" t="str">
        <f aca="false">IF(C192="","",IF(AND(H192="No",J192="No"),"🚩 Budget  ·  🚩 No one on camera",IF(H192="No","🚩 Budget under AED 5k",IF(J192="No","🚩 No one on camera",""))))</f>
        <v/>
      </c>
      <c r="R192" s="44" t="str">
        <f aca="false">IF(C192="","",IF(N(N192)&lt;6,"Finish the scoresheet before closing",IF(P192="Hot","Close now – send the contract / proposal today",IF(P192="Warm","Send proposal + a relevant result; follow up in 3 days","Rep's call – nurture or close politely")))&amp;IF(Q192&lt;&gt;""," (handle the 🚩 first)",""))</f>
        <v/>
      </c>
      <c r="S192" s="17"/>
      <c r="T192" s="17"/>
      <c r="U192" s="44" t="str">
        <f aca="false">IF(C192="","",IF(COUNTIF(C193:C$501,C192)=0,1,0))</f>
        <v/>
      </c>
    </row>
    <row r="193" customFormat="false" ht="15" hidden="false" customHeight="false" outlineLevel="0" collapsed="false">
      <c r="A193" s="17"/>
      <c r="B193" s="40"/>
      <c r="C193" s="17"/>
      <c r="D193" s="44" t="str">
        <f aca="false">IF(C193="","",IFERROR(INDEX(Inbound!$E$2:$E$501,MATCH(C193,Inbound!$A$2:$A$501,0)),IFERROR(INDEX(Outbound!$D$2:$D$501,MATCH(C193,Outbound!$A$2:$A$501,0)),"Lead ID not found")))</f>
        <v/>
      </c>
      <c r="E193" s="44" t="str">
        <f aca="false">IF(C193="","",IFERROR(INDEX(Inbound!$F$2:$F$501,MATCH(C193,Inbound!$A$2:$A$501,0)),IFERROR(INDEX(Outbound!$E$2:$E$501,MATCH(C193,Outbound!$A$2:$A$501,0)),"Lead ID not found")))</f>
        <v/>
      </c>
      <c r="F193" s="17"/>
      <c r="G193" s="17"/>
      <c r="H193" s="17"/>
      <c r="I193" s="17"/>
      <c r="J193" s="17"/>
      <c r="K193" s="17"/>
      <c r="L193" s="17"/>
      <c r="M193" s="17"/>
      <c r="N193" s="44" t="str">
        <f aca="false">IF(C193="","",COUNTA(H193:M193))</f>
        <v/>
      </c>
      <c r="O193" s="44" t="str">
        <f aca="false">IF(OR(C193="",N(N193)=0),"",SUMIFS(Settings!$AA$2:$AA$21,Settings!$Y$2:$Y$21,"Budget AED 5k+/mo?",Settings!$Z$2:$Z$21,H193)+SUMIFS(Settings!$AA$2:$AA$21,Settings!$Y$2:$Y$21,"Decision-maker?",Settings!$Z$2:$Z$21,I193)+SUMIFS(Settings!$AA$2:$AA$21,Settings!$Y$2:$Y$21,"Someone on camera?",Settings!$Z$2:$Z$21,J193)+SUMIFS(Settings!$AA$2:$AA$21,Settings!$Y$2:$Y$21,"OK with 3-month term?",Settings!$Z$2:$Z$21,K193)+SUMIFS(Settings!$AA$2:$AA$21,Settings!$Y$2:$Y$21,"Start timeline",Settings!$Z$2:$Z$21,L193)+SUMIFS(Settings!$AA$2:$AA$21,Settings!$Y$2:$Y$21,"Social media gap",Settings!$Z$2:$Z$21,M193)+IF(OR(E193="",E193="Lead ID not found"),0,IF(COUNTIF(Settings!$AC$2:$AC$6,E193)&gt;0,Settings!$AA$20,Settings!$AA$21)))</f>
        <v/>
      </c>
      <c r="P193" s="44" t="str">
        <f aca="false">IF(C193="","",IF(N(N193)&lt;6,"Partly scored ("&amp;N193&amp;"/6)",IF(O193&gt;=Settings!$S$8,"Hot",IF(O193&gt;=Settings!$S$9,"Warm","Cold"))))</f>
        <v/>
      </c>
      <c r="Q193" s="44" t="str">
        <f aca="false">IF(C193="","",IF(AND(H193="No",J193="No"),"🚩 Budget  ·  🚩 No one on camera",IF(H193="No","🚩 Budget under AED 5k",IF(J193="No","🚩 No one on camera",""))))</f>
        <v/>
      </c>
      <c r="R193" s="44" t="str">
        <f aca="false">IF(C193="","",IF(N(N193)&lt;6,"Finish the scoresheet before closing",IF(P193="Hot","Close now – send the contract / proposal today",IF(P193="Warm","Send proposal + a relevant result; follow up in 3 days","Rep's call – nurture or close politely")))&amp;IF(Q193&lt;&gt;""," (handle the 🚩 first)",""))</f>
        <v/>
      </c>
      <c r="S193" s="17"/>
      <c r="T193" s="17"/>
      <c r="U193" s="44" t="str">
        <f aca="false">IF(C193="","",IF(COUNTIF(C194:C$501,C193)=0,1,0))</f>
        <v/>
      </c>
    </row>
    <row r="194" customFormat="false" ht="15" hidden="false" customHeight="false" outlineLevel="0" collapsed="false">
      <c r="A194" s="17"/>
      <c r="B194" s="40"/>
      <c r="C194" s="17"/>
      <c r="D194" s="44" t="str">
        <f aca="false">IF(C194="","",IFERROR(INDEX(Inbound!$E$2:$E$501,MATCH(C194,Inbound!$A$2:$A$501,0)),IFERROR(INDEX(Outbound!$D$2:$D$501,MATCH(C194,Outbound!$A$2:$A$501,0)),"Lead ID not found")))</f>
        <v/>
      </c>
      <c r="E194" s="44" t="str">
        <f aca="false">IF(C194="","",IFERROR(INDEX(Inbound!$F$2:$F$501,MATCH(C194,Inbound!$A$2:$A$501,0)),IFERROR(INDEX(Outbound!$E$2:$E$501,MATCH(C194,Outbound!$A$2:$A$501,0)),"Lead ID not found")))</f>
        <v/>
      </c>
      <c r="F194" s="17"/>
      <c r="G194" s="17"/>
      <c r="H194" s="17"/>
      <c r="I194" s="17"/>
      <c r="J194" s="17"/>
      <c r="K194" s="17"/>
      <c r="L194" s="17"/>
      <c r="M194" s="17"/>
      <c r="N194" s="44" t="str">
        <f aca="false">IF(C194="","",COUNTA(H194:M194))</f>
        <v/>
      </c>
      <c r="O194" s="44" t="str">
        <f aca="false">IF(OR(C194="",N(N194)=0),"",SUMIFS(Settings!$AA$2:$AA$21,Settings!$Y$2:$Y$21,"Budget AED 5k+/mo?",Settings!$Z$2:$Z$21,H194)+SUMIFS(Settings!$AA$2:$AA$21,Settings!$Y$2:$Y$21,"Decision-maker?",Settings!$Z$2:$Z$21,I194)+SUMIFS(Settings!$AA$2:$AA$21,Settings!$Y$2:$Y$21,"Someone on camera?",Settings!$Z$2:$Z$21,J194)+SUMIFS(Settings!$AA$2:$AA$21,Settings!$Y$2:$Y$21,"OK with 3-month term?",Settings!$Z$2:$Z$21,K194)+SUMIFS(Settings!$AA$2:$AA$21,Settings!$Y$2:$Y$21,"Start timeline",Settings!$Z$2:$Z$21,L194)+SUMIFS(Settings!$AA$2:$AA$21,Settings!$Y$2:$Y$21,"Social media gap",Settings!$Z$2:$Z$21,M194)+IF(OR(E194="",E194="Lead ID not found"),0,IF(COUNTIF(Settings!$AC$2:$AC$6,E194)&gt;0,Settings!$AA$20,Settings!$AA$21)))</f>
        <v/>
      </c>
      <c r="P194" s="44" t="str">
        <f aca="false">IF(C194="","",IF(N(N194)&lt;6,"Partly scored ("&amp;N194&amp;"/6)",IF(O194&gt;=Settings!$S$8,"Hot",IF(O194&gt;=Settings!$S$9,"Warm","Cold"))))</f>
        <v/>
      </c>
      <c r="Q194" s="44" t="str">
        <f aca="false">IF(C194="","",IF(AND(H194="No",J194="No"),"🚩 Budget  ·  🚩 No one on camera",IF(H194="No","🚩 Budget under AED 5k",IF(J194="No","🚩 No one on camera",""))))</f>
        <v/>
      </c>
      <c r="R194" s="44" t="str">
        <f aca="false">IF(C194="","",IF(N(N194)&lt;6,"Finish the scoresheet before closing",IF(P194="Hot","Close now – send the contract / proposal today",IF(P194="Warm","Send proposal + a relevant result; follow up in 3 days","Rep's call – nurture or close politely")))&amp;IF(Q194&lt;&gt;""," (handle the 🚩 first)",""))</f>
        <v/>
      </c>
      <c r="S194" s="17"/>
      <c r="T194" s="17"/>
      <c r="U194" s="44" t="str">
        <f aca="false">IF(C194="","",IF(COUNTIF(C195:C$501,C194)=0,1,0))</f>
        <v/>
      </c>
    </row>
    <row r="195" customFormat="false" ht="15" hidden="false" customHeight="false" outlineLevel="0" collapsed="false">
      <c r="A195" s="17"/>
      <c r="B195" s="40"/>
      <c r="C195" s="17"/>
      <c r="D195" s="44" t="str">
        <f aca="false">IF(C195="","",IFERROR(INDEX(Inbound!$E$2:$E$501,MATCH(C195,Inbound!$A$2:$A$501,0)),IFERROR(INDEX(Outbound!$D$2:$D$501,MATCH(C195,Outbound!$A$2:$A$501,0)),"Lead ID not found")))</f>
        <v/>
      </c>
      <c r="E195" s="44" t="str">
        <f aca="false">IF(C195="","",IFERROR(INDEX(Inbound!$F$2:$F$501,MATCH(C195,Inbound!$A$2:$A$501,0)),IFERROR(INDEX(Outbound!$E$2:$E$501,MATCH(C195,Outbound!$A$2:$A$501,0)),"Lead ID not found")))</f>
        <v/>
      </c>
      <c r="F195" s="17"/>
      <c r="G195" s="17"/>
      <c r="H195" s="17"/>
      <c r="I195" s="17"/>
      <c r="J195" s="17"/>
      <c r="K195" s="17"/>
      <c r="L195" s="17"/>
      <c r="M195" s="17"/>
      <c r="N195" s="44" t="str">
        <f aca="false">IF(C195="","",COUNTA(H195:M195))</f>
        <v/>
      </c>
      <c r="O195" s="44" t="str">
        <f aca="false">IF(OR(C195="",N(N195)=0),"",SUMIFS(Settings!$AA$2:$AA$21,Settings!$Y$2:$Y$21,"Budget AED 5k+/mo?",Settings!$Z$2:$Z$21,H195)+SUMIFS(Settings!$AA$2:$AA$21,Settings!$Y$2:$Y$21,"Decision-maker?",Settings!$Z$2:$Z$21,I195)+SUMIFS(Settings!$AA$2:$AA$21,Settings!$Y$2:$Y$21,"Someone on camera?",Settings!$Z$2:$Z$21,J195)+SUMIFS(Settings!$AA$2:$AA$21,Settings!$Y$2:$Y$21,"OK with 3-month term?",Settings!$Z$2:$Z$21,K195)+SUMIFS(Settings!$AA$2:$AA$21,Settings!$Y$2:$Y$21,"Start timeline",Settings!$Z$2:$Z$21,L195)+SUMIFS(Settings!$AA$2:$AA$21,Settings!$Y$2:$Y$21,"Social media gap",Settings!$Z$2:$Z$21,M195)+IF(OR(E195="",E195="Lead ID not found"),0,IF(COUNTIF(Settings!$AC$2:$AC$6,E195)&gt;0,Settings!$AA$20,Settings!$AA$21)))</f>
        <v/>
      </c>
      <c r="P195" s="44" t="str">
        <f aca="false">IF(C195="","",IF(N(N195)&lt;6,"Partly scored ("&amp;N195&amp;"/6)",IF(O195&gt;=Settings!$S$8,"Hot",IF(O195&gt;=Settings!$S$9,"Warm","Cold"))))</f>
        <v/>
      </c>
      <c r="Q195" s="44" t="str">
        <f aca="false">IF(C195="","",IF(AND(H195="No",J195="No"),"🚩 Budget  ·  🚩 No one on camera",IF(H195="No","🚩 Budget under AED 5k",IF(J195="No","🚩 No one on camera",""))))</f>
        <v/>
      </c>
      <c r="R195" s="44" t="str">
        <f aca="false">IF(C195="","",IF(N(N195)&lt;6,"Finish the scoresheet before closing",IF(P195="Hot","Close now – send the contract / proposal today",IF(P195="Warm","Send proposal + a relevant result; follow up in 3 days","Rep's call – nurture or close politely")))&amp;IF(Q195&lt;&gt;""," (handle the 🚩 first)",""))</f>
        <v/>
      </c>
      <c r="S195" s="17"/>
      <c r="T195" s="17"/>
      <c r="U195" s="44" t="str">
        <f aca="false">IF(C195="","",IF(COUNTIF(C196:C$501,C195)=0,1,0))</f>
        <v/>
      </c>
    </row>
    <row r="196" customFormat="false" ht="15" hidden="false" customHeight="false" outlineLevel="0" collapsed="false">
      <c r="A196" s="17"/>
      <c r="B196" s="40"/>
      <c r="C196" s="17"/>
      <c r="D196" s="44" t="str">
        <f aca="false">IF(C196="","",IFERROR(INDEX(Inbound!$E$2:$E$501,MATCH(C196,Inbound!$A$2:$A$501,0)),IFERROR(INDEX(Outbound!$D$2:$D$501,MATCH(C196,Outbound!$A$2:$A$501,0)),"Lead ID not found")))</f>
        <v/>
      </c>
      <c r="E196" s="44" t="str">
        <f aca="false">IF(C196="","",IFERROR(INDEX(Inbound!$F$2:$F$501,MATCH(C196,Inbound!$A$2:$A$501,0)),IFERROR(INDEX(Outbound!$E$2:$E$501,MATCH(C196,Outbound!$A$2:$A$501,0)),"Lead ID not found")))</f>
        <v/>
      </c>
      <c r="F196" s="17"/>
      <c r="G196" s="17"/>
      <c r="H196" s="17"/>
      <c r="I196" s="17"/>
      <c r="J196" s="17"/>
      <c r="K196" s="17"/>
      <c r="L196" s="17"/>
      <c r="M196" s="17"/>
      <c r="N196" s="44" t="str">
        <f aca="false">IF(C196="","",COUNTA(H196:M196))</f>
        <v/>
      </c>
      <c r="O196" s="44" t="str">
        <f aca="false">IF(OR(C196="",N(N196)=0),"",SUMIFS(Settings!$AA$2:$AA$21,Settings!$Y$2:$Y$21,"Budget AED 5k+/mo?",Settings!$Z$2:$Z$21,H196)+SUMIFS(Settings!$AA$2:$AA$21,Settings!$Y$2:$Y$21,"Decision-maker?",Settings!$Z$2:$Z$21,I196)+SUMIFS(Settings!$AA$2:$AA$21,Settings!$Y$2:$Y$21,"Someone on camera?",Settings!$Z$2:$Z$21,J196)+SUMIFS(Settings!$AA$2:$AA$21,Settings!$Y$2:$Y$21,"OK with 3-month term?",Settings!$Z$2:$Z$21,K196)+SUMIFS(Settings!$AA$2:$AA$21,Settings!$Y$2:$Y$21,"Start timeline",Settings!$Z$2:$Z$21,L196)+SUMIFS(Settings!$AA$2:$AA$21,Settings!$Y$2:$Y$21,"Social media gap",Settings!$Z$2:$Z$21,M196)+IF(OR(E196="",E196="Lead ID not found"),0,IF(COUNTIF(Settings!$AC$2:$AC$6,E196)&gt;0,Settings!$AA$20,Settings!$AA$21)))</f>
        <v/>
      </c>
      <c r="P196" s="44" t="str">
        <f aca="false">IF(C196="","",IF(N(N196)&lt;6,"Partly scored ("&amp;N196&amp;"/6)",IF(O196&gt;=Settings!$S$8,"Hot",IF(O196&gt;=Settings!$S$9,"Warm","Cold"))))</f>
        <v/>
      </c>
      <c r="Q196" s="44" t="str">
        <f aca="false">IF(C196="","",IF(AND(H196="No",J196="No"),"🚩 Budget  ·  🚩 No one on camera",IF(H196="No","🚩 Budget under AED 5k",IF(J196="No","🚩 No one on camera",""))))</f>
        <v/>
      </c>
      <c r="R196" s="44" t="str">
        <f aca="false">IF(C196="","",IF(N(N196)&lt;6,"Finish the scoresheet before closing",IF(P196="Hot","Close now – send the contract / proposal today",IF(P196="Warm","Send proposal + a relevant result; follow up in 3 days","Rep's call – nurture or close politely")))&amp;IF(Q196&lt;&gt;""," (handle the 🚩 first)",""))</f>
        <v/>
      </c>
      <c r="S196" s="17"/>
      <c r="T196" s="17"/>
      <c r="U196" s="44" t="str">
        <f aca="false">IF(C196="","",IF(COUNTIF(C197:C$501,C196)=0,1,0))</f>
        <v/>
      </c>
    </row>
    <row r="197" customFormat="false" ht="15" hidden="false" customHeight="false" outlineLevel="0" collapsed="false">
      <c r="A197" s="17"/>
      <c r="B197" s="40"/>
      <c r="C197" s="17"/>
      <c r="D197" s="44" t="str">
        <f aca="false">IF(C197="","",IFERROR(INDEX(Inbound!$E$2:$E$501,MATCH(C197,Inbound!$A$2:$A$501,0)),IFERROR(INDEX(Outbound!$D$2:$D$501,MATCH(C197,Outbound!$A$2:$A$501,0)),"Lead ID not found")))</f>
        <v/>
      </c>
      <c r="E197" s="44" t="str">
        <f aca="false">IF(C197="","",IFERROR(INDEX(Inbound!$F$2:$F$501,MATCH(C197,Inbound!$A$2:$A$501,0)),IFERROR(INDEX(Outbound!$E$2:$E$501,MATCH(C197,Outbound!$A$2:$A$501,0)),"Lead ID not found")))</f>
        <v/>
      </c>
      <c r="F197" s="17"/>
      <c r="G197" s="17"/>
      <c r="H197" s="17"/>
      <c r="I197" s="17"/>
      <c r="J197" s="17"/>
      <c r="K197" s="17"/>
      <c r="L197" s="17"/>
      <c r="M197" s="17"/>
      <c r="N197" s="44" t="str">
        <f aca="false">IF(C197="","",COUNTA(H197:M197))</f>
        <v/>
      </c>
      <c r="O197" s="44" t="str">
        <f aca="false">IF(OR(C197="",N(N197)=0),"",SUMIFS(Settings!$AA$2:$AA$21,Settings!$Y$2:$Y$21,"Budget AED 5k+/mo?",Settings!$Z$2:$Z$21,H197)+SUMIFS(Settings!$AA$2:$AA$21,Settings!$Y$2:$Y$21,"Decision-maker?",Settings!$Z$2:$Z$21,I197)+SUMIFS(Settings!$AA$2:$AA$21,Settings!$Y$2:$Y$21,"Someone on camera?",Settings!$Z$2:$Z$21,J197)+SUMIFS(Settings!$AA$2:$AA$21,Settings!$Y$2:$Y$21,"OK with 3-month term?",Settings!$Z$2:$Z$21,K197)+SUMIFS(Settings!$AA$2:$AA$21,Settings!$Y$2:$Y$21,"Start timeline",Settings!$Z$2:$Z$21,L197)+SUMIFS(Settings!$AA$2:$AA$21,Settings!$Y$2:$Y$21,"Social media gap",Settings!$Z$2:$Z$21,M197)+IF(OR(E197="",E197="Lead ID not found"),0,IF(COUNTIF(Settings!$AC$2:$AC$6,E197)&gt;0,Settings!$AA$20,Settings!$AA$21)))</f>
        <v/>
      </c>
      <c r="P197" s="44" t="str">
        <f aca="false">IF(C197="","",IF(N(N197)&lt;6,"Partly scored ("&amp;N197&amp;"/6)",IF(O197&gt;=Settings!$S$8,"Hot",IF(O197&gt;=Settings!$S$9,"Warm","Cold"))))</f>
        <v/>
      </c>
      <c r="Q197" s="44" t="str">
        <f aca="false">IF(C197="","",IF(AND(H197="No",J197="No"),"🚩 Budget  ·  🚩 No one on camera",IF(H197="No","🚩 Budget under AED 5k",IF(J197="No","🚩 No one on camera",""))))</f>
        <v/>
      </c>
      <c r="R197" s="44" t="str">
        <f aca="false">IF(C197="","",IF(N(N197)&lt;6,"Finish the scoresheet before closing",IF(P197="Hot","Close now – send the contract / proposal today",IF(P197="Warm","Send proposal + a relevant result; follow up in 3 days","Rep's call – nurture or close politely")))&amp;IF(Q197&lt;&gt;""," (handle the 🚩 first)",""))</f>
        <v/>
      </c>
      <c r="S197" s="17"/>
      <c r="T197" s="17"/>
      <c r="U197" s="44" t="str">
        <f aca="false">IF(C197="","",IF(COUNTIF(C198:C$501,C197)=0,1,0))</f>
        <v/>
      </c>
    </row>
    <row r="198" customFormat="false" ht="15" hidden="false" customHeight="false" outlineLevel="0" collapsed="false">
      <c r="A198" s="17"/>
      <c r="B198" s="40"/>
      <c r="C198" s="17"/>
      <c r="D198" s="44" t="str">
        <f aca="false">IF(C198="","",IFERROR(INDEX(Inbound!$E$2:$E$501,MATCH(C198,Inbound!$A$2:$A$501,0)),IFERROR(INDEX(Outbound!$D$2:$D$501,MATCH(C198,Outbound!$A$2:$A$501,0)),"Lead ID not found")))</f>
        <v/>
      </c>
      <c r="E198" s="44" t="str">
        <f aca="false">IF(C198="","",IFERROR(INDEX(Inbound!$F$2:$F$501,MATCH(C198,Inbound!$A$2:$A$501,0)),IFERROR(INDEX(Outbound!$E$2:$E$501,MATCH(C198,Outbound!$A$2:$A$501,0)),"Lead ID not found")))</f>
        <v/>
      </c>
      <c r="F198" s="17"/>
      <c r="G198" s="17"/>
      <c r="H198" s="17"/>
      <c r="I198" s="17"/>
      <c r="J198" s="17"/>
      <c r="K198" s="17"/>
      <c r="L198" s="17"/>
      <c r="M198" s="17"/>
      <c r="N198" s="44" t="str">
        <f aca="false">IF(C198="","",COUNTA(H198:M198))</f>
        <v/>
      </c>
      <c r="O198" s="44" t="str">
        <f aca="false">IF(OR(C198="",N(N198)=0),"",SUMIFS(Settings!$AA$2:$AA$21,Settings!$Y$2:$Y$21,"Budget AED 5k+/mo?",Settings!$Z$2:$Z$21,H198)+SUMIFS(Settings!$AA$2:$AA$21,Settings!$Y$2:$Y$21,"Decision-maker?",Settings!$Z$2:$Z$21,I198)+SUMIFS(Settings!$AA$2:$AA$21,Settings!$Y$2:$Y$21,"Someone on camera?",Settings!$Z$2:$Z$21,J198)+SUMIFS(Settings!$AA$2:$AA$21,Settings!$Y$2:$Y$21,"OK with 3-month term?",Settings!$Z$2:$Z$21,K198)+SUMIFS(Settings!$AA$2:$AA$21,Settings!$Y$2:$Y$21,"Start timeline",Settings!$Z$2:$Z$21,L198)+SUMIFS(Settings!$AA$2:$AA$21,Settings!$Y$2:$Y$21,"Social media gap",Settings!$Z$2:$Z$21,M198)+IF(OR(E198="",E198="Lead ID not found"),0,IF(COUNTIF(Settings!$AC$2:$AC$6,E198)&gt;0,Settings!$AA$20,Settings!$AA$21)))</f>
        <v/>
      </c>
      <c r="P198" s="44" t="str">
        <f aca="false">IF(C198="","",IF(N(N198)&lt;6,"Partly scored ("&amp;N198&amp;"/6)",IF(O198&gt;=Settings!$S$8,"Hot",IF(O198&gt;=Settings!$S$9,"Warm","Cold"))))</f>
        <v/>
      </c>
      <c r="Q198" s="44" t="str">
        <f aca="false">IF(C198="","",IF(AND(H198="No",J198="No"),"🚩 Budget  ·  🚩 No one on camera",IF(H198="No","🚩 Budget under AED 5k",IF(J198="No","🚩 No one on camera",""))))</f>
        <v/>
      </c>
      <c r="R198" s="44" t="str">
        <f aca="false">IF(C198="","",IF(N(N198)&lt;6,"Finish the scoresheet before closing",IF(P198="Hot","Close now – send the contract / proposal today",IF(P198="Warm","Send proposal + a relevant result; follow up in 3 days","Rep's call – nurture or close politely")))&amp;IF(Q198&lt;&gt;""," (handle the 🚩 first)",""))</f>
        <v/>
      </c>
      <c r="S198" s="17"/>
      <c r="T198" s="17"/>
      <c r="U198" s="44" t="str">
        <f aca="false">IF(C198="","",IF(COUNTIF(C199:C$501,C198)=0,1,0))</f>
        <v/>
      </c>
    </row>
    <row r="199" customFormat="false" ht="15" hidden="false" customHeight="false" outlineLevel="0" collapsed="false">
      <c r="A199" s="17"/>
      <c r="B199" s="40"/>
      <c r="C199" s="17"/>
      <c r="D199" s="44" t="str">
        <f aca="false">IF(C199="","",IFERROR(INDEX(Inbound!$E$2:$E$501,MATCH(C199,Inbound!$A$2:$A$501,0)),IFERROR(INDEX(Outbound!$D$2:$D$501,MATCH(C199,Outbound!$A$2:$A$501,0)),"Lead ID not found")))</f>
        <v/>
      </c>
      <c r="E199" s="44" t="str">
        <f aca="false">IF(C199="","",IFERROR(INDEX(Inbound!$F$2:$F$501,MATCH(C199,Inbound!$A$2:$A$501,0)),IFERROR(INDEX(Outbound!$E$2:$E$501,MATCH(C199,Outbound!$A$2:$A$501,0)),"Lead ID not found")))</f>
        <v/>
      </c>
      <c r="F199" s="17"/>
      <c r="G199" s="17"/>
      <c r="H199" s="17"/>
      <c r="I199" s="17"/>
      <c r="J199" s="17"/>
      <c r="K199" s="17"/>
      <c r="L199" s="17"/>
      <c r="M199" s="17"/>
      <c r="N199" s="44" t="str">
        <f aca="false">IF(C199="","",COUNTA(H199:M199))</f>
        <v/>
      </c>
      <c r="O199" s="44" t="str">
        <f aca="false">IF(OR(C199="",N(N199)=0),"",SUMIFS(Settings!$AA$2:$AA$21,Settings!$Y$2:$Y$21,"Budget AED 5k+/mo?",Settings!$Z$2:$Z$21,H199)+SUMIFS(Settings!$AA$2:$AA$21,Settings!$Y$2:$Y$21,"Decision-maker?",Settings!$Z$2:$Z$21,I199)+SUMIFS(Settings!$AA$2:$AA$21,Settings!$Y$2:$Y$21,"Someone on camera?",Settings!$Z$2:$Z$21,J199)+SUMIFS(Settings!$AA$2:$AA$21,Settings!$Y$2:$Y$21,"OK with 3-month term?",Settings!$Z$2:$Z$21,K199)+SUMIFS(Settings!$AA$2:$AA$21,Settings!$Y$2:$Y$21,"Start timeline",Settings!$Z$2:$Z$21,L199)+SUMIFS(Settings!$AA$2:$AA$21,Settings!$Y$2:$Y$21,"Social media gap",Settings!$Z$2:$Z$21,M199)+IF(OR(E199="",E199="Lead ID not found"),0,IF(COUNTIF(Settings!$AC$2:$AC$6,E199)&gt;0,Settings!$AA$20,Settings!$AA$21)))</f>
        <v/>
      </c>
      <c r="P199" s="44" t="str">
        <f aca="false">IF(C199="","",IF(N(N199)&lt;6,"Partly scored ("&amp;N199&amp;"/6)",IF(O199&gt;=Settings!$S$8,"Hot",IF(O199&gt;=Settings!$S$9,"Warm","Cold"))))</f>
        <v/>
      </c>
      <c r="Q199" s="44" t="str">
        <f aca="false">IF(C199="","",IF(AND(H199="No",J199="No"),"🚩 Budget  ·  🚩 No one on camera",IF(H199="No","🚩 Budget under AED 5k",IF(J199="No","🚩 No one on camera",""))))</f>
        <v/>
      </c>
      <c r="R199" s="44" t="str">
        <f aca="false">IF(C199="","",IF(N(N199)&lt;6,"Finish the scoresheet before closing",IF(P199="Hot","Close now – send the contract / proposal today",IF(P199="Warm","Send proposal + a relevant result; follow up in 3 days","Rep's call – nurture or close politely")))&amp;IF(Q199&lt;&gt;""," (handle the 🚩 first)",""))</f>
        <v/>
      </c>
      <c r="S199" s="17"/>
      <c r="T199" s="17"/>
      <c r="U199" s="44" t="str">
        <f aca="false">IF(C199="","",IF(COUNTIF(C200:C$501,C199)=0,1,0))</f>
        <v/>
      </c>
    </row>
    <row r="200" customFormat="false" ht="15" hidden="false" customHeight="false" outlineLevel="0" collapsed="false">
      <c r="A200" s="17"/>
      <c r="B200" s="40"/>
      <c r="C200" s="17"/>
      <c r="D200" s="44" t="str">
        <f aca="false">IF(C200="","",IFERROR(INDEX(Inbound!$E$2:$E$501,MATCH(C200,Inbound!$A$2:$A$501,0)),IFERROR(INDEX(Outbound!$D$2:$D$501,MATCH(C200,Outbound!$A$2:$A$501,0)),"Lead ID not found")))</f>
        <v/>
      </c>
      <c r="E200" s="44" t="str">
        <f aca="false">IF(C200="","",IFERROR(INDEX(Inbound!$F$2:$F$501,MATCH(C200,Inbound!$A$2:$A$501,0)),IFERROR(INDEX(Outbound!$E$2:$E$501,MATCH(C200,Outbound!$A$2:$A$501,0)),"Lead ID not found")))</f>
        <v/>
      </c>
      <c r="F200" s="17"/>
      <c r="G200" s="17"/>
      <c r="H200" s="17"/>
      <c r="I200" s="17"/>
      <c r="J200" s="17"/>
      <c r="K200" s="17"/>
      <c r="L200" s="17"/>
      <c r="M200" s="17"/>
      <c r="N200" s="44" t="str">
        <f aca="false">IF(C200="","",COUNTA(H200:M200))</f>
        <v/>
      </c>
      <c r="O200" s="44" t="str">
        <f aca="false">IF(OR(C200="",N(N200)=0),"",SUMIFS(Settings!$AA$2:$AA$21,Settings!$Y$2:$Y$21,"Budget AED 5k+/mo?",Settings!$Z$2:$Z$21,H200)+SUMIFS(Settings!$AA$2:$AA$21,Settings!$Y$2:$Y$21,"Decision-maker?",Settings!$Z$2:$Z$21,I200)+SUMIFS(Settings!$AA$2:$AA$21,Settings!$Y$2:$Y$21,"Someone on camera?",Settings!$Z$2:$Z$21,J200)+SUMIFS(Settings!$AA$2:$AA$21,Settings!$Y$2:$Y$21,"OK with 3-month term?",Settings!$Z$2:$Z$21,K200)+SUMIFS(Settings!$AA$2:$AA$21,Settings!$Y$2:$Y$21,"Start timeline",Settings!$Z$2:$Z$21,L200)+SUMIFS(Settings!$AA$2:$AA$21,Settings!$Y$2:$Y$21,"Social media gap",Settings!$Z$2:$Z$21,M200)+IF(OR(E200="",E200="Lead ID not found"),0,IF(COUNTIF(Settings!$AC$2:$AC$6,E200)&gt;0,Settings!$AA$20,Settings!$AA$21)))</f>
        <v/>
      </c>
      <c r="P200" s="44" t="str">
        <f aca="false">IF(C200="","",IF(N(N200)&lt;6,"Partly scored ("&amp;N200&amp;"/6)",IF(O200&gt;=Settings!$S$8,"Hot",IF(O200&gt;=Settings!$S$9,"Warm","Cold"))))</f>
        <v/>
      </c>
      <c r="Q200" s="44" t="str">
        <f aca="false">IF(C200="","",IF(AND(H200="No",J200="No"),"🚩 Budget  ·  🚩 No one on camera",IF(H200="No","🚩 Budget under AED 5k",IF(J200="No","🚩 No one on camera",""))))</f>
        <v/>
      </c>
      <c r="R200" s="44" t="str">
        <f aca="false">IF(C200="","",IF(N(N200)&lt;6,"Finish the scoresheet before closing",IF(P200="Hot","Close now – send the contract / proposal today",IF(P200="Warm","Send proposal + a relevant result; follow up in 3 days","Rep's call – nurture or close politely")))&amp;IF(Q200&lt;&gt;""," (handle the 🚩 first)",""))</f>
        <v/>
      </c>
      <c r="S200" s="17"/>
      <c r="T200" s="17"/>
      <c r="U200" s="44" t="str">
        <f aca="false">IF(C200="","",IF(COUNTIF(C201:C$501,C200)=0,1,0))</f>
        <v/>
      </c>
    </row>
    <row r="201" customFormat="false" ht="15" hidden="false" customHeight="false" outlineLevel="0" collapsed="false">
      <c r="A201" s="17"/>
      <c r="B201" s="40"/>
      <c r="C201" s="17"/>
      <c r="D201" s="44" t="str">
        <f aca="false">IF(C201="","",IFERROR(INDEX(Inbound!$E$2:$E$501,MATCH(C201,Inbound!$A$2:$A$501,0)),IFERROR(INDEX(Outbound!$D$2:$D$501,MATCH(C201,Outbound!$A$2:$A$501,0)),"Lead ID not found")))</f>
        <v/>
      </c>
      <c r="E201" s="44" t="str">
        <f aca="false">IF(C201="","",IFERROR(INDEX(Inbound!$F$2:$F$501,MATCH(C201,Inbound!$A$2:$A$501,0)),IFERROR(INDEX(Outbound!$E$2:$E$501,MATCH(C201,Outbound!$A$2:$A$501,0)),"Lead ID not found")))</f>
        <v/>
      </c>
      <c r="F201" s="17"/>
      <c r="G201" s="17"/>
      <c r="H201" s="17"/>
      <c r="I201" s="17"/>
      <c r="J201" s="17"/>
      <c r="K201" s="17"/>
      <c r="L201" s="17"/>
      <c r="M201" s="17"/>
      <c r="N201" s="44" t="str">
        <f aca="false">IF(C201="","",COUNTA(H201:M201))</f>
        <v/>
      </c>
      <c r="O201" s="44" t="str">
        <f aca="false">IF(OR(C201="",N(N201)=0),"",SUMIFS(Settings!$AA$2:$AA$21,Settings!$Y$2:$Y$21,"Budget AED 5k+/mo?",Settings!$Z$2:$Z$21,H201)+SUMIFS(Settings!$AA$2:$AA$21,Settings!$Y$2:$Y$21,"Decision-maker?",Settings!$Z$2:$Z$21,I201)+SUMIFS(Settings!$AA$2:$AA$21,Settings!$Y$2:$Y$21,"Someone on camera?",Settings!$Z$2:$Z$21,J201)+SUMIFS(Settings!$AA$2:$AA$21,Settings!$Y$2:$Y$21,"OK with 3-month term?",Settings!$Z$2:$Z$21,K201)+SUMIFS(Settings!$AA$2:$AA$21,Settings!$Y$2:$Y$21,"Start timeline",Settings!$Z$2:$Z$21,L201)+SUMIFS(Settings!$AA$2:$AA$21,Settings!$Y$2:$Y$21,"Social media gap",Settings!$Z$2:$Z$21,M201)+IF(OR(E201="",E201="Lead ID not found"),0,IF(COUNTIF(Settings!$AC$2:$AC$6,E201)&gt;0,Settings!$AA$20,Settings!$AA$21)))</f>
        <v/>
      </c>
      <c r="P201" s="44" t="str">
        <f aca="false">IF(C201="","",IF(N(N201)&lt;6,"Partly scored ("&amp;N201&amp;"/6)",IF(O201&gt;=Settings!$S$8,"Hot",IF(O201&gt;=Settings!$S$9,"Warm","Cold"))))</f>
        <v/>
      </c>
      <c r="Q201" s="44" t="str">
        <f aca="false">IF(C201="","",IF(AND(H201="No",J201="No"),"🚩 Budget  ·  🚩 No one on camera",IF(H201="No","🚩 Budget under AED 5k",IF(J201="No","🚩 No one on camera",""))))</f>
        <v/>
      </c>
      <c r="R201" s="44" t="str">
        <f aca="false">IF(C201="","",IF(N(N201)&lt;6,"Finish the scoresheet before closing",IF(P201="Hot","Close now – send the contract / proposal today",IF(P201="Warm","Send proposal + a relevant result; follow up in 3 days","Rep's call – nurture or close politely")))&amp;IF(Q201&lt;&gt;""," (handle the 🚩 first)",""))</f>
        <v/>
      </c>
      <c r="S201" s="17"/>
      <c r="T201" s="17"/>
      <c r="U201" s="44" t="str">
        <f aca="false">IF(C201="","",IF(COUNTIF(C202:C$501,C201)=0,1,0))</f>
        <v/>
      </c>
    </row>
    <row r="202" customFormat="false" ht="15" hidden="false" customHeight="false" outlineLevel="0" collapsed="false">
      <c r="A202" s="17"/>
      <c r="B202" s="40"/>
      <c r="C202" s="17"/>
      <c r="D202" s="44" t="str">
        <f aca="false">IF(C202="","",IFERROR(INDEX(Inbound!$E$2:$E$501,MATCH(C202,Inbound!$A$2:$A$501,0)),IFERROR(INDEX(Outbound!$D$2:$D$501,MATCH(C202,Outbound!$A$2:$A$501,0)),"Lead ID not found")))</f>
        <v/>
      </c>
      <c r="E202" s="44" t="str">
        <f aca="false">IF(C202="","",IFERROR(INDEX(Inbound!$F$2:$F$501,MATCH(C202,Inbound!$A$2:$A$501,0)),IFERROR(INDEX(Outbound!$E$2:$E$501,MATCH(C202,Outbound!$A$2:$A$501,0)),"Lead ID not found")))</f>
        <v/>
      </c>
      <c r="F202" s="17"/>
      <c r="G202" s="17"/>
      <c r="H202" s="17"/>
      <c r="I202" s="17"/>
      <c r="J202" s="17"/>
      <c r="K202" s="17"/>
      <c r="L202" s="17"/>
      <c r="M202" s="17"/>
      <c r="N202" s="44" t="str">
        <f aca="false">IF(C202="","",COUNTA(H202:M202))</f>
        <v/>
      </c>
      <c r="O202" s="44" t="str">
        <f aca="false">IF(OR(C202="",N(N202)=0),"",SUMIFS(Settings!$AA$2:$AA$21,Settings!$Y$2:$Y$21,"Budget AED 5k+/mo?",Settings!$Z$2:$Z$21,H202)+SUMIFS(Settings!$AA$2:$AA$21,Settings!$Y$2:$Y$21,"Decision-maker?",Settings!$Z$2:$Z$21,I202)+SUMIFS(Settings!$AA$2:$AA$21,Settings!$Y$2:$Y$21,"Someone on camera?",Settings!$Z$2:$Z$21,J202)+SUMIFS(Settings!$AA$2:$AA$21,Settings!$Y$2:$Y$21,"OK with 3-month term?",Settings!$Z$2:$Z$21,K202)+SUMIFS(Settings!$AA$2:$AA$21,Settings!$Y$2:$Y$21,"Start timeline",Settings!$Z$2:$Z$21,L202)+SUMIFS(Settings!$AA$2:$AA$21,Settings!$Y$2:$Y$21,"Social media gap",Settings!$Z$2:$Z$21,M202)+IF(OR(E202="",E202="Lead ID not found"),0,IF(COUNTIF(Settings!$AC$2:$AC$6,E202)&gt;0,Settings!$AA$20,Settings!$AA$21)))</f>
        <v/>
      </c>
      <c r="P202" s="44" t="str">
        <f aca="false">IF(C202="","",IF(N(N202)&lt;6,"Partly scored ("&amp;N202&amp;"/6)",IF(O202&gt;=Settings!$S$8,"Hot",IF(O202&gt;=Settings!$S$9,"Warm","Cold"))))</f>
        <v/>
      </c>
      <c r="Q202" s="44" t="str">
        <f aca="false">IF(C202="","",IF(AND(H202="No",J202="No"),"🚩 Budget  ·  🚩 No one on camera",IF(H202="No","🚩 Budget under AED 5k",IF(J202="No","🚩 No one on camera",""))))</f>
        <v/>
      </c>
      <c r="R202" s="44" t="str">
        <f aca="false">IF(C202="","",IF(N(N202)&lt;6,"Finish the scoresheet before closing",IF(P202="Hot","Close now – send the contract / proposal today",IF(P202="Warm","Send proposal + a relevant result; follow up in 3 days","Rep's call – nurture or close politely")))&amp;IF(Q202&lt;&gt;""," (handle the 🚩 first)",""))</f>
        <v/>
      </c>
      <c r="S202" s="17"/>
      <c r="T202" s="17"/>
      <c r="U202" s="44" t="str">
        <f aca="false">IF(C202="","",IF(COUNTIF(C203:C$501,C202)=0,1,0))</f>
        <v/>
      </c>
    </row>
    <row r="203" customFormat="false" ht="15" hidden="false" customHeight="false" outlineLevel="0" collapsed="false">
      <c r="A203" s="17"/>
      <c r="B203" s="40"/>
      <c r="C203" s="17"/>
      <c r="D203" s="44" t="str">
        <f aca="false">IF(C203="","",IFERROR(INDEX(Inbound!$E$2:$E$501,MATCH(C203,Inbound!$A$2:$A$501,0)),IFERROR(INDEX(Outbound!$D$2:$D$501,MATCH(C203,Outbound!$A$2:$A$501,0)),"Lead ID not found")))</f>
        <v/>
      </c>
      <c r="E203" s="44" t="str">
        <f aca="false">IF(C203="","",IFERROR(INDEX(Inbound!$F$2:$F$501,MATCH(C203,Inbound!$A$2:$A$501,0)),IFERROR(INDEX(Outbound!$E$2:$E$501,MATCH(C203,Outbound!$A$2:$A$501,0)),"Lead ID not found")))</f>
        <v/>
      </c>
      <c r="F203" s="17"/>
      <c r="G203" s="17"/>
      <c r="H203" s="17"/>
      <c r="I203" s="17"/>
      <c r="J203" s="17"/>
      <c r="K203" s="17"/>
      <c r="L203" s="17"/>
      <c r="M203" s="17"/>
      <c r="N203" s="44" t="str">
        <f aca="false">IF(C203="","",COUNTA(H203:M203))</f>
        <v/>
      </c>
      <c r="O203" s="44" t="str">
        <f aca="false">IF(OR(C203="",N(N203)=0),"",SUMIFS(Settings!$AA$2:$AA$21,Settings!$Y$2:$Y$21,"Budget AED 5k+/mo?",Settings!$Z$2:$Z$21,H203)+SUMIFS(Settings!$AA$2:$AA$21,Settings!$Y$2:$Y$21,"Decision-maker?",Settings!$Z$2:$Z$21,I203)+SUMIFS(Settings!$AA$2:$AA$21,Settings!$Y$2:$Y$21,"Someone on camera?",Settings!$Z$2:$Z$21,J203)+SUMIFS(Settings!$AA$2:$AA$21,Settings!$Y$2:$Y$21,"OK with 3-month term?",Settings!$Z$2:$Z$21,K203)+SUMIFS(Settings!$AA$2:$AA$21,Settings!$Y$2:$Y$21,"Start timeline",Settings!$Z$2:$Z$21,L203)+SUMIFS(Settings!$AA$2:$AA$21,Settings!$Y$2:$Y$21,"Social media gap",Settings!$Z$2:$Z$21,M203)+IF(OR(E203="",E203="Lead ID not found"),0,IF(COUNTIF(Settings!$AC$2:$AC$6,E203)&gt;0,Settings!$AA$20,Settings!$AA$21)))</f>
        <v/>
      </c>
      <c r="P203" s="44" t="str">
        <f aca="false">IF(C203="","",IF(N(N203)&lt;6,"Partly scored ("&amp;N203&amp;"/6)",IF(O203&gt;=Settings!$S$8,"Hot",IF(O203&gt;=Settings!$S$9,"Warm","Cold"))))</f>
        <v/>
      </c>
      <c r="Q203" s="44" t="str">
        <f aca="false">IF(C203="","",IF(AND(H203="No",J203="No"),"🚩 Budget  ·  🚩 No one on camera",IF(H203="No","🚩 Budget under AED 5k",IF(J203="No","🚩 No one on camera",""))))</f>
        <v/>
      </c>
      <c r="R203" s="44" t="str">
        <f aca="false">IF(C203="","",IF(N(N203)&lt;6,"Finish the scoresheet before closing",IF(P203="Hot","Close now – send the contract / proposal today",IF(P203="Warm","Send proposal + a relevant result; follow up in 3 days","Rep's call – nurture or close politely")))&amp;IF(Q203&lt;&gt;""," (handle the 🚩 first)",""))</f>
        <v/>
      </c>
      <c r="S203" s="17"/>
      <c r="T203" s="17"/>
      <c r="U203" s="44" t="str">
        <f aca="false">IF(C203="","",IF(COUNTIF(C204:C$501,C203)=0,1,0))</f>
        <v/>
      </c>
    </row>
    <row r="204" customFormat="false" ht="15" hidden="false" customHeight="false" outlineLevel="0" collapsed="false">
      <c r="A204" s="17"/>
      <c r="B204" s="40"/>
      <c r="C204" s="17"/>
      <c r="D204" s="44" t="str">
        <f aca="false">IF(C204="","",IFERROR(INDEX(Inbound!$E$2:$E$501,MATCH(C204,Inbound!$A$2:$A$501,0)),IFERROR(INDEX(Outbound!$D$2:$D$501,MATCH(C204,Outbound!$A$2:$A$501,0)),"Lead ID not found")))</f>
        <v/>
      </c>
      <c r="E204" s="44" t="str">
        <f aca="false">IF(C204="","",IFERROR(INDEX(Inbound!$F$2:$F$501,MATCH(C204,Inbound!$A$2:$A$501,0)),IFERROR(INDEX(Outbound!$E$2:$E$501,MATCH(C204,Outbound!$A$2:$A$501,0)),"Lead ID not found")))</f>
        <v/>
      </c>
      <c r="F204" s="17"/>
      <c r="G204" s="17"/>
      <c r="H204" s="17"/>
      <c r="I204" s="17"/>
      <c r="J204" s="17"/>
      <c r="K204" s="17"/>
      <c r="L204" s="17"/>
      <c r="M204" s="17"/>
      <c r="N204" s="44" t="str">
        <f aca="false">IF(C204="","",COUNTA(H204:M204))</f>
        <v/>
      </c>
      <c r="O204" s="44" t="str">
        <f aca="false">IF(OR(C204="",N(N204)=0),"",SUMIFS(Settings!$AA$2:$AA$21,Settings!$Y$2:$Y$21,"Budget AED 5k+/mo?",Settings!$Z$2:$Z$21,H204)+SUMIFS(Settings!$AA$2:$AA$21,Settings!$Y$2:$Y$21,"Decision-maker?",Settings!$Z$2:$Z$21,I204)+SUMIFS(Settings!$AA$2:$AA$21,Settings!$Y$2:$Y$21,"Someone on camera?",Settings!$Z$2:$Z$21,J204)+SUMIFS(Settings!$AA$2:$AA$21,Settings!$Y$2:$Y$21,"OK with 3-month term?",Settings!$Z$2:$Z$21,K204)+SUMIFS(Settings!$AA$2:$AA$21,Settings!$Y$2:$Y$21,"Start timeline",Settings!$Z$2:$Z$21,L204)+SUMIFS(Settings!$AA$2:$AA$21,Settings!$Y$2:$Y$21,"Social media gap",Settings!$Z$2:$Z$21,M204)+IF(OR(E204="",E204="Lead ID not found"),0,IF(COUNTIF(Settings!$AC$2:$AC$6,E204)&gt;0,Settings!$AA$20,Settings!$AA$21)))</f>
        <v/>
      </c>
      <c r="P204" s="44" t="str">
        <f aca="false">IF(C204="","",IF(N(N204)&lt;6,"Partly scored ("&amp;N204&amp;"/6)",IF(O204&gt;=Settings!$S$8,"Hot",IF(O204&gt;=Settings!$S$9,"Warm","Cold"))))</f>
        <v/>
      </c>
      <c r="Q204" s="44" t="str">
        <f aca="false">IF(C204="","",IF(AND(H204="No",J204="No"),"🚩 Budget  ·  🚩 No one on camera",IF(H204="No","🚩 Budget under AED 5k",IF(J204="No","🚩 No one on camera",""))))</f>
        <v/>
      </c>
      <c r="R204" s="44" t="str">
        <f aca="false">IF(C204="","",IF(N(N204)&lt;6,"Finish the scoresheet before closing",IF(P204="Hot","Close now – send the contract / proposal today",IF(P204="Warm","Send proposal + a relevant result; follow up in 3 days","Rep's call – nurture or close politely")))&amp;IF(Q204&lt;&gt;""," (handle the 🚩 first)",""))</f>
        <v/>
      </c>
      <c r="S204" s="17"/>
      <c r="T204" s="17"/>
      <c r="U204" s="44" t="str">
        <f aca="false">IF(C204="","",IF(COUNTIF(C205:C$501,C204)=0,1,0))</f>
        <v/>
      </c>
    </row>
    <row r="205" customFormat="false" ht="15" hidden="false" customHeight="false" outlineLevel="0" collapsed="false">
      <c r="A205" s="17"/>
      <c r="B205" s="40"/>
      <c r="C205" s="17"/>
      <c r="D205" s="44" t="str">
        <f aca="false">IF(C205="","",IFERROR(INDEX(Inbound!$E$2:$E$501,MATCH(C205,Inbound!$A$2:$A$501,0)),IFERROR(INDEX(Outbound!$D$2:$D$501,MATCH(C205,Outbound!$A$2:$A$501,0)),"Lead ID not found")))</f>
        <v/>
      </c>
      <c r="E205" s="44" t="str">
        <f aca="false">IF(C205="","",IFERROR(INDEX(Inbound!$F$2:$F$501,MATCH(C205,Inbound!$A$2:$A$501,0)),IFERROR(INDEX(Outbound!$E$2:$E$501,MATCH(C205,Outbound!$A$2:$A$501,0)),"Lead ID not found")))</f>
        <v/>
      </c>
      <c r="F205" s="17"/>
      <c r="G205" s="17"/>
      <c r="H205" s="17"/>
      <c r="I205" s="17"/>
      <c r="J205" s="17"/>
      <c r="K205" s="17"/>
      <c r="L205" s="17"/>
      <c r="M205" s="17"/>
      <c r="N205" s="44" t="str">
        <f aca="false">IF(C205="","",COUNTA(H205:M205))</f>
        <v/>
      </c>
      <c r="O205" s="44" t="str">
        <f aca="false">IF(OR(C205="",N(N205)=0),"",SUMIFS(Settings!$AA$2:$AA$21,Settings!$Y$2:$Y$21,"Budget AED 5k+/mo?",Settings!$Z$2:$Z$21,H205)+SUMIFS(Settings!$AA$2:$AA$21,Settings!$Y$2:$Y$21,"Decision-maker?",Settings!$Z$2:$Z$21,I205)+SUMIFS(Settings!$AA$2:$AA$21,Settings!$Y$2:$Y$21,"Someone on camera?",Settings!$Z$2:$Z$21,J205)+SUMIFS(Settings!$AA$2:$AA$21,Settings!$Y$2:$Y$21,"OK with 3-month term?",Settings!$Z$2:$Z$21,K205)+SUMIFS(Settings!$AA$2:$AA$21,Settings!$Y$2:$Y$21,"Start timeline",Settings!$Z$2:$Z$21,L205)+SUMIFS(Settings!$AA$2:$AA$21,Settings!$Y$2:$Y$21,"Social media gap",Settings!$Z$2:$Z$21,M205)+IF(OR(E205="",E205="Lead ID not found"),0,IF(COUNTIF(Settings!$AC$2:$AC$6,E205)&gt;0,Settings!$AA$20,Settings!$AA$21)))</f>
        <v/>
      </c>
      <c r="P205" s="44" t="str">
        <f aca="false">IF(C205="","",IF(N(N205)&lt;6,"Partly scored ("&amp;N205&amp;"/6)",IF(O205&gt;=Settings!$S$8,"Hot",IF(O205&gt;=Settings!$S$9,"Warm","Cold"))))</f>
        <v/>
      </c>
      <c r="Q205" s="44" t="str">
        <f aca="false">IF(C205="","",IF(AND(H205="No",J205="No"),"🚩 Budget  ·  🚩 No one on camera",IF(H205="No","🚩 Budget under AED 5k",IF(J205="No","🚩 No one on camera",""))))</f>
        <v/>
      </c>
      <c r="R205" s="44" t="str">
        <f aca="false">IF(C205="","",IF(N(N205)&lt;6,"Finish the scoresheet before closing",IF(P205="Hot","Close now – send the contract / proposal today",IF(P205="Warm","Send proposal + a relevant result; follow up in 3 days","Rep's call – nurture or close politely")))&amp;IF(Q205&lt;&gt;""," (handle the 🚩 first)",""))</f>
        <v/>
      </c>
      <c r="S205" s="17"/>
      <c r="T205" s="17"/>
      <c r="U205" s="44" t="str">
        <f aca="false">IF(C205="","",IF(COUNTIF(C206:C$501,C205)=0,1,0))</f>
        <v/>
      </c>
    </row>
    <row r="206" customFormat="false" ht="15" hidden="false" customHeight="false" outlineLevel="0" collapsed="false">
      <c r="A206" s="17"/>
      <c r="B206" s="40"/>
      <c r="C206" s="17"/>
      <c r="D206" s="44" t="str">
        <f aca="false">IF(C206="","",IFERROR(INDEX(Inbound!$E$2:$E$501,MATCH(C206,Inbound!$A$2:$A$501,0)),IFERROR(INDEX(Outbound!$D$2:$D$501,MATCH(C206,Outbound!$A$2:$A$501,0)),"Lead ID not found")))</f>
        <v/>
      </c>
      <c r="E206" s="44" t="str">
        <f aca="false">IF(C206="","",IFERROR(INDEX(Inbound!$F$2:$F$501,MATCH(C206,Inbound!$A$2:$A$501,0)),IFERROR(INDEX(Outbound!$E$2:$E$501,MATCH(C206,Outbound!$A$2:$A$501,0)),"Lead ID not found")))</f>
        <v/>
      </c>
      <c r="F206" s="17"/>
      <c r="G206" s="17"/>
      <c r="H206" s="17"/>
      <c r="I206" s="17"/>
      <c r="J206" s="17"/>
      <c r="K206" s="17"/>
      <c r="L206" s="17"/>
      <c r="M206" s="17"/>
      <c r="N206" s="44" t="str">
        <f aca="false">IF(C206="","",COUNTA(H206:M206))</f>
        <v/>
      </c>
      <c r="O206" s="44" t="str">
        <f aca="false">IF(OR(C206="",N(N206)=0),"",SUMIFS(Settings!$AA$2:$AA$21,Settings!$Y$2:$Y$21,"Budget AED 5k+/mo?",Settings!$Z$2:$Z$21,H206)+SUMIFS(Settings!$AA$2:$AA$21,Settings!$Y$2:$Y$21,"Decision-maker?",Settings!$Z$2:$Z$21,I206)+SUMIFS(Settings!$AA$2:$AA$21,Settings!$Y$2:$Y$21,"Someone on camera?",Settings!$Z$2:$Z$21,J206)+SUMIFS(Settings!$AA$2:$AA$21,Settings!$Y$2:$Y$21,"OK with 3-month term?",Settings!$Z$2:$Z$21,K206)+SUMIFS(Settings!$AA$2:$AA$21,Settings!$Y$2:$Y$21,"Start timeline",Settings!$Z$2:$Z$21,L206)+SUMIFS(Settings!$AA$2:$AA$21,Settings!$Y$2:$Y$21,"Social media gap",Settings!$Z$2:$Z$21,M206)+IF(OR(E206="",E206="Lead ID not found"),0,IF(COUNTIF(Settings!$AC$2:$AC$6,E206)&gt;0,Settings!$AA$20,Settings!$AA$21)))</f>
        <v/>
      </c>
      <c r="P206" s="44" t="str">
        <f aca="false">IF(C206="","",IF(N(N206)&lt;6,"Partly scored ("&amp;N206&amp;"/6)",IF(O206&gt;=Settings!$S$8,"Hot",IF(O206&gt;=Settings!$S$9,"Warm","Cold"))))</f>
        <v/>
      </c>
      <c r="Q206" s="44" t="str">
        <f aca="false">IF(C206="","",IF(AND(H206="No",J206="No"),"🚩 Budget  ·  🚩 No one on camera",IF(H206="No","🚩 Budget under AED 5k",IF(J206="No","🚩 No one on camera",""))))</f>
        <v/>
      </c>
      <c r="R206" s="44" t="str">
        <f aca="false">IF(C206="","",IF(N(N206)&lt;6,"Finish the scoresheet before closing",IF(P206="Hot","Close now – send the contract / proposal today",IF(P206="Warm","Send proposal + a relevant result; follow up in 3 days","Rep's call – nurture or close politely")))&amp;IF(Q206&lt;&gt;""," (handle the 🚩 first)",""))</f>
        <v/>
      </c>
      <c r="S206" s="17"/>
      <c r="T206" s="17"/>
      <c r="U206" s="44" t="str">
        <f aca="false">IF(C206="","",IF(COUNTIF(C207:C$501,C206)=0,1,0))</f>
        <v/>
      </c>
    </row>
    <row r="207" customFormat="false" ht="15" hidden="false" customHeight="false" outlineLevel="0" collapsed="false">
      <c r="A207" s="17"/>
      <c r="B207" s="40"/>
      <c r="C207" s="17"/>
      <c r="D207" s="44" t="str">
        <f aca="false">IF(C207="","",IFERROR(INDEX(Inbound!$E$2:$E$501,MATCH(C207,Inbound!$A$2:$A$501,0)),IFERROR(INDEX(Outbound!$D$2:$D$501,MATCH(C207,Outbound!$A$2:$A$501,0)),"Lead ID not found")))</f>
        <v/>
      </c>
      <c r="E207" s="44" t="str">
        <f aca="false">IF(C207="","",IFERROR(INDEX(Inbound!$F$2:$F$501,MATCH(C207,Inbound!$A$2:$A$501,0)),IFERROR(INDEX(Outbound!$E$2:$E$501,MATCH(C207,Outbound!$A$2:$A$501,0)),"Lead ID not found")))</f>
        <v/>
      </c>
      <c r="F207" s="17"/>
      <c r="G207" s="17"/>
      <c r="H207" s="17"/>
      <c r="I207" s="17"/>
      <c r="J207" s="17"/>
      <c r="K207" s="17"/>
      <c r="L207" s="17"/>
      <c r="M207" s="17"/>
      <c r="N207" s="44" t="str">
        <f aca="false">IF(C207="","",COUNTA(H207:M207))</f>
        <v/>
      </c>
      <c r="O207" s="44" t="str">
        <f aca="false">IF(OR(C207="",N(N207)=0),"",SUMIFS(Settings!$AA$2:$AA$21,Settings!$Y$2:$Y$21,"Budget AED 5k+/mo?",Settings!$Z$2:$Z$21,H207)+SUMIFS(Settings!$AA$2:$AA$21,Settings!$Y$2:$Y$21,"Decision-maker?",Settings!$Z$2:$Z$21,I207)+SUMIFS(Settings!$AA$2:$AA$21,Settings!$Y$2:$Y$21,"Someone on camera?",Settings!$Z$2:$Z$21,J207)+SUMIFS(Settings!$AA$2:$AA$21,Settings!$Y$2:$Y$21,"OK with 3-month term?",Settings!$Z$2:$Z$21,K207)+SUMIFS(Settings!$AA$2:$AA$21,Settings!$Y$2:$Y$21,"Start timeline",Settings!$Z$2:$Z$21,L207)+SUMIFS(Settings!$AA$2:$AA$21,Settings!$Y$2:$Y$21,"Social media gap",Settings!$Z$2:$Z$21,M207)+IF(OR(E207="",E207="Lead ID not found"),0,IF(COUNTIF(Settings!$AC$2:$AC$6,E207)&gt;0,Settings!$AA$20,Settings!$AA$21)))</f>
        <v/>
      </c>
      <c r="P207" s="44" t="str">
        <f aca="false">IF(C207="","",IF(N(N207)&lt;6,"Partly scored ("&amp;N207&amp;"/6)",IF(O207&gt;=Settings!$S$8,"Hot",IF(O207&gt;=Settings!$S$9,"Warm","Cold"))))</f>
        <v/>
      </c>
      <c r="Q207" s="44" t="str">
        <f aca="false">IF(C207="","",IF(AND(H207="No",J207="No"),"🚩 Budget  ·  🚩 No one on camera",IF(H207="No","🚩 Budget under AED 5k",IF(J207="No","🚩 No one on camera",""))))</f>
        <v/>
      </c>
      <c r="R207" s="44" t="str">
        <f aca="false">IF(C207="","",IF(N(N207)&lt;6,"Finish the scoresheet before closing",IF(P207="Hot","Close now – send the contract / proposal today",IF(P207="Warm","Send proposal + a relevant result; follow up in 3 days","Rep's call – nurture or close politely")))&amp;IF(Q207&lt;&gt;""," (handle the 🚩 first)",""))</f>
        <v/>
      </c>
      <c r="S207" s="17"/>
      <c r="T207" s="17"/>
      <c r="U207" s="44" t="str">
        <f aca="false">IF(C207="","",IF(COUNTIF(C208:C$501,C207)=0,1,0))</f>
        <v/>
      </c>
    </row>
    <row r="208" customFormat="false" ht="15" hidden="false" customHeight="false" outlineLevel="0" collapsed="false">
      <c r="A208" s="17"/>
      <c r="B208" s="40"/>
      <c r="C208" s="17"/>
      <c r="D208" s="44" t="str">
        <f aca="false">IF(C208="","",IFERROR(INDEX(Inbound!$E$2:$E$501,MATCH(C208,Inbound!$A$2:$A$501,0)),IFERROR(INDEX(Outbound!$D$2:$D$501,MATCH(C208,Outbound!$A$2:$A$501,0)),"Lead ID not found")))</f>
        <v/>
      </c>
      <c r="E208" s="44" t="str">
        <f aca="false">IF(C208="","",IFERROR(INDEX(Inbound!$F$2:$F$501,MATCH(C208,Inbound!$A$2:$A$501,0)),IFERROR(INDEX(Outbound!$E$2:$E$501,MATCH(C208,Outbound!$A$2:$A$501,0)),"Lead ID not found")))</f>
        <v/>
      </c>
      <c r="F208" s="17"/>
      <c r="G208" s="17"/>
      <c r="H208" s="17"/>
      <c r="I208" s="17"/>
      <c r="J208" s="17"/>
      <c r="K208" s="17"/>
      <c r="L208" s="17"/>
      <c r="M208" s="17"/>
      <c r="N208" s="44" t="str">
        <f aca="false">IF(C208="","",COUNTA(H208:M208))</f>
        <v/>
      </c>
      <c r="O208" s="44" t="str">
        <f aca="false">IF(OR(C208="",N(N208)=0),"",SUMIFS(Settings!$AA$2:$AA$21,Settings!$Y$2:$Y$21,"Budget AED 5k+/mo?",Settings!$Z$2:$Z$21,H208)+SUMIFS(Settings!$AA$2:$AA$21,Settings!$Y$2:$Y$21,"Decision-maker?",Settings!$Z$2:$Z$21,I208)+SUMIFS(Settings!$AA$2:$AA$21,Settings!$Y$2:$Y$21,"Someone on camera?",Settings!$Z$2:$Z$21,J208)+SUMIFS(Settings!$AA$2:$AA$21,Settings!$Y$2:$Y$21,"OK with 3-month term?",Settings!$Z$2:$Z$21,K208)+SUMIFS(Settings!$AA$2:$AA$21,Settings!$Y$2:$Y$21,"Start timeline",Settings!$Z$2:$Z$21,L208)+SUMIFS(Settings!$AA$2:$AA$21,Settings!$Y$2:$Y$21,"Social media gap",Settings!$Z$2:$Z$21,M208)+IF(OR(E208="",E208="Lead ID not found"),0,IF(COUNTIF(Settings!$AC$2:$AC$6,E208)&gt;0,Settings!$AA$20,Settings!$AA$21)))</f>
        <v/>
      </c>
      <c r="P208" s="44" t="str">
        <f aca="false">IF(C208="","",IF(N(N208)&lt;6,"Partly scored ("&amp;N208&amp;"/6)",IF(O208&gt;=Settings!$S$8,"Hot",IF(O208&gt;=Settings!$S$9,"Warm","Cold"))))</f>
        <v/>
      </c>
      <c r="Q208" s="44" t="str">
        <f aca="false">IF(C208="","",IF(AND(H208="No",J208="No"),"🚩 Budget  ·  🚩 No one on camera",IF(H208="No","🚩 Budget under AED 5k",IF(J208="No","🚩 No one on camera",""))))</f>
        <v/>
      </c>
      <c r="R208" s="44" t="str">
        <f aca="false">IF(C208="","",IF(N(N208)&lt;6,"Finish the scoresheet before closing",IF(P208="Hot","Close now – send the contract / proposal today",IF(P208="Warm","Send proposal + a relevant result; follow up in 3 days","Rep's call – nurture or close politely")))&amp;IF(Q208&lt;&gt;""," (handle the 🚩 first)",""))</f>
        <v/>
      </c>
      <c r="S208" s="17"/>
      <c r="T208" s="17"/>
      <c r="U208" s="44" t="str">
        <f aca="false">IF(C208="","",IF(COUNTIF(C209:C$501,C208)=0,1,0))</f>
        <v/>
      </c>
    </row>
    <row r="209" customFormat="false" ht="15" hidden="false" customHeight="false" outlineLevel="0" collapsed="false">
      <c r="A209" s="17"/>
      <c r="B209" s="40"/>
      <c r="C209" s="17"/>
      <c r="D209" s="44" t="str">
        <f aca="false">IF(C209="","",IFERROR(INDEX(Inbound!$E$2:$E$501,MATCH(C209,Inbound!$A$2:$A$501,0)),IFERROR(INDEX(Outbound!$D$2:$D$501,MATCH(C209,Outbound!$A$2:$A$501,0)),"Lead ID not found")))</f>
        <v/>
      </c>
      <c r="E209" s="44" t="str">
        <f aca="false">IF(C209="","",IFERROR(INDEX(Inbound!$F$2:$F$501,MATCH(C209,Inbound!$A$2:$A$501,0)),IFERROR(INDEX(Outbound!$E$2:$E$501,MATCH(C209,Outbound!$A$2:$A$501,0)),"Lead ID not found")))</f>
        <v/>
      </c>
      <c r="F209" s="17"/>
      <c r="G209" s="17"/>
      <c r="H209" s="17"/>
      <c r="I209" s="17"/>
      <c r="J209" s="17"/>
      <c r="K209" s="17"/>
      <c r="L209" s="17"/>
      <c r="M209" s="17"/>
      <c r="N209" s="44" t="str">
        <f aca="false">IF(C209="","",COUNTA(H209:M209))</f>
        <v/>
      </c>
      <c r="O209" s="44" t="str">
        <f aca="false">IF(OR(C209="",N(N209)=0),"",SUMIFS(Settings!$AA$2:$AA$21,Settings!$Y$2:$Y$21,"Budget AED 5k+/mo?",Settings!$Z$2:$Z$21,H209)+SUMIFS(Settings!$AA$2:$AA$21,Settings!$Y$2:$Y$21,"Decision-maker?",Settings!$Z$2:$Z$21,I209)+SUMIFS(Settings!$AA$2:$AA$21,Settings!$Y$2:$Y$21,"Someone on camera?",Settings!$Z$2:$Z$21,J209)+SUMIFS(Settings!$AA$2:$AA$21,Settings!$Y$2:$Y$21,"OK with 3-month term?",Settings!$Z$2:$Z$21,K209)+SUMIFS(Settings!$AA$2:$AA$21,Settings!$Y$2:$Y$21,"Start timeline",Settings!$Z$2:$Z$21,L209)+SUMIFS(Settings!$AA$2:$AA$21,Settings!$Y$2:$Y$21,"Social media gap",Settings!$Z$2:$Z$21,M209)+IF(OR(E209="",E209="Lead ID not found"),0,IF(COUNTIF(Settings!$AC$2:$AC$6,E209)&gt;0,Settings!$AA$20,Settings!$AA$21)))</f>
        <v/>
      </c>
      <c r="P209" s="44" t="str">
        <f aca="false">IF(C209="","",IF(N(N209)&lt;6,"Partly scored ("&amp;N209&amp;"/6)",IF(O209&gt;=Settings!$S$8,"Hot",IF(O209&gt;=Settings!$S$9,"Warm","Cold"))))</f>
        <v/>
      </c>
      <c r="Q209" s="44" t="str">
        <f aca="false">IF(C209="","",IF(AND(H209="No",J209="No"),"🚩 Budget  ·  🚩 No one on camera",IF(H209="No","🚩 Budget under AED 5k",IF(J209="No","🚩 No one on camera",""))))</f>
        <v/>
      </c>
      <c r="R209" s="44" t="str">
        <f aca="false">IF(C209="","",IF(N(N209)&lt;6,"Finish the scoresheet before closing",IF(P209="Hot","Close now – send the contract / proposal today",IF(P209="Warm","Send proposal + a relevant result; follow up in 3 days","Rep's call – nurture or close politely")))&amp;IF(Q209&lt;&gt;""," (handle the 🚩 first)",""))</f>
        <v/>
      </c>
      <c r="S209" s="17"/>
      <c r="T209" s="17"/>
      <c r="U209" s="44" t="str">
        <f aca="false">IF(C209="","",IF(COUNTIF(C210:C$501,C209)=0,1,0))</f>
        <v/>
      </c>
    </row>
    <row r="210" customFormat="false" ht="15" hidden="false" customHeight="false" outlineLevel="0" collapsed="false">
      <c r="A210" s="17"/>
      <c r="B210" s="40"/>
      <c r="C210" s="17"/>
      <c r="D210" s="44" t="str">
        <f aca="false">IF(C210="","",IFERROR(INDEX(Inbound!$E$2:$E$501,MATCH(C210,Inbound!$A$2:$A$501,0)),IFERROR(INDEX(Outbound!$D$2:$D$501,MATCH(C210,Outbound!$A$2:$A$501,0)),"Lead ID not found")))</f>
        <v/>
      </c>
      <c r="E210" s="44" t="str">
        <f aca="false">IF(C210="","",IFERROR(INDEX(Inbound!$F$2:$F$501,MATCH(C210,Inbound!$A$2:$A$501,0)),IFERROR(INDEX(Outbound!$E$2:$E$501,MATCH(C210,Outbound!$A$2:$A$501,0)),"Lead ID not found")))</f>
        <v/>
      </c>
      <c r="F210" s="17"/>
      <c r="G210" s="17"/>
      <c r="H210" s="17"/>
      <c r="I210" s="17"/>
      <c r="J210" s="17"/>
      <c r="K210" s="17"/>
      <c r="L210" s="17"/>
      <c r="M210" s="17"/>
      <c r="N210" s="44" t="str">
        <f aca="false">IF(C210="","",COUNTA(H210:M210))</f>
        <v/>
      </c>
      <c r="O210" s="44" t="str">
        <f aca="false">IF(OR(C210="",N(N210)=0),"",SUMIFS(Settings!$AA$2:$AA$21,Settings!$Y$2:$Y$21,"Budget AED 5k+/mo?",Settings!$Z$2:$Z$21,H210)+SUMIFS(Settings!$AA$2:$AA$21,Settings!$Y$2:$Y$21,"Decision-maker?",Settings!$Z$2:$Z$21,I210)+SUMIFS(Settings!$AA$2:$AA$21,Settings!$Y$2:$Y$21,"Someone on camera?",Settings!$Z$2:$Z$21,J210)+SUMIFS(Settings!$AA$2:$AA$21,Settings!$Y$2:$Y$21,"OK with 3-month term?",Settings!$Z$2:$Z$21,K210)+SUMIFS(Settings!$AA$2:$AA$21,Settings!$Y$2:$Y$21,"Start timeline",Settings!$Z$2:$Z$21,L210)+SUMIFS(Settings!$AA$2:$AA$21,Settings!$Y$2:$Y$21,"Social media gap",Settings!$Z$2:$Z$21,M210)+IF(OR(E210="",E210="Lead ID not found"),0,IF(COUNTIF(Settings!$AC$2:$AC$6,E210)&gt;0,Settings!$AA$20,Settings!$AA$21)))</f>
        <v/>
      </c>
      <c r="P210" s="44" t="str">
        <f aca="false">IF(C210="","",IF(N(N210)&lt;6,"Partly scored ("&amp;N210&amp;"/6)",IF(O210&gt;=Settings!$S$8,"Hot",IF(O210&gt;=Settings!$S$9,"Warm","Cold"))))</f>
        <v/>
      </c>
      <c r="Q210" s="44" t="str">
        <f aca="false">IF(C210="","",IF(AND(H210="No",J210="No"),"🚩 Budget  ·  🚩 No one on camera",IF(H210="No","🚩 Budget under AED 5k",IF(J210="No","🚩 No one on camera",""))))</f>
        <v/>
      </c>
      <c r="R210" s="44" t="str">
        <f aca="false">IF(C210="","",IF(N(N210)&lt;6,"Finish the scoresheet before closing",IF(P210="Hot","Close now – send the contract / proposal today",IF(P210="Warm","Send proposal + a relevant result; follow up in 3 days","Rep's call – nurture or close politely")))&amp;IF(Q210&lt;&gt;""," (handle the 🚩 first)",""))</f>
        <v/>
      </c>
      <c r="S210" s="17"/>
      <c r="T210" s="17"/>
      <c r="U210" s="44" t="str">
        <f aca="false">IF(C210="","",IF(COUNTIF(C211:C$501,C210)=0,1,0))</f>
        <v/>
      </c>
    </row>
    <row r="211" customFormat="false" ht="15" hidden="false" customHeight="false" outlineLevel="0" collapsed="false">
      <c r="A211" s="17"/>
      <c r="B211" s="40"/>
      <c r="C211" s="17"/>
      <c r="D211" s="44" t="str">
        <f aca="false">IF(C211="","",IFERROR(INDEX(Inbound!$E$2:$E$501,MATCH(C211,Inbound!$A$2:$A$501,0)),IFERROR(INDEX(Outbound!$D$2:$D$501,MATCH(C211,Outbound!$A$2:$A$501,0)),"Lead ID not found")))</f>
        <v/>
      </c>
      <c r="E211" s="44" t="str">
        <f aca="false">IF(C211="","",IFERROR(INDEX(Inbound!$F$2:$F$501,MATCH(C211,Inbound!$A$2:$A$501,0)),IFERROR(INDEX(Outbound!$E$2:$E$501,MATCH(C211,Outbound!$A$2:$A$501,0)),"Lead ID not found")))</f>
        <v/>
      </c>
      <c r="F211" s="17"/>
      <c r="G211" s="17"/>
      <c r="H211" s="17"/>
      <c r="I211" s="17"/>
      <c r="J211" s="17"/>
      <c r="K211" s="17"/>
      <c r="L211" s="17"/>
      <c r="M211" s="17"/>
      <c r="N211" s="44" t="str">
        <f aca="false">IF(C211="","",COUNTA(H211:M211))</f>
        <v/>
      </c>
      <c r="O211" s="44" t="str">
        <f aca="false">IF(OR(C211="",N(N211)=0),"",SUMIFS(Settings!$AA$2:$AA$21,Settings!$Y$2:$Y$21,"Budget AED 5k+/mo?",Settings!$Z$2:$Z$21,H211)+SUMIFS(Settings!$AA$2:$AA$21,Settings!$Y$2:$Y$21,"Decision-maker?",Settings!$Z$2:$Z$21,I211)+SUMIFS(Settings!$AA$2:$AA$21,Settings!$Y$2:$Y$21,"Someone on camera?",Settings!$Z$2:$Z$21,J211)+SUMIFS(Settings!$AA$2:$AA$21,Settings!$Y$2:$Y$21,"OK with 3-month term?",Settings!$Z$2:$Z$21,K211)+SUMIFS(Settings!$AA$2:$AA$21,Settings!$Y$2:$Y$21,"Start timeline",Settings!$Z$2:$Z$21,L211)+SUMIFS(Settings!$AA$2:$AA$21,Settings!$Y$2:$Y$21,"Social media gap",Settings!$Z$2:$Z$21,M211)+IF(OR(E211="",E211="Lead ID not found"),0,IF(COUNTIF(Settings!$AC$2:$AC$6,E211)&gt;0,Settings!$AA$20,Settings!$AA$21)))</f>
        <v/>
      </c>
      <c r="P211" s="44" t="str">
        <f aca="false">IF(C211="","",IF(N(N211)&lt;6,"Partly scored ("&amp;N211&amp;"/6)",IF(O211&gt;=Settings!$S$8,"Hot",IF(O211&gt;=Settings!$S$9,"Warm","Cold"))))</f>
        <v/>
      </c>
      <c r="Q211" s="44" t="str">
        <f aca="false">IF(C211="","",IF(AND(H211="No",J211="No"),"🚩 Budget  ·  🚩 No one on camera",IF(H211="No","🚩 Budget under AED 5k",IF(J211="No","🚩 No one on camera",""))))</f>
        <v/>
      </c>
      <c r="R211" s="44" t="str">
        <f aca="false">IF(C211="","",IF(N(N211)&lt;6,"Finish the scoresheet before closing",IF(P211="Hot","Close now – send the contract / proposal today",IF(P211="Warm","Send proposal + a relevant result; follow up in 3 days","Rep's call – nurture or close politely")))&amp;IF(Q211&lt;&gt;""," (handle the 🚩 first)",""))</f>
        <v/>
      </c>
      <c r="S211" s="17"/>
      <c r="T211" s="17"/>
      <c r="U211" s="44" t="str">
        <f aca="false">IF(C211="","",IF(COUNTIF(C212:C$501,C211)=0,1,0))</f>
        <v/>
      </c>
    </row>
    <row r="212" customFormat="false" ht="15" hidden="false" customHeight="false" outlineLevel="0" collapsed="false">
      <c r="A212" s="17"/>
      <c r="B212" s="40"/>
      <c r="C212" s="17"/>
      <c r="D212" s="44" t="str">
        <f aca="false">IF(C212="","",IFERROR(INDEX(Inbound!$E$2:$E$501,MATCH(C212,Inbound!$A$2:$A$501,0)),IFERROR(INDEX(Outbound!$D$2:$D$501,MATCH(C212,Outbound!$A$2:$A$501,0)),"Lead ID not found")))</f>
        <v/>
      </c>
      <c r="E212" s="44" t="str">
        <f aca="false">IF(C212="","",IFERROR(INDEX(Inbound!$F$2:$F$501,MATCH(C212,Inbound!$A$2:$A$501,0)),IFERROR(INDEX(Outbound!$E$2:$E$501,MATCH(C212,Outbound!$A$2:$A$501,0)),"Lead ID not found")))</f>
        <v/>
      </c>
      <c r="F212" s="17"/>
      <c r="G212" s="17"/>
      <c r="H212" s="17"/>
      <c r="I212" s="17"/>
      <c r="J212" s="17"/>
      <c r="K212" s="17"/>
      <c r="L212" s="17"/>
      <c r="M212" s="17"/>
      <c r="N212" s="44" t="str">
        <f aca="false">IF(C212="","",COUNTA(H212:M212))</f>
        <v/>
      </c>
      <c r="O212" s="44" t="str">
        <f aca="false">IF(OR(C212="",N(N212)=0),"",SUMIFS(Settings!$AA$2:$AA$21,Settings!$Y$2:$Y$21,"Budget AED 5k+/mo?",Settings!$Z$2:$Z$21,H212)+SUMIFS(Settings!$AA$2:$AA$21,Settings!$Y$2:$Y$21,"Decision-maker?",Settings!$Z$2:$Z$21,I212)+SUMIFS(Settings!$AA$2:$AA$21,Settings!$Y$2:$Y$21,"Someone on camera?",Settings!$Z$2:$Z$21,J212)+SUMIFS(Settings!$AA$2:$AA$21,Settings!$Y$2:$Y$21,"OK with 3-month term?",Settings!$Z$2:$Z$21,K212)+SUMIFS(Settings!$AA$2:$AA$21,Settings!$Y$2:$Y$21,"Start timeline",Settings!$Z$2:$Z$21,L212)+SUMIFS(Settings!$AA$2:$AA$21,Settings!$Y$2:$Y$21,"Social media gap",Settings!$Z$2:$Z$21,M212)+IF(OR(E212="",E212="Lead ID not found"),0,IF(COUNTIF(Settings!$AC$2:$AC$6,E212)&gt;0,Settings!$AA$20,Settings!$AA$21)))</f>
        <v/>
      </c>
      <c r="P212" s="44" t="str">
        <f aca="false">IF(C212="","",IF(N(N212)&lt;6,"Partly scored ("&amp;N212&amp;"/6)",IF(O212&gt;=Settings!$S$8,"Hot",IF(O212&gt;=Settings!$S$9,"Warm","Cold"))))</f>
        <v/>
      </c>
      <c r="Q212" s="44" t="str">
        <f aca="false">IF(C212="","",IF(AND(H212="No",J212="No"),"🚩 Budget  ·  🚩 No one on camera",IF(H212="No","🚩 Budget under AED 5k",IF(J212="No","🚩 No one on camera",""))))</f>
        <v/>
      </c>
      <c r="R212" s="44" t="str">
        <f aca="false">IF(C212="","",IF(N(N212)&lt;6,"Finish the scoresheet before closing",IF(P212="Hot","Close now – send the contract / proposal today",IF(P212="Warm","Send proposal + a relevant result; follow up in 3 days","Rep's call – nurture or close politely")))&amp;IF(Q212&lt;&gt;""," (handle the 🚩 first)",""))</f>
        <v/>
      </c>
      <c r="S212" s="17"/>
      <c r="T212" s="17"/>
      <c r="U212" s="44" t="str">
        <f aca="false">IF(C212="","",IF(COUNTIF(C213:C$501,C212)=0,1,0))</f>
        <v/>
      </c>
    </row>
    <row r="213" customFormat="false" ht="15" hidden="false" customHeight="false" outlineLevel="0" collapsed="false">
      <c r="A213" s="17"/>
      <c r="B213" s="40"/>
      <c r="C213" s="17"/>
      <c r="D213" s="44" t="str">
        <f aca="false">IF(C213="","",IFERROR(INDEX(Inbound!$E$2:$E$501,MATCH(C213,Inbound!$A$2:$A$501,0)),IFERROR(INDEX(Outbound!$D$2:$D$501,MATCH(C213,Outbound!$A$2:$A$501,0)),"Lead ID not found")))</f>
        <v/>
      </c>
      <c r="E213" s="44" t="str">
        <f aca="false">IF(C213="","",IFERROR(INDEX(Inbound!$F$2:$F$501,MATCH(C213,Inbound!$A$2:$A$501,0)),IFERROR(INDEX(Outbound!$E$2:$E$501,MATCH(C213,Outbound!$A$2:$A$501,0)),"Lead ID not found")))</f>
        <v/>
      </c>
      <c r="F213" s="17"/>
      <c r="G213" s="17"/>
      <c r="H213" s="17"/>
      <c r="I213" s="17"/>
      <c r="J213" s="17"/>
      <c r="K213" s="17"/>
      <c r="L213" s="17"/>
      <c r="M213" s="17"/>
      <c r="N213" s="44" t="str">
        <f aca="false">IF(C213="","",COUNTA(H213:M213))</f>
        <v/>
      </c>
      <c r="O213" s="44" t="str">
        <f aca="false">IF(OR(C213="",N(N213)=0),"",SUMIFS(Settings!$AA$2:$AA$21,Settings!$Y$2:$Y$21,"Budget AED 5k+/mo?",Settings!$Z$2:$Z$21,H213)+SUMIFS(Settings!$AA$2:$AA$21,Settings!$Y$2:$Y$21,"Decision-maker?",Settings!$Z$2:$Z$21,I213)+SUMIFS(Settings!$AA$2:$AA$21,Settings!$Y$2:$Y$21,"Someone on camera?",Settings!$Z$2:$Z$21,J213)+SUMIFS(Settings!$AA$2:$AA$21,Settings!$Y$2:$Y$21,"OK with 3-month term?",Settings!$Z$2:$Z$21,K213)+SUMIFS(Settings!$AA$2:$AA$21,Settings!$Y$2:$Y$21,"Start timeline",Settings!$Z$2:$Z$21,L213)+SUMIFS(Settings!$AA$2:$AA$21,Settings!$Y$2:$Y$21,"Social media gap",Settings!$Z$2:$Z$21,M213)+IF(OR(E213="",E213="Lead ID not found"),0,IF(COUNTIF(Settings!$AC$2:$AC$6,E213)&gt;0,Settings!$AA$20,Settings!$AA$21)))</f>
        <v/>
      </c>
      <c r="P213" s="44" t="str">
        <f aca="false">IF(C213="","",IF(N(N213)&lt;6,"Partly scored ("&amp;N213&amp;"/6)",IF(O213&gt;=Settings!$S$8,"Hot",IF(O213&gt;=Settings!$S$9,"Warm","Cold"))))</f>
        <v/>
      </c>
      <c r="Q213" s="44" t="str">
        <f aca="false">IF(C213="","",IF(AND(H213="No",J213="No"),"🚩 Budget  ·  🚩 No one on camera",IF(H213="No","🚩 Budget under AED 5k",IF(J213="No","🚩 No one on camera",""))))</f>
        <v/>
      </c>
      <c r="R213" s="44" t="str">
        <f aca="false">IF(C213="","",IF(N(N213)&lt;6,"Finish the scoresheet before closing",IF(P213="Hot","Close now – send the contract / proposal today",IF(P213="Warm","Send proposal + a relevant result; follow up in 3 days","Rep's call – nurture or close politely")))&amp;IF(Q213&lt;&gt;""," (handle the 🚩 first)",""))</f>
        <v/>
      </c>
      <c r="S213" s="17"/>
      <c r="T213" s="17"/>
      <c r="U213" s="44" t="str">
        <f aca="false">IF(C213="","",IF(COUNTIF(C214:C$501,C213)=0,1,0))</f>
        <v/>
      </c>
    </row>
    <row r="214" customFormat="false" ht="15" hidden="false" customHeight="false" outlineLevel="0" collapsed="false">
      <c r="A214" s="17"/>
      <c r="B214" s="40"/>
      <c r="C214" s="17"/>
      <c r="D214" s="44" t="str">
        <f aca="false">IF(C214="","",IFERROR(INDEX(Inbound!$E$2:$E$501,MATCH(C214,Inbound!$A$2:$A$501,0)),IFERROR(INDEX(Outbound!$D$2:$D$501,MATCH(C214,Outbound!$A$2:$A$501,0)),"Lead ID not found")))</f>
        <v/>
      </c>
      <c r="E214" s="44" t="str">
        <f aca="false">IF(C214="","",IFERROR(INDEX(Inbound!$F$2:$F$501,MATCH(C214,Inbound!$A$2:$A$501,0)),IFERROR(INDEX(Outbound!$E$2:$E$501,MATCH(C214,Outbound!$A$2:$A$501,0)),"Lead ID not found")))</f>
        <v/>
      </c>
      <c r="F214" s="17"/>
      <c r="G214" s="17"/>
      <c r="H214" s="17"/>
      <c r="I214" s="17"/>
      <c r="J214" s="17"/>
      <c r="K214" s="17"/>
      <c r="L214" s="17"/>
      <c r="M214" s="17"/>
      <c r="N214" s="44" t="str">
        <f aca="false">IF(C214="","",COUNTA(H214:M214))</f>
        <v/>
      </c>
      <c r="O214" s="44" t="str">
        <f aca="false">IF(OR(C214="",N(N214)=0),"",SUMIFS(Settings!$AA$2:$AA$21,Settings!$Y$2:$Y$21,"Budget AED 5k+/mo?",Settings!$Z$2:$Z$21,H214)+SUMIFS(Settings!$AA$2:$AA$21,Settings!$Y$2:$Y$21,"Decision-maker?",Settings!$Z$2:$Z$21,I214)+SUMIFS(Settings!$AA$2:$AA$21,Settings!$Y$2:$Y$21,"Someone on camera?",Settings!$Z$2:$Z$21,J214)+SUMIFS(Settings!$AA$2:$AA$21,Settings!$Y$2:$Y$21,"OK with 3-month term?",Settings!$Z$2:$Z$21,K214)+SUMIFS(Settings!$AA$2:$AA$21,Settings!$Y$2:$Y$21,"Start timeline",Settings!$Z$2:$Z$21,L214)+SUMIFS(Settings!$AA$2:$AA$21,Settings!$Y$2:$Y$21,"Social media gap",Settings!$Z$2:$Z$21,M214)+IF(OR(E214="",E214="Lead ID not found"),0,IF(COUNTIF(Settings!$AC$2:$AC$6,E214)&gt;0,Settings!$AA$20,Settings!$AA$21)))</f>
        <v/>
      </c>
      <c r="P214" s="44" t="str">
        <f aca="false">IF(C214="","",IF(N(N214)&lt;6,"Partly scored ("&amp;N214&amp;"/6)",IF(O214&gt;=Settings!$S$8,"Hot",IF(O214&gt;=Settings!$S$9,"Warm","Cold"))))</f>
        <v/>
      </c>
      <c r="Q214" s="44" t="str">
        <f aca="false">IF(C214="","",IF(AND(H214="No",J214="No"),"🚩 Budget  ·  🚩 No one on camera",IF(H214="No","🚩 Budget under AED 5k",IF(J214="No","🚩 No one on camera",""))))</f>
        <v/>
      </c>
      <c r="R214" s="44" t="str">
        <f aca="false">IF(C214="","",IF(N(N214)&lt;6,"Finish the scoresheet before closing",IF(P214="Hot","Close now – send the contract / proposal today",IF(P214="Warm","Send proposal + a relevant result; follow up in 3 days","Rep's call – nurture or close politely")))&amp;IF(Q214&lt;&gt;""," (handle the 🚩 first)",""))</f>
        <v/>
      </c>
      <c r="S214" s="17"/>
      <c r="T214" s="17"/>
      <c r="U214" s="44" t="str">
        <f aca="false">IF(C214="","",IF(COUNTIF(C215:C$501,C214)=0,1,0))</f>
        <v/>
      </c>
    </row>
    <row r="215" customFormat="false" ht="15" hidden="false" customHeight="false" outlineLevel="0" collapsed="false">
      <c r="A215" s="17"/>
      <c r="B215" s="40"/>
      <c r="C215" s="17"/>
      <c r="D215" s="44" t="str">
        <f aca="false">IF(C215="","",IFERROR(INDEX(Inbound!$E$2:$E$501,MATCH(C215,Inbound!$A$2:$A$501,0)),IFERROR(INDEX(Outbound!$D$2:$D$501,MATCH(C215,Outbound!$A$2:$A$501,0)),"Lead ID not found")))</f>
        <v/>
      </c>
      <c r="E215" s="44" t="str">
        <f aca="false">IF(C215="","",IFERROR(INDEX(Inbound!$F$2:$F$501,MATCH(C215,Inbound!$A$2:$A$501,0)),IFERROR(INDEX(Outbound!$E$2:$E$501,MATCH(C215,Outbound!$A$2:$A$501,0)),"Lead ID not found")))</f>
        <v/>
      </c>
      <c r="F215" s="17"/>
      <c r="G215" s="17"/>
      <c r="H215" s="17"/>
      <c r="I215" s="17"/>
      <c r="J215" s="17"/>
      <c r="K215" s="17"/>
      <c r="L215" s="17"/>
      <c r="M215" s="17"/>
      <c r="N215" s="44" t="str">
        <f aca="false">IF(C215="","",COUNTA(H215:M215))</f>
        <v/>
      </c>
      <c r="O215" s="44" t="str">
        <f aca="false">IF(OR(C215="",N(N215)=0),"",SUMIFS(Settings!$AA$2:$AA$21,Settings!$Y$2:$Y$21,"Budget AED 5k+/mo?",Settings!$Z$2:$Z$21,H215)+SUMIFS(Settings!$AA$2:$AA$21,Settings!$Y$2:$Y$21,"Decision-maker?",Settings!$Z$2:$Z$21,I215)+SUMIFS(Settings!$AA$2:$AA$21,Settings!$Y$2:$Y$21,"Someone on camera?",Settings!$Z$2:$Z$21,J215)+SUMIFS(Settings!$AA$2:$AA$21,Settings!$Y$2:$Y$21,"OK with 3-month term?",Settings!$Z$2:$Z$21,K215)+SUMIFS(Settings!$AA$2:$AA$21,Settings!$Y$2:$Y$21,"Start timeline",Settings!$Z$2:$Z$21,L215)+SUMIFS(Settings!$AA$2:$AA$21,Settings!$Y$2:$Y$21,"Social media gap",Settings!$Z$2:$Z$21,M215)+IF(OR(E215="",E215="Lead ID not found"),0,IF(COUNTIF(Settings!$AC$2:$AC$6,E215)&gt;0,Settings!$AA$20,Settings!$AA$21)))</f>
        <v/>
      </c>
      <c r="P215" s="44" t="str">
        <f aca="false">IF(C215="","",IF(N(N215)&lt;6,"Partly scored ("&amp;N215&amp;"/6)",IF(O215&gt;=Settings!$S$8,"Hot",IF(O215&gt;=Settings!$S$9,"Warm","Cold"))))</f>
        <v/>
      </c>
      <c r="Q215" s="44" t="str">
        <f aca="false">IF(C215="","",IF(AND(H215="No",J215="No"),"🚩 Budget  ·  🚩 No one on camera",IF(H215="No","🚩 Budget under AED 5k",IF(J215="No","🚩 No one on camera",""))))</f>
        <v/>
      </c>
      <c r="R215" s="44" t="str">
        <f aca="false">IF(C215="","",IF(N(N215)&lt;6,"Finish the scoresheet before closing",IF(P215="Hot","Close now – send the contract / proposal today",IF(P215="Warm","Send proposal + a relevant result; follow up in 3 days","Rep's call – nurture or close politely")))&amp;IF(Q215&lt;&gt;""," (handle the 🚩 first)",""))</f>
        <v/>
      </c>
      <c r="S215" s="17"/>
      <c r="T215" s="17"/>
      <c r="U215" s="44" t="str">
        <f aca="false">IF(C215="","",IF(COUNTIF(C216:C$501,C215)=0,1,0))</f>
        <v/>
      </c>
    </row>
    <row r="216" customFormat="false" ht="15" hidden="false" customHeight="false" outlineLevel="0" collapsed="false">
      <c r="A216" s="17"/>
      <c r="B216" s="40"/>
      <c r="C216" s="17"/>
      <c r="D216" s="44" t="str">
        <f aca="false">IF(C216="","",IFERROR(INDEX(Inbound!$E$2:$E$501,MATCH(C216,Inbound!$A$2:$A$501,0)),IFERROR(INDEX(Outbound!$D$2:$D$501,MATCH(C216,Outbound!$A$2:$A$501,0)),"Lead ID not found")))</f>
        <v/>
      </c>
      <c r="E216" s="44" t="str">
        <f aca="false">IF(C216="","",IFERROR(INDEX(Inbound!$F$2:$F$501,MATCH(C216,Inbound!$A$2:$A$501,0)),IFERROR(INDEX(Outbound!$E$2:$E$501,MATCH(C216,Outbound!$A$2:$A$501,0)),"Lead ID not found")))</f>
        <v/>
      </c>
      <c r="F216" s="17"/>
      <c r="G216" s="17"/>
      <c r="H216" s="17"/>
      <c r="I216" s="17"/>
      <c r="J216" s="17"/>
      <c r="K216" s="17"/>
      <c r="L216" s="17"/>
      <c r="M216" s="17"/>
      <c r="N216" s="44" t="str">
        <f aca="false">IF(C216="","",COUNTA(H216:M216))</f>
        <v/>
      </c>
      <c r="O216" s="44" t="str">
        <f aca="false">IF(OR(C216="",N(N216)=0),"",SUMIFS(Settings!$AA$2:$AA$21,Settings!$Y$2:$Y$21,"Budget AED 5k+/mo?",Settings!$Z$2:$Z$21,H216)+SUMIFS(Settings!$AA$2:$AA$21,Settings!$Y$2:$Y$21,"Decision-maker?",Settings!$Z$2:$Z$21,I216)+SUMIFS(Settings!$AA$2:$AA$21,Settings!$Y$2:$Y$21,"Someone on camera?",Settings!$Z$2:$Z$21,J216)+SUMIFS(Settings!$AA$2:$AA$21,Settings!$Y$2:$Y$21,"OK with 3-month term?",Settings!$Z$2:$Z$21,K216)+SUMIFS(Settings!$AA$2:$AA$21,Settings!$Y$2:$Y$21,"Start timeline",Settings!$Z$2:$Z$21,L216)+SUMIFS(Settings!$AA$2:$AA$21,Settings!$Y$2:$Y$21,"Social media gap",Settings!$Z$2:$Z$21,M216)+IF(OR(E216="",E216="Lead ID not found"),0,IF(COUNTIF(Settings!$AC$2:$AC$6,E216)&gt;0,Settings!$AA$20,Settings!$AA$21)))</f>
        <v/>
      </c>
      <c r="P216" s="44" t="str">
        <f aca="false">IF(C216="","",IF(N(N216)&lt;6,"Partly scored ("&amp;N216&amp;"/6)",IF(O216&gt;=Settings!$S$8,"Hot",IF(O216&gt;=Settings!$S$9,"Warm","Cold"))))</f>
        <v/>
      </c>
      <c r="Q216" s="44" t="str">
        <f aca="false">IF(C216="","",IF(AND(H216="No",J216="No"),"🚩 Budget  ·  🚩 No one on camera",IF(H216="No","🚩 Budget under AED 5k",IF(J216="No","🚩 No one on camera",""))))</f>
        <v/>
      </c>
      <c r="R216" s="44" t="str">
        <f aca="false">IF(C216="","",IF(N(N216)&lt;6,"Finish the scoresheet before closing",IF(P216="Hot","Close now – send the contract / proposal today",IF(P216="Warm","Send proposal + a relevant result; follow up in 3 days","Rep's call – nurture or close politely")))&amp;IF(Q216&lt;&gt;""," (handle the 🚩 first)",""))</f>
        <v/>
      </c>
      <c r="S216" s="17"/>
      <c r="T216" s="17"/>
      <c r="U216" s="44" t="str">
        <f aca="false">IF(C216="","",IF(COUNTIF(C217:C$501,C216)=0,1,0))</f>
        <v/>
      </c>
    </row>
    <row r="217" customFormat="false" ht="15" hidden="false" customHeight="false" outlineLevel="0" collapsed="false">
      <c r="A217" s="17"/>
      <c r="B217" s="40"/>
      <c r="C217" s="17"/>
      <c r="D217" s="44" t="str">
        <f aca="false">IF(C217="","",IFERROR(INDEX(Inbound!$E$2:$E$501,MATCH(C217,Inbound!$A$2:$A$501,0)),IFERROR(INDEX(Outbound!$D$2:$D$501,MATCH(C217,Outbound!$A$2:$A$501,0)),"Lead ID not found")))</f>
        <v/>
      </c>
      <c r="E217" s="44" t="str">
        <f aca="false">IF(C217="","",IFERROR(INDEX(Inbound!$F$2:$F$501,MATCH(C217,Inbound!$A$2:$A$501,0)),IFERROR(INDEX(Outbound!$E$2:$E$501,MATCH(C217,Outbound!$A$2:$A$501,0)),"Lead ID not found")))</f>
        <v/>
      </c>
      <c r="F217" s="17"/>
      <c r="G217" s="17"/>
      <c r="H217" s="17"/>
      <c r="I217" s="17"/>
      <c r="J217" s="17"/>
      <c r="K217" s="17"/>
      <c r="L217" s="17"/>
      <c r="M217" s="17"/>
      <c r="N217" s="44" t="str">
        <f aca="false">IF(C217="","",COUNTA(H217:M217))</f>
        <v/>
      </c>
      <c r="O217" s="44" t="str">
        <f aca="false">IF(OR(C217="",N(N217)=0),"",SUMIFS(Settings!$AA$2:$AA$21,Settings!$Y$2:$Y$21,"Budget AED 5k+/mo?",Settings!$Z$2:$Z$21,H217)+SUMIFS(Settings!$AA$2:$AA$21,Settings!$Y$2:$Y$21,"Decision-maker?",Settings!$Z$2:$Z$21,I217)+SUMIFS(Settings!$AA$2:$AA$21,Settings!$Y$2:$Y$21,"Someone on camera?",Settings!$Z$2:$Z$21,J217)+SUMIFS(Settings!$AA$2:$AA$21,Settings!$Y$2:$Y$21,"OK with 3-month term?",Settings!$Z$2:$Z$21,K217)+SUMIFS(Settings!$AA$2:$AA$21,Settings!$Y$2:$Y$21,"Start timeline",Settings!$Z$2:$Z$21,L217)+SUMIFS(Settings!$AA$2:$AA$21,Settings!$Y$2:$Y$21,"Social media gap",Settings!$Z$2:$Z$21,M217)+IF(OR(E217="",E217="Lead ID not found"),0,IF(COUNTIF(Settings!$AC$2:$AC$6,E217)&gt;0,Settings!$AA$20,Settings!$AA$21)))</f>
        <v/>
      </c>
      <c r="P217" s="44" t="str">
        <f aca="false">IF(C217="","",IF(N(N217)&lt;6,"Partly scored ("&amp;N217&amp;"/6)",IF(O217&gt;=Settings!$S$8,"Hot",IF(O217&gt;=Settings!$S$9,"Warm","Cold"))))</f>
        <v/>
      </c>
      <c r="Q217" s="44" t="str">
        <f aca="false">IF(C217="","",IF(AND(H217="No",J217="No"),"🚩 Budget  ·  🚩 No one on camera",IF(H217="No","🚩 Budget under AED 5k",IF(J217="No","🚩 No one on camera",""))))</f>
        <v/>
      </c>
      <c r="R217" s="44" t="str">
        <f aca="false">IF(C217="","",IF(N(N217)&lt;6,"Finish the scoresheet before closing",IF(P217="Hot","Close now – send the contract / proposal today",IF(P217="Warm","Send proposal + a relevant result; follow up in 3 days","Rep's call – nurture or close politely")))&amp;IF(Q217&lt;&gt;""," (handle the 🚩 first)",""))</f>
        <v/>
      </c>
      <c r="S217" s="17"/>
      <c r="T217" s="17"/>
      <c r="U217" s="44" t="str">
        <f aca="false">IF(C217="","",IF(COUNTIF(C218:C$501,C217)=0,1,0))</f>
        <v/>
      </c>
    </row>
    <row r="218" customFormat="false" ht="15" hidden="false" customHeight="false" outlineLevel="0" collapsed="false">
      <c r="A218" s="17"/>
      <c r="B218" s="40"/>
      <c r="C218" s="17"/>
      <c r="D218" s="44" t="str">
        <f aca="false">IF(C218="","",IFERROR(INDEX(Inbound!$E$2:$E$501,MATCH(C218,Inbound!$A$2:$A$501,0)),IFERROR(INDEX(Outbound!$D$2:$D$501,MATCH(C218,Outbound!$A$2:$A$501,0)),"Lead ID not found")))</f>
        <v/>
      </c>
      <c r="E218" s="44" t="str">
        <f aca="false">IF(C218="","",IFERROR(INDEX(Inbound!$F$2:$F$501,MATCH(C218,Inbound!$A$2:$A$501,0)),IFERROR(INDEX(Outbound!$E$2:$E$501,MATCH(C218,Outbound!$A$2:$A$501,0)),"Lead ID not found")))</f>
        <v/>
      </c>
      <c r="F218" s="17"/>
      <c r="G218" s="17"/>
      <c r="H218" s="17"/>
      <c r="I218" s="17"/>
      <c r="J218" s="17"/>
      <c r="K218" s="17"/>
      <c r="L218" s="17"/>
      <c r="M218" s="17"/>
      <c r="N218" s="44" t="str">
        <f aca="false">IF(C218="","",COUNTA(H218:M218))</f>
        <v/>
      </c>
      <c r="O218" s="44" t="str">
        <f aca="false">IF(OR(C218="",N(N218)=0),"",SUMIFS(Settings!$AA$2:$AA$21,Settings!$Y$2:$Y$21,"Budget AED 5k+/mo?",Settings!$Z$2:$Z$21,H218)+SUMIFS(Settings!$AA$2:$AA$21,Settings!$Y$2:$Y$21,"Decision-maker?",Settings!$Z$2:$Z$21,I218)+SUMIFS(Settings!$AA$2:$AA$21,Settings!$Y$2:$Y$21,"Someone on camera?",Settings!$Z$2:$Z$21,J218)+SUMIFS(Settings!$AA$2:$AA$21,Settings!$Y$2:$Y$21,"OK with 3-month term?",Settings!$Z$2:$Z$21,K218)+SUMIFS(Settings!$AA$2:$AA$21,Settings!$Y$2:$Y$21,"Start timeline",Settings!$Z$2:$Z$21,L218)+SUMIFS(Settings!$AA$2:$AA$21,Settings!$Y$2:$Y$21,"Social media gap",Settings!$Z$2:$Z$21,M218)+IF(OR(E218="",E218="Lead ID not found"),0,IF(COUNTIF(Settings!$AC$2:$AC$6,E218)&gt;0,Settings!$AA$20,Settings!$AA$21)))</f>
        <v/>
      </c>
      <c r="P218" s="44" t="str">
        <f aca="false">IF(C218="","",IF(N(N218)&lt;6,"Partly scored ("&amp;N218&amp;"/6)",IF(O218&gt;=Settings!$S$8,"Hot",IF(O218&gt;=Settings!$S$9,"Warm","Cold"))))</f>
        <v/>
      </c>
      <c r="Q218" s="44" t="str">
        <f aca="false">IF(C218="","",IF(AND(H218="No",J218="No"),"🚩 Budget  ·  🚩 No one on camera",IF(H218="No","🚩 Budget under AED 5k",IF(J218="No","🚩 No one on camera",""))))</f>
        <v/>
      </c>
      <c r="R218" s="44" t="str">
        <f aca="false">IF(C218="","",IF(N(N218)&lt;6,"Finish the scoresheet before closing",IF(P218="Hot","Close now – send the contract / proposal today",IF(P218="Warm","Send proposal + a relevant result; follow up in 3 days","Rep's call – nurture or close politely")))&amp;IF(Q218&lt;&gt;""," (handle the 🚩 first)",""))</f>
        <v/>
      </c>
      <c r="S218" s="17"/>
      <c r="T218" s="17"/>
      <c r="U218" s="44" t="str">
        <f aca="false">IF(C218="","",IF(COUNTIF(C219:C$501,C218)=0,1,0))</f>
        <v/>
      </c>
    </row>
    <row r="219" customFormat="false" ht="15" hidden="false" customHeight="false" outlineLevel="0" collapsed="false">
      <c r="A219" s="17"/>
      <c r="B219" s="40"/>
      <c r="C219" s="17"/>
      <c r="D219" s="44" t="str">
        <f aca="false">IF(C219="","",IFERROR(INDEX(Inbound!$E$2:$E$501,MATCH(C219,Inbound!$A$2:$A$501,0)),IFERROR(INDEX(Outbound!$D$2:$D$501,MATCH(C219,Outbound!$A$2:$A$501,0)),"Lead ID not found")))</f>
        <v/>
      </c>
      <c r="E219" s="44" t="str">
        <f aca="false">IF(C219="","",IFERROR(INDEX(Inbound!$F$2:$F$501,MATCH(C219,Inbound!$A$2:$A$501,0)),IFERROR(INDEX(Outbound!$E$2:$E$501,MATCH(C219,Outbound!$A$2:$A$501,0)),"Lead ID not found")))</f>
        <v/>
      </c>
      <c r="F219" s="17"/>
      <c r="G219" s="17"/>
      <c r="H219" s="17"/>
      <c r="I219" s="17"/>
      <c r="J219" s="17"/>
      <c r="K219" s="17"/>
      <c r="L219" s="17"/>
      <c r="M219" s="17"/>
      <c r="N219" s="44" t="str">
        <f aca="false">IF(C219="","",COUNTA(H219:M219))</f>
        <v/>
      </c>
      <c r="O219" s="44" t="str">
        <f aca="false">IF(OR(C219="",N(N219)=0),"",SUMIFS(Settings!$AA$2:$AA$21,Settings!$Y$2:$Y$21,"Budget AED 5k+/mo?",Settings!$Z$2:$Z$21,H219)+SUMIFS(Settings!$AA$2:$AA$21,Settings!$Y$2:$Y$21,"Decision-maker?",Settings!$Z$2:$Z$21,I219)+SUMIFS(Settings!$AA$2:$AA$21,Settings!$Y$2:$Y$21,"Someone on camera?",Settings!$Z$2:$Z$21,J219)+SUMIFS(Settings!$AA$2:$AA$21,Settings!$Y$2:$Y$21,"OK with 3-month term?",Settings!$Z$2:$Z$21,K219)+SUMIFS(Settings!$AA$2:$AA$21,Settings!$Y$2:$Y$21,"Start timeline",Settings!$Z$2:$Z$21,L219)+SUMIFS(Settings!$AA$2:$AA$21,Settings!$Y$2:$Y$21,"Social media gap",Settings!$Z$2:$Z$21,M219)+IF(OR(E219="",E219="Lead ID not found"),0,IF(COUNTIF(Settings!$AC$2:$AC$6,E219)&gt;0,Settings!$AA$20,Settings!$AA$21)))</f>
        <v/>
      </c>
      <c r="P219" s="44" t="str">
        <f aca="false">IF(C219="","",IF(N(N219)&lt;6,"Partly scored ("&amp;N219&amp;"/6)",IF(O219&gt;=Settings!$S$8,"Hot",IF(O219&gt;=Settings!$S$9,"Warm","Cold"))))</f>
        <v/>
      </c>
      <c r="Q219" s="44" t="str">
        <f aca="false">IF(C219="","",IF(AND(H219="No",J219="No"),"🚩 Budget  ·  🚩 No one on camera",IF(H219="No","🚩 Budget under AED 5k",IF(J219="No","🚩 No one on camera",""))))</f>
        <v/>
      </c>
      <c r="R219" s="44" t="str">
        <f aca="false">IF(C219="","",IF(N(N219)&lt;6,"Finish the scoresheet before closing",IF(P219="Hot","Close now – send the contract / proposal today",IF(P219="Warm","Send proposal + a relevant result; follow up in 3 days","Rep's call – nurture or close politely")))&amp;IF(Q219&lt;&gt;""," (handle the 🚩 first)",""))</f>
        <v/>
      </c>
      <c r="S219" s="17"/>
      <c r="T219" s="17"/>
      <c r="U219" s="44" t="str">
        <f aca="false">IF(C219="","",IF(COUNTIF(C220:C$501,C219)=0,1,0))</f>
        <v/>
      </c>
    </row>
    <row r="220" customFormat="false" ht="15" hidden="false" customHeight="false" outlineLevel="0" collapsed="false">
      <c r="A220" s="17"/>
      <c r="B220" s="40"/>
      <c r="C220" s="17"/>
      <c r="D220" s="44" t="str">
        <f aca="false">IF(C220="","",IFERROR(INDEX(Inbound!$E$2:$E$501,MATCH(C220,Inbound!$A$2:$A$501,0)),IFERROR(INDEX(Outbound!$D$2:$D$501,MATCH(C220,Outbound!$A$2:$A$501,0)),"Lead ID not found")))</f>
        <v/>
      </c>
      <c r="E220" s="44" t="str">
        <f aca="false">IF(C220="","",IFERROR(INDEX(Inbound!$F$2:$F$501,MATCH(C220,Inbound!$A$2:$A$501,0)),IFERROR(INDEX(Outbound!$E$2:$E$501,MATCH(C220,Outbound!$A$2:$A$501,0)),"Lead ID not found")))</f>
        <v/>
      </c>
      <c r="F220" s="17"/>
      <c r="G220" s="17"/>
      <c r="H220" s="17"/>
      <c r="I220" s="17"/>
      <c r="J220" s="17"/>
      <c r="K220" s="17"/>
      <c r="L220" s="17"/>
      <c r="M220" s="17"/>
      <c r="N220" s="44" t="str">
        <f aca="false">IF(C220="","",COUNTA(H220:M220))</f>
        <v/>
      </c>
      <c r="O220" s="44" t="str">
        <f aca="false">IF(OR(C220="",N(N220)=0),"",SUMIFS(Settings!$AA$2:$AA$21,Settings!$Y$2:$Y$21,"Budget AED 5k+/mo?",Settings!$Z$2:$Z$21,H220)+SUMIFS(Settings!$AA$2:$AA$21,Settings!$Y$2:$Y$21,"Decision-maker?",Settings!$Z$2:$Z$21,I220)+SUMIFS(Settings!$AA$2:$AA$21,Settings!$Y$2:$Y$21,"Someone on camera?",Settings!$Z$2:$Z$21,J220)+SUMIFS(Settings!$AA$2:$AA$21,Settings!$Y$2:$Y$21,"OK with 3-month term?",Settings!$Z$2:$Z$21,K220)+SUMIFS(Settings!$AA$2:$AA$21,Settings!$Y$2:$Y$21,"Start timeline",Settings!$Z$2:$Z$21,L220)+SUMIFS(Settings!$AA$2:$AA$21,Settings!$Y$2:$Y$21,"Social media gap",Settings!$Z$2:$Z$21,M220)+IF(OR(E220="",E220="Lead ID not found"),0,IF(COUNTIF(Settings!$AC$2:$AC$6,E220)&gt;0,Settings!$AA$20,Settings!$AA$21)))</f>
        <v/>
      </c>
      <c r="P220" s="44" t="str">
        <f aca="false">IF(C220="","",IF(N(N220)&lt;6,"Partly scored ("&amp;N220&amp;"/6)",IF(O220&gt;=Settings!$S$8,"Hot",IF(O220&gt;=Settings!$S$9,"Warm","Cold"))))</f>
        <v/>
      </c>
      <c r="Q220" s="44" t="str">
        <f aca="false">IF(C220="","",IF(AND(H220="No",J220="No"),"🚩 Budget  ·  🚩 No one on camera",IF(H220="No","🚩 Budget under AED 5k",IF(J220="No","🚩 No one on camera",""))))</f>
        <v/>
      </c>
      <c r="R220" s="44" t="str">
        <f aca="false">IF(C220="","",IF(N(N220)&lt;6,"Finish the scoresheet before closing",IF(P220="Hot","Close now – send the contract / proposal today",IF(P220="Warm","Send proposal + a relevant result; follow up in 3 days","Rep's call – nurture or close politely")))&amp;IF(Q220&lt;&gt;""," (handle the 🚩 first)",""))</f>
        <v/>
      </c>
      <c r="S220" s="17"/>
      <c r="T220" s="17"/>
      <c r="U220" s="44" t="str">
        <f aca="false">IF(C220="","",IF(COUNTIF(C221:C$501,C220)=0,1,0))</f>
        <v/>
      </c>
    </row>
    <row r="221" customFormat="false" ht="15" hidden="false" customHeight="false" outlineLevel="0" collapsed="false">
      <c r="A221" s="17"/>
      <c r="B221" s="40"/>
      <c r="C221" s="17"/>
      <c r="D221" s="44" t="str">
        <f aca="false">IF(C221="","",IFERROR(INDEX(Inbound!$E$2:$E$501,MATCH(C221,Inbound!$A$2:$A$501,0)),IFERROR(INDEX(Outbound!$D$2:$D$501,MATCH(C221,Outbound!$A$2:$A$501,0)),"Lead ID not found")))</f>
        <v/>
      </c>
      <c r="E221" s="44" t="str">
        <f aca="false">IF(C221="","",IFERROR(INDEX(Inbound!$F$2:$F$501,MATCH(C221,Inbound!$A$2:$A$501,0)),IFERROR(INDEX(Outbound!$E$2:$E$501,MATCH(C221,Outbound!$A$2:$A$501,0)),"Lead ID not found")))</f>
        <v/>
      </c>
      <c r="F221" s="17"/>
      <c r="G221" s="17"/>
      <c r="H221" s="17"/>
      <c r="I221" s="17"/>
      <c r="J221" s="17"/>
      <c r="K221" s="17"/>
      <c r="L221" s="17"/>
      <c r="M221" s="17"/>
      <c r="N221" s="44" t="str">
        <f aca="false">IF(C221="","",COUNTA(H221:M221))</f>
        <v/>
      </c>
      <c r="O221" s="44" t="str">
        <f aca="false">IF(OR(C221="",N(N221)=0),"",SUMIFS(Settings!$AA$2:$AA$21,Settings!$Y$2:$Y$21,"Budget AED 5k+/mo?",Settings!$Z$2:$Z$21,H221)+SUMIFS(Settings!$AA$2:$AA$21,Settings!$Y$2:$Y$21,"Decision-maker?",Settings!$Z$2:$Z$21,I221)+SUMIFS(Settings!$AA$2:$AA$21,Settings!$Y$2:$Y$21,"Someone on camera?",Settings!$Z$2:$Z$21,J221)+SUMIFS(Settings!$AA$2:$AA$21,Settings!$Y$2:$Y$21,"OK with 3-month term?",Settings!$Z$2:$Z$21,K221)+SUMIFS(Settings!$AA$2:$AA$21,Settings!$Y$2:$Y$21,"Start timeline",Settings!$Z$2:$Z$21,L221)+SUMIFS(Settings!$AA$2:$AA$21,Settings!$Y$2:$Y$21,"Social media gap",Settings!$Z$2:$Z$21,M221)+IF(OR(E221="",E221="Lead ID not found"),0,IF(COUNTIF(Settings!$AC$2:$AC$6,E221)&gt;0,Settings!$AA$20,Settings!$AA$21)))</f>
        <v/>
      </c>
      <c r="P221" s="44" t="str">
        <f aca="false">IF(C221="","",IF(N(N221)&lt;6,"Partly scored ("&amp;N221&amp;"/6)",IF(O221&gt;=Settings!$S$8,"Hot",IF(O221&gt;=Settings!$S$9,"Warm","Cold"))))</f>
        <v/>
      </c>
      <c r="Q221" s="44" t="str">
        <f aca="false">IF(C221="","",IF(AND(H221="No",J221="No"),"🚩 Budget  ·  🚩 No one on camera",IF(H221="No","🚩 Budget under AED 5k",IF(J221="No","🚩 No one on camera",""))))</f>
        <v/>
      </c>
      <c r="R221" s="44" t="str">
        <f aca="false">IF(C221="","",IF(N(N221)&lt;6,"Finish the scoresheet before closing",IF(P221="Hot","Close now – send the contract / proposal today",IF(P221="Warm","Send proposal + a relevant result; follow up in 3 days","Rep's call – nurture or close politely")))&amp;IF(Q221&lt;&gt;""," (handle the 🚩 first)",""))</f>
        <v/>
      </c>
      <c r="S221" s="17"/>
      <c r="T221" s="17"/>
      <c r="U221" s="44" t="str">
        <f aca="false">IF(C221="","",IF(COUNTIF(C222:C$501,C221)=0,1,0))</f>
        <v/>
      </c>
    </row>
    <row r="222" customFormat="false" ht="15" hidden="false" customHeight="false" outlineLevel="0" collapsed="false">
      <c r="A222" s="17"/>
      <c r="B222" s="40"/>
      <c r="C222" s="17"/>
      <c r="D222" s="44" t="str">
        <f aca="false">IF(C222="","",IFERROR(INDEX(Inbound!$E$2:$E$501,MATCH(C222,Inbound!$A$2:$A$501,0)),IFERROR(INDEX(Outbound!$D$2:$D$501,MATCH(C222,Outbound!$A$2:$A$501,0)),"Lead ID not found")))</f>
        <v/>
      </c>
      <c r="E222" s="44" t="str">
        <f aca="false">IF(C222="","",IFERROR(INDEX(Inbound!$F$2:$F$501,MATCH(C222,Inbound!$A$2:$A$501,0)),IFERROR(INDEX(Outbound!$E$2:$E$501,MATCH(C222,Outbound!$A$2:$A$501,0)),"Lead ID not found")))</f>
        <v/>
      </c>
      <c r="F222" s="17"/>
      <c r="G222" s="17"/>
      <c r="H222" s="17"/>
      <c r="I222" s="17"/>
      <c r="J222" s="17"/>
      <c r="K222" s="17"/>
      <c r="L222" s="17"/>
      <c r="M222" s="17"/>
      <c r="N222" s="44" t="str">
        <f aca="false">IF(C222="","",COUNTA(H222:M222))</f>
        <v/>
      </c>
      <c r="O222" s="44" t="str">
        <f aca="false">IF(OR(C222="",N(N222)=0),"",SUMIFS(Settings!$AA$2:$AA$21,Settings!$Y$2:$Y$21,"Budget AED 5k+/mo?",Settings!$Z$2:$Z$21,H222)+SUMIFS(Settings!$AA$2:$AA$21,Settings!$Y$2:$Y$21,"Decision-maker?",Settings!$Z$2:$Z$21,I222)+SUMIFS(Settings!$AA$2:$AA$21,Settings!$Y$2:$Y$21,"Someone on camera?",Settings!$Z$2:$Z$21,J222)+SUMIFS(Settings!$AA$2:$AA$21,Settings!$Y$2:$Y$21,"OK with 3-month term?",Settings!$Z$2:$Z$21,K222)+SUMIFS(Settings!$AA$2:$AA$21,Settings!$Y$2:$Y$21,"Start timeline",Settings!$Z$2:$Z$21,L222)+SUMIFS(Settings!$AA$2:$AA$21,Settings!$Y$2:$Y$21,"Social media gap",Settings!$Z$2:$Z$21,M222)+IF(OR(E222="",E222="Lead ID not found"),0,IF(COUNTIF(Settings!$AC$2:$AC$6,E222)&gt;0,Settings!$AA$20,Settings!$AA$21)))</f>
        <v/>
      </c>
      <c r="P222" s="44" t="str">
        <f aca="false">IF(C222="","",IF(N(N222)&lt;6,"Partly scored ("&amp;N222&amp;"/6)",IF(O222&gt;=Settings!$S$8,"Hot",IF(O222&gt;=Settings!$S$9,"Warm","Cold"))))</f>
        <v/>
      </c>
      <c r="Q222" s="44" t="str">
        <f aca="false">IF(C222="","",IF(AND(H222="No",J222="No"),"🚩 Budget  ·  🚩 No one on camera",IF(H222="No","🚩 Budget under AED 5k",IF(J222="No","🚩 No one on camera",""))))</f>
        <v/>
      </c>
      <c r="R222" s="44" t="str">
        <f aca="false">IF(C222="","",IF(N(N222)&lt;6,"Finish the scoresheet before closing",IF(P222="Hot","Close now – send the contract / proposal today",IF(P222="Warm","Send proposal + a relevant result; follow up in 3 days","Rep's call – nurture or close politely")))&amp;IF(Q222&lt;&gt;""," (handle the 🚩 first)",""))</f>
        <v/>
      </c>
      <c r="S222" s="17"/>
      <c r="T222" s="17"/>
      <c r="U222" s="44" t="str">
        <f aca="false">IF(C222="","",IF(COUNTIF(C223:C$501,C222)=0,1,0))</f>
        <v/>
      </c>
    </row>
    <row r="223" customFormat="false" ht="15" hidden="false" customHeight="false" outlineLevel="0" collapsed="false">
      <c r="A223" s="17"/>
      <c r="B223" s="40"/>
      <c r="C223" s="17"/>
      <c r="D223" s="44" t="str">
        <f aca="false">IF(C223="","",IFERROR(INDEX(Inbound!$E$2:$E$501,MATCH(C223,Inbound!$A$2:$A$501,0)),IFERROR(INDEX(Outbound!$D$2:$D$501,MATCH(C223,Outbound!$A$2:$A$501,0)),"Lead ID not found")))</f>
        <v/>
      </c>
      <c r="E223" s="44" t="str">
        <f aca="false">IF(C223="","",IFERROR(INDEX(Inbound!$F$2:$F$501,MATCH(C223,Inbound!$A$2:$A$501,0)),IFERROR(INDEX(Outbound!$E$2:$E$501,MATCH(C223,Outbound!$A$2:$A$501,0)),"Lead ID not found")))</f>
        <v/>
      </c>
      <c r="F223" s="17"/>
      <c r="G223" s="17"/>
      <c r="H223" s="17"/>
      <c r="I223" s="17"/>
      <c r="J223" s="17"/>
      <c r="K223" s="17"/>
      <c r="L223" s="17"/>
      <c r="M223" s="17"/>
      <c r="N223" s="44" t="str">
        <f aca="false">IF(C223="","",COUNTA(H223:M223))</f>
        <v/>
      </c>
      <c r="O223" s="44" t="str">
        <f aca="false">IF(OR(C223="",N(N223)=0),"",SUMIFS(Settings!$AA$2:$AA$21,Settings!$Y$2:$Y$21,"Budget AED 5k+/mo?",Settings!$Z$2:$Z$21,H223)+SUMIFS(Settings!$AA$2:$AA$21,Settings!$Y$2:$Y$21,"Decision-maker?",Settings!$Z$2:$Z$21,I223)+SUMIFS(Settings!$AA$2:$AA$21,Settings!$Y$2:$Y$21,"Someone on camera?",Settings!$Z$2:$Z$21,J223)+SUMIFS(Settings!$AA$2:$AA$21,Settings!$Y$2:$Y$21,"OK with 3-month term?",Settings!$Z$2:$Z$21,K223)+SUMIFS(Settings!$AA$2:$AA$21,Settings!$Y$2:$Y$21,"Start timeline",Settings!$Z$2:$Z$21,L223)+SUMIFS(Settings!$AA$2:$AA$21,Settings!$Y$2:$Y$21,"Social media gap",Settings!$Z$2:$Z$21,M223)+IF(OR(E223="",E223="Lead ID not found"),0,IF(COUNTIF(Settings!$AC$2:$AC$6,E223)&gt;0,Settings!$AA$20,Settings!$AA$21)))</f>
        <v/>
      </c>
      <c r="P223" s="44" t="str">
        <f aca="false">IF(C223="","",IF(N(N223)&lt;6,"Partly scored ("&amp;N223&amp;"/6)",IF(O223&gt;=Settings!$S$8,"Hot",IF(O223&gt;=Settings!$S$9,"Warm","Cold"))))</f>
        <v/>
      </c>
      <c r="Q223" s="44" t="str">
        <f aca="false">IF(C223="","",IF(AND(H223="No",J223="No"),"🚩 Budget  ·  🚩 No one on camera",IF(H223="No","🚩 Budget under AED 5k",IF(J223="No","🚩 No one on camera",""))))</f>
        <v/>
      </c>
      <c r="R223" s="44" t="str">
        <f aca="false">IF(C223="","",IF(N(N223)&lt;6,"Finish the scoresheet before closing",IF(P223="Hot","Close now – send the contract / proposal today",IF(P223="Warm","Send proposal + a relevant result; follow up in 3 days","Rep's call – nurture or close politely")))&amp;IF(Q223&lt;&gt;""," (handle the 🚩 first)",""))</f>
        <v/>
      </c>
      <c r="S223" s="17"/>
      <c r="T223" s="17"/>
      <c r="U223" s="44" t="str">
        <f aca="false">IF(C223="","",IF(COUNTIF(C224:C$501,C223)=0,1,0))</f>
        <v/>
      </c>
    </row>
    <row r="224" customFormat="false" ht="15" hidden="false" customHeight="false" outlineLevel="0" collapsed="false">
      <c r="A224" s="17"/>
      <c r="B224" s="40"/>
      <c r="C224" s="17"/>
      <c r="D224" s="44" t="str">
        <f aca="false">IF(C224="","",IFERROR(INDEX(Inbound!$E$2:$E$501,MATCH(C224,Inbound!$A$2:$A$501,0)),IFERROR(INDEX(Outbound!$D$2:$D$501,MATCH(C224,Outbound!$A$2:$A$501,0)),"Lead ID not found")))</f>
        <v/>
      </c>
      <c r="E224" s="44" t="str">
        <f aca="false">IF(C224="","",IFERROR(INDEX(Inbound!$F$2:$F$501,MATCH(C224,Inbound!$A$2:$A$501,0)),IFERROR(INDEX(Outbound!$E$2:$E$501,MATCH(C224,Outbound!$A$2:$A$501,0)),"Lead ID not found")))</f>
        <v/>
      </c>
      <c r="F224" s="17"/>
      <c r="G224" s="17"/>
      <c r="H224" s="17"/>
      <c r="I224" s="17"/>
      <c r="J224" s="17"/>
      <c r="K224" s="17"/>
      <c r="L224" s="17"/>
      <c r="M224" s="17"/>
      <c r="N224" s="44" t="str">
        <f aca="false">IF(C224="","",COUNTA(H224:M224))</f>
        <v/>
      </c>
      <c r="O224" s="44" t="str">
        <f aca="false">IF(OR(C224="",N(N224)=0),"",SUMIFS(Settings!$AA$2:$AA$21,Settings!$Y$2:$Y$21,"Budget AED 5k+/mo?",Settings!$Z$2:$Z$21,H224)+SUMIFS(Settings!$AA$2:$AA$21,Settings!$Y$2:$Y$21,"Decision-maker?",Settings!$Z$2:$Z$21,I224)+SUMIFS(Settings!$AA$2:$AA$21,Settings!$Y$2:$Y$21,"Someone on camera?",Settings!$Z$2:$Z$21,J224)+SUMIFS(Settings!$AA$2:$AA$21,Settings!$Y$2:$Y$21,"OK with 3-month term?",Settings!$Z$2:$Z$21,K224)+SUMIFS(Settings!$AA$2:$AA$21,Settings!$Y$2:$Y$21,"Start timeline",Settings!$Z$2:$Z$21,L224)+SUMIFS(Settings!$AA$2:$AA$21,Settings!$Y$2:$Y$21,"Social media gap",Settings!$Z$2:$Z$21,M224)+IF(OR(E224="",E224="Lead ID not found"),0,IF(COUNTIF(Settings!$AC$2:$AC$6,E224)&gt;0,Settings!$AA$20,Settings!$AA$21)))</f>
        <v/>
      </c>
      <c r="P224" s="44" t="str">
        <f aca="false">IF(C224="","",IF(N(N224)&lt;6,"Partly scored ("&amp;N224&amp;"/6)",IF(O224&gt;=Settings!$S$8,"Hot",IF(O224&gt;=Settings!$S$9,"Warm","Cold"))))</f>
        <v/>
      </c>
      <c r="Q224" s="44" t="str">
        <f aca="false">IF(C224="","",IF(AND(H224="No",J224="No"),"🚩 Budget  ·  🚩 No one on camera",IF(H224="No","🚩 Budget under AED 5k",IF(J224="No","🚩 No one on camera",""))))</f>
        <v/>
      </c>
      <c r="R224" s="44" t="str">
        <f aca="false">IF(C224="","",IF(N(N224)&lt;6,"Finish the scoresheet before closing",IF(P224="Hot","Close now – send the contract / proposal today",IF(P224="Warm","Send proposal + a relevant result; follow up in 3 days","Rep's call – nurture or close politely")))&amp;IF(Q224&lt;&gt;""," (handle the 🚩 first)",""))</f>
        <v/>
      </c>
      <c r="S224" s="17"/>
      <c r="T224" s="17"/>
      <c r="U224" s="44" t="str">
        <f aca="false">IF(C224="","",IF(COUNTIF(C225:C$501,C224)=0,1,0))</f>
        <v/>
      </c>
    </row>
    <row r="225" customFormat="false" ht="15" hidden="false" customHeight="false" outlineLevel="0" collapsed="false">
      <c r="A225" s="17"/>
      <c r="B225" s="40"/>
      <c r="C225" s="17"/>
      <c r="D225" s="44" t="str">
        <f aca="false">IF(C225="","",IFERROR(INDEX(Inbound!$E$2:$E$501,MATCH(C225,Inbound!$A$2:$A$501,0)),IFERROR(INDEX(Outbound!$D$2:$D$501,MATCH(C225,Outbound!$A$2:$A$501,0)),"Lead ID not found")))</f>
        <v/>
      </c>
      <c r="E225" s="44" t="str">
        <f aca="false">IF(C225="","",IFERROR(INDEX(Inbound!$F$2:$F$501,MATCH(C225,Inbound!$A$2:$A$501,0)),IFERROR(INDEX(Outbound!$E$2:$E$501,MATCH(C225,Outbound!$A$2:$A$501,0)),"Lead ID not found")))</f>
        <v/>
      </c>
      <c r="F225" s="17"/>
      <c r="G225" s="17"/>
      <c r="H225" s="17"/>
      <c r="I225" s="17"/>
      <c r="J225" s="17"/>
      <c r="K225" s="17"/>
      <c r="L225" s="17"/>
      <c r="M225" s="17"/>
      <c r="N225" s="44" t="str">
        <f aca="false">IF(C225="","",COUNTA(H225:M225))</f>
        <v/>
      </c>
      <c r="O225" s="44" t="str">
        <f aca="false">IF(OR(C225="",N(N225)=0),"",SUMIFS(Settings!$AA$2:$AA$21,Settings!$Y$2:$Y$21,"Budget AED 5k+/mo?",Settings!$Z$2:$Z$21,H225)+SUMIFS(Settings!$AA$2:$AA$21,Settings!$Y$2:$Y$21,"Decision-maker?",Settings!$Z$2:$Z$21,I225)+SUMIFS(Settings!$AA$2:$AA$21,Settings!$Y$2:$Y$21,"Someone on camera?",Settings!$Z$2:$Z$21,J225)+SUMIFS(Settings!$AA$2:$AA$21,Settings!$Y$2:$Y$21,"OK with 3-month term?",Settings!$Z$2:$Z$21,K225)+SUMIFS(Settings!$AA$2:$AA$21,Settings!$Y$2:$Y$21,"Start timeline",Settings!$Z$2:$Z$21,L225)+SUMIFS(Settings!$AA$2:$AA$21,Settings!$Y$2:$Y$21,"Social media gap",Settings!$Z$2:$Z$21,M225)+IF(OR(E225="",E225="Lead ID not found"),0,IF(COUNTIF(Settings!$AC$2:$AC$6,E225)&gt;0,Settings!$AA$20,Settings!$AA$21)))</f>
        <v/>
      </c>
      <c r="P225" s="44" t="str">
        <f aca="false">IF(C225="","",IF(N(N225)&lt;6,"Partly scored ("&amp;N225&amp;"/6)",IF(O225&gt;=Settings!$S$8,"Hot",IF(O225&gt;=Settings!$S$9,"Warm","Cold"))))</f>
        <v/>
      </c>
      <c r="Q225" s="44" t="str">
        <f aca="false">IF(C225="","",IF(AND(H225="No",J225="No"),"🚩 Budget  ·  🚩 No one on camera",IF(H225="No","🚩 Budget under AED 5k",IF(J225="No","🚩 No one on camera",""))))</f>
        <v/>
      </c>
      <c r="R225" s="44" t="str">
        <f aca="false">IF(C225="","",IF(N(N225)&lt;6,"Finish the scoresheet before closing",IF(P225="Hot","Close now – send the contract / proposal today",IF(P225="Warm","Send proposal + a relevant result; follow up in 3 days","Rep's call – nurture or close politely")))&amp;IF(Q225&lt;&gt;""," (handle the 🚩 first)",""))</f>
        <v/>
      </c>
      <c r="S225" s="17"/>
      <c r="T225" s="17"/>
      <c r="U225" s="44" t="str">
        <f aca="false">IF(C225="","",IF(COUNTIF(C226:C$501,C225)=0,1,0))</f>
        <v/>
      </c>
    </row>
    <row r="226" customFormat="false" ht="15" hidden="false" customHeight="false" outlineLevel="0" collapsed="false">
      <c r="A226" s="17"/>
      <c r="B226" s="40"/>
      <c r="C226" s="17"/>
      <c r="D226" s="44" t="str">
        <f aca="false">IF(C226="","",IFERROR(INDEX(Inbound!$E$2:$E$501,MATCH(C226,Inbound!$A$2:$A$501,0)),IFERROR(INDEX(Outbound!$D$2:$D$501,MATCH(C226,Outbound!$A$2:$A$501,0)),"Lead ID not found")))</f>
        <v/>
      </c>
      <c r="E226" s="44" t="str">
        <f aca="false">IF(C226="","",IFERROR(INDEX(Inbound!$F$2:$F$501,MATCH(C226,Inbound!$A$2:$A$501,0)),IFERROR(INDEX(Outbound!$E$2:$E$501,MATCH(C226,Outbound!$A$2:$A$501,0)),"Lead ID not found")))</f>
        <v/>
      </c>
      <c r="F226" s="17"/>
      <c r="G226" s="17"/>
      <c r="H226" s="17"/>
      <c r="I226" s="17"/>
      <c r="J226" s="17"/>
      <c r="K226" s="17"/>
      <c r="L226" s="17"/>
      <c r="M226" s="17"/>
      <c r="N226" s="44" t="str">
        <f aca="false">IF(C226="","",COUNTA(H226:M226))</f>
        <v/>
      </c>
      <c r="O226" s="44" t="str">
        <f aca="false">IF(OR(C226="",N(N226)=0),"",SUMIFS(Settings!$AA$2:$AA$21,Settings!$Y$2:$Y$21,"Budget AED 5k+/mo?",Settings!$Z$2:$Z$21,H226)+SUMIFS(Settings!$AA$2:$AA$21,Settings!$Y$2:$Y$21,"Decision-maker?",Settings!$Z$2:$Z$21,I226)+SUMIFS(Settings!$AA$2:$AA$21,Settings!$Y$2:$Y$21,"Someone on camera?",Settings!$Z$2:$Z$21,J226)+SUMIFS(Settings!$AA$2:$AA$21,Settings!$Y$2:$Y$21,"OK with 3-month term?",Settings!$Z$2:$Z$21,K226)+SUMIFS(Settings!$AA$2:$AA$21,Settings!$Y$2:$Y$21,"Start timeline",Settings!$Z$2:$Z$21,L226)+SUMIFS(Settings!$AA$2:$AA$21,Settings!$Y$2:$Y$21,"Social media gap",Settings!$Z$2:$Z$21,M226)+IF(OR(E226="",E226="Lead ID not found"),0,IF(COUNTIF(Settings!$AC$2:$AC$6,E226)&gt;0,Settings!$AA$20,Settings!$AA$21)))</f>
        <v/>
      </c>
      <c r="P226" s="44" t="str">
        <f aca="false">IF(C226="","",IF(N(N226)&lt;6,"Partly scored ("&amp;N226&amp;"/6)",IF(O226&gt;=Settings!$S$8,"Hot",IF(O226&gt;=Settings!$S$9,"Warm","Cold"))))</f>
        <v/>
      </c>
      <c r="Q226" s="44" t="str">
        <f aca="false">IF(C226="","",IF(AND(H226="No",J226="No"),"🚩 Budget  ·  🚩 No one on camera",IF(H226="No","🚩 Budget under AED 5k",IF(J226="No","🚩 No one on camera",""))))</f>
        <v/>
      </c>
      <c r="R226" s="44" t="str">
        <f aca="false">IF(C226="","",IF(N(N226)&lt;6,"Finish the scoresheet before closing",IF(P226="Hot","Close now – send the contract / proposal today",IF(P226="Warm","Send proposal + a relevant result; follow up in 3 days","Rep's call – nurture or close politely")))&amp;IF(Q226&lt;&gt;""," (handle the 🚩 first)",""))</f>
        <v/>
      </c>
      <c r="S226" s="17"/>
      <c r="T226" s="17"/>
      <c r="U226" s="44" t="str">
        <f aca="false">IF(C226="","",IF(COUNTIF(C227:C$501,C226)=0,1,0))</f>
        <v/>
      </c>
    </row>
    <row r="227" customFormat="false" ht="15" hidden="false" customHeight="false" outlineLevel="0" collapsed="false">
      <c r="A227" s="17"/>
      <c r="B227" s="40"/>
      <c r="C227" s="17"/>
      <c r="D227" s="44" t="str">
        <f aca="false">IF(C227="","",IFERROR(INDEX(Inbound!$E$2:$E$501,MATCH(C227,Inbound!$A$2:$A$501,0)),IFERROR(INDEX(Outbound!$D$2:$D$501,MATCH(C227,Outbound!$A$2:$A$501,0)),"Lead ID not found")))</f>
        <v/>
      </c>
      <c r="E227" s="44" t="str">
        <f aca="false">IF(C227="","",IFERROR(INDEX(Inbound!$F$2:$F$501,MATCH(C227,Inbound!$A$2:$A$501,0)),IFERROR(INDEX(Outbound!$E$2:$E$501,MATCH(C227,Outbound!$A$2:$A$501,0)),"Lead ID not found")))</f>
        <v/>
      </c>
      <c r="F227" s="17"/>
      <c r="G227" s="17"/>
      <c r="H227" s="17"/>
      <c r="I227" s="17"/>
      <c r="J227" s="17"/>
      <c r="K227" s="17"/>
      <c r="L227" s="17"/>
      <c r="M227" s="17"/>
      <c r="N227" s="44" t="str">
        <f aca="false">IF(C227="","",COUNTA(H227:M227))</f>
        <v/>
      </c>
      <c r="O227" s="44" t="str">
        <f aca="false">IF(OR(C227="",N(N227)=0),"",SUMIFS(Settings!$AA$2:$AA$21,Settings!$Y$2:$Y$21,"Budget AED 5k+/mo?",Settings!$Z$2:$Z$21,H227)+SUMIFS(Settings!$AA$2:$AA$21,Settings!$Y$2:$Y$21,"Decision-maker?",Settings!$Z$2:$Z$21,I227)+SUMIFS(Settings!$AA$2:$AA$21,Settings!$Y$2:$Y$21,"Someone on camera?",Settings!$Z$2:$Z$21,J227)+SUMIFS(Settings!$AA$2:$AA$21,Settings!$Y$2:$Y$21,"OK with 3-month term?",Settings!$Z$2:$Z$21,K227)+SUMIFS(Settings!$AA$2:$AA$21,Settings!$Y$2:$Y$21,"Start timeline",Settings!$Z$2:$Z$21,L227)+SUMIFS(Settings!$AA$2:$AA$21,Settings!$Y$2:$Y$21,"Social media gap",Settings!$Z$2:$Z$21,M227)+IF(OR(E227="",E227="Lead ID not found"),0,IF(COUNTIF(Settings!$AC$2:$AC$6,E227)&gt;0,Settings!$AA$20,Settings!$AA$21)))</f>
        <v/>
      </c>
      <c r="P227" s="44" t="str">
        <f aca="false">IF(C227="","",IF(N(N227)&lt;6,"Partly scored ("&amp;N227&amp;"/6)",IF(O227&gt;=Settings!$S$8,"Hot",IF(O227&gt;=Settings!$S$9,"Warm","Cold"))))</f>
        <v/>
      </c>
      <c r="Q227" s="44" t="str">
        <f aca="false">IF(C227="","",IF(AND(H227="No",J227="No"),"🚩 Budget  ·  🚩 No one on camera",IF(H227="No","🚩 Budget under AED 5k",IF(J227="No","🚩 No one on camera",""))))</f>
        <v/>
      </c>
      <c r="R227" s="44" t="str">
        <f aca="false">IF(C227="","",IF(N(N227)&lt;6,"Finish the scoresheet before closing",IF(P227="Hot","Close now – send the contract / proposal today",IF(P227="Warm","Send proposal + a relevant result; follow up in 3 days","Rep's call – nurture or close politely")))&amp;IF(Q227&lt;&gt;""," (handle the 🚩 first)",""))</f>
        <v/>
      </c>
      <c r="S227" s="17"/>
      <c r="T227" s="17"/>
      <c r="U227" s="44" t="str">
        <f aca="false">IF(C227="","",IF(COUNTIF(C228:C$501,C227)=0,1,0))</f>
        <v/>
      </c>
    </row>
    <row r="228" customFormat="false" ht="15" hidden="false" customHeight="false" outlineLevel="0" collapsed="false">
      <c r="A228" s="17"/>
      <c r="B228" s="40"/>
      <c r="C228" s="17"/>
      <c r="D228" s="44" t="str">
        <f aca="false">IF(C228="","",IFERROR(INDEX(Inbound!$E$2:$E$501,MATCH(C228,Inbound!$A$2:$A$501,0)),IFERROR(INDEX(Outbound!$D$2:$D$501,MATCH(C228,Outbound!$A$2:$A$501,0)),"Lead ID not found")))</f>
        <v/>
      </c>
      <c r="E228" s="44" t="str">
        <f aca="false">IF(C228="","",IFERROR(INDEX(Inbound!$F$2:$F$501,MATCH(C228,Inbound!$A$2:$A$501,0)),IFERROR(INDEX(Outbound!$E$2:$E$501,MATCH(C228,Outbound!$A$2:$A$501,0)),"Lead ID not found")))</f>
        <v/>
      </c>
      <c r="F228" s="17"/>
      <c r="G228" s="17"/>
      <c r="H228" s="17"/>
      <c r="I228" s="17"/>
      <c r="J228" s="17"/>
      <c r="K228" s="17"/>
      <c r="L228" s="17"/>
      <c r="M228" s="17"/>
      <c r="N228" s="44" t="str">
        <f aca="false">IF(C228="","",COUNTA(H228:M228))</f>
        <v/>
      </c>
      <c r="O228" s="44" t="str">
        <f aca="false">IF(OR(C228="",N(N228)=0),"",SUMIFS(Settings!$AA$2:$AA$21,Settings!$Y$2:$Y$21,"Budget AED 5k+/mo?",Settings!$Z$2:$Z$21,H228)+SUMIFS(Settings!$AA$2:$AA$21,Settings!$Y$2:$Y$21,"Decision-maker?",Settings!$Z$2:$Z$21,I228)+SUMIFS(Settings!$AA$2:$AA$21,Settings!$Y$2:$Y$21,"Someone on camera?",Settings!$Z$2:$Z$21,J228)+SUMIFS(Settings!$AA$2:$AA$21,Settings!$Y$2:$Y$21,"OK with 3-month term?",Settings!$Z$2:$Z$21,K228)+SUMIFS(Settings!$AA$2:$AA$21,Settings!$Y$2:$Y$21,"Start timeline",Settings!$Z$2:$Z$21,L228)+SUMIFS(Settings!$AA$2:$AA$21,Settings!$Y$2:$Y$21,"Social media gap",Settings!$Z$2:$Z$21,M228)+IF(OR(E228="",E228="Lead ID not found"),0,IF(COUNTIF(Settings!$AC$2:$AC$6,E228)&gt;0,Settings!$AA$20,Settings!$AA$21)))</f>
        <v/>
      </c>
      <c r="P228" s="44" t="str">
        <f aca="false">IF(C228="","",IF(N(N228)&lt;6,"Partly scored ("&amp;N228&amp;"/6)",IF(O228&gt;=Settings!$S$8,"Hot",IF(O228&gt;=Settings!$S$9,"Warm","Cold"))))</f>
        <v/>
      </c>
      <c r="Q228" s="44" t="str">
        <f aca="false">IF(C228="","",IF(AND(H228="No",J228="No"),"🚩 Budget  ·  🚩 No one on camera",IF(H228="No","🚩 Budget under AED 5k",IF(J228="No","🚩 No one on camera",""))))</f>
        <v/>
      </c>
      <c r="R228" s="44" t="str">
        <f aca="false">IF(C228="","",IF(N(N228)&lt;6,"Finish the scoresheet before closing",IF(P228="Hot","Close now – send the contract / proposal today",IF(P228="Warm","Send proposal + a relevant result; follow up in 3 days","Rep's call – nurture or close politely")))&amp;IF(Q228&lt;&gt;""," (handle the 🚩 first)",""))</f>
        <v/>
      </c>
      <c r="S228" s="17"/>
      <c r="T228" s="17"/>
      <c r="U228" s="44" t="str">
        <f aca="false">IF(C228="","",IF(COUNTIF(C229:C$501,C228)=0,1,0))</f>
        <v/>
      </c>
    </row>
    <row r="229" customFormat="false" ht="15" hidden="false" customHeight="false" outlineLevel="0" collapsed="false">
      <c r="A229" s="17"/>
      <c r="B229" s="40"/>
      <c r="C229" s="17"/>
      <c r="D229" s="44" t="str">
        <f aca="false">IF(C229="","",IFERROR(INDEX(Inbound!$E$2:$E$501,MATCH(C229,Inbound!$A$2:$A$501,0)),IFERROR(INDEX(Outbound!$D$2:$D$501,MATCH(C229,Outbound!$A$2:$A$501,0)),"Lead ID not found")))</f>
        <v/>
      </c>
      <c r="E229" s="44" t="str">
        <f aca="false">IF(C229="","",IFERROR(INDEX(Inbound!$F$2:$F$501,MATCH(C229,Inbound!$A$2:$A$501,0)),IFERROR(INDEX(Outbound!$E$2:$E$501,MATCH(C229,Outbound!$A$2:$A$501,0)),"Lead ID not found")))</f>
        <v/>
      </c>
      <c r="F229" s="17"/>
      <c r="G229" s="17"/>
      <c r="H229" s="17"/>
      <c r="I229" s="17"/>
      <c r="J229" s="17"/>
      <c r="K229" s="17"/>
      <c r="L229" s="17"/>
      <c r="M229" s="17"/>
      <c r="N229" s="44" t="str">
        <f aca="false">IF(C229="","",COUNTA(H229:M229))</f>
        <v/>
      </c>
      <c r="O229" s="44" t="str">
        <f aca="false">IF(OR(C229="",N(N229)=0),"",SUMIFS(Settings!$AA$2:$AA$21,Settings!$Y$2:$Y$21,"Budget AED 5k+/mo?",Settings!$Z$2:$Z$21,H229)+SUMIFS(Settings!$AA$2:$AA$21,Settings!$Y$2:$Y$21,"Decision-maker?",Settings!$Z$2:$Z$21,I229)+SUMIFS(Settings!$AA$2:$AA$21,Settings!$Y$2:$Y$21,"Someone on camera?",Settings!$Z$2:$Z$21,J229)+SUMIFS(Settings!$AA$2:$AA$21,Settings!$Y$2:$Y$21,"OK with 3-month term?",Settings!$Z$2:$Z$21,K229)+SUMIFS(Settings!$AA$2:$AA$21,Settings!$Y$2:$Y$21,"Start timeline",Settings!$Z$2:$Z$21,L229)+SUMIFS(Settings!$AA$2:$AA$21,Settings!$Y$2:$Y$21,"Social media gap",Settings!$Z$2:$Z$21,M229)+IF(OR(E229="",E229="Lead ID not found"),0,IF(COUNTIF(Settings!$AC$2:$AC$6,E229)&gt;0,Settings!$AA$20,Settings!$AA$21)))</f>
        <v/>
      </c>
      <c r="P229" s="44" t="str">
        <f aca="false">IF(C229="","",IF(N(N229)&lt;6,"Partly scored ("&amp;N229&amp;"/6)",IF(O229&gt;=Settings!$S$8,"Hot",IF(O229&gt;=Settings!$S$9,"Warm","Cold"))))</f>
        <v/>
      </c>
      <c r="Q229" s="44" t="str">
        <f aca="false">IF(C229="","",IF(AND(H229="No",J229="No"),"🚩 Budget  ·  🚩 No one on camera",IF(H229="No","🚩 Budget under AED 5k",IF(J229="No","🚩 No one on camera",""))))</f>
        <v/>
      </c>
      <c r="R229" s="44" t="str">
        <f aca="false">IF(C229="","",IF(N(N229)&lt;6,"Finish the scoresheet before closing",IF(P229="Hot","Close now – send the contract / proposal today",IF(P229="Warm","Send proposal + a relevant result; follow up in 3 days","Rep's call – nurture or close politely")))&amp;IF(Q229&lt;&gt;""," (handle the 🚩 first)",""))</f>
        <v/>
      </c>
      <c r="S229" s="17"/>
      <c r="T229" s="17"/>
      <c r="U229" s="44" t="str">
        <f aca="false">IF(C229="","",IF(COUNTIF(C230:C$501,C229)=0,1,0))</f>
        <v/>
      </c>
    </row>
    <row r="230" customFormat="false" ht="15" hidden="false" customHeight="false" outlineLevel="0" collapsed="false">
      <c r="A230" s="17"/>
      <c r="B230" s="40"/>
      <c r="C230" s="17"/>
      <c r="D230" s="44" t="str">
        <f aca="false">IF(C230="","",IFERROR(INDEX(Inbound!$E$2:$E$501,MATCH(C230,Inbound!$A$2:$A$501,0)),IFERROR(INDEX(Outbound!$D$2:$D$501,MATCH(C230,Outbound!$A$2:$A$501,0)),"Lead ID not found")))</f>
        <v/>
      </c>
      <c r="E230" s="44" t="str">
        <f aca="false">IF(C230="","",IFERROR(INDEX(Inbound!$F$2:$F$501,MATCH(C230,Inbound!$A$2:$A$501,0)),IFERROR(INDEX(Outbound!$E$2:$E$501,MATCH(C230,Outbound!$A$2:$A$501,0)),"Lead ID not found")))</f>
        <v/>
      </c>
      <c r="F230" s="17"/>
      <c r="G230" s="17"/>
      <c r="H230" s="17"/>
      <c r="I230" s="17"/>
      <c r="J230" s="17"/>
      <c r="K230" s="17"/>
      <c r="L230" s="17"/>
      <c r="M230" s="17"/>
      <c r="N230" s="44" t="str">
        <f aca="false">IF(C230="","",COUNTA(H230:M230))</f>
        <v/>
      </c>
      <c r="O230" s="44" t="str">
        <f aca="false">IF(OR(C230="",N(N230)=0),"",SUMIFS(Settings!$AA$2:$AA$21,Settings!$Y$2:$Y$21,"Budget AED 5k+/mo?",Settings!$Z$2:$Z$21,H230)+SUMIFS(Settings!$AA$2:$AA$21,Settings!$Y$2:$Y$21,"Decision-maker?",Settings!$Z$2:$Z$21,I230)+SUMIFS(Settings!$AA$2:$AA$21,Settings!$Y$2:$Y$21,"Someone on camera?",Settings!$Z$2:$Z$21,J230)+SUMIFS(Settings!$AA$2:$AA$21,Settings!$Y$2:$Y$21,"OK with 3-month term?",Settings!$Z$2:$Z$21,K230)+SUMIFS(Settings!$AA$2:$AA$21,Settings!$Y$2:$Y$21,"Start timeline",Settings!$Z$2:$Z$21,L230)+SUMIFS(Settings!$AA$2:$AA$21,Settings!$Y$2:$Y$21,"Social media gap",Settings!$Z$2:$Z$21,M230)+IF(OR(E230="",E230="Lead ID not found"),0,IF(COUNTIF(Settings!$AC$2:$AC$6,E230)&gt;0,Settings!$AA$20,Settings!$AA$21)))</f>
        <v/>
      </c>
      <c r="P230" s="44" t="str">
        <f aca="false">IF(C230="","",IF(N(N230)&lt;6,"Partly scored ("&amp;N230&amp;"/6)",IF(O230&gt;=Settings!$S$8,"Hot",IF(O230&gt;=Settings!$S$9,"Warm","Cold"))))</f>
        <v/>
      </c>
      <c r="Q230" s="44" t="str">
        <f aca="false">IF(C230="","",IF(AND(H230="No",J230="No"),"🚩 Budget  ·  🚩 No one on camera",IF(H230="No","🚩 Budget under AED 5k",IF(J230="No","🚩 No one on camera",""))))</f>
        <v/>
      </c>
      <c r="R230" s="44" t="str">
        <f aca="false">IF(C230="","",IF(N(N230)&lt;6,"Finish the scoresheet before closing",IF(P230="Hot","Close now – send the contract / proposal today",IF(P230="Warm","Send proposal + a relevant result; follow up in 3 days","Rep's call – nurture or close politely")))&amp;IF(Q230&lt;&gt;""," (handle the 🚩 first)",""))</f>
        <v/>
      </c>
      <c r="S230" s="17"/>
      <c r="T230" s="17"/>
      <c r="U230" s="44" t="str">
        <f aca="false">IF(C230="","",IF(COUNTIF(C231:C$501,C230)=0,1,0))</f>
        <v/>
      </c>
    </row>
    <row r="231" customFormat="false" ht="15" hidden="false" customHeight="false" outlineLevel="0" collapsed="false">
      <c r="A231" s="17"/>
      <c r="B231" s="40"/>
      <c r="C231" s="17"/>
      <c r="D231" s="44" t="str">
        <f aca="false">IF(C231="","",IFERROR(INDEX(Inbound!$E$2:$E$501,MATCH(C231,Inbound!$A$2:$A$501,0)),IFERROR(INDEX(Outbound!$D$2:$D$501,MATCH(C231,Outbound!$A$2:$A$501,0)),"Lead ID not found")))</f>
        <v/>
      </c>
      <c r="E231" s="44" t="str">
        <f aca="false">IF(C231="","",IFERROR(INDEX(Inbound!$F$2:$F$501,MATCH(C231,Inbound!$A$2:$A$501,0)),IFERROR(INDEX(Outbound!$E$2:$E$501,MATCH(C231,Outbound!$A$2:$A$501,0)),"Lead ID not found")))</f>
        <v/>
      </c>
      <c r="F231" s="17"/>
      <c r="G231" s="17"/>
      <c r="H231" s="17"/>
      <c r="I231" s="17"/>
      <c r="J231" s="17"/>
      <c r="K231" s="17"/>
      <c r="L231" s="17"/>
      <c r="M231" s="17"/>
      <c r="N231" s="44" t="str">
        <f aca="false">IF(C231="","",COUNTA(H231:M231))</f>
        <v/>
      </c>
      <c r="O231" s="44" t="str">
        <f aca="false">IF(OR(C231="",N(N231)=0),"",SUMIFS(Settings!$AA$2:$AA$21,Settings!$Y$2:$Y$21,"Budget AED 5k+/mo?",Settings!$Z$2:$Z$21,H231)+SUMIFS(Settings!$AA$2:$AA$21,Settings!$Y$2:$Y$21,"Decision-maker?",Settings!$Z$2:$Z$21,I231)+SUMIFS(Settings!$AA$2:$AA$21,Settings!$Y$2:$Y$21,"Someone on camera?",Settings!$Z$2:$Z$21,J231)+SUMIFS(Settings!$AA$2:$AA$21,Settings!$Y$2:$Y$21,"OK with 3-month term?",Settings!$Z$2:$Z$21,K231)+SUMIFS(Settings!$AA$2:$AA$21,Settings!$Y$2:$Y$21,"Start timeline",Settings!$Z$2:$Z$21,L231)+SUMIFS(Settings!$AA$2:$AA$21,Settings!$Y$2:$Y$21,"Social media gap",Settings!$Z$2:$Z$21,M231)+IF(OR(E231="",E231="Lead ID not found"),0,IF(COUNTIF(Settings!$AC$2:$AC$6,E231)&gt;0,Settings!$AA$20,Settings!$AA$21)))</f>
        <v/>
      </c>
      <c r="P231" s="44" t="str">
        <f aca="false">IF(C231="","",IF(N(N231)&lt;6,"Partly scored ("&amp;N231&amp;"/6)",IF(O231&gt;=Settings!$S$8,"Hot",IF(O231&gt;=Settings!$S$9,"Warm","Cold"))))</f>
        <v/>
      </c>
      <c r="Q231" s="44" t="str">
        <f aca="false">IF(C231="","",IF(AND(H231="No",J231="No"),"🚩 Budget  ·  🚩 No one on camera",IF(H231="No","🚩 Budget under AED 5k",IF(J231="No","🚩 No one on camera",""))))</f>
        <v/>
      </c>
      <c r="R231" s="44" t="str">
        <f aca="false">IF(C231="","",IF(N(N231)&lt;6,"Finish the scoresheet before closing",IF(P231="Hot","Close now – send the contract / proposal today",IF(P231="Warm","Send proposal + a relevant result; follow up in 3 days","Rep's call – nurture or close politely")))&amp;IF(Q231&lt;&gt;""," (handle the 🚩 first)",""))</f>
        <v/>
      </c>
      <c r="S231" s="17"/>
      <c r="T231" s="17"/>
      <c r="U231" s="44" t="str">
        <f aca="false">IF(C231="","",IF(COUNTIF(C232:C$501,C231)=0,1,0))</f>
        <v/>
      </c>
    </row>
    <row r="232" customFormat="false" ht="15" hidden="false" customHeight="false" outlineLevel="0" collapsed="false">
      <c r="A232" s="17"/>
      <c r="B232" s="40"/>
      <c r="C232" s="17"/>
      <c r="D232" s="44" t="str">
        <f aca="false">IF(C232="","",IFERROR(INDEX(Inbound!$E$2:$E$501,MATCH(C232,Inbound!$A$2:$A$501,0)),IFERROR(INDEX(Outbound!$D$2:$D$501,MATCH(C232,Outbound!$A$2:$A$501,0)),"Lead ID not found")))</f>
        <v/>
      </c>
      <c r="E232" s="44" t="str">
        <f aca="false">IF(C232="","",IFERROR(INDEX(Inbound!$F$2:$F$501,MATCH(C232,Inbound!$A$2:$A$501,0)),IFERROR(INDEX(Outbound!$E$2:$E$501,MATCH(C232,Outbound!$A$2:$A$501,0)),"Lead ID not found")))</f>
        <v/>
      </c>
      <c r="F232" s="17"/>
      <c r="G232" s="17"/>
      <c r="H232" s="17"/>
      <c r="I232" s="17"/>
      <c r="J232" s="17"/>
      <c r="K232" s="17"/>
      <c r="L232" s="17"/>
      <c r="M232" s="17"/>
      <c r="N232" s="44" t="str">
        <f aca="false">IF(C232="","",COUNTA(H232:M232))</f>
        <v/>
      </c>
      <c r="O232" s="44" t="str">
        <f aca="false">IF(OR(C232="",N(N232)=0),"",SUMIFS(Settings!$AA$2:$AA$21,Settings!$Y$2:$Y$21,"Budget AED 5k+/mo?",Settings!$Z$2:$Z$21,H232)+SUMIFS(Settings!$AA$2:$AA$21,Settings!$Y$2:$Y$21,"Decision-maker?",Settings!$Z$2:$Z$21,I232)+SUMIFS(Settings!$AA$2:$AA$21,Settings!$Y$2:$Y$21,"Someone on camera?",Settings!$Z$2:$Z$21,J232)+SUMIFS(Settings!$AA$2:$AA$21,Settings!$Y$2:$Y$21,"OK with 3-month term?",Settings!$Z$2:$Z$21,K232)+SUMIFS(Settings!$AA$2:$AA$21,Settings!$Y$2:$Y$21,"Start timeline",Settings!$Z$2:$Z$21,L232)+SUMIFS(Settings!$AA$2:$AA$21,Settings!$Y$2:$Y$21,"Social media gap",Settings!$Z$2:$Z$21,M232)+IF(OR(E232="",E232="Lead ID not found"),0,IF(COUNTIF(Settings!$AC$2:$AC$6,E232)&gt;0,Settings!$AA$20,Settings!$AA$21)))</f>
        <v/>
      </c>
      <c r="P232" s="44" t="str">
        <f aca="false">IF(C232="","",IF(N(N232)&lt;6,"Partly scored ("&amp;N232&amp;"/6)",IF(O232&gt;=Settings!$S$8,"Hot",IF(O232&gt;=Settings!$S$9,"Warm","Cold"))))</f>
        <v/>
      </c>
      <c r="Q232" s="44" t="str">
        <f aca="false">IF(C232="","",IF(AND(H232="No",J232="No"),"🚩 Budget  ·  🚩 No one on camera",IF(H232="No","🚩 Budget under AED 5k",IF(J232="No","🚩 No one on camera",""))))</f>
        <v/>
      </c>
      <c r="R232" s="44" t="str">
        <f aca="false">IF(C232="","",IF(N(N232)&lt;6,"Finish the scoresheet before closing",IF(P232="Hot","Close now – send the contract / proposal today",IF(P232="Warm","Send proposal + a relevant result; follow up in 3 days","Rep's call – nurture or close politely")))&amp;IF(Q232&lt;&gt;""," (handle the 🚩 first)",""))</f>
        <v/>
      </c>
      <c r="S232" s="17"/>
      <c r="T232" s="17"/>
      <c r="U232" s="44" t="str">
        <f aca="false">IF(C232="","",IF(COUNTIF(C233:C$501,C232)=0,1,0))</f>
        <v/>
      </c>
    </row>
    <row r="233" customFormat="false" ht="15" hidden="false" customHeight="false" outlineLevel="0" collapsed="false">
      <c r="A233" s="17"/>
      <c r="B233" s="40"/>
      <c r="C233" s="17"/>
      <c r="D233" s="44" t="str">
        <f aca="false">IF(C233="","",IFERROR(INDEX(Inbound!$E$2:$E$501,MATCH(C233,Inbound!$A$2:$A$501,0)),IFERROR(INDEX(Outbound!$D$2:$D$501,MATCH(C233,Outbound!$A$2:$A$501,0)),"Lead ID not found")))</f>
        <v/>
      </c>
      <c r="E233" s="44" t="str">
        <f aca="false">IF(C233="","",IFERROR(INDEX(Inbound!$F$2:$F$501,MATCH(C233,Inbound!$A$2:$A$501,0)),IFERROR(INDEX(Outbound!$E$2:$E$501,MATCH(C233,Outbound!$A$2:$A$501,0)),"Lead ID not found")))</f>
        <v/>
      </c>
      <c r="F233" s="17"/>
      <c r="G233" s="17"/>
      <c r="H233" s="17"/>
      <c r="I233" s="17"/>
      <c r="J233" s="17"/>
      <c r="K233" s="17"/>
      <c r="L233" s="17"/>
      <c r="M233" s="17"/>
      <c r="N233" s="44" t="str">
        <f aca="false">IF(C233="","",COUNTA(H233:M233))</f>
        <v/>
      </c>
      <c r="O233" s="44" t="str">
        <f aca="false">IF(OR(C233="",N(N233)=0),"",SUMIFS(Settings!$AA$2:$AA$21,Settings!$Y$2:$Y$21,"Budget AED 5k+/mo?",Settings!$Z$2:$Z$21,H233)+SUMIFS(Settings!$AA$2:$AA$21,Settings!$Y$2:$Y$21,"Decision-maker?",Settings!$Z$2:$Z$21,I233)+SUMIFS(Settings!$AA$2:$AA$21,Settings!$Y$2:$Y$21,"Someone on camera?",Settings!$Z$2:$Z$21,J233)+SUMIFS(Settings!$AA$2:$AA$21,Settings!$Y$2:$Y$21,"OK with 3-month term?",Settings!$Z$2:$Z$21,K233)+SUMIFS(Settings!$AA$2:$AA$21,Settings!$Y$2:$Y$21,"Start timeline",Settings!$Z$2:$Z$21,L233)+SUMIFS(Settings!$AA$2:$AA$21,Settings!$Y$2:$Y$21,"Social media gap",Settings!$Z$2:$Z$21,M233)+IF(OR(E233="",E233="Lead ID not found"),0,IF(COUNTIF(Settings!$AC$2:$AC$6,E233)&gt;0,Settings!$AA$20,Settings!$AA$21)))</f>
        <v/>
      </c>
      <c r="P233" s="44" t="str">
        <f aca="false">IF(C233="","",IF(N(N233)&lt;6,"Partly scored ("&amp;N233&amp;"/6)",IF(O233&gt;=Settings!$S$8,"Hot",IF(O233&gt;=Settings!$S$9,"Warm","Cold"))))</f>
        <v/>
      </c>
      <c r="Q233" s="44" t="str">
        <f aca="false">IF(C233="","",IF(AND(H233="No",J233="No"),"🚩 Budget  ·  🚩 No one on camera",IF(H233="No","🚩 Budget under AED 5k",IF(J233="No","🚩 No one on camera",""))))</f>
        <v/>
      </c>
      <c r="R233" s="44" t="str">
        <f aca="false">IF(C233="","",IF(N(N233)&lt;6,"Finish the scoresheet before closing",IF(P233="Hot","Close now – send the contract / proposal today",IF(P233="Warm","Send proposal + a relevant result; follow up in 3 days","Rep's call – nurture or close politely")))&amp;IF(Q233&lt;&gt;""," (handle the 🚩 first)",""))</f>
        <v/>
      </c>
      <c r="S233" s="17"/>
      <c r="T233" s="17"/>
      <c r="U233" s="44" t="str">
        <f aca="false">IF(C233="","",IF(COUNTIF(C234:C$501,C233)=0,1,0))</f>
        <v/>
      </c>
    </row>
    <row r="234" customFormat="false" ht="15" hidden="false" customHeight="false" outlineLevel="0" collapsed="false">
      <c r="A234" s="17"/>
      <c r="B234" s="40"/>
      <c r="C234" s="17"/>
      <c r="D234" s="44" t="str">
        <f aca="false">IF(C234="","",IFERROR(INDEX(Inbound!$E$2:$E$501,MATCH(C234,Inbound!$A$2:$A$501,0)),IFERROR(INDEX(Outbound!$D$2:$D$501,MATCH(C234,Outbound!$A$2:$A$501,0)),"Lead ID not found")))</f>
        <v/>
      </c>
      <c r="E234" s="44" t="str">
        <f aca="false">IF(C234="","",IFERROR(INDEX(Inbound!$F$2:$F$501,MATCH(C234,Inbound!$A$2:$A$501,0)),IFERROR(INDEX(Outbound!$E$2:$E$501,MATCH(C234,Outbound!$A$2:$A$501,0)),"Lead ID not found")))</f>
        <v/>
      </c>
      <c r="F234" s="17"/>
      <c r="G234" s="17"/>
      <c r="H234" s="17"/>
      <c r="I234" s="17"/>
      <c r="J234" s="17"/>
      <c r="K234" s="17"/>
      <c r="L234" s="17"/>
      <c r="M234" s="17"/>
      <c r="N234" s="44" t="str">
        <f aca="false">IF(C234="","",COUNTA(H234:M234))</f>
        <v/>
      </c>
      <c r="O234" s="44" t="str">
        <f aca="false">IF(OR(C234="",N(N234)=0),"",SUMIFS(Settings!$AA$2:$AA$21,Settings!$Y$2:$Y$21,"Budget AED 5k+/mo?",Settings!$Z$2:$Z$21,H234)+SUMIFS(Settings!$AA$2:$AA$21,Settings!$Y$2:$Y$21,"Decision-maker?",Settings!$Z$2:$Z$21,I234)+SUMIFS(Settings!$AA$2:$AA$21,Settings!$Y$2:$Y$21,"Someone on camera?",Settings!$Z$2:$Z$21,J234)+SUMIFS(Settings!$AA$2:$AA$21,Settings!$Y$2:$Y$21,"OK with 3-month term?",Settings!$Z$2:$Z$21,K234)+SUMIFS(Settings!$AA$2:$AA$21,Settings!$Y$2:$Y$21,"Start timeline",Settings!$Z$2:$Z$21,L234)+SUMIFS(Settings!$AA$2:$AA$21,Settings!$Y$2:$Y$21,"Social media gap",Settings!$Z$2:$Z$21,M234)+IF(OR(E234="",E234="Lead ID not found"),0,IF(COUNTIF(Settings!$AC$2:$AC$6,E234)&gt;0,Settings!$AA$20,Settings!$AA$21)))</f>
        <v/>
      </c>
      <c r="P234" s="44" t="str">
        <f aca="false">IF(C234="","",IF(N(N234)&lt;6,"Partly scored ("&amp;N234&amp;"/6)",IF(O234&gt;=Settings!$S$8,"Hot",IF(O234&gt;=Settings!$S$9,"Warm","Cold"))))</f>
        <v/>
      </c>
      <c r="Q234" s="44" t="str">
        <f aca="false">IF(C234="","",IF(AND(H234="No",J234="No"),"🚩 Budget  ·  🚩 No one on camera",IF(H234="No","🚩 Budget under AED 5k",IF(J234="No","🚩 No one on camera",""))))</f>
        <v/>
      </c>
      <c r="R234" s="44" t="str">
        <f aca="false">IF(C234="","",IF(N(N234)&lt;6,"Finish the scoresheet before closing",IF(P234="Hot","Close now – send the contract / proposal today",IF(P234="Warm","Send proposal + a relevant result; follow up in 3 days","Rep's call – nurture or close politely")))&amp;IF(Q234&lt;&gt;""," (handle the 🚩 first)",""))</f>
        <v/>
      </c>
      <c r="S234" s="17"/>
      <c r="T234" s="17"/>
      <c r="U234" s="44" t="str">
        <f aca="false">IF(C234="","",IF(COUNTIF(C235:C$501,C234)=0,1,0))</f>
        <v/>
      </c>
    </row>
    <row r="235" customFormat="false" ht="15" hidden="false" customHeight="false" outlineLevel="0" collapsed="false">
      <c r="A235" s="17"/>
      <c r="B235" s="40"/>
      <c r="C235" s="17"/>
      <c r="D235" s="44" t="str">
        <f aca="false">IF(C235="","",IFERROR(INDEX(Inbound!$E$2:$E$501,MATCH(C235,Inbound!$A$2:$A$501,0)),IFERROR(INDEX(Outbound!$D$2:$D$501,MATCH(C235,Outbound!$A$2:$A$501,0)),"Lead ID not found")))</f>
        <v/>
      </c>
      <c r="E235" s="44" t="str">
        <f aca="false">IF(C235="","",IFERROR(INDEX(Inbound!$F$2:$F$501,MATCH(C235,Inbound!$A$2:$A$501,0)),IFERROR(INDEX(Outbound!$E$2:$E$501,MATCH(C235,Outbound!$A$2:$A$501,0)),"Lead ID not found")))</f>
        <v/>
      </c>
      <c r="F235" s="17"/>
      <c r="G235" s="17"/>
      <c r="H235" s="17"/>
      <c r="I235" s="17"/>
      <c r="J235" s="17"/>
      <c r="K235" s="17"/>
      <c r="L235" s="17"/>
      <c r="M235" s="17"/>
      <c r="N235" s="44" t="str">
        <f aca="false">IF(C235="","",COUNTA(H235:M235))</f>
        <v/>
      </c>
      <c r="O235" s="44" t="str">
        <f aca="false">IF(OR(C235="",N(N235)=0),"",SUMIFS(Settings!$AA$2:$AA$21,Settings!$Y$2:$Y$21,"Budget AED 5k+/mo?",Settings!$Z$2:$Z$21,H235)+SUMIFS(Settings!$AA$2:$AA$21,Settings!$Y$2:$Y$21,"Decision-maker?",Settings!$Z$2:$Z$21,I235)+SUMIFS(Settings!$AA$2:$AA$21,Settings!$Y$2:$Y$21,"Someone on camera?",Settings!$Z$2:$Z$21,J235)+SUMIFS(Settings!$AA$2:$AA$21,Settings!$Y$2:$Y$21,"OK with 3-month term?",Settings!$Z$2:$Z$21,K235)+SUMIFS(Settings!$AA$2:$AA$21,Settings!$Y$2:$Y$21,"Start timeline",Settings!$Z$2:$Z$21,L235)+SUMIFS(Settings!$AA$2:$AA$21,Settings!$Y$2:$Y$21,"Social media gap",Settings!$Z$2:$Z$21,M235)+IF(OR(E235="",E235="Lead ID not found"),0,IF(COUNTIF(Settings!$AC$2:$AC$6,E235)&gt;0,Settings!$AA$20,Settings!$AA$21)))</f>
        <v/>
      </c>
      <c r="P235" s="44" t="str">
        <f aca="false">IF(C235="","",IF(N(N235)&lt;6,"Partly scored ("&amp;N235&amp;"/6)",IF(O235&gt;=Settings!$S$8,"Hot",IF(O235&gt;=Settings!$S$9,"Warm","Cold"))))</f>
        <v/>
      </c>
      <c r="Q235" s="44" t="str">
        <f aca="false">IF(C235="","",IF(AND(H235="No",J235="No"),"🚩 Budget  ·  🚩 No one on camera",IF(H235="No","🚩 Budget under AED 5k",IF(J235="No","🚩 No one on camera",""))))</f>
        <v/>
      </c>
      <c r="R235" s="44" t="str">
        <f aca="false">IF(C235="","",IF(N(N235)&lt;6,"Finish the scoresheet before closing",IF(P235="Hot","Close now – send the contract / proposal today",IF(P235="Warm","Send proposal + a relevant result; follow up in 3 days","Rep's call – nurture or close politely")))&amp;IF(Q235&lt;&gt;""," (handle the 🚩 first)",""))</f>
        <v/>
      </c>
      <c r="S235" s="17"/>
      <c r="T235" s="17"/>
      <c r="U235" s="44" t="str">
        <f aca="false">IF(C235="","",IF(COUNTIF(C236:C$501,C235)=0,1,0))</f>
        <v/>
      </c>
    </row>
    <row r="236" customFormat="false" ht="15" hidden="false" customHeight="false" outlineLevel="0" collapsed="false">
      <c r="A236" s="17"/>
      <c r="B236" s="40"/>
      <c r="C236" s="17"/>
      <c r="D236" s="44" t="str">
        <f aca="false">IF(C236="","",IFERROR(INDEX(Inbound!$E$2:$E$501,MATCH(C236,Inbound!$A$2:$A$501,0)),IFERROR(INDEX(Outbound!$D$2:$D$501,MATCH(C236,Outbound!$A$2:$A$501,0)),"Lead ID not found")))</f>
        <v/>
      </c>
      <c r="E236" s="44" t="str">
        <f aca="false">IF(C236="","",IFERROR(INDEX(Inbound!$F$2:$F$501,MATCH(C236,Inbound!$A$2:$A$501,0)),IFERROR(INDEX(Outbound!$E$2:$E$501,MATCH(C236,Outbound!$A$2:$A$501,0)),"Lead ID not found")))</f>
        <v/>
      </c>
      <c r="F236" s="17"/>
      <c r="G236" s="17"/>
      <c r="H236" s="17"/>
      <c r="I236" s="17"/>
      <c r="J236" s="17"/>
      <c r="K236" s="17"/>
      <c r="L236" s="17"/>
      <c r="M236" s="17"/>
      <c r="N236" s="44" t="str">
        <f aca="false">IF(C236="","",COUNTA(H236:M236))</f>
        <v/>
      </c>
      <c r="O236" s="44" t="str">
        <f aca="false">IF(OR(C236="",N(N236)=0),"",SUMIFS(Settings!$AA$2:$AA$21,Settings!$Y$2:$Y$21,"Budget AED 5k+/mo?",Settings!$Z$2:$Z$21,H236)+SUMIFS(Settings!$AA$2:$AA$21,Settings!$Y$2:$Y$21,"Decision-maker?",Settings!$Z$2:$Z$21,I236)+SUMIFS(Settings!$AA$2:$AA$21,Settings!$Y$2:$Y$21,"Someone on camera?",Settings!$Z$2:$Z$21,J236)+SUMIFS(Settings!$AA$2:$AA$21,Settings!$Y$2:$Y$21,"OK with 3-month term?",Settings!$Z$2:$Z$21,K236)+SUMIFS(Settings!$AA$2:$AA$21,Settings!$Y$2:$Y$21,"Start timeline",Settings!$Z$2:$Z$21,L236)+SUMIFS(Settings!$AA$2:$AA$21,Settings!$Y$2:$Y$21,"Social media gap",Settings!$Z$2:$Z$21,M236)+IF(OR(E236="",E236="Lead ID not found"),0,IF(COUNTIF(Settings!$AC$2:$AC$6,E236)&gt;0,Settings!$AA$20,Settings!$AA$21)))</f>
        <v/>
      </c>
      <c r="P236" s="44" t="str">
        <f aca="false">IF(C236="","",IF(N(N236)&lt;6,"Partly scored ("&amp;N236&amp;"/6)",IF(O236&gt;=Settings!$S$8,"Hot",IF(O236&gt;=Settings!$S$9,"Warm","Cold"))))</f>
        <v/>
      </c>
      <c r="Q236" s="44" t="str">
        <f aca="false">IF(C236="","",IF(AND(H236="No",J236="No"),"🚩 Budget  ·  🚩 No one on camera",IF(H236="No","🚩 Budget under AED 5k",IF(J236="No","🚩 No one on camera",""))))</f>
        <v/>
      </c>
      <c r="R236" s="44" t="str">
        <f aca="false">IF(C236="","",IF(N(N236)&lt;6,"Finish the scoresheet before closing",IF(P236="Hot","Close now – send the contract / proposal today",IF(P236="Warm","Send proposal + a relevant result; follow up in 3 days","Rep's call – nurture or close politely")))&amp;IF(Q236&lt;&gt;""," (handle the 🚩 first)",""))</f>
        <v/>
      </c>
      <c r="S236" s="17"/>
      <c r="T236" s="17"/>
      <c r="U236" s="44" t="str">
        <f aca="false">IF(C236="","",IF(COUNTIF(C237:C$501,C236)=0,1,0))</f>
        <v/>
      </c>
    </row>
    <row r="237" customFormat="false" ht="15" hidden="false" customHeight="false" outlineLevel="0" collapsed="false">
      <c r="A237" s="17"/>
      <c r="B237" s="40"/>
      <c r="C237" s="17"/>
      <c r="D237" s="44" t="str">
        <f aca="false">IF(C237="","",IFERROR(INDEX(Inbound!$E$2:$E$501,MATCH(C237,Inbound!$A$2:$A$501,0)),IFERROR(INDEX(Outbound!$D$2:$D$501,MATCH(C237,Outbound!$A$2:$A$501,0)),"Lead ID not found")))</f>
        <v/>
      </c>
      <c r="E237" s="44" t="str">
        <f aca="false">IF(C237="","",IFERROR(INDEX(Inbound!$F$2:$F$501,MATCH(C237,Inbound!$A$2:$A$501,0)),IFERROR(INDEX(Outbound!$E$2:$E$501,MATCH(C237,Outbound!$A$2:$A$501,0)),"Lead ID not found")))</f>
        <v/>
      </c>
      <c r="F237" s="17"/>
      <c r="G237" s="17"/>
      <c r="H237" s="17"/>
      <c r="I237" s="17"/>
      <c r="J237" s="17"/>
      <c r="K237" s="17"/>
      <c r="L237" s="17"/>
      <c r="M237" s="17"/>
      <c r="N237" s="44" t="str">
        <f aca="false">IF(C237="","",COUNTA(H237:M237))</f>
        <v/>
      </c>
      <c r="O237" s="44" t="str">
        <f aca="false">IF(OR(C237="",N(N237)=0),"",SUMIFS(Settings!$AA$2:$AA$21,Settings!$Y$2:$Y$21,"Budget AED 5k+/mo?",Settings!$Z$2:$Z$21,H237)+SUMIFS(Settings!$AA$2:$AA$21,Settings!$Y$2:$Y$21,"Decision-maker?",Settings!$Z$2:$Z$21,I237)+SUMIFS(Settings!$AA$2:$AA$21,Settings!$Y$2:$Y$21,"Someone on camera?",Settings!$Z$2:$Z$21,J237)+SUMIFS(Settings!$AA$2:$AA$21,Settings!$Y$2:$Y$21,"OK with 3-month term?",Settings!$Z$2:$Z$21,K237)+SUMIFS(Settings!$AA$2:$AA$21,Settings!$Y$2:$Y$21,"Start timeline",Settings!$Z$2:$Z$21,L237)+SUMIFS(Settings!$AA$2:$AA$21,Settings!$Y$2:$Y$21,"Social media gap",Settings!$Z$2:$Z$21,M237)+IF(OR(E237="",E237="Lead ID not found"),0,IF(COUNTIF(Settings!$AC$2:$AC$6,E237)&gt;0,Settings!$AA$20,Settings!$AA$21)))</f>
        <v/>
      </c>
      <c r="P237" s="44" t="str">
        <f aca="false">IF(C237="","",IF(N(N237)&lt;6,"Partly scored ("&amp;N237&amp;"/6)",IF(O237&gt;=Settings!$S$8,"Hot",IF(O237&gt;=Settings!$S$9,"Warm","Cold"))))</f>
        <v/>
      </c>
      <c r="Q237" s="44" t="str">
        <f aca="false">IF(C237="","",IF(AND(H237="No",J237="No"),"🚩 Budget  ·  🚩 No one on camera",IF(H237="No","🚩 Budget under AED 5k",IF(J237="No","🚩 No one on camera",""))))</f>
        <v/>
      </c>
      <c r="R237" s="44" t="str">
        <f aca="false">IF(C237="","",IF(N(N237)&lt;6,"Finish the scoresheet before closing",IF(P237="Hot","Close now – send the contract / proposal today",IF(P237="Warm","Send proposal + a relevant result; follow up in 3 days","Rep's call – nurture or close politely")))&amp;IF(Q237&lt;&gt;""," (handle the 🚩 first)",""))</f>
        <v/>
      </c>
      <c r="S237" s="17"/>
      <c r="T237" s="17"/>
      <c r="U237" s="44" t="str">
        <f aca="false">IF(C237="","",IF(COUNTIF(C238:C$501,C237)=0,1,0))</f>
        <v/>
      </c>
    </row>
    <row r="238" customFormat="false" ht="15" hidden="false" customHeight="false" outlineLevel="0" collapsed="false">
      <c r="A238" s="17"/>
      <c r="B238" s="40"/>
      <c r="C238" s="17"/>
      <c r="D238" s="44" t="str">
        <f aca="false">IF(C238="","",IFERROR(INDEX(Inbound!$E$2:$E$501,MATCH(C238,Inbound!$A$2:$A$501,0)),IFERROR(INDEX(Outbound!$D$2:$D$501,MATCH(C238,Outbound!$A$2:$A$501,0)),"Lead ID not found")))</f>
        <v/>
      </c>
      <c r="E238" s="44" t="str">
        <f aca="false">IF(C238="","",IFERROR(INDEX(Inbound!$F$2:$F$501,MATCH(C238,Inbound!$A$2:$A$501,0)),IFERROR(INDEX(Outbound!$E$2:$E$501,MATCH(C238,Outbound!$A$2:$A$501,0)),"Lead ID not found")))</f>
        <v/>
      </c>
      <c r="F238" s="17"/>
      <c r="G238" s="17"/>
      <c r="H238" s="17"/>
      <c r="I238" s="17"/>
      <c r="J238" s="17"/>
      <c r="K238" s="17"/>
      <c r="L238" s="17"/>
      <c r="M238" s="17"/>
      <c r="N238" s="44" t="str">
        <f aca="false">IF(C238="","",COUNTA(H238:M238))</f>
        <v/>
      </c>
      <c r="O238" s="44" t="str">
        <f aca="false">IF(OR(C238="",N(N238)=0),"",SUMIFS(Settings!$AA$2:$AA$21,Settings!$Y$2:$Y$21,"Budget AED 5k+/mo?",Settings!$Z$2:$Z$21,H238)+SUMIFS(Settings!$AA$2:$AA$21,Settings!$Y$2:$Y$21,"Decision-maker?",Settings!$Z$2:$Z$21,I238)+SUMIFS(Settings!$AA$2:$AA$21,Settings!$Y$2:$Y$21,"Someone on camera?",Settings!$Z$2:$Z$21,J238)+SUMIFS(Settings!$AA$2:$AA$21,Settings!$Y$2:$Y$21,"OK with 3-month term?",Settings!$Z$2:$Z$21,K238)+SUMIFS(Settings!$AA$2:$AA$21,Settings!$Y$2:$Y$21,"Start timeline",Settings!$Z$2:$Z$21,L238)+SUMIFS(Settings!$AA$2:$AA$21,Settings!$Y$2:$Y$21,"Social media gap",Settings!$Z$2:$Z$21,M238)+IF(OR(E238="",E238="Lead ID not found"),0,IF(COUNTIF(Settings!$AC$2:$AC$6,E238)&gt;0,Settings!$AA$20,Settings!$AA$21)))</f>
        <v/>
      </c>
      <c r="P238" s="44" t="str">
        <f aca="false">IF(C238="","",IF(N(N238)&lt;6,"Partly scored ("&amp;N238&amp;"/6)",IF(O238&gt;=Settings!$S$8,"Hot",IF(O238&gt;=Settings!$S$9,"Warm","Cold"))))</f>
        <v/>
      </c>
      <c r="Q238" s="44" t="str">
        <f aca="false">IF(C238="","",IF(AND(H238="No",J238="No"),"🚩 Budget  ·  🚩 No one on camera",IF(H238="No","🚩 Budget under AED 5k",IF(J238="No","🚩 No one on camera",""))))</f>
        <v/>
      </c>
      <c r="R238" s="44" t="str">
        <f aca="false">IF(C238="","",IF(N(N238)&lt;6,"Finish the scoresheet before closing",IF(P238="Hot","Close now – send the contract / proposal today",IF(P238="Warm","Send proposal + a relevant result; follow up in 3 days","Rep's call – nurture or close politely")))&amp;IF(Q238&lt;&gt;""," (handle the 🚩 first)",""))</f>
        <v/>
      </c>
      <c r="S238" s="17"/>
      <c r="T238" s="17"/>
      <c r="U238" s="44" t="str">
        <f aca="false">IF(C238="","",IF(COUNTIF(C239:C$501,C238)=0,1,0))</f>
        <v/>
      </c>
    </row>
    <row r="239" customFormat="false" ht="15" hidden="false" customHeight="false" outlineLevel="0" collapsed="false">
      <c r="A239" s="17"/>
      <c r="B239" s="40"/>
      <c r="C239" s="17"/>
      <c r="D239" s="44" t="str">
        <f aca="false">IF(C239="","",IFERROR(INDEX(Inbound!$E$2:$E$501,MATCH(C239,Inbound!$A$2:$A$501,0)),IFERROR(INDEX(Outbound!$D$2:$D$501,MATCH(C239,Outbound!$A$2:$A$501,0)),"Lead ID not found")))</f>
        <v/>
      </c>
      <c r="E239" s="44" t="str">
        <f aca="false">IF(C239="","",IFERROR(INDEX(Inbound!$F$2:$F$501,MATCH(C239,Inbound!$A$2:$A$501,0)),IFERROR(INDEX(Outbound!$E$2:$E$501,MATCH(C239,Outbound!$A$2:$A$501,0)),"Lead ID not found")))</f>
        <v/>
      </c>
      <c r="F239" s="17"/>
      <c r="G239" s="17"/>
      <c r="H239" s="17"/>
      <c r="I239" s="17"/>
      <c r="J239" s="17"/>
      <c r="K239" s="17"/>
      <c r="L239" s="17"/>
      <c r="M239" s="17"/>
      <c r="N239" s="44" t="str">
        <f aca="false">IF(C239="","",COUNTA(H239:M239))</f>
        <v/>
      </c>
      <c r="O239" s="44" t="str">
        <f aca="false">IF(OR(C239="",N(N239)=0),"",SUMIFS(Settings!$AA$2:$AA$21,Settings!$Y$2:$Y$21,"Budget AED 5k+/mo?",Settings!$Z$2:$Z$21,H239)+SUMIFS(Settings!$AA$2:$AA$21,Settings!$Y$2:$Y$21,"Decision-maker?",Settings!$Z$2:$Z$21,I239)+SUMIFS(Settings!$AA$2:$AA$21,Settings!$Y$2:$Y$21,"Someone on camera?",Settings!$Z$2:$Z$21,J239)+SUMIFS(Settings!$AA$2:$AA$21,Settings!$Y$2:$Y$21,"OK with 3-month term?",Settings!$Z$2:$Z$21,K239)+SUMIFS(Settings!$AA$2:$AA$21,Settings!$Y$2:$Y$21,"Start timeline",Settings!$Z$2:$Z$21,L239)+SUMIFS(Settings!$AA$2:$AA$21,Settings!$Y$2:$Y$21,"Social media gap",Settings!$Z$2:$Z$21,M239)+IF(OR(E239="",E239="Lead ID not found"),0,IF(COUNTIF(Settings!$AC$2:$AC$6,E239)&gt;0,Settings!$AA$20,Settings!$AA$21)))</f>
        <v/>
      </c>
      <c r="P239" s="44" t="str">
        <f aca="false">IF(C239="","",IF(N(N239)&lt;6,"Partly scored ("&amp;N239&amp;"/6)",IF(O239&gt;=Settings!$S$8,"Hot",IF(O239&gt;=Settings!$S$9,"Warm","Cold"))))</f>
        <v/>
      </c>
      <c r="Q239" s="44" t="str">
        <f aca="false">IF(C239="","",IF(AND(H239="No",J239="No"),"🚩 Budget  ·  🚩 No one on camera",IF(H239="No","🚩 Budget under AED 5k",IF(J239="No","🚩 No one on camera",""))))</f>
        <v/>
      </c>
      <c r="R239" s="44" t="str">
        <f aca="false">IF(C239="","",IF(N(N239)&lt;6,"Finish the scoresheet before closing",IF(P239="Hot","Close now – send the contract / proposal today",IF(P239="Warm","Send proposal + a relevant result; follow up in 3 days","Rep's call – nurture or close politely")))&amp;IF(Q239&lt;&gt;""," (handle the 🚩 first)",""))</f>
        <v/>
      </c>
      <c r="S239" s="17"/>
      <c r="T239" s="17"/>
      <c r="U239" s="44" t="str">
        <f aca="false">IF(C239="","",IF(COUNTIF(C240:C$501,C239)=0,1,0))</f>
        <v/>
      </c>
    </row>
    <row r="240" customFormat="false" ht="15" hidden="false" customHeight="false" outlineLevel="0" collapsed="false">
      <c r="A240" s="17"/>
      <c r="B240" s="40"/>
      <c r="C240" s="17"/>
      <c r="D240" s="44" t="str">
        <f aca="false">IF(C240="","",IFERROR(INDEX(Inbound!$E$2:$E$501,MATCH(C240,Inbound!$A$2:$A$501,0)),IFERROR(INDEX(Outbound!$D$2:$D$501,MATCH(C240,Outbound!$A$2:$A$501,0)),"Lead ID not found")))</f>
        <v/>
      </c>
      <c r="E240" s="44" t="str">
        <f aca="false">IF(C240="","",IFERROR(INDEX(Inbound!$F$2:$F$501,MATCH(C240,Inbound!$A$2:$A$501,0)),IFERROR(INDEX(Outbound!$E$2:$E$501,MATCH(C240,Outbound!$A$2:$A$501,0)),"Lead ID not found")))</f>
        <v/>
      </c>
      <c r="F240" s="17"/>
      <c r="G240" s="17"/>
      <c r="H240" s="17"/>
      <c r="I240" s="17"/>
      <c r="J240" s="17"/>
      <c r="K240" s="17"/>
      <c r="L240" s="17"/>
      <c r="M240" s="17"/>
      <c r="N240" s="44" t="str">
        <f aca="false">IF(C240="","",COUNTA(H240:M240))</f>
        <v/>
      </c>
      <c r="O240" s="44" t="str">
        <f aca="false">IF(OR(C240="",N(N240)=0),"",SUMIFS(Settings!$AA$2:$AA$21,Settings!$Y$2:$Y$21,"Budget AED 5k+/mo?",Settings!$Z$2:$Z$21,H240)+SUMIFS(Settings!$AA$2:$AA$21,Settings!$Y$2:$Y$21,"Decision-maker?",Settings!$Z$2:$Z$21,I240)+SUMIFS(Settings!$AA$2:$AA$21,Settings!$Y$2:$Y$21,"Someone on camera?",Settings!$Z$2:$Z$21,J240)+SUMIFS(Settings!$AA$2:$AA$21,Settings!$Y$2:$Y$21,"OK with 3-month term?",Settings!$Z$2:$Z$21,K240)+SUMIFS(Settings!$AA$2:$AA$21,Settings!$Y$2:$Y$21,"Start timeline",Settings!$Z$2:$Z$21,L240)+SUMIFS(Settings!$AA$2:$AA$21,Settings!$Y$2:$Y$21,"Social media gap",Settings!$Z$2:$Z$21,M240)+IF(OR(E240="",E240="Lead ID not found"),0,IF(COUNTIF(Settings!$AC$2:$AC$6,E240)&gt;0,Settings!$AA$20,Settings!$AA$21)))</f>
        <v/>
      </c>
      <c r="P240" s="44" t="str">
        <f aca="false">IF(C240="","",IF(N(N240)&lt;6,"Partly scored ("&amp;N240&amp;"/6)",IF(O240&gt;=Settings!$S$8,"Hot",IF(O240&gt;=Settings!$S$9,"Warm","Cold"))))</f>
        <v/>
      </c>
      <c r="Q240" s="44" t="str">
        <f aca="false">IF(C240="","",IF(AND(H240="No",J240="No"),"🚩 Budget  ·  🚩 No one on camera",IF(H240="No","🚩 Budget under AED 5k",IF(J240="No","🚩 No one on camera",""))))</f>
        <v/>
      </c>
      <c r="R240" s="44" t="str">
        <f aca="false">IF(C240="","",IF(N(N240)&lt;6,"Finish the scoresheet before closing",IF(P240="Hot","Close now – send the contract / proposal today",IF(P240="Warm","Send proposal + a relevant result; follow up in 3 days","Rep's call – nurture or close politely")))&amp;IF(Q240&lt;&gt;""," (handle the 🚩 first)",""))</f>
        <v/>
      </c>
      <c r="S240" s="17"/>
      <c r="T240" s="17"/>
      <c r="U240" s="44" t="str">
        <f aca="false">IF(C240="","",IF(COUNTIF(C241:C$501,C240)=0,1,0))</f>
        <v/>
      </c>
    </row>
    <row r="241" customFormat="false" ht="15" hidden="false" customHeight="false" outlineLevel="0" collapsed="false">
      <c r="A241" s="17"/>
      <c r="B241" s="40"/>
      <c r="C241" s="17"/>
      <c r="D241" s="44" t="str">
        <f aca="false">IF(C241="","",IFERROR(INDEX(Inbound!$E$2:$E$501,MATCH(C241,Inbound!$A$2:$A$501,0)),IFERROR(INDEX(Outbound!$D$2:$D$501,MATCH(C241,Outbound!$A$2:$A$501,0)),"Lead ID not found")))</f>
        <v/>
      </c>
      <c r="E241" s="44" t="str">
        <f aca="false">IF(C241="","",IFERROR(INDEX(Inbound!$F$2:$F$501,MATCH(C241,Inbound!$A$2:$A$501,0)),IFERROR(INDEX(Outbound!$E$2:$E$501,MATCH(C241,Outbound!$A$2:$A$501,0)),"Lead ID not found")))</f>
        <v/>
      </c>
      <c r="F241" s="17"/>
      <c r="G241" s="17"/>
      <c r="H241" s="17"/>
      <c r="I241" s="17"/>
      <c r="J241" s="17"/>
      <c r="K241" s="17"/>
      <c r="L241" s="17"/>
      <c r="M241" s="17"/>
      <c r="N241" s="44" t="str">
        <f aca="false">IF(C241="","",COUNTA(H241:M241))</f>
        <v/>
      </c>
      <c r="O241" s="44" t="str">
        <f aca="false">IF(OR(C241="",N(N241)=0),"",SUMIFS(Settings!$AA$2:$AA$21,Settings!$Y$2:$Y$21,"Budget AED 5k+/mo?",Settings!$Z$2:$Z$21,H241)+SUMIFS(Settings!$AA$2:$AA$21,Settings!$Y$2:$Y$21,"Decision-maker?",Settings!$Z$2:$Z$21,I241)+SUMIFS(Settings!$AA$2:$AA$21,Settings!$Y$2:$Y$21,"Someone on camera?",Settings!$Z$2:$Z$21,J241)+SUMIFS(Settings!$AA$2:$AA$21,Settings!$Y$2:$Y$21,"OK with 3-month term?",Settings!$Z$2:$Z$21,K241)+SUMIFS(Settings!$AA$2:$AA$21,Settings!$Y$2:$Y$21,"Start timeline",Settings!$Z$2:$Z$21,L241)+SUMIFS(Settings!$AA$2:$AA$21,Settings!$Y$2:$Y$21,"Social media gap",Settings!$Z$2:$Z$21,M241)+IF(OR(E241="",E241="Lead ID not found"),0,IF(COUNTIF(Settings!$AC$2:$AC$6,E241)&gt;0,Settings!$AA$20,Settings!$AA$21)))</f>
        <v/>
      </c>
      <c r="P241" s="44" t="str">
        <f aca="false">IF(C241="","",IF(N(N241)&lt;6,"Partly scored ("&amp;N241&amp;"/6)",IF(O241&gt;=Settings!$S$8,"Hot",IF(O241&gt;=Settings!$S$9,"Warm","Cold"))))</f>
        <v/>
      </c>
      <c r="Q241" s="44" t="str">
        <f aca="false">IF(C241="","",IF(AND(H241="No",J241="No"),"🚩 Budget  ·  🚩 No one on camera",IF(H241="No","🚩 Budget under AED 5k",IF(J241="No","🚩 No one on camera",""))))</f>
        <v/>
      </c>
      <c r="R241" s="44" t="str">
        <f aca="false">IF(C241="","",IF(N(N241)&lt;6,"Finish the scoresheet before closing",IF(P241="Hot","Close now – send the contract / proposal today",IF(P241="Warm","Send proposal + a relevant result; follow up in 3 days","Rep's call – nurture or close politely")))&amp;IF(Q241&lt;&gt;""," (handle the 🚩 first)",""))</f>
        <v/>
      </c>
      <c r="S241" s="17"/>
      <c r="T241" s="17"/>
      <c r="U241" s="44" t="str">
        <f aca="false">IF(C241="","",IF(COUNTIF(C242:C$501,C241)=0,1,0))</f>
        <v/>
      </c>
    </row>
    <row r="242" customFormat="false" ht="15" hidden="false" customHeight="false" outlineLevel="0" collapsed="false">
      <c r="A242" s="17"/>
      <c r="B242" s="40"/>
      <c r="C242" s="17"/>
      <c r="D242" s="44" t="str">
        <f aca="false">IF(C242="","",IFERROR(INDEX(Inbound!$E$2:$E$501,MATCH(C242,Inbound!$A$2:$A$501,0)),IFERROR(INDEX(Outbound!$D$2:$D$501,MATCH(C242,Outbound!$A$2:$A$501,0)),"Lead ID not found")))</f>
        <v/>
      </c>
      <c r="E242" s="44" t="str">
        <f aca="false">IF(C242="","",IFERROR(INDEX(Inbound!$F$2:$F$501,MATCH(C242,Inbound!$A$2:$A$501,0)),IFERROR(INDEX(Outbound!$E$2:$E$501,MATCH(C242,Outbound!$A$2:$A$501,0)),"Lead ID not found")))</f>
        <v/>
      </c>
      <c r="F242" s="17"/>
      <c r="G242" s="17"/>
      <c r="H242" s="17"/>
      <c r="I242" s="17"/>
      <c r="J242" s="17"/>
      <c r="K242" s="17"/>
      <c r="L242" s="17"/>
      <c r="M242" s="17"/>
      <c r="N242" s="44" t="str">
        <f aca="false">IF(C242="","",COUNTA(H242:M242))</f>
        <v/>
      </c>
      <c r="O242" s="44" t="str">
        <f aca="false">IF(OR(C242="",N(N242)=0),"",SUMIFS(Settings!$AA$2:$AA$21,Settings!$Y$2:$Y$21,"Budget AED 5k+/mo?",Settings!$Z$2:$Z$21,H242)+SUMIFS(Settings!$AA$2:$AA$21,Settings!$Y$2:$Y$21,"Decision-maker?",Settings!$Z$2:$Z$21,I242)+SUMIFS(Settings!$AA$2:$AA$21,Settings!$Y$2:$Y$21,"Someone on camera?",Settings!$Z$2:$Z$21,J242)+SUMIFS(Settings!$AA$2:$AA$21,Settings!$Y$2:$Y$21,"OK with 3-month term?",Settings!$Z$2:$Z$21,K242)+SUMIFS(Settings!$AA$2:$AA$21,Settings!$Y$2:$Y$21,"Start timeline",Settings!$Z$2:$Z$21,L242)+SUMIFS(Settings!$AA$2:$AA$21,Settings!$Y$2:$Y$21,"Social media gap",Settings!$Z$2:$Z$21,M242)+IF(OR(E242="",E242="Lead ID not found"),0,IF(COUNTIF(Settings!$AC$2:$AC$6,E242)&gt;0,Settings!$AA$20,Settings!$AA$21)))</f>
        <v/>
      </c>
      <c r="P242" s="44" t="str">
        <f aca="false">IF(C242="","",IF(N(N242)&lt;6,"Partly scored ("&amp;N242&amp;"/6)",IF(O242&gt;=Settings!$S$8,"Hot",IF(O242&gt;=Settings!$S$9,"Warm","Cold"))))</f>
        <v/>
      </c>
      <c r="Q242" s="44" t="str">
        <f aca="false">IF(C242="","",IF(AND(H242="No",J242="No"),"🚩 Budget  ·  🚩 No one on camera",IF(H242="No","🚩 Budget under AED 5k",IF(J242="No","🚩 No one on camera",""))))</f>
        <v/>
      </c>
      <c r="R242" s="44" t="str">
        <f aca="false">IF(C242="","",IF(N(N242)&lt;6,"Finish the scoresheet before closing",IF(P242="Hot","Close now – send the contract / proposal today",IF(P242="Warm","Send proposal + a relevant result; follow up in 3 days","Rep's call – nurture or close politely")))&amp;IF(Q242&lt;&gt;""," (handle the 🚩 first)",""))</f>
        <v/>
      </c>
      <c r="S242" s="17"/>
      <c r="T242" s="17"/>
      <c r="U242" s="44" t="str">
        <f aca="false">IF(C242="","",IF(COUNTIF(C243:C$501,C242)=0,1,0))</f>
        <v/>
      </c>
    </row>
    <row r="243" customFormat="false" ht="15" hidden="false" customHeight="false" outlineLevel="0" collapsed="false">
      <c r="A243" s="17"/>
      <c r="B243" s="40"/>
      <c r="C243" s="17"/>
      <c r="D243" s="44" t="str">
        <f aca="false">IF(C243="","",IFERROR(INDEX(Inbound!$E$2:$E$501,MATCH(C243,Inbound!$A$2:$A$501,0)),IFERROR(INDEX(Outbound!$D$2:$D$501,MATCH(C243,Outbound!$A$2:$A$501,0)),"Lead ID not found")))</f>
        <v/>
      </c>
      <c r="E243" s="44" t="str">
        <f aca="false">IF(C243="","",IFERROR(INDEX(Inbound!$F$2:$F$501,MATCH(C243,Inbound!$A$2:$A$501,0)),IFERROR(INDEX(Outbound!$E$2:$E$501,MATCH(C243,Outbound!$A$2:$A$501,0)),"Lead ID not found")))</f>
        <v/>
      </c>
      <c r="F243" s="17"/>
      <c r="G243" s="17"/>
      <c r="H243" s="17"/>
      <c r="I243" s="17"/>
      <c r="J243" s="17"/>
      <c r="K243" s="17"/>
      <c r="L243" s="17"/>
      <c r="M243" s="17"/>
      <c r="N243" s="44" t="str">
        <f aca="false">IF(C243="","",COUNTA(H243:M243))</f>
        <v/>
      </c>
      <c r="O243" s="44" t="str">
        <f aca="false">IF(OR(C243="",N(N243)=0),"",SUMIFS(Settings!$AA$2:$AA$21,Settings!$Y$2:$Y$21,"Budget AED 5k+/mo?",Settings!$Z$2:$Z$21,H243)+SUMIFS(Settings!$AA$2:$AA$21,Settings!$Y$2:$Y$21,"Decision-maker?",Settings!$Z$2:$Z$21,I243)+SUMIFS(Settings!$AA$2:$AA$21,Settings!$Y$2:$Y$21,"Someone on camera?",Settings!$Z$2:$Z$21,J243)+SUMIFS(Settings!$AA$2:$AA$21,Settings!$Y$2:$Y$21,"OK with 3-month term?",Settings!$Z$2:$Z$21,K243)+SUMIFS(Settings!$AA$2:$AA$21,Settings!$Y$2:$Y$21,"Start timeline",Settings!$Z$2:$Z$21,L243)+SUMIFS(Settings!$AA$2:$AA$21,Settings!$Y$2:$Y$21,"Social media gap",Settings!$Z$2:$Z$21,M243)+IF(OR(E243="",E243="Lead ID not found"),0,IF(COUNTIF(Settings!$AC$2:$AC$6,E243)&gt;0,Settings!$AA$20,Settings!$AA$21)))</f>
        <v/>
      </c>
      <c r="P243" s="44" t="str">
        <f aca="false">IF(C243="","",IF(N(N243)&lt;6,"Partly scored ("&amp;N243&amp;"/6)",IF(O243&gt;=Settings!$S$8,"Hot",IF(O243&gt;=Settings!$S$9,"Warm","Cold"))))</f>
        <v/>
      </c>
      <c r="Q243" s="44" t="str">
        <f aca="false">IF(C243="","",IF(AND(H243="No",J243="No"),"🚩 Budget  ·  🚩 No one on camera",IF(H243="No","🚩 Budget under AED 5k",IF(J243="No","🚩 No one on camera",""))))</f>
        <v/>
      </c>
      <c r="R243" s="44" t="str">
        <f aca="false">IF(C243="","",IF(N(N243)&lt;6,"Finish the scoresheet before closing",IF(P243="Hot","Close now – send the contract / proposal today",IF(P243="Warm","Send proposal + a relevant result; follow up in 3 days","Rep's call – nurture or close politely")))&amp;IF(Q243&lt;&gt;""," (handle the 🚩 first)",""))</f>
        <v/>
      </c>
      <c r="S243" s="17"/>
      <c r="T243" s="17"/>
      <c r="U243" s="44" t="str">
        <f aca="false">IF(C243="","",IF(COUNTIF(C244:C$501,C243)=0,1,0))</f>
        <v/>
      </c>
    </row>
    <row r="244" customFormat="false" ht="15" hidden="false" customHeight="false" outlineLevel="0" collapsed="false">
      <c r="A244" s="17"/>
      <c r="B244" s="40"/>
      <c r="C244" s="17"/>
      <c r="D244" s="44" t="str">
        <f aca="false">IF(C244="","",IFERROR(INDEX(Inbound!$E$2:$E$501,MATCH(C244,Inbound!$A$2:$A$501,0)),IFERROR(INDEX(Outbound!$D$2:$D$501,MATCH(C244,Outbound!$A$2:$A$501,0)),"Lead ID not found")))</f>
        <v/>
      </c>
      <c r="E244" s="44" t="str">
        <f aca="false">IF(C244="","",IFERROR(INDEX(Inbound!$F$2:$F$501,MATCH(C244,Inbound!$A$2:$A$501,0)),IFERROR(INDEX(Outbound!$E$2:$E$501,MATCH(C244,Outbound!$A$2:$A$501,0)),"Lead ID not found")))</f>
        <v/>
      </c>
      <c r="F244" s="17"/>
      <c r="G244" s="17"/>
      <c r="H244" s="17"/>
      <c r="I244" s="17"/>
      <c r="J244" s="17"/>
      <c r="K244" s="17"/>
      <c r="L244" s="17"/>
      <c r="M244" s="17"/>
      <c r="N244" s="44" t="str">
        <f aca="false">IF(C244="","",COUNTA(H244:M244))</f>
        <v/>
      </c>
      <c r="O244" s="44" t="str">
        <f aca="false">IF(OR(C244="",N(N244)=0),"",SUMIFS(Settings!$AA$2:$AA$21,Settings!$Y$2:$Y$21,"Budget AED 5k+/mo?",Settings!$Z$2:$Z$21,H244)+SUMIFS(Settings!$AA$2:$AA$21,Settings!$Y$2:$Y$21,"Decision-maker?",Settings!$Z$2:$Z$21,I244)+SUMIFS(Settings!$AA$2:$AA$21,Settings!$Y$2:$Y$21,"Someone on camera?",Settings!$Z$2:$Z$21,J244)+SUMIFS(Settings!$AA$2:$AA$21,Settings!$Y$2:$Y$21,"OK with 3-month term?",Settings!$Z$2:$Z$21,K244)+SUMIFS(Settings!$AA$2:$AA$21,Settings!$Y$2:$Y$21,"Start timeline",Settings!$Z$2:$Z$21,L244)+SUMIFS(Settings!$AA$2:$AA$21,Settings!$Y$2:$Y$21,"Social media gap",Settings!$Z$2:$Z$21,M244)+IF(OR(E244="",E244="Lead ID not found"),0,IF(COUNTIF(Settings!$AC$2:$AC$6,E244)&gt;0,Settings!$AA$20,Settings!$AA$21)))</f>
        <v/>
      </c>
      <c r="P244" s="44" t="str">
        <f aca="false">IF(C244="","",IF(N(N244)&lt;6,"Partly scored ("&amp;N244&amp;"/6)",IF(O244&gt;=Settings!$S$8,"Hot",IF(O244&gt;=Settings!$S$9,"Warm","Cold"))))</f>
        <v/>
      </c>
      <c r="Q244" s="44" t="str">
        <f aca="false">IF(C244="","",IF(AND(H244="No",J244="No"),"🚩 Budget  ·  🚩 No one on camera",IF(H244="No","🚩 Budget under AED 5k",IF(J244="No","🚩 No one on camera",""))))</f>
        <v/>
      </c>
      <c r="R244" s="44" t="str">
        <f aca="false">IF(C244="","",IF(N(N244)&lt;6,"Finish the scoresheet before closing",IF(P244="Hot","Close now – send the contract / proposal today",IF(P244="Warm","Send proposal + a relevant result; follow up in 3 days","Rep's call – nurture or close politely")))&amp;IF(Q244&lt;&gt;""," (handle the 🚩 first)",""))</f>
        <v/>
      </c>
      <c r="S244" s="17"/>
      <c r="T244" s="17"/>
      <c r="U244" s="44" t="str">
        <f aca="false">IF(C244="","",IF(COUNTIF(C245:C$501,C244)=0,1,0))</f>
        <v/>
      </c>
    </row>
    <row r="245" customFormat="false" ht="15" hidden="false" customHeight="false" outlineLevel="0" collapsed="false">
      <c r="A245" s="17"/>
      <c r="B245" s="40"/>
      <c r="C245" s="17"/>
      <c r="D245" s="44" t="str">
        <f aca="false">IF(C245="","",IFERROR(INDEX(Inbound!$E$2:$E$501,MATCH(C245,Inbound!$A$2:$A$501,0)),IFERROR(INDEX(Outbound!$D$2:$D$501,MATCH(C245,Outbound!$A$2:$A$501,0)),"Lead ID not found")))</f>
        <v/>
      </c>
      <c r="E245" s="44" t="str">
        <f aca="false">IF(C245="","",IFERROR(INDEX(Inbound!$F$2:$F$501,MATCH(C245,Inbound!$A$2:$A$501,0)),IFERROR(INDEX(Outbound!$E$2:$E$501,MATCH(C245,Outbound!$A$2:$A$501,0)),"Lead ID not found")))</f>
        <v/>
      </c>
      <c r="F245" s="17"/>
      <c r="G245" s="17"/>
      <c r="H245" s="17"/>
      <c r="I245" s="17"/>
      <c r="J245" s="17"/>
      <c r="K245" s="17"/>
      <c r="L245" s="17"/>
      <c r="M245" s="17"/>
      <c r="N245" s="44" t="str">
        <f aca="false">IF(C245="","",COUNTA(H245:M245))</f>
        <v/>
      </c>
      <c r="O245" s="44" t="str">
        <f aca="false">IF(OR(C245="",N(N245)=0),"",SUMIFS(Settings!$AA$2:$AA$21,Settings!$Y$2:$Y$21,"Budget AED 5k+/mo?",Settings!$Z$2:$Z$21,H245)+SUMIFS(Settings!$AA$2:$AA$21,Settings!$Y$2:$Y$21,"Decision-maker?",Settings!$Z$2:$Z$21,I245)+SUMIFS(Settings!$AA$2:$AA$21,Settings!$Y$2:$Y$21,"Someone on camera?",Settings!$Z$2:$Z$21,J245)+SUMIFS(Settings!$AA$2:$AA$21,Settings!$Y$2:$Y$21,"OK with 3-month term?",Settings!$Z$2:$Z$21,K245)+SUMIFS(Settings!$AA$2:$AA$21,Settings!$Y$2:$Y$21,"Start timeline",Settings!$Z$2:$Z$21,L245)+SUMIFS(Settings!$AA$2:$AA$21,Settings!$Y$2:$Y$21,"Social media gap",Settings!$Z$2:$Z$21,M245)+IF(OR(E245="",E245="Lead ID not found"),0,IF(COUNTIF(Settings!$AC$2:$AC$6,E245)&gt;0,Settings!$AA$20,Settings!$AA$21)))</f>
        <v/>
      </c>
      <c r="P245" s="44" t="str">
        <f aca="false">IF(C245="","",IF(N(N245)&lt;6,"Partly scored ("&amp;N245&amp;"/6)",IF(O245&gt;=Settings!$S$8,"Hot",IF(O245&gt;=Settings!$S$9,"Warm","Cold"))))</f>
        <v/>
      </c>
      <c r="Q245" s="44" t="str">
        <f aca="false">IF(C245="","",IF(AND(H245="No",J245="No"),"🚩 Budget  ·  🚩 No one on camera",IF(H245="No","🚩 Budget under AED 5k",IF(J245="No","🚩 No one on camera",""))))</f>
        <v/>
      </c>
      <c r="R245" s="44" t="str">
        <f aca="false">IF(C245="","",IF(N(N245)&lt;6,"Finish the scoresheet before closing",IF(P245="Hot","Close now – send the contract / proposal today",IF(P245="Warm","Send proposal + a relevant result; follow up in 3 days","Rep's call – nurture or close politely")))&amp;IF(Q245&lt;&gt;""," (handle the 🚩 first)",""))</f>
        <v/>
      </c>
      <c r="S245" s="17"/>
      <c r="T245" s="17"/>
      <c r="U245" s="44" t="str">
        <f aca="false">IF(C245="","",IF(COUNTIF(C246:C$501,C245)=0,1,0))</f>
        <v/>
      </c>
    </row>
    <row r="246" customFormat="false" ht="15" hidden="false" customHeight="false" outlineLevel="0" collapsed="false">
      <c r="A246" s="17"/>
      <c r="B246" s="40"/>
      <c r="C246" s="17"/>
      <c r="D246" s="44" t="str">
        <f aca="false">IF(C246="","",IFERROR(INDEX(Inbound!$E$2:$E$501,MATCH(C246,Inbound!$A$2:$A$501,0)),IFERROR(INDEX(Outbound!$D$2:$D$501,MATCH(C246,Outbound!$A$2:$A$501,0)),"Lead ID not found")))</f>
        <v/>
      </c>
      <c r="E246" s="44" t="str">
        <f aca="false">IF(C246="","",IFERROR(INDEX(Inbound!$F$2:$F$501,MATCH(C246,Inbound!$A$2:$A$501,0)),IFERROR(INDEX(Outbound!$E$2:$E$501,MATCH(C246,Outbound!$A$2:$A$501,0)),"Lead ID not found")))</f>
        <v/>
      </c>
      <c r="F246" s="17"/>
      <c r="G246" s="17"/>
      <c r="H246" s="17"/>
      <c r="I246" s="17"/>
      <c r="J246" s="17"/>
      <c r="K246" s="17"/>
      <c r="L246" s="17"/>
      <c r="M246" s="17"/>
      <c r="N246" s="44" t="str">
        <f aca="false">IF(C246="","",COUNTA(H246:M246))</f>
        <v/>
      </c>
      <c r="O246" s="44" t="str">
        <f aca="false">IF(OR(C246="",N(N246)=0),"",SUMIFS(Settings!$AA$2:$AA$21,Settings!$Y$2:$Y$21,"Budget AED 5k+/mo?",Settings!$Z$2:$Z$21,H246)+SUMIFS(Settings!$AA$2:$AA$21,Settings!$Y$2:$Y$21,"Decision-maker?",Settings!$Z$2:$Z$21,I246)+SUMIFS(Settings!$AA$2:$AA$21,Settings!$Y$2:$Y$21,"Someone on camera?",Settings!$Z$2:$Z$21,J246)+SUMIFS(Settings!$AA$2:$AA$21,Settings!$Y$2:$Y$21,"OK with 3-month term?",Settings!$Z$2:$Z$21,K246)+SUMIFS(Settings!$AA$2:$AA$21,Settings!$Y$2:$Y$21,"Start timeline",Settings!$Z$2:$Z$21,L246)+SUMIFS(Settings!$AA$2:$AA$21,Settings!$Y$2:$Y$21,"Social media gap",Settings!$Z$2:$Z$21,M246)+IF(OR(E246="",E246="Lead ID not found"),0,IF(COUNTIF(Settings!$AC$2:$AC$6,E246)&gt;0,Settings!$AA$20,Settings!$AA$21)))</f>
        <v/>
      </c>
      <c r="P246" s="44" t="str">
        <f aca="false">IF(C246="","",IF(N(N246)&lt;6,"Partly scored ("&amp;N246&amp;"/6)",IF(O246&gt;=Settings!$S$8,"Hot",IF(O246&gt;=Settings!$S$9,"Warm","Cold"))))</f>
        <v/>
      </c>
      <c r="Q246" s="44" t="str">
        <f aca="false">IF(C246="","",IF(AND(H246="No",J246="No"),"🚩 Budget  ·  🚩 No one on camera",IF(H246="No","🚩 Budget under AED 5k",IF(J246="No","🚩 No one on camera",""))))</f>
        <v/>
      </c>
      <c r="R246" s="44" t="str">
        <f aca="false">IF(C246="","",IF(N(N246)&lt;6,"Finish the scoresheet before closing",IF(P246="Hot","Close now – send the contract / proposal today",IF(P246="Warm","Send proposal + a relevant result; follow up in 3 days","Rep's call – nurture or close politely")))&amp;IF(Q246&lt;&gt;""," (handle the 🚩 first)",""))</f>
        <v/>
      </c>
      <c r="S246" s="17"/>
      <c r="T246" s="17"/>
      <c r="U246" s="44" t="str">
        <f aca="false">IF(C246="","",IF(COUNTIF(C247:C$501,C246)=0,1,0))</f>
        <v/>
      </c>
    </row>
    <row r="247" customFormat="false" ht="15" hidden="false" customHeight="false" outlineLevel="0" collapsed="false">
      <c r="A247" s="17"/>
      <c r="B247" s="40"/>
      <c r="C247" s="17"/>
      <c r="D247" s="44" t="str">
        <f aca="false">IF(C247="","",IFERROR(INDEX(Inbound!$E$2:$E$501,MATCH(C247,Inbound!$A$2:$A$501,0)),IFERROR(INDEX(Outbound!$D$2:$D$501,MATCH(C247,Outbound!$A$2:$A$501,0)),"Lead ID not found")))</f>
        <v/>
      </c>
      <c r="E247" s="44" t="str">
        <f aca="false">IF(C247="","",IFERROR(INDEX(Inbound!$F$2:$F$501,MATCH(C247,Inbound!$A$2:$A$501,0)),IFERROR(INDEX(Outbound!$E$2:$E$501,MATCH(C247,Outbound!$A$2:$A$501,0)),"Lead ID not found")))</f>
        <v/>
      </c>
      <c r="F247" s="17"/>
      <c r="G247" s="17"/>
      <c r="H247" s="17"/>
      <c r="I247" s="17"/>
      <c r="J247" s="17"/>
      <c r="K247" s="17"/>
      <c r="L247" s="17"/>
      <c r="M247" s="17"/>
      <c r="N247" s="44" t="str">
        <f aca="false">IF(C247="","",COUNTA(H247:M247))</f>
        <v/>
      </c>
      <c r="O247" s="44" t="str">
        <f aca="false">IF(OR(C247="",N(N247)=0),"",SUMIFS(Settings!$AA$2:$AA$21,Settings!$Y$2:$Y$21,"Budget AED 5k+/mo?",Settings!$Z$2:$Z$21,H247)+SUMIFS(Settings!$AA$2:$AA$21,Settings!$Y$2:$Y$21,"Decision-maker?",Settings!$Z$2:$Z$21,I247)+SUMIFS(Settings!$AA$2:$AA$21,Settings!$Y$2:$Y$21,"Someone on camera?",Settings!$Z$2:$Z$21,J247)+SUMIFS(Settings!$AA$2:$AA$21,Settings!$Y$2:$Y$21,"OK with 3-month term?",Settings!$Z$2:$Z$21,K247)+SUMIFS(Settings!$AA$2:$AA$21,Settings!$Y$2:$Y$21,"Start timeline",Settings!$Z$2:$Z$21,L247)+SUMIFS(Settings!$AA$2:$AA$21,Settings!$Y$2:$Y$21,"Social media gap",Settings!$Z$2:$Z$21,M247)+IF(OR(E247="",E247="Lead ID not found"),0,IF(COUNTIF(Settings!$AC$2:$AC$6,E247)&gt;0,Settings!$AA$20,Settings!$AA$21)))</f>
        <v/>
      </c>
      <c r="P247" s="44" t="str">
        <f aca="false">IF(C247="","",IF(N(N247)&lt;6,"Partly scored ("&amp;N247&amp;"/6)",IF(O247&gt;=Settings!$S$8,"Hot",IF(O247&gt;=Settings!$S$9,"Warm","Cold"))))</f>
        <v/>
      </c>
      <c r="Q247" s="44" t="str">
        <f aca="false">IF(C247="","",IF(AND(H247="No",J247="No"),"🚩 Budget  ·  🚩 No one on camera",IF(H247="No","🚩 Budget under AED 5k",IF(J247="No","🚩 No one on camera",""))))</f>
        <v/>
      </c>
      <c r="R247" s="44" t="str">
        <f aca="false">IF(C247="","",IF(N(N247)&lt;6,"Finish the scoresheet before closing",IF(P247="Hot","Close now – send the contract / proposal today",IF(P247="Warm","Send proposal + a relevant result; follow up in 3 days","Rep's call – nurture or close politely")))&amp;IF(Q247&lt;&gt;""," (handle the 🚩 first)",""))</f>
        <v/>
      </c>
      <c r="S247" s="17"/>
      <c r="T247" s="17"/>
      <c r="U247" s="44" t="str">
        <f aca="false">IF(C247="","",IF(COUNTIF(C248:C$501,C247)=0,1,0))</f>
        <v/>
      </c>
    </row>
    <row r="248" customFormat="false" ht="15" hidden="false" customHeight="false" outlineLevel="0" collapsed="false">
      <c r="A248" s="17"/>
      <c r="B248" s="40"/>
      <c r="C248" s="17"/>
      <c r="D248" s="44" t="str">
        <f aca="false">IF(C248="","",IFERROR(INDEX(Inbound!$E$2:$E$501,MATCH(C248,Inbound!$A$2:$A$501,0)),IFERROR(INDEX(Outbound!$D$2:$D$501,MATCH(C248,Outbound!$A$2:$A$501,0)),"Lead ID not found")))</f>
        <v/>
      </c>
      <c r="E248" s="44" t="str">
        <f aca="false">IF(C248="","",IFERROR(INDEX(Inbound!$F$2:$F$501,MATCH(C248,Inbound!$A$2:$A$501,0)),IFERROR(INDEX(Outbound!$E$2:$E$501,MATCH(C248,Outbound!$A$2:$A$501,0)),"Lead ID not found")))</f>
        <v/>
      </c>
      <c r="F248" s="17"/>
      <c r="G248" s="17"/>
      <c r="H248" s="17"/>
      <c r="I248" s="17"/>
      <c r="J248" s="17"/>
      <c r="K248" s="17"/>
      <c r="L248" s="17"/>
      <c r="M248" s="17"/>
      <c r="N248" s="44" t="str">
        <f aca="false">IF(C248="","",COUNTA(H248:M248))</f>
        <v/>
      </c>
      <c r="O248" s="44" t="str">
        <f aca="false">IF(OR(C248="",N(N248)=0),"",SUMIFS(Settings!$AA$2:$AA$21,Settings!$Y$2:$Y$21,"Budget AED 5k+/mo?",Settings!$Z$2:$Z$21,H248)+SUMIFS(Settings!$AA$2:$AA$21,Settings!$Y$2:$Y$21,"Decision-maker?",Settings!$Z$2:$Z$21,I248)+SUMIFS(Settings!$AA$2:$AA$21,Settings!$Y$2:$Y$21,"Someone on camera?",Settings!$Z$2:$Z$21,J248)+SUMIFS(Settings!$AA$2:$AA$21,Settings!$Y$2:$Y$21,"OK with 3-month term?",Settings!$Z$2:$Z$21,K248)+SUMIFS(Settings!$AA$2:$AA$21,Settings!$Y$2:$Y$21,"Start timeline",Settings!$Z$2:$Z$21,L248)+SUMIFS(Settings!$AA$2:$AA$21,Settings!$Y$2:$Y$21,"Social media gap",Settings!$Z$2:$Z$21,M248)+IF(OR(E248="",E248="Lead ID not found"),0,IF(COUNTIF(Settings!$AC$2:$AC$6,E248)&gt;0,Settings!$AA$20,Settings!$AA$21)))</f>
        <v/>
      </c>
      <c r="P248" s="44" t="str">
        <f aca="false">IF(C248="","",IF(N(N248)&lt;6,"Partly scored ("&amp;N248&amp;"/6)",IF(O248&gt;=Settings!$S$8,"Hot",IF(O248&gt;=Settings!$S$9,"Warm","Cold"))))</f>
        <v/>
      </c>
      <c r="Q248" s="44" t="str">
        <f aca="false">IF(C248="","",IF(AND(H248="No",J248="No"),"🚩 Budget  ·  🚩 No one on camera",IF(H248="No","🚩 Budget under AED 5k",IF(J248="No","🚩 No one on camera",""))))</f>
        <v/>
      </c>
      <c r="R248" s="44" t="str">
        <f aca="false">IF(C248="","",IF(N(N248)&lt;6,"Finish the scoresheet before closing",IF(P248="Hot","Close now – send the contract / proposal today",IF(P248="Warm","Send proposal + a relevant result; follow up in 3 days","Rep's call – nurture or close politely")))&amp;IF(Q248&lt;&gt;""," (handle the 🚩 first)",""))</f>
        <v/>
      </c>
      <c r="S248" s="17"/>
      <c r="T248" s="17"/>
      <c r="U248" s="44" t="str">
        <f aca="false">IF(C248="","",IF(COUNTIF(C249:C$501,C248)=0,1,0))</f>
        <v/>
      </c>
    </row>
    <row r="249" customFormat="false" ht="15" hidden="false" customHeight="false" outlineLevel="0" collapsed="false">
      <c r="A249" s="17"/>
      <c r="B249" s="40"/>
      <c r="C249" s="17"/>
      <c r="D249" s="44" t="str">
        <f aca="false">IF(C249="","",IFERROR(INDEX(Inbound!$E$2:$E$501,MATCH(C249,Inbound!$A$2:$A$501,0)),IFERROR(INDEX(Outbound!$D$2:$D$501,MATCH(C249,Outbound!$A$2:$A$501,0)),"Lead ID not found")))</f>
        <v/>
      </c>
      <c r="E249" s="44" t="str">
        <f aca="false">IF(C249="","",IFERROR(INDEX(Inbound!$F$2:$F$501,MATCH(C249,Inbound!$A$2:$A$501,0)),IFERROR(INDEX(Outbound!$E$2:$E$501,MATCH(C249,Outbound!$A$2:$A$501,0)),"Lead ID not found")))</f>
        <v/>
      </c>
      <c r="F249" s="17"/>
      <c r="G249" s="17"/>
      <c r="H249" s="17"/>
      <c r="I249" s="17"/>
      <c r="J249" s="17"/>
      <c r="K249" s="17"/>
      <c r="L249" s="17"/>
      <c r="M249" s="17"/>
      <c r="N249" s="44" t="str">
        <f aca="false">IF(C249="","",COUNTA(H249:M249))</f>
        <v/>
      </c>
      <c r="O249" s="44" t="str">
        <f aca="false">IF(OR(C249="",N(N249)=0),"",SUMIFS(Settings!$AA$2:$AA$21,Settings!$Y$2:$Y$21,"Budget AED 5k+/mo?",Settings!$Z$2:$Z$21,H249)+SUMIFS(Settings!$AA$2:$AA$21,Settings!$Y$2:$Y$21,"Decision-maker?",Settings!$Z$2:$Z$21,I249)+SUMIFS(Settings!$AA$2:$AA$21,Settings!$Y$2:$Y$21,"Someone on camera?",Settings!$Z$2:$Z$21,J249)+SUMIFS(Settings!$AA$2:$AA$21,Settings!$Y$2:$Y$21,"OK with 3-month term?",Settings!$Z$2:$Z$21,K249)+SUMIFS(Settings!$AA$2:$AA$21,Settings!$Y$2:$Y$21,"Start timeline",Settings!$Z$2:$Z$21,L249)+SUMIFS(Settings!$AA$2:$AA$21,Settings!$Y$2:$Y$21,"Social media gap",Settings!$Z$2:$Z$21,M249)+IF(OR(E249="",E249="Lead ID not found"),0,IF(COUNTIF(Settings!$AC$2:$AC$6,E249)&gt;0,Settings!$AA$20,Settings!$AA$21)))</f>
        <v/>
      </c>
      <c r="P249" s="44" t="str">
        <f aca="false">IF(C249="","",IF(N(N249)&lt;6,"Partly scored ("&amp;N249&amp;"/6)",IF(O249&gt;=Settings!$S$8,"Hot",IF(O249&gt;=Settings!$S$9,"Warm","Cold"))))</f>
        <v/>
      </c>
      <c r="Q249" s="44" t="str">
        <f aca="false">IF(C249="","",IF(AND(H249="No",J249="No"),"🚩 Budget  ·  🚩 No one on camera",IF(H249="No","🚩 Budget under AED 5k",IF(J249="No","🚩 No one on camera",""))))</f>
        <v/>
      </c>
      <c r="R249" s="44" t="str">
        <f aca="false">IF(C249="","",IF(N(N249)&lt;6,"Finish the scoresheet before closing",IF(P249="Hot","Close now – send the contract / proposal today",IF(P249="Warm","Send proposal + a relevant result; follow up in 3 days","Rep's call – nurture or close politely")))&amp;IF(Q249&lt;&gt;""," (handle the 🚩 first)",""))</f>
        <v/>
      </c>
      <c r="S249" s="17"/>
      <c r="T249" s="17"/>
      <c r="U249" s="44" t="str">
        <f aca="false">IF(C249="","",IF(COUNTIF(C250:C$501,C249)=0,1,0))</f>
        <v/>
      </c>
    </row>
    <row r="250" customFormat="false" ht="15" hidden="false" customHeight="false" outlineLevel="0" collapsed="false">
      <c r="A250" s="17"/>
      <c r="B250" s="40"/>
      <c r="C250" s="17"/>
      <c r="D250" s="44" t="str">
        <f aca="false">IF(C250="","",IFERROR(INDEX(Inbound!$E$2:$E$501,MATCH(C250,Inbound!$A$2:$A$501,0)),IFERROR(INDEX(Outbound!$D$2:$D$501,MATCH(C250,Outbound!$A$2:$A$501,0)),"Lead ID not found")))</f>
        <v/>
      </c>
      <c r="E250" s="44" t="str">
        <f aca="false">IF(C250="","",IFERROR(INDEX(Inbound!$F$2:$F$501,MATCH(C250,Inbound!$A$2:$A$501,0)),IFERROR(INDEX(Outbound!$E$2:$E$501,MATCH(C250,Outbound!$A$2:$A$501,0)),"Lead ID not found")))</f>
        <v/>
      </c>
      <c r="F250" s="17"/>
      <c r="G250" s="17"/>
      <c r="H250" s="17"/>
      <c r="I250" s="17"/>
      <c r="J250" s="17"/>
      <c r="K250" s="17"/>
      <c r="L250" s="17"/>
      <c r="M250" s="17"/>
      <c r="N250" s="44" t="str">
        <f aca="false">IF(C250="","",COUNTA(H250:M250))</f>
        <v/>
      </c>
      <c r="O250" s="44" t="str">
        <f aca="false">IF(OR(C250="",N(N250)=0),"",SUMIFS(Settings!$AA$2:$AA$21,Settings!$Y$2:$Y$21,"Budget AED 5k+/mo?",Settings!$Z$2:$Z$21,H250)+SUMIFS(Settings!$AA$2:$AA$21,Settings!$Y$2:$Y$21,"Decision-maker?",Settings!$Z$2:$Z$21,I250)+SUMIFS(Settings!$AA$2:$AA$21,Settings!$Y$2:$Y$21,"Someone on camera?",Settings!$Z$2:$Z$21,J250)+SUMIFS(Settings!$AA$2:$AA$21,Settings!$Y$2:$Y$21,"OK with 3-month term?",Settings!$Z$2:$Z$21,K250)+SUMIFS(Settings!$AA$2:$AA$21,Settings!$Y$2:$Y$21,"Start timeline",Settings!$Z$2:$Z$21,L250)+SUMIFS(Settings!$AA$2:$AA$21,Settings!$Y$2:$Y$21,"Social media gap",Settings!$Z$2:$Z$21,M250)+IF(OR(E250="",E250="Lead ID not found"),0,IF(COUNTIF(Settings!$AC$2:$AC$6,E250)&gt;0,Settings!$AA$20,Settings!$AA$21)))</f>
        <v/>
      </c>
      <c r="P250" s="44" t="str">
        <f aca="false">IF(C250="","",IF(N(N250)&lt;6,"Partly scored ("&amp;N250&amp;"/6)",IF(O250&gt;=Settings!$S$8,"Hot",IF(O250&gt;=Settings!$S$9,"Warm","Cold"))))</f>
        <v/>
      </c>
      <c r="Q250" s="44" t="str">
        <f aca="false">IF(C250="","",IF(AND(H250="No",J250="No"),"🚩 Budget  ·  🚩 No one on camera",IF(H250="No","🚩 Budget under AED 5k",IF(J250="No","🚩 No one on camera",""))))</f>
        <v/>
      </c>
      <c r="R250" s="44" t="str">
        <f aca="false">IF(C250="","",IF(N(N250)&lt;6,"Finish the scoresheet before closing",IF(P250="Hot","Close now – send the contract / proposal today",IF(P250="Warm","Send proposal + a relevant result; follow up in 3 days","Rep's call – nurture or close politely")))&amp;IF(Q250&lt;&gt;""," (handle the 🚩 first)",""))</f>
        <v/>
      </c>
      <c r="S250" s="17"/>
      <c r="T250" s="17"/>
      <c r="U250" s="44" t="str">
        <f aca="false">IF(C250="","",IF(COUNTIF(C251:C$501,C250)=0,1,0))</f>
        <v/>
      </c>
    </row>
    <row r="251" customFormat="false" ht="15" hidden="false" customHeight="false" outlineLevel="0" collapsed="false">
      <c r="A251" s="17"/>
      <c r="B251" s="40"/>
      <c r="C251" s="17"/>
      <c r="D251" s="44" t="str">
        <f aca="false">IF(C251="","",IFERROR(INDEX(Inbound!$E$2:$E$501,MATCH(C251,Inbound!$A$2:$A$501,0)),IFERROR(INDEX(Outbound!$D$2:$D$501,MATCH(C251,Outbound!$A$2:$A$501,0)),"Lead ID not found")))</f>
        <v/>
      </c>
      <c r="E251" s="44" t="str">
        <f aca="false">IF(C251="","",IFERROR(INDEX(Inbound!$F$2:$F$501,MATCH(C251,Inbound!$A$2:$A$501,0)),IFERROR(INDEX(Outbound!$E$2:$E$501,MATCH(C251,Outbound!$A$2:$A$501,0)),"Lead ID not found")))</f>
        <v/>
      </c>
      <c r="F251" s="17"/>
      <c r="G251" s="17"/>
      <c r="H251" s="17"/>
      <c r="I251" s="17"/>
      <c r="J251" s="17"/>
      <c r="K251" s="17"/>
      <c r="L251" s="17"/>
      <c r="M251" s="17"/>
      <c r="N251" s="44" t="str">
        <f aca="false">IF(C251="","",COUNTA(H251:M251))</f>
        <v/>
      </c>
      <c r="O251" s="44" t="str">
        <f aca="false">IF(OR(C251="",N(N251)=0),"",SUMIFS(Settings!$AA$2:$AA$21,Settings!$Y$2:$Y$21,"Budget AED 5k+/mo?",Settings!$Z$2:$Z$21,H251)+SUMIFS(Settings!$AA$2:$AA$21,Settings!$Y$2:$Y$21,"Decision-maker?",Settings!$Z$2:$Z$21,I251)+SUMIFS(Settings!$AA$2:$AA$21,Settings!$Y$2:$Y$21,"Someone on camera?",Settings!$Z$2:$Z$21,J251)+SUMIFS(Settings!$AA$2:$AA$21,Settings!$Y$2:$Y$21,"OK with 3-month term?",Settings!$Z$2:$Z$21,K251)+SUMIFS(Settings!$AA$2:$AA$21,Settings!$Y$2:$Y$21,"Start timeline",Settings!$Z$2:$Z$21,L251)+SUMIFS(Settings!$AA$2:$AA$21,Settings!$Y$2:$Y$21,"Social media gap",Settings!$Z$2:$Z$21,M251)+IF(OR(E251="",E251="Lead ID not found"),0,IF(COUNTIF(Settings!$AC$2:$AC$6,E251)&gt;0,Settings!$AA$20,Settings!$AA$21)))</f>
        <v/>
      </c>
      <c r="P251" s="44" t="str">
        <f aca="false">IF(C251="","",IF(N(N251)&lt;6,"Partly scored ("&amp;N251&amp;"/6)",IF(O251&gt;=Settings!$S$8,"Hot",IF(O251&gt;=Settings!$S$9,"Warm","Cold"))))</f>
        <v/>
      </c>
      <c r="Q251" s="44" t="str">
        <f aca="false">IF(C251="","",IF(AND(H251="No",J251="No"),"🚩 Budget  ·  🚩 No one on camera",IF(H251="No","🚩 Budget under AED 5k",IF(J251="No","🚩 No one on camera",""))))</f>
        <v/>
      </c>
      <c r="R251" s="44" t="str">
        <f aca="false">IF(C251="","",IF(N(N251)&lt;6,"Finish the scoresheet before closing",IF(P251="Hot","Close now – send the contract / proposal today",IF(P251="Warm","Send proposal + a relevant result; follow up in 3 days","Rep's call – nurture or close politely")))&amp;IF(Q251&lt;&gt;""," (handle the 🚩 first)",""))</f>
        <v/>
      </c>
      <c r="S251" s="17"/>
      <c r="T251" s="17"/>
      <c r="U251" s="44" t="str">
        <f aca="false">IF(C251="","",IF(COUNTIF(C252:C$501,C251)=0,1,0))</f>
        <v/>
      </c>
    </row>
    <row r="252" customFormat="false" ht="15" hidden="false" customHeight="false" outlineLevel="0" collapsed="false">
      <c r="A252" s="17"/>
      <c r="B252" s="40"/>
      <c r="C252" s="17"/>
      <c r="D252" s="44" t="str">
        <f aca="false">IF(C252="","",IFERROR(INDEX(Inbound!$E$2:$E$501,MATCH(C252,Inbound!$A$2:$A$501,0)),IFERROR(INDEX(Outbound!$D$2:$D$501,MATCH(C252,Outbound!$A$2:$A$501,0)),"Lead ID not found")))</f>
        <v/>
      </c>
      <c r="E252" s="44" t="str">
        <f aca="false">IF(C252="","",IFERROR(INDEX(Inbound!$F$2:$F$501,MATCH(C252,Inbound!$A$2:$A$501,0)),IFERROR(INDEX(Outbound!$E$2:$E$501,MATCH(C252,Outbound!$A$2:$A$501,0)),"Lead ID not found")))</f>
        <v/>
      </c>
      <c r="F252" s="17"/>
      <c r="G252" s="17"/>
      <c r="H252" s="17"/>
      <c r="I252" s="17"/>
      <c r="J252" s="17"/>
      <c r="K252" s="17"/>
      <c r="L252" s="17"/>
      <c r="M252" s="17"/>
      <c r="N252" s="44" t="str">
        <f aca="false">IF(C252="","",COUNTA(H252:M252))</f>
        <v/>
      </c>
      <c r="O252" s="44" t="str">
        <f aca="false">IF(OR(C252="",N(N252)=0),"",SUMIFS(Settings!$AA$2:$AA$21,Settings!$Y$2:$Y$21,"Budget AED 5k+/mo?",Settings!$Z$2:$Z$21,H252)+SUMIFS(Settings!$AA$2:$AA$21,Settings!$Y$2:$Y$21,"Decision-maker?",Settings!$Z$2:$Z$21,I252)+SUMIFS(Settings!$AA$2:$AA$21,Settings!$Y$2:$Y$21,"Someone on camera?",Settings!$Z$2:$Z$21,J252)+SUMIFS(Settings!$AA$2:$AA$21,Settings!$Y$2:$Y$21,"OK with 3-month term?",Settings!$Z$2:$Z$21,K252)+SUMIFS(Settings!$AA$2:$AA$21,Settings!$Y$2:$Y$21,"Start timeline",Settings!$Z$2:$Z$21,L252)+SUMIFS(Settings!$AA$2:$AA$21,Settings!$Y$2:$Y$21,"Social media gap",Settings!$Z$2:$Z$21,M252)+IF(OR(E252="",E252="Lead ID not found"),0,IF(COUNTIF(Settings!$AC$2:$AC$6,E252)&gt;0,Settings!$AA$20,Settings!$AA$21)))</f>
        <v/>
      </c>
      <c r="P252" s="44" t="str">
        <f aca="false">IF(C252="","",IF(N(N252)&lt;6,"Partly scored ("&amp;N252&amp;"/6)",IF(O252&gt;=Settings!$S$8,"Hot",IF(O252&gt;=Settings!$S$9,"Warm","Cold"))))</f>
        <v/>
      </c>
      <c r="Q252" s="44" t="str">
        <f aca="false">IF(C252="","",IF(AND(H252="No",J252="No"),"🚩 Budget  ·  🚩 No one on camera",IF(H252="No","🚩 Budget under AED 5k",IF(J252="No","🚩 No one on camera",""))))</f>
        <v/>
      </c>
      <c r="R252" s="44" t="str">
        <f aca="false">IF(C252="","",IF(N(N252)&lt;6,"Finish the scoresheet before closing",IF(P252="Hot","Close now – send the contract / proposal today",IF(P252="Warm","Send proposal + a relevant result; follow up in 3 days","Rep's call – nurture or close politely")))&amp;IF(Q252&lt;&gt;""," (handle the 🚩 first)",""))</f>
        <v/>
      </c>
      <c r="S252" s="17"/>
      <c r="T252" s="17"/>
      <c r="U252" s="44" t="str">
        <f aca="false">IF(C252="","",IF(COUNTIF(C253:C$501,C252)=0,1,0))</f>
        <v/>
      </c>
    </row>
    <row r="253" customFormat="false" ht="15" hidden="false" customHeight="false" outlineLevel="0" collapsed="false">
      <c r="A253" s="17"/>
      <c r="B253" s="40"/>
      <c r="C253" s="17"/>
      <c r="D253" s="44" t="str">
        <f aca="false">IF(C253="","",IFERROR(INDEX(Inbound!$E$2:$E$501,MATCH(C253,Inbound!$A$2:$A$501,0)),IFERROR(INDEX(Outbound!$D$2:$D$501,MATCH(C253,Outbound!$A$2:$A$501,0)),"Lead ID not found")))</f>
        <v/>
      </c>
      <c r="E253" s="44" t="str">
        <f aca="false">IF(C253="","",IFERROR(INDEX(Inbound!$F$2:$F$501,MATCH(C253,Inbound!$A$2:$A$501,0)),IFERROR(INDEX(Outbound!$E$2:$E$501,MATCH(C253,Outbound!$A$2:$A$501,0)),"Lead ID not found")))</f>
        <v/>
      </c>
      <c r="F253" s="17"/>
      <c r="G253" s="17"/>
      <c r="H253" s="17"/>
      <c r="I253" s="17"/>
      <c r="J253" s="17"/>
      <c r="K253" s="17"/>
      <c r="L253" s="17"/>
      <c r="M253" s="17"/>
      <c r="N253" s="44" t="str">
        <f aca="false">IF(C253="","",COUNTA(H253:M253))</f>
        <v/>
      </c>
      <c r="O253" s="44" t="str">
        <f aca="false">IF(OR(C253="",N(N253)=0),"",SUMIFS(Settings!$AA$2:$AA$21,Settings!$Y$2:$Y$21,"Budget AED 5k+/mo?",Settings!$Z$2:$Z$21,H253)+SUMIFS(Settings!$AA$2:$AA$21,Settings!$Y$2:$Y$21,"Decision-maker?",Settings!$Z$2:$Z$21,I253)+SUMIFS(Settings!$AA$2:$AA$21,Settings!$Y$2:$Y$21,"Someone on camera?",Settings!$Z$2:$Z$21,J253)+SUMIFS(Settings!$AA$2:$AA$21,Settings!$Y$2:$Y$21,"OK with 3-month term?",Settings!$Z$2:$Z$21,K253)+SUMIFS(Settings!$AA$2:$AA$21,Settings!$Y$2:$Y$21,"Start timeline",Settings!$Z$2:$Z$21,L253)+SUMIFS(Settings!$AA$2:$AA$21,Settings!$Y$2:$Y$21,"Social media gap",Settings!$Z$2:$Z$21,M253)+IF(OR(E253="",E253="Lead ID not found"),0,IF(COUNTIF(Settings!$AC$2:$AC$6,E253)&gt;0,Settings!$AA$20,Settings!$AA$21)))</f>
        <v/>
      </c>
      <c r="P253" s="44" t="str">
        <f aca="false">IF(C253="","",IF(N(N253)&lt;6,"Partly scored ("&amp;N253&amp;"/6)",IF(O253&gt;=Settings!$S$8,"Hot",IF(O253&gt;=Settings!$S$9,"Warm","Cold"))))</f>
        <v/>
      </c>
      <c r="Q253" s="44" t="str">
        <f aca="false">IF(C253="","",IF(AND(H253="No",J253="No"),"🚩 Budget  ·  🚩 No one on camera",IF(H253="No","🚩 Budget under AED 5k",IF(J253="No","🚩 No one on camera",""))))</f>
        <v/>
      </c>
      <c r="R253" s="44" t="str">
        <f aca="false">IF(C253="","",IF(N(N253)&lt;6,"Finish the scoresheet before closing",IF(P253="Hot","Close now – send the contract / proposal today",IF(P253="Warm","Send proposal + a relevant result; follow up in 3 days","Rep's call – nurture or close politely")))&amp;IF(Q253&lt;&gt;""," (handle the 🚩 first)",""))</f>
        <v/>
      </c>
      <c r="S253" s="17"/>
      <c r="T253" s="17"/>
      <c r="U253" s="44" t="str">
        <f aca="false">IF(C253="","",IF(COUNTIF(C254:C$501,C253)=0,1,0))</f>
        <v/>
      </c>
    </row>
    <row r="254" customFormat="false" ht="15" hidden="false" customHeight="false" outlineLevel="0" collapsed="false">
      <c r="A254" s="17"/>
      <c r="B254" s="40"/>
      <c r="C254" s="17"/>
      <c r="D254" s="44" t="str">
        <f aca="false">IF(C254="","",IFERROR(INDEX(Inbound!$E$2:$E$501,MATCH(C254,Inbound!$A$2:$A$501,0)),IFERROR(INDEX(Outbound!$D$2:$D$501,MATCH(C254,Outbound!$A$2:$A$501,0)),"Lead ID not found")))</f>
        <v/>
      </c>
      <c r="E254" s="44" t="str">
        <f aca="false">IF(C254="","",IFERROR(INDEX(Inbound!$F$2:$F$501,MATCH(C254,Inbound!$A$2:$A$501,0)),IFERROR(INDEX(Outbound!$E$2:$E$501,MATCH(C254,Outbound!$A$2:$A$501,0)),"Lead ID not found")))</f>
        <v/>
      </c>
      <c r="F254" s="17"/>
      <c r="G254" s="17"/>
      <c r="H254" s="17"/>
      <c r="I254" s="17"/>
      <c r="J254" s="17"/>
      <c r="K254" s="17"/>
      <c r="L254" s="17"/>
      <c r="M254" s="17"/>
      <c r="N254" s="44" t="str">
        <f aca="false">IF(C254="","",COUNTA(H254:M254))</f>
        <v/>
      </c>
      <c r="O254" s="44" t="str">
        <f aca="false">IF(OR(C254="",N(N254)=0),"",SUMIFS(Settings!$AA$2:$AA$21,Settings!$Y$2:$Y$21,"Budget AED 5k+/mo?",Settings!$Z$2:$Z$21,H254)+SUMIFS(Settings!$AA$2:$AA$21,Settings!$Y$2:$Y$21,"Decision-maker?",Settings!$Z$2:$Z$21,I254)+SUMIFS(Settings!$AA$2:$AA$21,Settings!$Y$2:$Y$21,"Someone on camera?",Settings!$Z$2:$Z$21,J254)+SUMIFS(Settings!$AA$2:$AA$21,Settings!$Y$2:$Y$21,"OK with 3-month term?",Settings!$Z$2:$Z$21,K254)+SUMIFS(Settings!$AA$2:$AA$21,Settings!$Y$2:$Y$21,"Start timeline",Settings!$Z$2:$Z$21,L254)+SUMIFS(Settings!$AA$2:$AA$21,Settings!$Y$2:$Y$21,"Social media gap",Settings!$Z$2:$Z$21,M254)+IF(OR(E254="",E254="Lead ID not found"),0,IF(COUNTIF(Settings!$AC$2:$AC$6,E254)&gt;0,Settings!$AA$20,Settings!$AA$21)))</f>
        <v/>
      </c>
      <c r="P254" s="44" t="str">
        <f aca="false">IF(C254="","",IF(N(N254)&lt;6,"Partly scored ("&amp;N254&amp;"/6)",IF(O254&gt;=Settings!$S$8,"Hot",IF(O254&gt;=Settings!$S$9,"Warm","Cold"))))</f>
        <v/>
      </c>
      <c r="Q254" s="44" t="str">
        <f aca="false">IF(C254="","",IF(AND(H254="No",J254="No"),"🚩 Budget  ·  🚩 No one on camera",IF(H254="No","🚩 Budget under AED 5k",IF(J254="No","🚩 No one on camera",""))))</f>
        <v/>
      </c>
      <c r="R254" s="44" t="str">
        <f aca="false">IF(C254="","",IF(N(N254)&lt;6,"Finish the scoresheet before closing",IF(P254="Hot","Close now – send the contract / proposal today",IF(P254="Warm","Send proposal + a relevant result; follow up in 3 days","Rep's call – nurture or close politely")))&amp;IF(Q254&lt;&gt;""," (handle the 🚩 first)",""))</f>
        <v/>
      </c>
      <c r="S254" s="17"/>
      <c r="T254" s="17"/>
      <c r="U254" s="44" t="str">
        <f aca="false">IF(C254="","",IF(COUNTIF(C255:C$501,C254)=0,1,0))</f>
        <v/>
      </c>
    </row>
    <row r="255" customFormat="false" ht="15" hidden="false" customHeight="false" outlineLevel="0" collapsed="false">
      <c r="A255" s="17"/>
      <c r="B255" s="40"/>
      <c r="C255" s="17"/>
      <c r="D255" s="44" t="str">
        <f aca="false">IF(C255="","",IFERROR(INDEX(Inbound!$E$2:$E$501,MATCH(C255,Inbound!$A$2:$A$501,0)),IFERROR(INDEX(Outbound!$D$2:$D$501,MATCH(C255,Outbound!$A$2:$A$501,0)),"Lead ID not found")))</f>
        <v/>
      </c>
      <c r="E255" s="44" t="str">
        <f aca="false">IF(C255="","",IFERROR(INDEX(Inbound!$F$2:$F$501,MATCH(C255,Inbound!$A$2:$A$501,0)),IFERROR(INDEX(Outbound!$E$2:$E$501,MATCH(C255,Outbound!$A$2:$A$501,0)),"Lead ID not found")))</f>
        <v/>
      </c>
      <c r="F255" s="17"/>
      <c r="G255" s="17"/>
      <c r="H255" s="17"/>
      <c r="I255" s="17"/>
      <c r="J255" s="17"/>
      <c r="K255" s="17"/>
      <c r="L255" s="17"/>
      <c r="M255" s="17"/>
      <c r="N255" s="44" t="str">
        <f aca="false">IF(C255="","",COUNTA(H255:M255))</f>
        <v/>
      </c>
      <c r="O255" s="44" t="str">
        <f aca="false">IF(OR(C255="",N(N255)=0),"",SUMIFS(Settings!$AA$2:$AA$21,Settings!$Y$2:$Y$21,"Budget AED 5k+/mo?",Settings!$Z$2:$Z$21,H255)+SUMIFS(Settings!$AA$2:$AA$21,Settings!$Y$2:$Y$21,"Decision-maker?",Settings!$Z$2:$Z$21,I255)+SUMIFS(Settings!$AA$2:$AA$21,Settings!$Y$2:$Y$21,"Someone on camera?",Settings!$Z$2:$Z$21,J255)+SUMIFS(Settings!$AA$2:$AA$21,Settings!$Y$2:$Y$21,"OK with 3-month term?",Settings!$Z$2:$Z$21,K255)+SUMIFS(Settings!$AA$2:$AA$21,Settings!$Y$2:$Y$21,"Start timeline",Settings!$Z$2:$Z$21,L255)+SUMIFS(Settings!$AA$2:$AA$21,Settings!$Y$2:$Y$21,"Social media gap",Settings!$Z$2:$Z$21,M255)+IF(OR(E255="",E255="Lead ID not found"),0,IF(COUNTIF(Settings!$AC$2:$AC$6,E255)&gt;0,Settings!$AA$20,Settings!$AA$21)))</f>
        <v/>
      </c>
      <c r="P255" s="44" t="str">
        <f aca="false">IF(C255="","",IF(N(N255)&lt;6,"Partly scored ("&amp;N255&amp;"/6)",IF(O255&gt;=Settings!$S$8,"Hot",IF(O255&gt;=Settings!$S$9,"Warm","Cold"))))</f>
        <v/>
      </c>
      <c r="Q255" s="44" t="str">
        <f aca="false">IF(C255="","",IF(AND(H255="No",J255="No"),"🚩 Budget  ·  🚩 No one on camera",IF(H255="No","🚩 Budget under AED 5k",IF(J255="No","🚩 No one on camera",""))))</f>
        <v/>
      </c>
      <c r="R255" s="44" t="str">
        <f aca="false">IF(C255="","",IF(N(N255)&lt;6,"Finish the scoresheet before closing",IF(P255="Hot","Close now – send the contract / proposal today",IF(P255="Warm","Send proposal + a relevant result; follow up in 3 days","Rep's call – nurture or close politely")))&amp;IF(Q255&lt;&gt;""," (handle the 🚩 first)",""))</f>
        <v/>
      </c>
      <c r="S255" s="17"/>
      <c r="T255" s="17"/>
      <c r="U255" s="44" t="str">
        <f aca="false">IF(C255="","",IF(COUNTIF(C256:C$501,C255)=0,1,0))</f>
        <v/>
      </c>
    </row>
    <row r="256" customFormat="false" ht="15" hidden="false" customHeight="false" outlineLevel="0" collapsed="false">
      <c r="A256" s="17"/>
      <c r="B256" s="40"/>
      <c r="C256" s="17"/>
      <c r="D256" s="44" t="str">
        <f aca="false">IF(C256="","",IFERROR(INDEX(Inbound!$E$2:$E$501,MATCH(C256,Inbound!$A$2:$A$501,0)),IFERROR(INDEX(Outbound!$D$2:$D$501,MATCH(C256,Outbound!$A$2:$A$501,0)),"Lead ID not found")))</f>
        <v/>
      </c>
      <c r="E256" s="44" t="str">
        <f aca="false">IF(C256="","",IFERROR(INDEX(Inbound!$F$2:$F$501,MATCH(C256,Inbound!$A$2:$A$501,0)),IFERROR(INDEX(Outbound!$E$2:$E$501,MATCH(C256,Outbound!$A$2:$A$501,0)),"Lead ID not found")))</f>
        <v/>
      </c>
      <c r="F256" s="17"/>
      <c r="G256" s="17"/>
      <c r="H256" s="17"/>
      <c r="I256" s="17"/>
      <c r="J256" s="17"/>
      <c r="K256" s="17"/>
      <c r="L256" s="17"/>
      <c r="M256" s="17"/>
      <c r="N256" s="44" t="str">
        <f aca="false">IF(C256="","",COUNTA(H256:M256))</f>
        <v/>
      </c>
      <c r="O256" s="44" t="str">
        <f aca="false">IF(OR(C256="",N(N256)=0),"",SUMIFS(Settings!$AA$2:$AA$21,Settings!$Y$2:$Y$21,"Budget AED 5k+/mo?",Settings!$Z$2:$Z$21,H256)+SUMIFS(Settings!$AA$2:$AA$21,Settings!$Y$2:$Y$21,"Decision-maker?",Settings!$Z$2:$Z$21,I256)+SUMIFS(Settings!$AA$2:$AA$21,Settings!$Y$2:$Y$21,"Someone on camera?",Settings!$Z$2:$Z$21,J256)+SUMIFS(Settings!$AA$2:$AA$21,Settings!$Y$2:$Y$21,"OK with 3-month term?",Settings!$Z$2:$Z$21,K256)+SUMIFS(Settings!$AA$2:$AA$21,Settings!$Y$2:$Y$21,"Start timeline",Settings!$Z$2:$Z$21,L256)+SUMIFS(Settings!$AA$2:$AA$21,Settings!$Y$2:$Y$21,"Social media gap",Settings!$Z$2:$Z$21,M256)+IF(OR(E256="",E256="Lead ID not found"),0,IF(COUNTIF(Settings!$AC$2:$AC$6,E256)&gt;0,Settings!$AA$20,Settings!$AA$21)))</f>
        <v/>
      </c>
      <c r="P256" s="44" t="str">
        <f aca="false">IF(C256="","",IF(N(N256)&lt;6,"Partly scored ("&amp;N256&amp;"/6)",IF(O256&gt;=Settings!$S$8,"Hot",IF(O256&gt;=Settings!$S$9,"Warm","Cold"))))</f>
        <v/>
      </c>
      <c r="Q256" s="44" t="str">
        <f aca="false">IF(C256="","",IF(AND(H256="No",J256="No"),"🚩 Budget  ·  🚩 No one on camera",IF(H256="No","🚩 Budget under AED 5k",IF(J256="No","🚩 No one on camera",""))))</f>
        <v/>
      </c>
      <c r="R256" s="44" t="str">
        <f aca="false">IF(C256="","",IF(N(N256)&lt;6,"Finish the scoresheet before closing",IF(P256="Hot","Close now – send the contract / proposal today",IF(P256="Warm","Send proposal + a relevant result; follow up in 3 days","Rep's call – nurture or close politely")))&amp;IF(Q256&lt;&gt;""," (handle the 🚩 first)",""))</f>
        <v/>
      </c>
      <c r="S256" s="17"/>
      <c r="T256" s="17"/>
      <c r="U256" s="44" t="str">
        <f aca="false">IF(C256="","",IF(COUNTIF(C257:C$501,C256)=0,1,0))</f>
        <v/>
      </c>
    </row>
    <row r="257" customFormat="false" ht="15" hidden="false" customHeight="false" outlineLevel="0" collapsed="false">
      <c r="A257" s="17"/>
      <c r="B257" s="40"/>
      <c r="C257" s="17"/>
      <c r="D257" s="44" t="str">
        <f aca="false">IF(C257="","",IFERROR(INDEX(Inbound!$E$2:$E$501,MATCH(C257,Inbound!$A$2:$A$501,0)),IFERROR(INDEX(Outbound!$D$2:$D$501,MATCH(C257,Outbound!$A$2:$A$501,0)),"Lead ID not found")))</f>
        <v/>
      </c>
      <c r="E257" s="44" t="str">
        <f aca="false">IF(C257="","",IFERROR(INDEX(Inbound!$F$2:$F$501,MATCH(C257,Inbound!$A$2:$A$501,0)),IFERROR(INDEX(Outbound!$E$2:$E$501,MATCH(C257,Outbound!$A$2:$A$501,0)),"Lead ID not found")))</f>
        <v/>
      </c>
      <c r="F257" s="17"/>
      <c r="G257" s="17"/>
      <c r="H257" s="17"/>
      <c r="I257" s="17"/>
      <c r="J257" s="17"/>
      <c r="K257" s="17"/>
      <c r="L257" s="17"/>
      <c r="M257" s="17"/>
      <c r="N257" s="44" t="str">
        <f aca="false">IF(C257="","",COUNTA(H257:M257))</f>
        <v/>
      </c>
      <c r="O257" s="44" t="str">
        <f aca="false">IF(OR(C257="",N(N257)=0),"",SUMIFS(Settings!$AA$2:$AA$21,Settings!$Y$2:$Y$21,"Budget AED 5k+/mo?",Settings!$Z$2:$Z$21,H257)+SUMIFS(Settings!$AA$2:$AA$21,Settings!$Y$2:$Y$21,"Decision-maker?",Settings!$Z$2:$Z$21,I257)+SUMIFS(Settings!$AA$2:$AA$21,Settings!$Y$2:$Y$21,"Someone on camera?",Settings!$Z$2:$Z$21,J257)+SUMIFS(Settings!$AA$2:$AA$21,Settings!$Y$2:$Y$21,"OK with 3-month term?",Settings!$Z$2:$Z$21,K257)+SUMIFS(Settings!$AA$2:$AA$21,Settings!$Y$2:$Y$21,"Start timeline",Settings!$Z$2:$Z$21,L257)+SUMIFS(Settings!$AA$2:$AA$21,Settings!$Y$2:$Y$21,"Social media gap",Settings!$Z$2:$Z$21,M257)+IF(OR(E257="",E257="Lead ID not found"),0,IF(COUNTIF(Settings!$AC$2:$AC$6,E257)&gt;0,Settings!$AA$20,Settings!$AA$21)))</f>
        <v/>
      </c>
      <c r="P257" s="44" t="str">
        <f aca="false">IF(C257="","",IF(N(N257)&lt;6,"Partly scored ("&amp;N257&amp;"/6)",IF(O257&gt;=Settings!$S$8,"Hot",IF(O257&gt;=Settings!$S$9,"Warm","Cold"))))</f>
        <v/>
      </c>
      <c r="Q257" s="44" t="str">
        <f aca="false">IF(C257="","",IF(AND(H257="No",J257="No"),"🚩 Budget  ·  🚩 No one on camera",IF(H257="No","🚩 Budget under AED 5k",IF(J257="No","🚩 No one on camera",""))))</f>
        <v/>
      </c>
      <c r="R257" s="44" t="str">
        <f aca="false">IF(C257="","",IF(N(N257)&lt;6,"Finish the scoresheet before closing",IF(P257="Hot","Close now – send the contract / proposal today",IF(P257="Warm","Send proposal + a relevant result; follow up in 3 days","Rep's call – nurture or close politely")))&amp;IF(Q257&lt;&gt;""," (handle the 🚩 first)",""))</f>
        <v/>
      </c>
      <c r="S257" s="17"/>
      <c r="T257" s="17"/>
      <c r="U257" s="44" t="str">
        <f aca="false">IF(C257="","",IF(COUNTIF(C258:C$501,C257)=0,1,0))</f>
        <v/>
      </c>
    </row>
    <row r="258" customFormat="false" ht="15" hidden="false" customHeight="false" outlineLevel="0" collapsed="false">
      <c r="A258" s="17"/>
      <c r="B258" s="40"/>
      <c r="C258" s="17"/>
      <c r="D258" s="44" t="str">
        <f aca="false">IF(C258="","",IFERROR(INDEX(Inbound!$E$2:$E$501,MATCH(C258,Inbound!$A$2:$A$501,0)),IFERROR(INDEX(Outbound!$D$2:$D$501,MATCH(C258,Outbound!$A$2:$A$501,0)),"Lead ID not found")))</f>
        <v/>
      </c>
      <c r="E258" s="44" t="str">
        <f aca="false">IF(C258="","",IFERROR(INDEX(Inbound!$F$2:$F$501,MATCH(C258,Inbound!$A$2:$A$501,0)),IFERROR(INDEX(Outbound!$E$2:$E$501,MATCH(C258,Outbound!$A$2:$A$501,0)),"Lead ID not found")))</f>
        <v/>
      </c>
      <c r="F258" s="17"/>
      <c r="G258" s="17"/>
      <c r="H258" s="17"/>
      <c r="I258" s="17"/>
      <c r="J258" s="17"/>
      <c r="K258" s="17"/>
      <c r="L258" s="17"/>
      <c r="M258" s="17"/>
      <c r="N258" s="44" t="str">
        <f aca="false">IF(C258="","",COUNTA(H258:M258))</f>
        <v/>
      </c>
      <c r="O258" s="44" t="str">
        <f aca="false">IF(OR(C258="",N(N258)=0),"",SUMIFS(Settings!$AA$2:$AA$21,Settings!$Y$2:$Y$21,"Budget AED 5k+/mo?",Settings!$Z$2:$Z$21,H258)+SUMIFS(Settings!$AA$2:$AA$21,Settings!$Y$2:$Y$21,"Decision-maker?",Settings!$Z$2:$Z$21,I258)+SUMIFS(Settings!$AA$2:$AA$21,Settings!$Y$2:$Y$21,"Someone on camera?",Settings!$Z$2:$Z$21,J258)+SUMIFS(Settings!$AA$2:$AA$21,Settings!$Y$2:$Y$21,"OK with 3-month term?",Settings!$Z$2:$Z$21,K258)+SUMIFS(Settings!$AA$2:$AA$21,Settings!$Y$2:$Y$21,"Start timeline",Settings!$Z$2:$Z$21,L258)+SUMIFS(Settings!$AA$2:$AA$21,Settings!$Y$2:$Y$21,"Social media gap",Settings!$Z$2:$Z$21,M258)+IF(OR(E258="",E258="Lead ID not found"),0,IF(COUNTIF(Settings!$AC$2:$AC$6,E258)&gt;0,Settings!$AA$20,Settings!$AA$21)))</f>
        <v/>
      </c>
      <c r="P258" s="44" t="str">
        <f aca="false">IF(C258="","",IF(N(N258)&lt;6,"Partly scored ("&amp;N258&amp;"/6)",IF(O258&gt;=Settings!$S$8,"Hot",IF(O258&gt;=Settings!$S$9,"Warm","Cold"))))</f>
        <v/>
      </c>
      <c r="Q258" s="44" t="str">
        <f aca="false">IF(C258="","",IF(AND(H258="No",J258="No"),"🚩 Budget  ·  🚩 No one on camera",IF(H258="No","🚩 Budget under AED 5k",IF(J258="No","🚩 No one on camera",""))))</f>
        <v/>
      </c>
      <c r="R258" s="44" t="str">
        <f aca="false">IF(C258="","",IF(N(N258)&lt;6,"Finish the scoresheet before closing",IF(P258="Hot","Close now – send the contract / proposal today",IF(P258="Warm","Send proposal + a relevant result; follow up in 3 days","Rep's call – nurture or close politely")))&amp;IF(Q258&lt;&gt;""," (handle the 🚩 first)",""))</f>
        <v/>
      </c>
      <c r="S258" s="17"/>
      <c r="T258" s="17"/>
      <c r="U258" s="44" t="str">
        <f aca="false">IF(C258="","",IF(COUNTIF(C259:C$501,C258)=0,1,0))</f>
        <v/>
      </c>
    </row>
    <row r="259" customFormat="false" ht="15" hidden="false" customHeight="false" outlineLevel="0" collapsed="false">
      <c r="A259" s="17"/>
      <c r="B259" s="40"/>
      <c r="C259" s="17"/>
      <c r="D259" s="44" t="str">
        <f aca="false">IF(C259="","",IFERROR(INDEX(Inbound!$E$2:$E$501,MATCH(C259,Inbound!$A$2:$A$501,0)),IFERROR(INDEX(Outbound!$D$2:$D$501,MATCH(C259,Outbound!$A$2:$A$501,0)),"Lead ID not found")))</f>
        <v/>
      </c>
      <c r="E259" s="44" t="str">
        <f aca="false">IF(C259="","",IFERROR(INDEX(Inbound!$F$2:$F$501,MATCH(C259,Inbound!$A$2:$A$501,0)),IFERROR(INDEX(Outbound!$E$2:$E$501,MATCH(C259,Outbound!$A$2:$A$501,0)),"Lead ID not found")))</f>
        <v/>
      </c>
      <c r="F259" s="17"/>
      <c r="G259" s="17"/>
      <c r="H259" s="17"/>
      <c r="I259" s="17"/>
      <c r="J259" s="17"/>
      <c r="K259" s="17"/>
      <c r="L259" s="17"/>
      <c r="M259" s="17"/>
      <c r="N259" s="44" t="str">
        <f aca="false">IF(C259="","",COUNTA(H259:M259))</f>
        <v/>
      </c>
      <c r="O259" s="44" t="str">
        <f aca="false">IF(OR(C259="",N(N259)=0),"",SUMIFS(Settings!$AA$2:$AA$21,Settings!$Y$2:$Y$21,"Budget AED 5k+/mo?",Settings!$Z$2:$Z$21,H259)+SUMIFS(Settings!$AA$2:$AA$21,Settings!$Y$2:$Y$21,"Decision-maker?",Settings!$Z$2:$Z$21,I259)+SUMIFS(Settings!$AA$2:$AA$21,Settings!$Y$2:$Y$21,"Someone on camera?",Settings!$Z$2:$Z$21,J259)+SUMIFS(Settings!$AA$2:$AA$21,Settings!$Y$2:$Y$21,"OK with 3-month term?",Settings!$Z$2:$Z$21,K259)+SUMIFS(Settings!$AA$2:$AA$21,Settings!$Y$2:$Y$21,"Start timeline",Settings!$Z$2:$Z$21,L259)+SUMIFS(Settings!$AA$2:$AA$21,Settings!$Y$2:$Y$21,"Social media gap",Settings!$Z$2:$Z$21,M259)+IF(OR(E259="",E259="Lead ID not found"),0,IF(COUNTIF(Settings!$AC$2:$AC$6,E259)&gt;0,Settings!$AA$20,Settings!$AA$21)))</f>
        <v/>
      </c>
      <c r="P259" s="44" t="str">
        <f aca="false">IF(C259="","",IF(N(N259)&lt;6,"Partly scored ("&amp;N259&amp;"/6)",IF(O259&gt;=Settings!$S$8,"Hot",IF(O259&gt;=Settings!$S$9,"Warm","Cold"))))</f>
        <v/>
      </c>
      <c r="Q259" s="44" t="str">
        <f aca="false">IF(C259="","",IF(AND(H259="No",J259="No"),"🚩 Budget  ·  🚩 No one on camera",IF(H259="No","🚩 Budget under AED 5k",IF(J259="No","🚩 No one on camera",""))))</f>
        <v/>
      </c>
      <c r="R259" s="44" t="str">
        <f aca="false">IF(C259="","",IF(N(N259)&lt;6,"Finish the scoresheet before closing",IF(P259="Hot","Close now – send the contract / proposal today",IF(P259="Warm","Send proposal + a relevant result; follow up in 3 days","Rep's call – nurture or close politely")))&amp;IF(Q259&lt;&gt;""," (handle the 🚩 first)",""))</f>
        <v/>
      </c>
      <c r="S259" s="17"/>
      <c r="T259" s="17"/>
      <c r="U259" s="44" t="str">
        <f aca="false">IF(C259="","",IF(COUNTIF(C260:C$501,C259)=0,1,0))</f>
        <v/>
      </c>
    </row>
    <row r="260" customFormat="false" ht="15" hidden="false" customHeight="false" outlineLevel="0" collapsed="false">
      <c r="A260" s="17"/>
      <c r="B260" s="40"/>
      <c r="C260" s="17"/>
      <c r="D260" s="44" t="str">
        <f aca="false">IF(C260="","",IFERROR(INDEX(Inbound!$E$2:$E$501,MATCH(C260,Inbound!$A$2:$A$501,0)),IFERROR(INDEX(Outbound!$D$2:$D$501,MATCH(C260,Outbound!$A$2:$A$501,0)),"Lead ID not found")))</f>
        <v/>
      </c>
      <c r="E260" s="44" t="str">
        <f aca="false">IF(C260="","",IFERROR(INDEX(Inbound!$F$2:$F$501,MATCH(C260,Inbound!$A$2:$A$501,0)),IFERROR(INDEX(Outbound!$E$2:$E$501,MATCH(C260,Outbound!$A$2:$A$501,0)),"Lead ID not found")))</f>
        <v/>
      </c>
      <c r="F260" s="17"/>
      <c r="G260" s="17"/>
      <c r="H260" s="17"/>
      <c r="I260" s="17"/>
      <c r="J260" s="17"/>
      <c r="K260" s="17"/>
      <c r="L260" s="17"/>
      <c r="M260" s="17"/>
      <c r="N260" s="44" t="str">
        <f aca="false">IF(C260="","",COUNTA(H260:M260))</f>
        <v/>
      </c>
      <c r="O260" s="44" t="str">
        <f aca="false">IF(OR(C260="",N(N260)=0),"",SUMIFS(Settings!$AA$2:$AA$21,Settings!$Y$2:$Y$21,"Budget AED 5k+/mo?",Settings!$Z$2:$Z$21,H260)+SUMIFS(Settings!$AA$2:$AA$21,Settings!$Y$2:$Y$21,"Decision-maker?",Settings!$Z$2:$Z$21,I260)+SUMIFS(Settings!$AA$2:$AA$21,Settings!$Y$2:$Y$21,"Someone on camera?",Settings!$Z$2:$Z$21,J260)+SUMIFS(Settings!$AA$2:$AA$21,Settings!$Y$2:$Y$21,"OK with 3-month term?",Settings!$Z$2:$Z$21,K260)+SUMIFS(Settings!$AA$2:$AA$21,Settings!$Y$2:$Y$21,"Start timeline",Settings!$Z$2:$Z$21,L260)+SUMIFS(Settings!$AA$2:$AA$21,Settings!$Y$2:$Y$21,"Social media gap",Settings!$Z$2:$Z$21,M260)+IF(OR(E260="",E260="Lead ID not found"),0,IF(COUNTIF(Settings!$AC$2:$AC$6,E260)&gt;0,Settings!$AA$20,Settings!$AA$21)))</f>
        <v/>
      </c>
      <c r="P260" s="44" t="str">
        <f aca="false">IF(C260="","",IF(N(N260)&lt;6,"Partly scored ("&amp;N260&amp;"/6)",IF(O260&gt;=Settings!$S$8,"Hot",IF(O260&gt;=Settings!$S$9,"Warm","Cold"))))</f>
        <v/>
      </c>
      <c r="Q260" s="44" t="str">
        <f aca="false">IF(C260="","",IF(AND(H260="No",J260="No"),"🚩 Budget  ·  🚩 No one on camera",IF(H260="No","🚩 Budget under AED 5k",IF(J260="No","🚩 No one on camera",""))))</f>
        <v/>
      </c>
      <c r="R260" s="44" t="str">
        <f aca="false">IF(C260="","",IF(N(N260)&lt;6,"Finish the scoresheet before closing",IF(P260="Hot","Close now – send the contract / proposal today",IF(P260="Warm","Send proposal + a relevant result; follow up in 3 days","Rep's call – nurture or close politely")))&amp;IF(Q260&lt;&gt;""," (handle the 🚩 first)",""))</f>
        <v/>
      </c>
      <c r="S260" s="17"/>
      <c r="T260" s="17"/>
      <c r="U260" s="44" t="str">
        <f aca="false">IF(C260="","",IF(COUNTIF(C261:C$501,C260)=0,1,0))</f>
        <v/>
      </c>
    </row>
    <row r="261" customFormat="false" ht="15" hidden="false" customHeight="false" outlineLevel="0" collapsed="false">
      <c r="A261" s="17"/>
      <c r="B261" s="40"/>
      <c r="C261" s="17"/>
      <c r="D261" s="44" t="str">
        <f aca="false">IF(C261="","",IFERROR(INDEX(Inbound!$E$2:$E$501,MATCH(C261,Inbound!$A$2:$A$501,0)),IFERROR(INDEX(Outbound!$D$2:$D$501,MATCH(C261,Outbound!$A$2:$A$501,0)),"Lead ID not found")))</f>
        <v/>
      </c>
      <c r="E261" s="44" t="str">
        <f aca="false">IF(C261="","",IFERROR(INDEX(Inbound!$F$2:$F$501,MATCH(C261,Inbound!$A$2:$A$501,0)),IFERROR(INDEX(Outbound!$E$2:$E$501,MATCH(C261,Outbound!$A$2:$A$501,0)),"Lead ID not found")))</f>
        <v/>
      </c>
      <c r="F261" s="17"/>
      <c r="G261" s="17"/>
      <c r="H261" s="17"/>
      <c r="I261" s="17"/>
      <c r="J261" s="17"/>
      <c r="K261" s="17"/>
      <c r="L261" s="17"/>
      <c r="M261" s="17"/>
      <c r="N261" s="44" t="str">
        <f aca="false">IF(C261="","",COUNTA(H261:M261))</f>
        <v/>
      </c>
      <c r="O261" s="44" t="str">
        <f aca="false">IF(OR(C261="",N(N261)=0),"",SUMIFS(Settings!$AA$2:$AA$21,Settings!$Y$2:$Y$21,"Budget AED 5k+/mo?",Settings!$Z$2:$Z$21,H261)+SUMIFS(Settings!$AA$2:$AA$21,Settings!$Y$2:$Y$21,"Decision-maker?",Settings!$Z$2:$Z$21,I261)+SUMIFS(Settings!$AA$2:$AA$21,Settings!$Y$2:$Y$21,"Someone on camera?",Settings!$Z$2:$Z$21,J261)+SUMIFS(Settings!$AA$2:$AA$21,Settings!$Y$2:$Y$21,"OK with 3-month term?",Settings!$Z$2:$Z$21,K261)+SUMIFS(Settings!$AA$2:$AA$21,Settings!$Y$2:$Y$21,"Start timeline",Settings!$Z$2:$Z$21,L261)+SUMIFS(Settings!$AA$2:$AA$21,Settings!$Y$2:$Y$21,"Social media gap",Settings!$Z$2:$Z$21,M261)+IF(OR(E261="",E261="Lead ID not found"),0,IF(COUNTIF(Settings!$AC$2:$AC$6,E261)&gt;0,Settings!$AA$20,Settings!$AA$21)))</f>
        <v/>
      </c>
      <c r="P261" s="44" t="str">
        <f aca="false">IF(C261="","",IF(N(N261)&lt;6,"Partly scored ("&amp;N261&amp;"/6)",IF(O261&gt;=Settings!$S$8,"Hot",IF(O261&gt;=Settings!$S$9,"Warm","Cold"))))</f>
        <v/>
      </c>
      <c r="Q261" s="44" t="str">
        <f aca="false">IF(C261="","",IF(AND(H261="No",J261="No"),"🚩 Budget  ·  🚩 No one on camera",IF(H261="No","🚩 Budget under AED 5k",IF(J261="No","🚩 No one on camera",""))))</f>
        <v/>
      </c>
      <c r="R261" s="44" t="str">
        <f aca="false">IF(C261="","",IF(N(N261)&lt;6,"Finish the scoresheet before closing",IF(P261="Hot","Close now – send the contract / proposal today",IF(P261="Warm","Send proposal + a relevant result; follow up in 3 days","Rep's call – nurture or close politely")))&amp;IF(Q261&lt;&gt;""," (handle the 🚩 first)",""))</f>
        <v/>
      </c>
      <c r="S261" s="17"/>
      <c r="T261" s="17"/>
      <c r="U261" s="44" t="str">
        <f aca="false">IF(C261="","",IF(COUNTIF(C262:C$501,C261)=0,1,0))</f>
        <v/>
      </c>
    </row>
    <row r="262" customFormat="false" ht="15" hidden="false" customHeight="false" outlineLevel="0" collapsed="false">
      <c r="A262" s="17"/>
      <c r="B262" s="40"/>
      <c r="C262" s="17"/>
      <c r="D262" s="44" t="str">
        <f aca="false">IF(C262="","",IFERROR(INDEX(Inbound!$E$2:$E$501,MATCH(C262,Inbound!$A$2:$A$501,0)),IFERROR(INDEX(Outbound!$D$2:$D$501,MATCH(C262,Outbound!$A$2:$A$501,0)),"Lead ID not found")))</f>
        <v/>
      </c>
      <c r="E262" s="44" t="str">
        <f aca="false">IF(C262="","",IFERROR(INDEX(Inbound!$F$2:$F$501,MATCH(C262,Inbound!$A$2:$A$501,0)),IFERROR(INDEX(Outbound!$E$2:$E$501,MATCH(C262,Outbound!$A$2:$A$501,0)),"Lead ID not found")))</f>
        <v/>
      </c>
      <c r="F262" s="17"/>
      <c r="G262" s="17"/>
      <c r="H262" s="17"/>
      <c r="I262" s="17"/>
      <c r="J262" s="17"/>
      <c r="K262" s="17"/>
      <c r="L262" s="17"/>
      <c r="M262" s="17"/>
      <c r="N262" s="44" t="str">
        <f aca="false">IF(C262="","",COUNTA(H262:M262))</f>
        <v/>
      </c>
      <c r="O262" s="44" t="str">
        <f aca="false">IF(OR(C262="",N(N262)=0),"",SUMIFS(Settings!$AA$2:$AA$21,Settings!$Y$2:$Y$21,"Budget AED 5k+/mo?",Settings!$Z$2:$Z$21,H262)+SUMIFS(Settings!$AA$2:$AA$21,Settings!$Y$2:$Y$21,"Decision-maker?",Settings!$Z$2:$Z$21,I262)+SUMIFS(Settings!$AA$2:$AA$21,Settings!$Y$2:$Y$21,"Someone on camera?",Settings!$Z$2:$Z$21,J262)+SUMIFS(Settings!$AA$2:$AA$21,Settings!$Y$2:$Y$21,"OK with 3-month term?",Settings!$Z$2:$Z$21,K262)+SUMIFS(Settings!$AA$2:$AA$21,Settings!$Y$2:$Y$21,"Start timeline",Settings!$Z$2:$Z$21,L262)+SUMIFS(Settings!$AA$2:$AA$21,Settings!$Y$2:$Y$21,"Social media gap",Settings!$Z$2:$Z$21,M262)+IF(OR(E262="",E262="Lead ID not found"),0,IF(COUNTIF(Settings!$AC$2:$AC$6,E262)&gt;0,Settings!$AA$20,Settings!$AA$21)))</f>
        <v/>
      </c>
      <c r="P262" s="44" t="str">
        <f aca="false">IF(C262="","",IF(N(N262)&lt;6,"Partly scored ("&amp;N262&amp;"/6)",IF(O262&gt;=Settings!$S$8,"Hot",IF(O262&gt;=Settings!$S$9,"Warm","Cold"))))</f>
        <v/>
      </c>
      <c r="Q262" s="44" t="str">
        <f aca="false">IF(C262="","",IF(AND(H262="No",J262="No"),"🚩 Budget  ·  🚩 No one on camera",IF(H262="No","🚩 Budget under AED 5k",IF(J262="No","🚩 No one on camera",""))))</f>
        <v/>
      </c>
      <c r="R262" s="44" t="str">
        <f aca="false">IF(C262="","",IF(N(N262)&lt;6,"Finish the scoresheet before closing",IF(P262="Hot","Close now – send the contract / proposal today",IF(P262="Warm","Send proposal + a relevant result; follow up in 3 days","Rep's call – nurture or close politely")))&amp;IF(Q262&lt;&gt;""," (handle the 🚩 first)",""))</f>
        <v/>
      </c>
      <c r="S262" s="17"/>
      <c r="T262" s="17"/>
      <c r="U262" s="44" t="str">
        <f aca="false">IF(C262="","",IF(COUNTIF(C263:C$501,C262)=0,1,0))</f>
        <v/>
      </c>
    </row>
    <row r="263" customFormat="false" ht="15" hidden="false" customHeight="false" outlineLevel="0" collapsed="false">
      <c r="A263" s="17"/>
      <c r="B263" s="40"/>
      <c r="C263" s="17"/>
      <c r="D263" s="44" t="str">
        <f aca="false">IF(C263="","",IFERROR(INDEX(Inbound!$E$2:$E$501,MATCH(C263,Inbound!$A$2:$A$501,0)),IFERROR(INDEX(Outbound!$D$2:$D$501,MATCH(C263,Outbound!$A$2:$A$501,0)),"Lead ID not found")))</f>
        <v/>
      </c>
      <c r="E263" s="44" t="str">
        <f aca="false">IF(C263="","",IFERROR(INDEX(Inbound!$F$2:$F$501,MATCH(C263,Inbound!$A$2:$A$501,0)),IFERROR(INDEX(Outbound!$E$2:$E$501,MATCH(C263,Outbound!$A$2:$A$501,0)),"Lead ID not found")))</f>
        <v/>
      </c>
      <c r="F263" s="17"/>
      <c r="G263" s="17"/>
      <c r="H263" s="17"/>
      <c r="I263" s="17"/>
      <c r="J263" s="17"/>
      <c r="K263" s="17"/>
      <c r="L263" s="17"/>
      <c r="M263" s="17"/>
      <c r="N263" s="44" t="str">
        <f aca="false">IF(C263="","",COUNTA(H263:M263))</f>
        <v/>
      </c>
      <c r="O263" s="44" t="str">
        <f aca="false">IF(OR(C263="",N(N263)=0),"",SUMIFS(Settings!$AA$2:$AA$21,Settings!$Y$2:$Y$21,"Budget AED 5k+/mo?",Settings!$Z$2:$Z$21,H263)+SUMIFS(Settings!$AA$2:$AA$21,Settings!$Y$2:$Y$21,"Decision-maker?",Settings!$Z$2:$Z$21,I263)+SUMIFS(Settings!$AA$2:$AA$21,Settings!$Y$2:$Y$21,"Someone on camera?",Settings!$Z$2:$Z$21,J263)+SUMIFS(Settings!$AA$2:$AA$21,Settings!$Y$2:$Y$21,"OK with 3-month term?",Settings!$Z$2:$Z$21,K263)+SUMIFS(Settings!$AA$2:$AA$21,Settings!$Y$2:$Y$21,"Start timeline",Settings!$Z$2:$Z$21,L263)+SUMIFS(Settings!$AA$2:$AA$21,Settings!$Y$2:$Y$21,"Social media gap",Settings!$Z$2:$Z$21,M263)+IF(OR(E263="",E263="Lead ID not found"),0,IF(COUNTIF(Settings!$AC$2:$AC$6,E263)&gt;0,Settings!$AA$20,Settings!$AA$21)))</f>
        <v/>
      </c>
      <c r="P263" s="44" t="str">
        <f aca="false">IF(C263="","",IF(N(N263)&lt;6,"Partly scored ("&amp;N263&amp;"/6)",IF(O263&gt;=Settings!$S$8,"Hot",IF(O263&gt;=Settings!$S$9,"Warm","Cold"))))</f>
        <v/>
      </c>
      <c r="Q263" s="44" t="str">
        <f aca="false">IF(C263="","",IF(AND(H263="No",J263="No"),"🚩 Budget  ·  🚩 No one on camera",IF(H263="No","🚩 Budget under AED 5k",IF(J263="No","🚩 No one on camera",""))))</f>
        <v/>
      </c>
      <c r="R263" s="44" t="str">
        <f aca="false">IF(C263="","",IF(N(N263)&lt;6,"Finish the scoresheet before closing",IF(P263="Hot","Close now – send the contract / proposal today",IF(P263="Warm","Send proposal + a relevant result; follow up in 3 days","Rep's call – nurture or close politely")))&amp;IF(Q263&lt;&gt;""," (handle the 🚩 first)",""))</f>
        <v/>
      </c>
      <c r="S263" s="17"/>
      <c r="T263" s="17"/>
      <c r="U263" s="44" t="str">
        <f aca="false">IF(C263="","",IF(COUNTIF(C264:C$501,C263)=0,1,0))</f>
        <v/>
      </c>
    </row>
    <row r="264" customFormat="false" ht="15" hidden="false" customHeight="false" outlineLevel="0" collapsed="false">
      <c r="A264" s="17"/>
      <c r="B264" s="40"/>
      <c r="C264" s="17"/>
      <c r="D264" s="44" t="str">
        <f aca="false">IF(C264="","",IFERROR(INDEX(Inbound!$E$2:$E$501,MATCH(C264,Inbound!$A$2:$A$501,0)),IFERROR(INDEX(Outbound!$D$2:$D$501,MATCH(C264,Outbound!$A$2:$A$501,0)),"Lead ID not found")))</f>
        <v/>
      </c>
      <c r="E264" s="44" t="str">
        <f aca="false">IF(C264="","",IFERROR(INDEX(Inbound!$F$2:$F$501,MATCH(C264,Inbound!$A$2:$A$501,0)),IFERROR(INDEX(Outbound!$E$2:$E$501,MATCH(C264,Outbound!$A$2:$A$501,0)),"Lead ID not found")))</f>
        <v/>
      </c>
      <c r="F264" s="17"/>
      <c r="G264" s="17"/>
      <c r="H264" s="17"/>
      <c r="I264" s="17"/>
      <c r="J264" s="17"/>
      <c r="K264" s="17"/>
      <c r="L264" s="17"/>
      <c r="M264" s="17"/>
      <c r="N264" s="44" t="str">
        <f aca="false">IF(C264="","",COUNTA(H264:M264))</f>
        <v/>
      </c>
      <c r="O264" s="44" t="str">
        <f aca="false">IF(OR(C264="",N(N264)=0),"",SUMIFS(Settings!$AA$2:$AA$21,Settings!$Y$2:$Y$21,"Budget AED 5k+/mo?",Settings!$Z$2:$Z$21,H264)+SUMIFS(Settings!$AA$2:$AA$21,Settings!$Y$2:$Y$21,"Decision-maker?",Settings!$Z$2:$Z$21,I264)+SUMIFS(Settings!$AA$2:$AA$21,Settings!$Y$2:$Y$21,"Someone on camera?",Settings!$Z$2:$Z$21,J264)+SUMIFS(Settings!$AA$2:$AA$21,Settings!$Y$2:$Y$21,"OK with 3-month term?",Settings!$Z$2:$Z$21,K264)+SUMIFS(Settings!$AA$2:$AA$21,Settings!$Y$2:$Y$21,"Start timeline",Settings!$Z$2:$Z$21,L264)+SUMIFS(Settings!$AA$2:$AA$21,Settings!$Y$2:$Y$21,"Social media gap",Settings!$Z$2:$Z$21,M264)+IF(OR(E264="",E264="Lead ID not found"),0,IF(COUNTIF(Settings!$AC$2:$AC$6,E264)&gt;0,Settings!$AA$20,Settings!$AA$21)))</f>
        <v/>
      </c>
      <c r="P264" s="44" t="str">
        <f aca="false">IF(C264="","",IF(N(N264)&lt;6,"Partly scored ("&amp;N264&amp;"/6)",IF(O264&gt;=Settings!$S$8,"Hot",IF(O264&gt;=Settings!$S$9,"Warm","Cold"))))</f>
        <v/>
      </c>
      <c r="Q264" s="44" t="str">
        <f aca="false">IF(C264="","",IF(AND(H264="No",J264="No"),"🚩 Budget  ·  🚩 No one on camera",IF(H264="No","🚩 Budget under AED 5k",IF(J264="No","🚩 No one on camera",""))))</f>
        <v/>
      </c>
      <c r="R264" s="44" t="str">
        <f aca="false">IF(C264="","",IF(N(N264)&lt;6,"Finish the scoresheet before closing",IF(P264="Hot","Close now – send the contract / proposal today",IF(P264="Warm","Send proposal + a relevant result; follow up in 3 days","Rep's call – nurture or close politely")))&amp;IF(Q264&lt;&gt;""," (handle the 🚩 first)",""))</f>
        <v/>
      </c>
      <c r="S264" s="17"/>
      <c r="T264" s="17"/>
      <c r="U264" s="44" t="str">
        <f aca="false">IF(C264="","",IF(COUNTIF(C265:C$501,C264)=0,1,0))</f>
        <v/>
      </c>
    </row>
    <row r="265" customFormat="false" ht="15" hidden="false" customHeight="false" outlineLevel="0" collapsed="false">
      <c r="A265" s="17"/>
      <c r="B265" s="40"/>
      <c r="C265" s="17"/>
      <c r="D265" s="44" t="str">
        <f aca="false">IF(C265="","",IFERROR(INDEX(Inbound!$E$2:$E$501,MATCH(C265,Inbound!$A$2:$A$501,0)),IFERROR(INDEX(Outbound!$D$2:$D$501,MATCH(C265,Outbound!$A$2:$A$501,0)),"Lead ID not found")))</f>
        <v/>
      </c>
      <c r="E265" s="44" t="str">
        <f aca="false">IF(C265="","",IFERROR(INDEX(Inbound!$F$2:$F$501,MATCH(C265,Inbound!$A$2:$A$501,0)),IFERROR(INDEX(Outbound!$E$2:$E$501,MATCH(C265,Outbound!$A$2:$A$501,0)),"Lead ID not found")))</f>
        <v/>
      </c>
      <c r="F265" s="17"/>
      <c r="G265" s="17"/>
      <c r="H265" s="17"/>
      <c r="I265" s="17"/>
      <c r="J265" s="17"/>
      <c r="K265" s="17"/>
      <c r="L265" s="17"/>
      <c r="M265" s="17"/>
      <c r="N265" s="44" t="str">
        <f aca="false">IF(C265="","",COUNTA(H265:M265))</f>
        <v/>
      </c>
      <c r="O265" s="44" t="str">
        <f aca="false">IF(OR(C265="",N(N265)=0),"",SUMIFS(Settings!$AA$2:$AA$21,Settings!$Y$2:$Y$21,"Budget AED 5k+/mo?",Settings!$Z$2:$Z$21,H265)+SUMIFS(Settings!$AA$2:$AA$21,Settings!$Y$2:$Y$21,"Decision-maker?",Settings!$Z$2:$Z$21,I265)+SUMIFS(Settings!$AA$2:$AA$21,Settings!$Y$2:$Y$21,"Someone on camera?",Settings!$Z$2:$Z$21,J265)+SUMIFS(Settings!$AA$2:$AA$21,Settings!$Y$2:$Y$21,"OK with 3-month term?",Settings!$Z$2:$Z$21,K265)+SUMIFS(Settings!$AA$2:$AA$21,Settings!$Y$2:$Y$21,"Start timeline",Settings!$Z$2:$Z$21,L265)+SUMIFS(Settings!$AA$2:$AA$21,Settings!$Y$2:$Y$21,"Social media gap",Settings!$Z$2:$Z$21,M265)+IF(OR(E265="",E265="Lead ID not found"),0,IF(COUNTIF(Settings!$AC$2:$AC$6,E265)&gt;0,Settings!$AA$20,Settings!$AA$21)))</f>
        <v/>
      </c>
      <c r="P265" s="44" t="str">
        <f aca="false">IF(C265="","",IF(N(N265)&lt;6,"Partly scored ("&amp;N265&amp;"/6)",IF(O265&gt;=Settings!$S$8,"Hot",IF(O265&gt;=Settings!$S$9,"Warm","Cold"))))</f>
        <v/>
      </c>
      <c r="Q265" s="44" t="str">
        <f aca="false">IF(C265="","",IF(AND(H265="No",J265="No"),"🚩 Budget  ·  🚩 No one on camera",IF(H265="No","🚩 Budget under AED 5k",IF(J265="No","🚩 No one on camera",""))))</f>
        <v/>
      </c>
      <c r="R265" s="44" t="str">
        <f aca="false">IF(C265="","",IF(N(N265)&lt;6,"Finish the scoresheet before closing",IF(P265="Hot","Close now – send the contract / proposal today",IF(P265="Warm","Send proposal + a relevant result; follow up in 3 days","Rep's call – nurture or close politely")))&amp;IF(Q265&lt;&gt;""," (handle the 🚩 first)",""))</f>
        <v/>
      </c>
      <c r="S265" s="17"/>
      <c r="T265" s="17"/>
      <c r="U265" s="44" t="str">
        <f aca="false">IF(C265="","",IF(COUNTIF(C266:C$501,C265)=0,1,0))</f>
        <v/>
      </c>
    </row>
    <row r="266" customFormat="false" ht="15" hidden="false" customHeight="false" outlineLevel="0" collapsed="false">
      <c r="A266" s="17"/>
      <c r="B266" s="40"/>
      <c r="C266" s="17"/>
      <c r="D266" s="44" t="str">
        <f aca="false">IF(C266="","",IFERROR(INDEX(Inbound!$E$2:$E$501,MATCH(C266,Inbound!$A$2:$A$501,0)),IFERROR(INDEX(Outbound!$D$2:$D$501,MATCH(C266,Outbound!$A$2:$A$501,0)),"Lead ID not found")))</f>
        <v/>
      </c>
      <c r="E266" s="44" t="str">
        <f aca="false">IF(C266="","",IFERROR(INDEX(Inbound!$F$2:$F$501,MATCH(C266,Inbound!$A$2:$A$501,0)),IFERROR(INDEX(Outbound!$E$2:$E$501,MATCH(C266,Outbound!$A$2:$A$501,0)),"Lead ID not found")))</f>
        <v/>
      </c>
      <c r="F266" s="17"/>
      <c r="G266" s="17"/>
      <c r="H266" s="17"/>
      <c r="I266" s="17"/>
      <c r="J266" s="17"/>
      <c r="K266" s="17"/>
      <c r="L266" s="17"/>
      <c r="M266" s="17"/>
      <c r="N266" s="44" t="str">
        <f aca="false">IF(C266="","",COUNTA(H266:M266))</f>
        <v/>
      </c>
      <c r="O266" s="44" t="str">
        <f aca="false">IF(OR(C266="",N(N266)=0),"",SUMIFS(Settings!$AA$2:$AA$21,Settings!$Y$2:$Y$21,"Budget AED 5k+/mo?",Settings!$Z$2:$Z$21,H266)+SUMIFS(Settings!$AA$2:$AA$21,Settings!$Y$2:$Y$21,"Decision-maker?",Settings!$Z$2:$Z$21,I266)+SUMIFS(Settings!$AA$2:$AA$21,Settings!$Y$2:$Y$21,"Someone on camera?",Settings!$Z$2:$Z$21,J266)+SUMIFS(Settings!$AA$2:$AA$21,Settings!$Y$2:$Y$21,"OK with 3-month term?",Settings!$Z$2:$Z$21,K266)+SUMIFS(Settings!$AA$2:$AA$21,Settings!$Y$2:$Y$21,"Start timeline",Settings!$Z$2:$Z$21,L266)+SUMIFS(Settings!$AA$2:$AA$21,Settings!$Y$2:$Y$21,"Social media gap",Settings!$Z$2:$Z$21,M266)+IF(OR(E266="",E266="Lead ID not found"),0,IF(COUNTIF(Settings!$AC$2:$AC$6,E266)&gt;0,Settings!$AA$20,Settings!$AA$21)))</f>
        <v/>
      </c>
      <c r="P266" s="44" t="str">
        <f aca="false">IF(C266="","",IF(N(N266)&lt;6,"Partly scored ("&amp;N266&amp;"/6)",IF(O266&gt;=Settings!$S$8,"Hot",IF(O266&gt;=Settings!$S$9,"Warm","Cold"))))</f>
        <v/>
      </c>
      <c r="Q266" s="44" t="str">
        <f aca="false">IF(C266="","",IF(AND(H266="No",J266="No"),"🚩 Budget  ·  🚩 No one on camera",IF(H266="No","🚩 Budget under AED 5k",IF(J266="No","🚩 No one on camera",""))))</f>
        <v/>
      </c>
      <c r="R266" s="44" t="str">
        <f aca="false">IF(C266="","",IF(N(N266)&lt;6,"Finish the scoresheet before closing",IF(P266="Hot","Close now – send the contract / proposal today",IF(P266="Warm","Send proposal + a relevant result; follow up in 3 days","Rep's call – nurture or close politely")))&amp;IF(Q266&lt;&gt;""," (handle the 🚩 first)",""))</f>
        <v/>
      </c>
      <c r="S266" s="17"/>
      <c r="T266" s="17"/>
      <c r="U266" s="44" t="str">
        <f aca="false">IF(C266="","",IF(COUNTIF(C267:C$501,C266)=0,1,0))</f>
        <v/>
      </c>
    </row>
    <row r="267" customFormat="false" ht="15" hidden="false" customHeight="false" outlineLevel="0" collapsed="false">
      <c r="A267" s="17"/>
      <c r="B267" s="40"/>
      <c r="C267" s="17"/>
      <c r="D267" s="44" t="str">
        <f aca="false">IF(C267="","",IFERROR(INDEX(Inbound!$E$2:$E$501,MATCH(C267,Inbound!$A$2:$A$501,0)),IFERROR(INDEX(Outbound!$D$2:$D$501,MATCH(C267,Outbound!$A$2:$A$501,0)),"Lead ID not found")))</f>
        <v/>
      </c>
      <c r="E267" s="44" t="str">
        <f aca="false">IF(C267="","",IFERROR(INDEX(Inbound!$F$2:$F$501,MATCH(C267,Inbound!$A$2:$A$501,0)),IFERROR(INDEX(Outbound!$E$2:$E$501,MATCH(C267,Outbound!$A$2:$A$501,0)),"Lead ID not found")))</f>
        <v/>
      </c>
      <c r="F267" s="17"/>
      <c r="G267" s="17"/>
      <c r="H267" s="17"/>
      <c r="I267" s="17"/>
      <c r="J267" s="17"/>
      <c r="K267" s="17"/>
      <c r="L267" s="17"/>
      <c r="M267" s="17"/>
      <c r="N267" s="44" t="str">
        <f aca="false">IF(C267="","",COUNTA(H267:M267))</f>
        <v/>
      </c>
      <c r="O267" s="44" t="str">
        <f aca="false">IF(OR(C267="",N(N267)=0),"",SUMIFS(Settings!$AA$2:$AA$21,Settings!$Y$2:$Y$21,"Budget AED 5k+/mo?",Settings!$Z$2:$Z$21,H267)+SUMIFS(Settings!$AA$2:$AA$21,Settings!$Y$2:$Y$21,"Decision-maker?",Settings!$Z$2:$Z$21,I267)+SUMIFS(Settings!$AA$2:$AA$21,Settings!$Y$2:$Y$21,"Someone on camera?",Settings!$Z$2:$Z$21,J267)+SUMIFS(Settings!$AA$2:$AA$21,Settings!$Y$2:$Y$21,"OK with 3-month term?",Settings!$Z$2:$Z$21,K267)+SUMIFS(Settings!$AA$2:$AA$21,Settings!$Y$2:$Y$21,"Start timeline",Settings!$Z$2:$Z$21,L267)+SUMIFS(Settings!$AA$2:$AA$21,Settings!$Y$2:$Y$21,"Social media gap",Settings!$Z$2:$Z$21,M267)+IF(OR(E267="",E267="Lead ID not found"),0,IF(COUNTIF(Settings!$AC$2:$AC$6,E267)&gt;0,Settings!$AA$20,Settings!$AA$21)))</f>
        <v/>
      </c>
      <c r="P267" s="44" t="str">
        <f aca="false">IF(C267="","",IF(N(N267)&lt;6,"Partly scored ("&amp;N267&amp;"/6)",IF(O267&gt;=Settings!$S$8,"Hot",IF(O267&gt;=Settings!$S$9,"Warm","Cold"))))</f>
        <v/>
      </c>
      <c r="Q267" s="44" t="str">
        <f aca="false">IF(C267="","",IF(AND(H267="No",J267="No"),"🚩 Budget  ·  🚩 No one on camera",IF(H267="No","🚩 Budget under AED 5k",IF(J267="No","🚩 No one on camera",""))))</f>
        <v/>
      </c>
      <c r="R267" s="44" t="str">
        <f aca="false">IF(C267="","",IF(N(N267)&lt;6,"Finish the scoresheet before closing",IF(P267="Hot","Close now – send the contract / proposal today",IF(P267="Warm","Send proposal + a relevant result; follow up in 3 days","Rep's call – nurture or close politely")))&amp;IF(Q267&lt;&gt;""," (handle the 🚩 first)",""))</f>
        <v/>
      </c>
      <c r="S267" s="17"/>
      <c r="T267" s="17"/>
      <c r="U267" s="44" t="str">
        <f aca="false">IF(C267="","",IF(COUNTIF(C268:C$501,C267)=0,1,0))</f>
        <v/>
      </c>
    </row>
    <row r="268" customFormat="false" ht="15" hidden="false" customHeight="false" outlineLevel="0" collapsed="false">
      <c r="A268" s="17"/>
      <c r="B268" s="40"/>
      <c r="C268" s="17"/>
      <c r="D268" s="44" t="str">
        <f aca="false">IF(C268="","",IFERROR(INDEX(Inbound!$E$2:$E$501,MATCH(C268,Inbound!$A$2:$A$501,0)),IFERROR(INDEX(Outbound!$D$2:$D$501,MATCH(C268,Outbound!$A$2:$A$501,0)),"Lead ID not found")))</f>
        <v/>
      </c>
      <c r="E268" s="44" t="str">
        <f aca="false">IF(C268="","",IFERROR(INDEX(Inbound!$F$2:$F$501,MATCH(C268,Inbound!$A$2:$A$501,0)),IFERROR(INDEX(Outbound!$E$2:$E$501,MATCH(C268,Outbound!$A$2:$A$501,0)),"Lead ID not found")))</f>
        <v/>
      </c>
      <c r="F268" s="17"/>
      <c r="G268" s="17"/>
      <c r="H268" s="17"/>
      <c r="I268" s="17"/>
      <c r="J268" s="17"/>
      <c r="K268" s="17"/>
      <c r="L268" s="17"/>
      <c r="M268" s="17"/>
      <c r="N268" s="44" t="str">
        <f aca="false">IF(C268="","",COUNTA(H268:M268))</f>
        <v/>
      </c>
      <c r="O268" s="44" t="str">
        <f aca="false">IF(OR(C268="",N(N268)=0),"",SUMIFS(Settings!$AA$2:$AA$21,Settings!$Y$2:$Y$21,"Budget AED 5k+/mo?",Settings!$Z$2:$Z$21,H268)+SUMIFS(Settings!$AA$2:$AA$21,Settings!$Y$2:$Y$21,"Decision-maker?",Settings!$Z$2:$Z$21,I268)+SUMIFS(Settings!$AA$2:$AA$21,Settings!$Y$2:$Y$21,"Someone on camera?",Settings!$Z$2:$Z$21,J268)+SUMIFS(Settings!$AA$2:$AA$21,Settings!$Y$2:$Y$21,"OK with 3-month term?",Settings!$Z$2:$Z$21,K268)+SUMIFS(Settings!$AA$2:$AA$21,Settings!$Y$2:$Y$21,"Start timeline",Settings!$Z$2:$Z$21,L268)+SUMIFS(Settings!$AA$2:$AA$21,Settings!$Y$2:$Y$21,"Social media gap",Settings!$Z$2:$Z$21,M268)+IF(OR(E268="",E268="Lead ID not found"),0,IF(COUNTIF(Settings!$AC$2:$AC$6,E268)&gt;0,Settings!$AA$20,Settings!$AA$21)))</f>
        <v/>
      </c>
      <c r="P268" s="44" t="str">
        <f aca="false">IF(C268="","",IF(N(N268)&lt;6,"Partly scored ("&amp;N268&amp;"/6)",IF(O268&gt;=Settings!$S$8,"Hot",IF(O268&gt;=Settings!$S$9,"Warm","Cold"))))</f>
        <v/>
      </c>
      <c r="Q268" s="44" t="str">
        <f aca="false">IF(C268="","",IF(AND(H268="No",J268="No"),"🚩 Budget  ·  🚩 No one on camera",IF(H268="No","🚩 Budget under AED 5k",IF(J268="No","🚩 No one on camera",""))))</f>
        <v/>
      </c>
      <c r="R268" s="44" t="str">
        <f aca="false">IF(C268="","",IF(N(N268)&lt;6,"Finish the scoresheet before closing",IF(P268="Hot","Close now – send the contract / proposal today",IF(P268="Warm","Send proposal + a relevant result; follow up in 3 days","Rep's call – nurture or close politely")))&amp;IF(Q268&lt;&gt;""," (handle the 🚩 first)",""))</f>
        <v/>
      </c>
      <c r="S268" s="17"/>
      <c r="T268" s="17"/>
      <c r="U268" s="44" t="str">
        <f aca="false">IF(C268="","",IF(COUNTIF(C269:C$501,C268)=0,1,0))</f>
        <v/>
      </c>
    </row>
    <row r="269" customFormat="false" ht="15" hidden="false" customHeight="false" outlineLevel="0" collapsed="false">
      <c r="A269" s="17"/>
      <c r="B269" s="40"/>
      <c r="C269" s="17"/>
      <c r="D269" s="44" t="str">
        <f aca="false">IF(C269="","",IFERROR(INDEX(Inbound!$E$2:$E$501,MATCH(C269,Inbound!$A$2:$A$501,0)),IFERROR(INDEX(Outbound!$D$2:$D$501,MATCH(C269,Outbound!$A$2:$A$501,0)),"Lead ID not found")))</f>
        <v/>
      </c>
      <c r="E269" s="44" t="str">
        <f aca="false">IF(C269="","",IFERROR(INDEX(Inbound!$F$2:$F$501,MATCH(C269,Inbound!$A$2:$A$501,0)),IFERROR(INDEX(Outbound!$E$2:$E$501,MATCH(C269,Outbound!$A$2:$A$501,0)),"Lead ID not found")))</f>
        <v/>
      </c>
      <c r="F269" s="17"/>
      <c r="G269" s="17"/>
      <c r="H269" s="17"/>
      <c r="I269" s="17"/>
      <c r="J269" s="17"/>
      <c r="K269" s="17"/>
      <c r="L269" s="17"/>
      <c r="M269" s="17"/>
      <c r="N269" s="44" t="str">
        <f aca="false">IF(C269="","",COUNTA(H269:M269))</f>
        <v/>
      </c>
      <c r="O269" s="44" t="str">
        <f aca="false">IF(OR(C269="",N(N269)=0),"",SUMIFS(Settings!$AA$2:$AA$21,Settings!$Y$2:$Y$21,"Budget AED 5k+/mo?",Settings!$Z$2:$Z$21,H269)+SUMIFS(Settings!$AA$2:$AA$21,Settings!$Y$2:$Y$21,"Decision-maker?",Settings!$Z$2:$Z$21,I269)+SUMIFS(Settings!$AA$2:$AA$21,Settings!$Y$2:$Y$21,"Someone on camera?",Settings!$Z$2:$Z$21,J269)+SUMIFS(Settings!$AA$2:$AA$21,Settings!$Y$2:$Y$21,"OK with 3-month term?",Settings!$Z$2:$Z$21,K269)+SUMIFS(Settings!$AA$2:$AA$21,Settings!$Y$2:$Y$21,"Start timeline",Settings!$Z$2:$Z$21,L269)+SUMIFS(Settings!$AA$2:$AA$21,Settings!$Y$2:$Y$21,"Social media gap",Settings!$Z$2:$Z$21,M269)+IF(OR(E269="",E269="Lead ID not found"),0,IF(COUNTIF(Settings!$AC$2:$AC$6,E269)&gt;0,Settings!$AA$20,Settings!$AA$21)))</f>
        <v/>
      </c>
      <c r="P269" s="44" t="str">
        <f aca="false">IF(C269="","",IF(N(N269)&lt;6,"Partly scored ("&amp;N269&amp;"/6)",IF(O269&gt;=Settings!$S$8,"Hot",IF(O269&gt;=Settings!$S$9,"Warm","Cold"))))</f>
        <v/>
      </c>
      <c r="Q269" s="44" t="str">
        <f aca="false">IF(C269="","",IF(AND(H269="No",J269="No"),"🚩 Budget  ·  🚩 No one on camera",IF(H269="No","🚩 Budget under AED 5k",IF(J269="No","🚩 No one on camera",""))))</f>
        <v/>
      </c>
      <c r="R269" s="44" t="str">
        <f aca="false">IF(C269="","",IF(N(N269)&lt;6,"Finish the scoresheet before closing",IF(P269="Hot","Close now – send the contract / proposal today",IF(P269="Warm","Send proposal + a relevant result; follow up in 3 days","Rep's call – nurture or close politely")))&amp;IF(Q269&lt;&gt;""," (handle the 🚩 first)",""))</f>
        <v/>
      </c>
      <c r="S269" s="17"/>
      <c r="T269" s="17"/>
      <c r="U269" s="44" t="str">
        <f aca="false">IF(C269="","",IF(COUNTIF(C270:C$501,C269)=0,1,0))</f>
        <v/>
      </c>
    </row>
    <row r="270" customFormat="false" ht="15" hidden="false" customHeight="false" outlineLevel="0" collapsed="false">
      <c r="A270" s="17"/>
      <c r="B270" s="40"/>
      <c r="C270" s="17"/>
      <c r="D270" s="44" t="str">
        <f aca="false">IF(C270="","",IFERROR(INDEX(Inbound!$E$2:$E$501,MATCH(C270,Inbound!$A$2:$A$501,0)),IFERROR(INDEX(Outbound!$D$2:$D$501,MATCH(C270,Outbound!$A$2:$A$501,0)),"Lead ID not found")))</f>
        <v/>
      </c>
      <c r="E270" s="44" t="str">
        <f aca="false">IF(C270="","",IFERROR(INDEX(Inbound!$F$2:$F$501,MATCH(C270,Inbound!$A$2:$A$501,0)),IFERROR(INDEX(Outbound!$E$2:$E$501,MATCH(C270,Outbound!$A$2:$A$501,0)),"Lead ID not found")))</f>
        <v/>
      </c>
      <c r="F270" s="17"/>
      <c r="G270" s="17"/>
      <c r="H270" s="17"/>
      <c r="I270" s="17"/>
      <c r="J270" s="17"/>
      <c r="K270" s="17"/>
      <c r="L270" s="17"/>
      <c r="M270" s="17"/>
      <c r="N270" s="44" t="str">
        <f aca="false">IF(C270="","",COUNTA(H270:M270))</f>
        <v/>
      </c>
      <c r="O270" s="44" t="str">
        <f aca="false">IF(OR(C270="",N(N270)=0),"",SUMIFS(Settings!$AA$2:$AA$21,Settings!$Y$2:$Y$21,"Budget AED 5k+/mo?",Settings!$Z$2:$Z$21,H270)+SUMIFS(Settings!$AA$2:$AA$21,Settings!$Y$2:$Y$21,"Decision-maker?",Settings!$Z$2:$Z$21,I270)+SUMIFS(Settings!$AA$2:$AA$21,Settings!$Y$2:$Y$21,"Someone on camera?",Settings!$Z$2:$Z$21,J270)+SUMIFS(Settings!$AA$2:$AA$21,Settings!$Y$2:$Y$21,"OK with 3-month term?",Settings!$Z$2:$Z$21,K270)+SUMIFS(Settings!$AA$2:$AA$21,Settings!$Y$2:$Y$21,"Start timeline",Settings!$Z$2:$Z$21,L270)+SUMIFS(Settings!$AA$2:$AA$21,Settings!$Y$2:$Y$21,"Social media gap",Settings!$Z$2:$Z$21,M270)+IF(OR(E270="",E270="Lead ID not found"),0,IF(COUNTIF(Settings!$AC$2:$AC$6,E270)&gt;0,Settings!$AA$20,Settings!$AA$21)))</f>
        <v/>
      </c>
      <c r="P270" s="44" t="str">
        <f aca="false">IF(C270="","",IF(N(N270)&lt;6,"Partly scored ("&amp;N270&amp;"/6)",IF(O270&gt;=Settings!$S$8,"Hot",IF(O270&gt;=Settings!$S$9,"Warm","Cold"))))</f>
        <v/>
      </c>
      <c r="Q270" s="44" t="str">
        <f aca="false">IF(C270="","",IF(AND(H270="No",J270="No"),"🚩 Budget  ·  🚩 No one on camera",IF(H270="No","🚩 Budget under AED 5k",IF(J270="No","🚩 No one on camera",""))))</f>
        <v/>
      </c>
      <c r="R270" s="44" t="str">
        <f aca="false">IF(C270="","",IF(N(N270)&lt;6,"Finish the scoresheet before closing",IF(P270="Hot","Close now – send the contract / proposal today",IF(P270="Warm","Send proposal + a relevant result; follow up in 3 days","Rep's call – nurture or close politely")))&amp;IF(Q270&lt;&gt;""," (handle the 🚩 first)",""))</f>
        <v/>
      </c>
      <c r="S270" s="17"/>
      <c r="T270" s="17"/>
      <c r="U270" s="44" t="str">
        <f aca="false">IF(C270="","",IF(COUNTIF(C271:C$501,C270)=0,1,0))</f>
        <v/>
      </c>
    </row>
    <row r="271" customFormat="false" ht="15" hidden="false" customHeight="false" outlineLevel="0" collapsed="false">
      <c r="A271" s="17"/>
      <c r="B271" s="40"/>
      <c r="C271" s="17"/>
      <c r="D271" s="44" t="str">
        <f aca="false">IF(C271="","",IFERROR(INDEX(Inbound!$E$2:$E$501,MATCH(C271,Inbound!$A$2:$A$501,0)),IFERROR(INDEX(Outbound!$D$2:$D$501,MATCH(C271,Outbound!$A$2:$A$501,0)),"Lead ID not found")))</f>
        <v/>
      </c>
      <c r="E271" s="44" t="str">
        <f aca="false">IF(C271="","",IFERROR(INDEX(Inbound!$F$2:$F$501,MATCH(C271,Inbound!$A$2:$A$501,0)),IFERROR(INDEX(Outbound!$E$2:$E$501,MATCH(C271,Outbound!$A$2:$A$501,0)),"Lead ID not found")))</f>
        <v/>
      </c>
      <c r="F271" s="17"/>
      <c r="G271" s="17"/>
      <c r="H271" s="17"/>
      <c r="I271" s="17"/>
      <c r="J271" s="17"/>
      <c r="K271" s="17"/>
      <c r="L271" s="17"/>
      <c r="M271" s="17"/>
      <c r="N271" s="44" t="str">
        <f aca="false">IF(C271="","",COUNTA(H271:M271))</f>
        <v/>
      </c>
      <c r="O271" s="44" t="str">
        <f aca="false">IF(OR(C271="",N(N271)=0),"",SUMIFS(Settings!$AA$2:$AA$21,Settings!$Y$2:$Y$21,"Budget AED 5k+/mo?",Settings!$Z$2:$Z$21,H271)+SUMIFS(Settings!$AA$2:$AA$21,Settings!$Y$2:$Y$21,"Decision-maker?",Settings!$Z$2:$Z$21,I271)+SUMIFS(Settings!$AA$2:$AA$21,Settings!$Y$2:$Y$21,"Someone on camera?",Settings!$Z$2:$Z$21,J271)+SUMIFS(Settings!$AA$2:$AA$21,Settings!$Y$2:$Y$21,"OK with 3-month term?",Settings!$Z$2:$Z$21,K271)+SUMIFS(Settings!$AA$2:$AA$21,Settings!$Y$2:$Y$21,"Start timeline",Settings!$Z$2:$Z$21,L271)+SUMIFS(Settings!$AA$2:$AA$21,Settings!$Y$2:$Y$21,"Social media gap",Settings!$Z$2:$Z$21,M271)+IF(OR(E271="",E271="Lead ID not found"),0,IF(COUNTIF(Settings!$AC$2:$AC$6,E271)&gt;0,Settings!$AA$20,Settings!$AA$21)))</f>
        <v/>
      </c>
      <c r="P271" s="44" t="str">
        <f aca="false">IF(C271="","",IF(N(N271)&lt;6,"Partly scored ("&amp;N271&amp;"/6)",IF(O271&gt;=Settings!$S$8,"Hot",IF(O271&gt;=Settings!$S$9,"Warm","Cold"))))</f>
        <v/>
      </c>
      <c r="Q271" s="44" t="str">
        <f aca="false">IF(C271="","",IF(AND(H271="No",J271="No"),"🚩 Budget  ·  🚩 No one on camera",IF(H271="No","🚩 Budget under AED 5k",IF(J271="No","🚩 No one on camera",""))))</f>
        <v/>
      </c>
      <c r="R271" s="44" t="str">
        <f aca="false">IF(C271="","",IF(N(N271)&lt;6,"Finish the scoresheet before closing",IF(P271="Hot","Close now – send the contract / proposal today",IF(P271="Warm","Send proposal + a relevant result; follow up in 3 days","Rep's call – nurture or close politely")))&amp;IF(Q271&lt;&gt;""," (handle the 🚩 first)",""))</f>
        <v/>
      </c>
      <c r="S271" s="17"/>
      <c r="T271" s="17"/>
      <c r="U271" s="44" t="str">
        <f aca="false">IF(C271="","",IF(COUNTIF(C272:C$501,C271)=0,1,0))</f>
        <v/>
      </c>
    </row>
    <row r="272" customFormat="false" ht="15" hidden="false" customHeight="false" outlineLevel="0" collapsed="false">
      <c r="A272" s="17"/>
      <c r="B272" s="40"/>
      <c r="C272" s="17"/>
      <c r="D272" s="44" t="str">
        <f aca="false">IF(C272="","",IFERROR(INDEX(Inbound!$E$2:$E$501,MATCH(C272,Inbound!$A$2:$A$501,0)),IFERROR(INDEX(Outbound!$D$2:$D$501,MATCH(C272,Outbound!$A$2:$A$501,0)),"Lead ID not found")))</f>
        <v/>
      </c>
      <c r="E272" s="44" t="str">
        <f aca="false">IF(C272="","",IFERROR(INDEX(Inbound!$F$2:$F$501,MATCH(C272,Inbound!$A$2:$A$501,0)),IFERROR(INDEX(Outbound!$E$2:$E$501,MATCH(C272,Outbound!$A$2:$A$501,0)),"Lead ID not found")))</f>
        <v/>
      </c>
      <c r="F272" s="17"/>
      <c r="G272" s="17"/>
      <c r="H272" s="17"/>
      <c r="I272" s="17"/>
      <c r="J272" s="17"/>
      <c r="K272" s="17"/>
      <c r="L272" s="17"/>
      <c r="M272" s="17"/>
      <c r="N272" s="44" t="str">
        <f aca="false">IF(C272="","",COUNTA(H272:M272))</f>
        <v/>
      </c>
      <c r="O272" s="44" t="str">
        <f aca="false">IF(OR(C272="",N(N272)=0),"",SUMIFS(Settings!$AA$2:$AA$21,Settings!$Y$2:$Y$21,"Budget AED 5k+/mo?",Settings!$Z$2:$Z$21,H272)+SUMIFS(Settings!$AA$2:$AA$21,Settings!$Y$2:$Y$21,"Decision-maker?",Settings!$Z$2:$Z$21,I272)+SUMIFS(Settings!$AA$2:$AA$21,Settings!$Y$2:$Y$21,"Someone on camera?",Settings!$Z$2:$Z$21,J272)+SUMIFS(Settings!$AA$2:$AA$21,Settings!$Y$2:$Y$21,"OK with 3-month term?",Settings!$Z$2:$Z$21,K272)+SUMIFS(Settings!$AA$2:$AA$21,Settings!$Y$2:$Y$21,"Start timeline",Settings!$Z$2:$Z$21,L272)+SUMIFS(Settings!$AA$2:$AA$21,Settings!$Y$2:$Y$21,"Social media gap",Settings!$Z$2:$Z$21,M272)+IF(OR(E272="",E272="Lead ID not found"),0,IF(COUNTIF(Settings!$AC$2:$AC$6,E272)&gt;0,Settings!$AA$20,Settings!$AA$21)))</f>
        <v/>
      </c>
      <c r="P272" s="44" t="str">
        <f aca="false">IF(C272="","",IF(N(N272)&lt;6,"Partly scored ("&amp;N272&amp;"/6)",IF(O272&gt;=Settings!$S$8,"Hot",IF(O272&gt;=Settings!$S$9,"Warm","Cold"))))</f>
        <v/>
      </c>
      <c r="Q272" s="44" t="str">
        <f aca="false">IF(C272="","",IF(AND(H272="No",J272="No"),"🚩 Budget  ·  🚩 No one on camera",IF(H272="No","🚩 Budget under AED 5k",IF(J272="No","🚩 No one on camera",""))))</f>
        <v/>
      </c>
      <c r="R272" s="44" t="str">
        <f aca="false">IF(C272="","",IF(N(N272)&lt;6,"Finish the scoresheet before closing",IF(P272="Hot","Close now – send the contract / proposal today",IF(P272="Warm","Send proposal + a relevant result; follow up in 3 days","Rep's call – nurture or close politely")))&amp;IF(Q272&lt;&gt;""," (handle the 🚩 first)",""))</f>
        <v/>
      </c>
      <c r="S272" s="17"/>
      <c r="T272" s="17"/>
      <c r="U272" s="44" t="str">
        <f aca="false">IF(C272="","",IF(COUNTIF(C273:C$501,C272)=0,1,0))</f>
        <v/>
      </c>
    </row>
    <row r="273" customFormat="false" ht="15" hidden="false" customHeight="false" outlineLevel="0" collapsed="false">
      <c r="A273" s="17"/>
      <c r="B273" s="40"/>
      <c r="C273" s="17"/>
      <c r="D273" s="44" t="str">
        <f aca="false">IF(C273="","",IFERROR(INDEX(Inbound!$E$2:$E$501,MATCH(C273,Inbound!$A$2:$A$501,0)),IFERROR(INDEX(Outbound!$D$2:$D$501,MATCH(C273,Outbound!$A$2:$A$501,0)),"Lead ID not found")))</f>
        <v/>
      </c>
      <c r="E273" s="44" t="str">
        <f aca="false">IF(C273="","",IFERROR(INDEX(Inbound!$F$2:$F$501,MATCH(C273,Inbound!$A$2:$A$501,0)),IFERROR(INDEX(Outbound!$E$2:$E$501,MATCH(C273,Outbound!$A$2:$A$501,0)),"Lead ID not found")))</f>
        <v/>
      </c>
      <c r="F273" s="17"/>
      <c r="G273" s="17"/>
      <c r="H273" s="17"/>
      <c r="I273" s="17"/>
      <c r="J273" s="17"/>
      <c r="K273" s="17"/>
      <c r="L273" s="17"/>
      <c r="M273" s="17"/>
      <c r="N273" s="44" t="str">
        <f aca="false">IF(C273="","",COUNTA(H273:M273))</f>
        <v/>
      </c>
      <c r="O273" s="44" t="str">
        <f aca="false">IF(OR(C273="",N(N273)=0),"",SUMIFS(Settings!$AA$2:$AA$21,Settings!$Y$2:$Y$21,"Budget AED 5k+/mo?",Settings!$Z$2:$Z$21,H273)+SUMIFS(Settings!$AA$2:$AA$21,Settings!$Y$2:$Y$21,"Decision-maker?",Settings!$Z$2:$Z$21,I273)+SUMIFS(Settings!$AA$2:$AA$21,Settings!$Y$2:$Y$21,"Someone on camera?",Settings!$Z$2:$Z$21,J273)+SUMIFS(Settings!$AA$2:$AA$21,Settings!$Y$2:$Y$21,"OK with 3-month term?",Settings!$Z$2:$Z$21,K273)+SUMIFS(Settings!$AA$2:$AA$21,Settings!$Y$2:$Y$21,"Start timeline",Settings!$Z$2:$Z$21,L273)+SUMIFS(Settings!$AA$2:$AA$21,Settings!$Y$2:$Y$21,"Social media gap",Settings!$Z$2:$Z$21,M273)+IF(OR(E273="",E273="Lead ID not found"),0,IF(COUNTIF(Settings!$AC$2:$AC$6,E273)&gt;0,Settings!$AA$20,Settings!$AA$21)))</f>
        <v/>
      </c>
      <c r="P273" s="44" t="str">
        <f aca="false">IF(C273="","",IF(N(N273)&lt;6,"Partly scored ("&amp;N273&amp;"/6)",IF(O273&gt;=Settings!$S$8,"Hot",IF(O273&gt;=Settings!$S$9,"Warm","Cold"))))</f>
        <v/>
      </c>
      <c r="Q273" s="44" t="str">
        <f aca="false">IF(C273="","",IF(AND(H273="No",J273="No"),"🚩 Budget  ·  🚩 No one on camera",IF(H273="No","🚩 Budget under AED 5k",IF(J273="No","🚩 No one on camera",""))))</f>
        <v/>
      </c>
      <c r="R273" s="44" t="str">
        <f aca="false">IF(C273="","",IF(N(N273)&lt;6,"Finish the scoresheet before closing",IF(P273="Hot","Close now – send the contract / proposal today",IF(P273="Warm","Send proposal + a relevant result; follow up in 3 days","Rep's call – nurture or close politely")))&amp;IF(Q273&lt;&gt;""," (handle the 🚩 first)",""))</f>
        <v/>
      </c>
      <c r="S273" s="17"/>
      <c r="T273" s="17"/>
      <c r="U273" s="44" t="str">
        <f aca="false">IF(C273="","",IF(COUNTIF(C274:C$501,C273)=0,1,0))</f>
        <v/>
      </c>
    </row>
    <row r="274" customFormat="false" ht="15" hidden="false" customHeight="false" outlineLevel="0" collapsed="false">
      <c r="A274" s="17"/>
      <c r="B274" s="40"/>
      <c r="C274" s="17"/>
      <c r="D274" s="44" t="str">
        <f aca="false">IF(C274="","",IFERROR(INDEX(Inbound!$E$2:$E$501,MATCH(C274,Inbound!$A$2:$A$501,0)),IFERROR(INDEX(Outbound!$D$2:$D$501,MATCH(C274,Outbound!$A$2:$A$501,0)),"Lead ID not found")))</f>
        <v/>
      </c>
      <c r="E274" s="44" t="str">
        <f aca="false">IF(C274="","",IFERROR(INDEX(Inbound!$F$2:$F$501,MATCH(C274,Inbound!$A$2:$A$501,0)),IFERROR(INDEX(Outbound!$E$2:$E$501,MATCH(C274,Outbound!$A$2:$A$501,0)),"Lead ID not found")))</f>
        <v/>
      </c>
      <c r="F274" s="17"/>
      <c r="G274" s="17"/>
      <c r="H274" s="17"/>
      <c r="I274" s="17"/>
      <c r="J274" s="17"/>
      <c r="K274" s="17"/>
      <c r="L274" s="17"/>
      <c r="M274" s="17"/>
      <c r="N274" s="44" t="str">
        <f aca="false">IF(C274="","",COUNTA(H274:M274))</f>
        <v/>
      </c>
      <c r="O274" s="44" t="str">
        <f aca="false">IF(OR(C274="",N(N274)=0),"",SUMIFS(Settings!$AA$2:$AA$21,Settings!$Y$2:$Y$21,"Budget AED 5k+/mo?",Settings!$Z$2:$Z$21,H274)+SUMIFS(Settings!$AA$2:$AA$21,Settings!$Y$2:$Y$21,"Decision-maker?",Settings!$Z$2:$Z$21,I274)+SUMIFS(Settings!$AA$2:$AA$21,Settings!$Y$2:$Y$21,"Someone on camera?",Settings!$Z$2:$Z$21,J274)+SUMIFS(Settings!$AA$2:$AA$21,Settings!$Y$2:$Y$21,"OK with 3-month term?",Settings!$Z$2:$Z$21,K274)+SUMIFS(Settings!$AA$2:$AA$21,Settings!$Y$2:$Y$21,"Start timeline",Settings!$Z$2:$Z$21,L274)+SUMIFS(Settings!$AA$2:$AA$21,Settings!$Y$2:$Y$21,"Social media gap",Settings!$Z$2:$Z$21,M274)+IF(OR(E274="",E274="Lead ID not found"),0,IF(COUNTIF(Settings!$AC$2:$AC$6,E274)&gt;0,Settings!$AA$20,Settings!$AA$21)))</f>
        <v/>
      </c>
      <c r="P274" s="44" t="str">
        <f aca="false">IF(C274="","",IF(N(N274)&lt;6,"Partly scored ("&amp;N274&amp;"/6)",IF(O274&gt;=Settings!$S$8,"Hot",IF(O274&gt;=Settings!$S$9,"Warm","Cold"))))</f>
        <v/>
      </c>
      <c r="Q274" s="44" t="str">
        <f aca="false">IF(C274="","",IF(AND(H274="No",J274="No"),"🚩 Budget  ·  🚩 No one on camera",IF(H274="No","🚩 Budget under AED 5k",IF(J274="No","🚩 No one on camera",""))))</f>
        <v/>
      </c>
      <c r="R274" s="44" t="str">
        <f aca="false">IF(C274="","",IF(N(N274)&lt;6,"Finish the scoresheet before closing",IF(P274="Hot","Close now – send the contract / proposal today",IF(P274="Warm","Send proposal + a relevant result; follow up in 3 days","Rep's call – nurture or close politely")))&amp;IF(Q274&lt;&gt;""," (handle the 🚩 first)",""))</f>
        <v/>
      </c>
      <c r="S274" s="17"/>
      <c r="T274" s="17"/>
      <c r="U274" s="44" t="str">
        <f aca="false">IF(C274="","",IF(COUNTIF(C275:C$501,C274)=0,1,0))</f>
        <v/>
      </c>
    </row>
    <row r="275" customFormat="false" ht="15" hidden="false" customHeight="false" outlineLevel="0" collapsed="false">
      <c r="A275" s="17"/>
      <c r="B275" s="40"/>
      <c r="C275" s="17"/>
      <c r="D275" s="44" t="str">
        <f aca="false">IF(C275="","",IFERROR(INDEX(Inbound!$E$2:$E$501,MATCH(C275,Inbound!$A$2:$A$501,0)),IFERROR(INDEX(Outbound!$D$2:$D$501,MATCH(C275,Outbound!$A$2:$A$501,0)),"Lead ID not found")))</f>
        <v/>
      </c>
      <c r="E275" s="44" t="str">
        <f aca="false">IF(C275="","",IFERROR(INDEX(Inbound!$F$2:$F$501,MATCH(C275,Inbound!$A$2:$A$501,0)),IFERROR(INDEX(Outbound!$E$2:$E$501,MATCH(C275,Outbound!$A$2:$A$501,0)),"Lead ID not found")))</f>
        <v/>
      </c>
      <c r="F275" s="17"/>
      <c r="G275" s="17"/>
      <c r="H275" s="17"/>
      <c r="I275" s="17"/>
      <c r="J275" s="17"/>
      <c r="K275" s="17"/>
      <c r="L275" s="17"/>
      <c r="M275" s="17"/>
      <c r="N275" s="44" t="str">
        <f aca="false">IF(C275="","",COUNTA(H275:M275))</f>
        <v/>
      </c>
      <c r="O275" s="44" t="str">
        <f aca="false">IF(OR(C275="",N(N275)=0),"",SUMIFS(Settings!$AA$2:$AA$21,Settings!$Y$2:$Y$21,"Budget AED 5k+/mo?",Settings!$Z$2:$Z$21,H275)+SUMIFS(Settings!$AA$2:$AA$21,Settings!$Y$2:$Y$21,"Decision-maker?",Settings!$Z$2:$Z$21,I275)+SUMIFS(Settings!$AA$2:$AA$21,Settings!$Y$2:$Y$21,"Someone on camera?",Settings!$Z$2:$Z$21,J275)+SUMIFS(Settings!$AA$2:$AA$21,Settings!$Y$2:$Y$21,"OK with 3-month term?",Settings!$Z$2:$Z$21,K275)+SUMIFS(Settings!$AA$2:$AA$21,Settings!$Y$2:$Y$21,"Start timeline",Settings!$Z$2:$Z$21,L275)+SUMIFS(Settings!$AA$2:$AA$21,Settings!$Y$2:$Y$21,"Social media gap",Settings!$Z$2:$Z$21,M275)+IF(OR(E275="",E275="Lead ID not found"),0,IF(COUNTIF(Settings!$AC$2:$AC$6,E275)&gt;0,Settings!$AA$20,Settings!$AA$21)))</f>
        <v/>
      </c>
      <c r="P275" s="44" t="str">
        <f aca="false">IF(C275="","",IF(N(N275)&lt;6,"Partly scored ("&amp;N275&amp;"/6)",IF(O275&gt;=Settings!$S$8,"Hot",IF(O275&gt;=Settings!$S$9,"Warm","Cold"))))</f>
        <v/>
      </c>
      <c r="Q275" s="44" t="str">
        <f aca="false">IF(C275="","",IF(AND(H275="No",J275="No"),"🚩 Budget  ·  🚩 No one on camera",IF(H275="No","🚩 Budget under AED 5k",IF(J275="No","🚩 No one on camera",""))))</f>
        <v/>
      </c>
      <c r="R275" s="44" t="str">
        <f aca="false">IF(C275="","",IF(N(N275)&lt;6,"Finish the scoresheet before closing",IF(P275="Hot","Close now – send the contract / proposal today",IF(P275="Warm","Send proposal + a relevant result; follow up in 3 days","Rep's call – nurture or close politely")))&amp;IF(Q275&lt;&gt;""," (handle the 🚩 first)",""))</f>
        <v/>
      </c>
      <c r="S275" s="17"/>
      <c r="T275" s="17"/>
      <c r="U275" s="44" t="str">
        <f aca="false">IF(C275="","",IF(COUNTIF(C276:C$501,C275)=0,1,0))</f>
        <v/>
      </c>
    </row>
    <row r="276" customFormat="false" ht="15" hidden="false" customHeight="false" outlineLevel="0" collapsed="false">
      <c r="A276" s="17"/>
      <c r="B276" s="40"/>
      <c r="C276" s="17"/>
      <c r="D276" s="44" t="str">
        <f aca="false">IF(C276="","",IFERROR(INDEX(Inbound!$E$2:$E$501,MATCH(C276,Inbound!$A$2:$A$501,0)),IFERROR(INDEX(Outbound!$D$2:$D$501,MATCH(C276,Outbound!$A$2:$A$501,0)),"Lead ID not found")))</f>
        <v/>
      </c>
      <c r="E276" s="44" t="str">
        <f aca="false">IF(C276="","",IFERROR(INDEX(Inbound!$F$2:$F$501,MATCH(C276,Inbound!$A$2:$A$501,0)),IFERROR(INDEX(Outbound!$E$2:$E$501,MATCH(C276,Outbound!$A$2:$A$501,0)),"Lead ID not found")))</f>
        <v/>
      </c>
      <c r="F276" s="17"/>
      <c r="G276" s="17"/>
      <c r="H276" s="17"/>
      <c r="I276" s="17"/>
      <c r="J276" s="17"/>
      <c r="K276" s="17"/>
      <c r="L276" s="17"/>
      <c r="M276" s="17"/>
      <c r="N276" s="44" t="str">
        <f aca="false">IF(C276="","",COUNTA(H276:M276))</f>
        <v/>
      </c>
      <c r="O276" s="44" t="str">
        <f aca="false">IF(OR(C276="",N(N276)=0),"",SUMIFS(Settings!$AA$2:$AA$21,Settings!$Y$2:$Y$21,"Budget AED 5k+/mo?",Settings!$Z$2:$Z$21,H276)+SUMIFS(Settings!$AA$2:$AA$21,Settings!$Y$2:$Y$21,"Decision-maker?",Settings!$Z$2:$Z$21,I276)+SUMIFS(Settings!$AA$2:$AA$21,Settings!$Y$2:$Y$21,"Someone on camera?",Settings!$Z$2:$Z$21,J276)+SUMIFS(Settings!$AA$2:$AA$21,Settings!$Y$2:$Y$21,"OK with 3-month term?",Settings!$Z$2:$Z$21,K276)+SUMIFS(Settings!$AA$2:$AA$21,Settings!$Y$2:$Y$21,"Start timeline",Settings!$Z$2:$Z$21,L276)+SUMIFS(Settings!$AA$2:$AA$21,Settings!$Y$2:$Y$21,"Social media gap",Settings!$Z$2:$Z$21,M276)+IF(OR(E276="",E276="Lead ID not found"),0,IF(COUNTIF(Settings!$AC$2:$AC$6,E276)&gt;0,Settings!$AA$20,Settings!$AA$21)))</f>
        <v/>
      </c>
      <c r="P276" s="44" t="str">
        <f aca="false">IF(C276="","",IF(N(N276)&lt;6,"Partly scored ("&amp;N276&amp;"/6)",IF(O276&gt;=Settings!$S$8,"Hot",IF(O276&gt;=Settings!$S$9,"Warm","Cold"))))</f>
        <v/>
      </c>
      <c r="Q276" s="44" t="str">
        <f aca="false">IF(C276="","",IF(AND(H276="No",J276="No"),"🚩 Budget  ·  🚩 No one on camera",IF(H276="No","🚩 Budget under AED 5k",IF(J276="No","🚩 No one on camera",""))))</f>
        <v/>
      </c>
      <c r="R276" s="44" t="str">
        <f aca="false">IF(C276="","",IF(N(N276)&lt;6,"Finish the scoresheet before closing",IF(P276="Hot","Close now – send the contract / proposal today",IF(P276="Warm","Send proposal + a relevant result; follow up in 3 days","Rep's call – nurture or close politely")))&amp;IF(Q276&lt;&gt;""," (handle the 🚩 first)",""))</f>
        <v/>
      </c>
      <c r="S276" s="17"/>
      <c r="T276" s="17"/>
      <c r="U276" s="44" t="str">
        <f aca="false">IF(C276="","",IF(COUNTIF(C277:C$501,C276)=0,1,0))</f>
        <v/>
      </c>
    </row>
    <row r="277" customFormat="false" ht="15" hidden="false" customHeight="false" outlineLevel="0" collapsed="false">
      <c r="A277" s="17"/>
      <c r="B277" s="40"/>
      <c r="C277" s="17"/>
      <c r="D277" s="44" t="str">
        <f aca="false">IF(C277="","",IFERROR(INDEX(Inbound!$E$2:$E$501,MATCH(C277,Inbound!$A$2:$A$501,0)),IFERROR(INDEX(Outbound!$D$2:$D$501,MATCH(C277,Outbound!$A$2:$A$501,0)),"Lead ID not found")))</f>
        <v/>
      </c>
      <c r="E277" s="44" t="str">
        <f aca="false">IF(C277="","",IFERROR(INDEX(Inbound!$F$2:$F$501,MATCH(C277,Inbound!$A$2:$A$501,0)),IFERROR(INDEX(Outbound!$E$2:$E$501,MATCH(C277,Outbound!$A$2:$A$501,0)),"Lead ID not found")))</f>
        <v/>
      </c>
      <c r="F277" s="17"/>
      <c r="G277" s="17"/>
      <c r="H277" s="17"/>
      <c r="I277" s="17"/>
      <c r="J277" s="17"/>
      <c r="K277" s="17"/>
      <c r="L277" s="17"/>
      <c r="M277" s="17"/>
      <c r="N277" s="44" t="str">
        <f aca="false">IF(C277="","",COUNTA(H277:M277))</f>
        <v/>
      </c>
      <c r="O277" s="44" t="str">
        <f aca="false">IF(OR(C277="",N(N277)=0),"",SUMIFS(Settings!$AA$2:$AA$21,Settings!$Y$2:$Y$21,"Budget AED 5k+/mo?",Settings!$Z$2:$Z$21,H277)+SUMIFS(Settings!$AA$2:$AA$21,Settings!$Y$2:$Y$21,"Decision-maker?",Settings!$Z$2:$Z$21,I277)+SUMIFS(Settings!$AA$2:$AA$21,Settings!$Y$2:$Y$21,"Someone on camera?",Settings!$Z$2:$Z$21,J277)+SUMIFS(Settings!$AA$2:$AA$21,Settings!$Y$2:$Y$21,"OK with 3-month term?",Settings!$Z$2:$Z$21,K277)+SUMIFS(Settings!$AA$2:$AA$21,Settings!$Y$2:$Y$21,"Start timeline",Settings!$Z$2:$Z$21,L277)+SUMIFS(Settings!$AA$2:$AA$21,Settings!$Y$2:$Y$21,"Social media gap",Settings!$Z$2:$Z$21,M277)+IF(OR(E277="",E277="Lead ID not found"),0,IF(COUNTIF(Settings!$AC$2:$AC$6,E277)&gt;0,Settings!$AA$20,Settings!$AA$21)))</f>
        <v/>
      </c>
      <c r="P277" s="44" t="str">
        <f aca="false">IF(C277="","",IF(N(N277)&lt;6,"Partly scored ("&amp;N277&amp;"/6)",IF(O277&gt;=Settings!$S$8,"Hot",IF(O277&gt;=Settings!$S$9,"Warm","Cold"))))</f>
        <v/>
      </c>
      <c r="Q277" s="44" t="str">
        <f aca="false">IF(C277="","",IF(AND(H277="No",J277="No"),"🚩 Budget  ·  🚩 No one on camera",IF(H277="No","🚩 Budget under AED 5k",IF(J277="No","🚩 No one on camera",""))))</f>
        <v/>
      </c>
      <c r="R277" s="44" t="str">
        <f aca="false">IF(C277="","",IF(N(N277)&lt;6,"Finish the scoresheet before closing",IF(P277="Hot","Close now – send the contract / proposal today",IF(P277="Warm","Send proposal + a relevant result; follow up in 3 days","Rep's call – nurture or close politely")))&amp;IF(Q277&lt;&gt;""," (handle the 🚩 first)",""))</f>
        <v/>
      </c>
      <c r="S277" s="17"/>
      <c r="T277" s="17"/>
      <c r="U277" s="44" t="str">
        <f aca="false">IF(C277="","",IF(COUNTIF(C278:C$501,C277)=0,1,0))</f>
        <v/>
      </c>
    </row>
    <row r="278" customFormat="false" ht="15" hidden="false" customHeight="false" outlineLevel="0" collapsed="false">
      <c r="A278" s="17"/>
      <c r="B278" s="40"/>
      <c r="C278" s="17"/>
      <c r="D278" s="44" t="str">
        <f aca="false">IF(C278="","",IFERROR(INDEX(Inbound!$E$2:$E$501,MATCH(C278,Inbound!$A$2:$A$501,0)),IFERROR(INDEX(Outbound!$D$2:$D$501,MATCH(C278,Outbound!$A$2:$A$501,0)),"Lead ID not found")))</f>
        <v/>
      </c>
      <c r="E278" s="44" t="str">
        <f aca="false">IF(C278="","",IFERROR(INDEX(Inbound!$F$2:$F$501,MATCH(C278,Inbound!$A$2:$A$501,0)),IFERROR(INDEX(Outbound!$E$2:$E$501,MATCH(C278,Outbound!$A$2:$A$501,0)),"Lead ID not found")))</f>
        <v/>
      </c>
      <c r="F278" s="17"/>
      <c r="G278" s="17"/>
      <c r="H278" s="17"/>
      <c r="I278" s="17"/>
      <c r="J278" s="17"/>
      <c r="K278" s="17"/>
      <c r="L278" s="17"/>
      <c r="M278" s="17"/>
      <c r="N278" s="44" t="str">
        <f aca="false">IF(C278="","",COUNTA(H278:M278))</f>
        <v/>
      </c>
      <c r="O278" s="44" t="str">
        <f aca="false">IF(OR(C278="",N(N278)=0),"",SUMIFS(Settings!$AA$2:$AA$21,Settings!$Y$2:$Y$21,"Budget AED 5k+/mo?",Settings!$Z$2:$Z$21,H278)+SUMIFS(Settings!$AA$2:$AA$21,Settings!$Y$2:$Y$21,"Decision-maker?",Settings!$Z$2:$Z$21,I278)+SUMIFS(Settings!$AA$2:$AA$21,Settings!$Y$2:$Y$21,"Someone on camera?",Settings!$Z$2:$Z$21,J278)+SUMIFS(Settings!$AA$2:$AA$21,Settings!$Y$2:$Y$21,"OK with 3-month term?",Settings!$Z$2:$Z$21,K278)+SUMIFS(Settings!$AA$2:$AA$21,Settings!$Y$2:$Y$21,"Start timeline",Settings!$Z$2:$Z$21,L278)+SUMIFS(Settings!$AA$2:$AA$21,Settings!$Y$2:$Y$21,"Social media gap",Settings!$Z$2:$Z$21,M278)+IF(OR(E278="",E278="Lead ID not found"),0,IF(COUNTIF(Settings!$AC$2:$AC$6,E278)&gt;0,Settings!$AA$20,Settings!$AA$21)))</f>
        <v/>
      </c>
      <c r="P278" s="44" t="str">
        <f aca="false">IF(C278="","",IF(N(N278)&lt;6,"Partly scored ("&amp;N278&amp;"/6)",IF(O278&gt;=Settings!$S$8,"Hot",IF(O278&gt;=Settings!$S$9,"Warm","Cold"))))</f>
        <v/>
      </c>
      <c r="Q278" s="44" t="str">
        <f aca="false">IF(C278="","",IF(AND(H278="No",J278="No"),"🚩 Budget  ·  🚩 No one on camera",IF(H278="No","🚩 Budget under AED 5k",IF(J278="No","🚩 No one on camera",""))))</f>
        <v/>
      </c>
      <c r="R278" s="44" t="str">
        <f aca="false">IF(C278="","",IF(N(N278)&lt;6,"Finish the scoresheet before closing",IF(P278="Hot","Close now – send the contract / proposal today",IF(P278="Warm","Send proposal + a relevant result; follow up in 3 days","Rep's call – nurture or close politely")))&amp;IF(Q278&lt;&gt;""," (handle the 🚩 first)",""))</f>
        <v/>
      </c>
      <c r="S278" s="17"/>
      <c r="T278" s="17"/>
      <c r="U278" s="44" t="str">
        <f aca="false">IF(C278="","",IF(COUNTIF(C279:C$501,C278)=0,1,0))</f>
        <v/>
      </c>
    </row>
    <row r="279" customFormat="false" ht="15" hidden="false" customHeight="false" outlineLevel="0" collapsed="false">
      <c r="A279" s="17"/>
      <c r="B279" s="40"/>
      <c r="C279" s="17"/>
      <c r="D279" s="44" t="str">
        <f aca="false">IF(C279="","",IFERROR(INDEX(Inbound!$E$2:$E$501,MATCH(C279,Inbound!$A$2:$A$501,0)),IFERROR(INDEX(Outbound!$D$2:$D$501,MATCH(C279,Outbound!$A$2:$A$501,0)),"Lead ID not found")))</f>
        <v/>
      </c>
      <c r="E279" s="44" t="str">
        <f aca="false">IF(C279="","",IFERROR(INDEX(Inbound!$F$2:$F$501,MATCH(C279,Inbound!$A$2:$A$501,0)),IFERROR(INDEX(Outbound!$E$2:$E$501,MATCH(C279,Outbound!$A$2:$A$501,0)),"Lead ID not found")))</f>
        <v/>
      </c>
      <c r="F279" s="17"/>
      <c r="G279" s="17"/>
      <c r="H279" s="17"/>
      <c r="I279" s="17"/>
      <c r="J279" s="17"/>
      <c r="K279" s="17"/>
      <c r="L279" s="17"/>
      <c r="M279" s="17"/>
      <c r="N279" s="44" t="str">
        <f aca="false">IF(C279="","",COUNTA(H279:M279))</f>
        <v/>
      </c>
      <c r="O279" s="44" t="str">
        <f aca="false">IF(OR(C279="",N(N279)=0),"",SUMIFS(Settings!$AA$2:$AA$21,Settings!$Y$2:$Y$21,"Budget AED 5k+/mo?",Settings!$Z$2:$Z$21,H279)+SUMIFS(Settings!$AA$2:$AA$21,Settings!$Y$2:$Y$21,"Decision-maker?",Settings!$Z$2:$Z$21,I279)+SUMIFS(Settings!$AA$2:$AA$21,Settings!$Y$2:$Y$21,"Someone on camera?",Settings!$Z$2:$Z$21,J279)+SUMIFS(Settings!$AA$2:$AA$21,Settings!$Y$2:$Y$21,"OK with 3-month term?",Settings!$Z$2:$Z$21,K279)+SUMIFS(Settings!$AA$2:$AA$21,Settings!$Y$2:$Y$21,"Start timeline",Settings!$Z$2:$Z$21,L279)+SUMIFS(Settings!$AA$2:$AA$21,Settings!$Y$2:$Y$21,"Social media gap",Settings!$Z$2:$Z$21,M279)+IF(OR(E279="",E279="Lead ID not found"),0,IF(COUNTIF(Settings!$AC$2:$AC$6,E279)&gt;0,Settings!$AA$20,Settings!$AA$21)))</f>
        <v/>
      </c>
      <c r="P279" s="44" t="str">
        <f aca="false">IF(C279="","",IF(N(N279)&lt;6,"Partly scored ("&amp;N279&amp;"/6)",IF(O279&gt;=Settings!$S$8,"Hot",IF(O279&gt;=Settings!$S$9,"Warm","Cold"))))</f>
        <v/>
      </c>
      <c r="Q279" s="44" t="str">
        <f aca="false">IF(C279="","",IF(AND(H279="No",J279="No"),"🚩 Budget  ·  🚩 No one on camera",IF(H279="No","🚩 Budget under AED 5k",IF(J279="No","🚩 No one on camera",""))))</f>
        <v/>
      </c>
      <c r="R279" s="44" t="str">
        <f aca="false">IF(C279="","",IF(N(N279)&lt;6,"Finish the scoresheet before closing",IF(P279="Hot","Close now – send the contract / proposal today",IF(P279="Warm","Send proposal + a relevant result; follow up in 3 days","Rep's call – nurture or close politely")))&amp;IF(Q279&lt;&gt;""," (handle the 🚩 first)",""))</f>
        <v/>
      </c>
      <c r="S279" s="17"/>
      <c r="T279" s="17"/>
      <c r="U279" s="44" t="str">
        <f aca="false">IF(C279="","",IF(COUNTIF(C280:C$501,C279)=0,1,0))</f>
        <v/>
      </c>
    </row>
    <row r="280" customFormat="false" ht="15" hidden="false" customHeight="false" outlineLevel="0" collapsed="false">
      <c r="A280" s="17"/>
      <c r="B280" s="40"/>
      <c r="C280" s="17"/>
      <c r="D280" s="44" t="str">
        <f aca="false">IF(C280="","",IFERROR(INDEX(Inbound!$E$2:$E$501,MATCH(C280,Inbound!$A$2:$A$501,0)),IFERROR(INDEX(Outbound!$D$2:$D$501,MATCH(C280,Outbound!$A$2:$A$501,0)),"Lead ID not found")))</f>
        <v/>
      </c>
      <c r="E280" s="44" t="str">
        <f aca="false">IF(C280="","",IFERROR(INDEX(Inbound!$F$2:$F$501,MATCH(C280,Inbound!$A$2:$A$501,0)),IFERROR(INDEX(Outbound!$E$2:$E$501,MATCH(C280,Outbound!$A$2:$A$501,0)),"Lead ID not found")))</f>
        <v/>
      </c>
      <c r="F280" s="17"/>
      <c r="G280" s="17"/>
      <c r="H280" s="17"/>
      <c r="I280" s="17"/>
      <c r="J280" s="17"/>
      <c r="K280" s="17"/>
      <c r="L280" s="17"/>
      <c r="M280" s="17"/>
      <c r="N280" s="44" t="str">
        <f aca="false">IF(C280="","",COUNTA(H280:M280))</f>
        <v/>
      </c>
      <c r="O280" s="44" t="str">
        <f aca="false">IF(OR(C280="",N(N280)=0),"",SUMIFS(Settings!$AA$2:$AA$21,Settings!$Y$2:$Y$21,"Budget AED 5k+/mo?",Settings!$Z$2:$Z$21,H280)+SUMIFS(Settings!$AA$2:$AA$21,Settings!$Y$2:$Y$21,"Decision-maker?",Settings!$Z$2:$Z$21,I280)+SUMIFS(Settings!$AA$2:$AA$21,Settings!$Y$2:$Y$21,"Someone on camera?",Settings!$Z$2:$Z$21,J280)+SUMIFS(Settings!$AA$2:$AA$21,Settings!$Y$2:$Y$21,"OK with 3-month term?",Settings!$Z$2:$Z$21,K280)+SUMIFS(Settings!$AA$2:$AA$21,Settings!$Y$2:$Y$21,"Start timeline",Settings!$Z$2:$Z$21,L280)+SUMIFS(Settings!$AA$2:$AA$21,Settings!$Y$2:$Y$21,"Social media gap",Settings!$Z$2:$Z$21,M280)+IF(OR(E280="",E280="Lead ID not found"),0,IF(COUNTIF(Settings!$AC$2:$AC$6,E280)&gt;0,Settings!$AA$20,Settings!$AA$21)))</f>
        <v/>
      </c>
      <c r="P280" s="44" t="str">
        <f aca="false">IF(C280="","",IF(N(N280)&lt;6,"Partly scored ("&amp;N280&amp;"/6)",IF(O280&gt;=Settings!$S$8,"Hot",IF(O280&gt;=Settings!$S$9,"Warm","Cold"))))</f>
        <v/>
      </c>
      <c r="Q280" s="44" t="str">
        <f aca="false">IF(C280="","",IF(AND(H280="No",J280="No"),"🚩 Budget  ·  🚩 No one on camera",IF(H280="No","🚩 Budget under AED 5k",IF(J280="No","🚩 No one on camera",""))))</f>
        <v/>
      </c>
      <c r="R280" s="44" t="str">
        <f aca="false">IF(C280="","",IF(N(N280)&lt;6,"Finish the scoresheet before closing",IF(P280="Hot","Close now – send the contract / proposal today",IF(P280="Warm","Send proposal + a relevant result; follow up in 3 days","Rep's call – nurture or close politely")))&amp;IF(Q280&lt;&gt;""," (handle the 🚩 first)",""))</f>
        <v/>
      </c>
      <c r="S280" s="17"/>
      <c r="T280" s="17"/>
      <c r="U280" s="44" t="str">
        <f aca="false">IF(C280="","",IF(COUNTIF(C281:C$501,C280)=0,1,0))</f>
        <v/>
      </c>
    </row>
    <row r="281" customFormat="false" ht="15" hidden="false" customHeight="false" outlineLevel="0" collapsed="false">
      <c r="A281" s="17"/>
      <c r="B281" s="40"/>
      <c r="C281" s="17"/>
      <c r="D281" s="44" t="str">
        <f aca="false">IF(C281="","",IFERROR(INDEX(Inbound!$E$2:$E$501,MATCH(C281,Inbound!$A$2:$A$501,0)),IFERROR(INDEX(Outbound!$D$2:$D$501,MATCH(C281,Outbound!$A$2:$A$501,0)),"Lead ID not found")))</f>
        <v/>
      </c>
      <c r="E281" s="44" t="str">
        <f aca="false">IF(C281="","",IFERROR(INDEX(Inbound!$F$2:$F$501,MATCH(C281,Inbound!$A$2:$A$501,0)),IFERROR(INDEX(Outbound!$E$2:$E$501,MATCH(C281,Outbound!$A$2:$A$501,0)),"Lead ID not found")))</f>
        <v/>
      </c>
      <c r="F281" s="17"/>
      <c r="G281" s="17"/>
      <c r="H281" s="17"/>
      <c r="I281" s="17"/>
      <c r="J281" s="17"/>
      <c r="K281" s="17"/>
      <c r="L281" s="17"/>
      <c r="M281" s="17"/>
      <c r="N281" s="44" t="str">
        <f aca="false">IF(C281="","",COUNTA(H281:M281))</f>
        <v/>
      </c>
      <c r="O281" s="44" t="str">
        <f aca="false">IF(OR(C281="",N(N281)=0),"",SUMIFS(Settings!$AA$2:$AA$21,Settings!$Y$2:$Y$21,"Budget AED 5k+/mo?",Settings!$Z$2:$Z$21,H281)+SUMIFS(Settings!$AA$2:$AA$21,Settings!$Y$2:$Y$21,"Decision-maker?",Settings!$Z$2:$Z$21,I281)+SUMIFS(Settings!$AA$2:$AA$21,Settings!$Y$2:$Y$21,"Someone on camera?",Settings!$Z$2:$Z$21,J281)+SUMIFS(Settings!$AA$2:$AA$21,Settings!$Y$2:$Y$21,"OK with 3-month term?",Settings!$Z$2:$Z$21,K281)+SUMIFS(Settings!$AA$2:$AA$21,Settings!$Y$2:$Y$21,"Start timeline",Settings!$Z$2:$Z$21,L281)+SUMIFS(Settings!$AA$2:$AA$21,Settings!$Y$2:$Y$21,"Social media gap",Settings!$Z$2:$Z$21,M281)+IF(OR(E281="",E281="Lead ID not found"),0,IF(COUNTIF(Settings!$AC$2:$AC$6,E281)&gt;0,Settings!$AA$20,Settings!$AA$21)))</f>
        <v/>
      </c>
      <c r="P281" s="44" t="str">
        <f aca="false">IF(C281="","",IF(N(N281)&lt;6,"Partly scored ("&amp;N281&amp;"/6)",IF(O281&gt;=Settings!$S$8,"Hot",IF(O281&gt;=Settings!$S$9,"Warm","Cold"))))</f>
        <v/>
      </c>
      <c r="Q281" s="44" t="str">
        <f aca="false">IF(C281="","",IF(AND(H281="No",J281="No"),"🚩 Budget  ·  🚩 No one on camera",IF(H281="No","🚩 Budget under AED 5k",IF(J281="No","🚩 No one on camera",""))))</f>
        <v/>
      </c>
      <c r="R281" s="44" t="str">
        <f aca="false">IF(C281="","",IF(N(N281)&lt;6,"Finish the scoresheet before closing",IF(P281="Hot","Close now – send the contract / proposal today",IF(P281="Warm","Send proposal + a relevant result; follow up in 3 days","Rep's call – nurture or close politely")))&amp;IF(Q281&lt;&gt;""," (handle the 🚩 first)",""))</f>
        <v/>
      </c>
      <c r="S281" s="17"/>
      <c r="T281" s="17"/>
      <c r="U281" s="44" t="str">
        <f aca="false">IF(C281="","",IF(COUNTIF(C282:C$501,C281)=0,1,0))</f>
        <v/>
      </c>
    </row>
    <row r="282" customFormat="false" ht="15" hidden="false" customHeight="false" outlineLevel="0" collapsed="false">
      <c r="A282" s="17"/>
      <c r="B282" s="40"/>
      <c r="C282" s="17"/>
      <c r="D282" s="44" t="str">
        <f aca="false">IF(C282="","",IFERROR(INDEX(Inbound!$E$2:$E$501,MATCH(C282,Inbound!$A$2:$A$501,0)),IFERROR(INDEX(Outbound!$D$2:$D$501,MATCH(C282,Outbound!$A$2:$A$501,0)),"Lead ID not found")))</f>
        <v/>
      </c>
      <c r="E282" s="44" t="str">
        <f aca="false">IF(C282="","",IFERROR(INDEX(Inbound!$F$2:$F$501,MATCH(C282,Inbound!$A$2:$A$501,0)),IFERROR(INDEX(Outbound!$E$2:$E$501,MATCH(C282,Outbound!$A$2:$A$501,0)),"Lead ID not found")))</f>
        <v/>
      </c>
      <c r="F282" s="17"/>
      <c r="G282" s="17"/>
      <c r="H282" s="17"/>
      <c r="I282" s="17"/>
      <c r="J282" s="17"/>
      <c r="K282" s="17"/>
      <c r="L282" s="17"/>
      <c r="M282" s="17"/>
      <c r="N282" s="44" t="str">
        <f aca="false">IF(C282="","",COUNTA(H282:M282))</f>
        <v/>
      </c>
      <c r="O282" s="44" t="str">
        <f aca="false">IF(OR(C282="",N(N282)=0),"",SUMIFS(Settings!$AA$2:$AA$21,Settings!$Y$2:$Y$21,"Budget AED 5k+/mo?",Settings!$Z$2:$Z$21,H282)+SUMIFS(Settings!$AA$2:$AA$21,Settings!$Y$2:$Y$21,"Decision-maker?",Settings!$Z$2:$Z$21,I282)+SUMIFS(Settings!$AA$2:$AA$21,Settings!$Y$2:$Y$21,"Someone on camera?",Settings!$Z$2:$Z$21,J282)+SUMIFS(Settings!$AA$2:$AA$21,Settings!$Y$2:$Y$21,"OK with 3-month term?",Settings!$Z$2:$Z$21,K282)+SUMIFS(Settings!$AA$2:$AA$21,Settings!$Y$2:$Y$21,"Start timeline",Settings!$Z$2:$Z$21,L282)+SUMIFS(Settings!$AA$2:$AA$21,Settings!$Y$2:$Y$21,"Social media gap",Settings!$Z$2:$Z$21,M282)+IF(OR(E282="",E282="Lead ID not found"),0,IF(COUNTIF(Settings!$AC$2:$AC$6,E282)&gt;0,Settings!$AA$20,Settings!$AA$21)))</f>
        <v/>
      </c>
      <c r="P282" s="44" t="str">
        <f aca="false">IF(C282="","",IF(N(N282)&lt;6,"Partly scored ("&amp;N282&amp;"/6)",IF(O282&gt;=Settings!$S$8,"Hot",IF(O282&gt;=Settings!$S$9,"Warm","Cold"))))</f>
        <v/>
      </c>
      <c r="Q282" s="44" t="str">
        <f aca="false">IF(C282="","",IF(AND(H282="No",J282="No"),"🚩 Budget  ·  🚩 No one on camera",IF(H282="No","🚩 Budget under AED 5k",IF(J282="No","🚩 No one on camera",""))))</f>
        <v/>
      </c>
      <c r="R282" s="44" t="str">
        <f aca="false">IF(C282="","",IF(N(N282)&lt;6,"Finish the scoresheet before closing",IF(P282="Hot","Close now – send the contract / proposal today",IF(P282="Warm","Send proposal + a relevant result; follow up in 3 days","Rep's call – nurture or close politely")))&amp;IF(Q282&lt;&gt;""," (handle the 🚩 first)",""))</f>
        <v/>
      </c>
      <c r="S282" s="17"/>
      <c r="T282" s="17"/>
      <c r="U282" s="44" t="str">
        <f aca="false">IF(C282="","",IF(COUNTIF(C283:C$501,C282)=0,1,0))</f>
        <v/>
      </c>
    </row>
    <row r="283" customFormat="false" ht="15" hidden="false" customHeight="false" outlineLevel="0" collapsed="false">
      <c r="A283" s="17"/>
      <c r="B283" s="40"/>
      <c r="C283" s="17"/>
      <c r="D283" s="44" t="str">
        <f aca="false">IF(C283="","",IFERROR(INDEX(Inbound!$E$2:$E$501,MATCH(C283,Inbound!$A$2:$A$501,0)),IFERROR(INDEX(Outbound!$D$2:$D$501,MATCH(C283,Outbound!$A$2:$A$501,0)),"Lead ID not found")))</f>
        <v/>
      </c>
      <c r="E283" s="44" t="str">
        <f aca="false">IF(C283="","",IFERROR(INDEX(Inbound!$F$2:$F$501,MATCH(C283,Inbound!$A$2:$A$501,0)),IFERROR(INDEX(Outbound!$E$2:$E$501,MATCH(C283,Outbound!$A$2:$A$501,0)),"Lead ID not found")))</f>
        <v/>
      </c>
      <c r="F283" s="17"/>
      <c r="G283" s="17"/>
      <c r="H283" s="17"/>
      <c r="I283" s="17"/>
      <c r="J283" s="17"/>
      <c r="K283" s="17"/>
      <c r="L283" s="17"/>
      <c r="M283" s="17"/>
      <c r="N283" s="44" t="str">
        <f aca="false">IF(C283="","",COUNTA(H283:M283))</f>
        <v/>
      </c>
      <c r="O283" s="44" t="str">
        <f aca="false">IF(OR(C283="",N(N283)=0),"",SUMIFS(Settings!$AA$2:$AA$21,Settings!$Y$2:$Y$21,"Budget AED 5k+/mo?",Settings!$Z$2:$Z$21,H283)+SUMIFS(Settings!$AA$2:$AA$21,Settings!$Y$2:$Y$21,"Decision-maker?",Settings!$Z$2:$Z$21,I283)+SUMIFS(Settings!$AA$2:$AA$21,Settings!$Y$2:$Y$21,"Someone on camera?",Settings!$Z$2:$Z$21,J283)+SUMIFS(Settings!$AA$2:$AA$21,Settings!$Y$2:$Y$21,"OK with 3-month term?",Settings!$Z$2:$Z$21,K283)+SUMIFS(Settings!$AA$2:$AA$21,Settings!$Y$2:$Y$21,"Start timeline",Settings!$Z$2:$Z$21,L283)+SUMIFS(Settings!$AA$2:$AA$21,Settings!$Y$2:$Y$21,"Social media gap",Settings!$Z$2:$Z$21,M283)+IF(OR(E283="",E283="Lead ID not found"),0,IF(COUNTIF(Settings!$AC$2:$AC$6,E283)&gt;0,Settings!$AA$20,Settings!$AA$21)))</f>
        <v/>
      </c>
      <c r="P283" s="44" t="str">
        <f aca="false">IF(C283="","",IF(N(N283)&lt;6,"Partly scored ("&amp;N283&amp;"/6)",IF(O283&gt;=Settings!$S$8,"Hot",IF(O283&gt;=Settings!$S$9,"Warm","Cold"))))</f>
        <v/>
      </c>
      <c r="Q283" s="44" t="str">
        <f aca="false">IF(C283="","",IF(AND(H283="No",J283="No"),"🚩 Budget  ·  🚩 No one on camera",IF(H283="No","🚩 Budget under AED 5k",IF(J283="No","🚩 No one on camera",""))))</f>
        <v/>
      </c>
      <c r="R283" s="44" t="str">
        <f aca="false">IF(C283="","",IF(N(N283)&lt;6,"Finish the scoresheet before closing",IF(P283="Hot","Close now – send the contract / proposal today",IF(P283="Warm","Send proposal + a relevant result; follow up in 3 days","Rep's call – nurture or close politely")))&amp;IF(Q283&lt;&gt;""," (handle the 🚩 first)",""))</f>
        <v/>
      </c>
      <c r="S283" s="17"/>
      <c r="T283" s="17"/>
      <c r="U283" s="44" t="str">
        <f aca="false">IF(C283="","",IF(COUNTIF(C284:C$501,C283)=0,1,0))</f>
        <v/>
      </c>
    </row>
    <row r="284" customFormat="false" ht="15" hidden="false" customHeight="false" outlineLevel="0" collapsed="false">
      <c r="A284" s="17"/>
      <c r="B284" s="40"/>
      <c r="C284" s="17"/>
      <c r="D284" s="44" t="str">
        <f aca="false">IF(C284="","",IFERROR(INDEX(Inbound!$E$2:$E$501,MATCH(C284,Inbound!$A$2:$A$501,0)),IFERROR(INDEX(Outbound!$D$2:$D$501,MATCH(C284,Outbound!$A$2:$A$501,0)),"Lead ID not found")))</f>
        <v/>
      </c>
      <c r="E284" s="44" t="str">
        <f aca="false">IF(C284="","",IFERROR(INDEX(Inbound!$F$2:$F$501,MATCH(C284,Inbound!$A$2:$A$501,0)),IFERROR(INDEX(Outbound!$E$2:$E$501,MATCH(C284,Outbound!$A$2:$A$501,0)),"Lead ID not found")))</f>
        <v/>
      </c>
      <c r="F284" s="17"/>
      <c r="G284" s="17"/>
      <c r="H284" s="17"/>
      <c r="I284" s="17"/>
      <c r="J284" s="17"/>
      <c r="K284" s="17"/>
      <c r="L284" s="17"/>
      <c r="M284" s="17"/>
      <c r="N284" s="44" t="str">
        <f aca="false">IF(C284="","",COUNTA(H284:M284))</f>
        <v/>
      </c>
      <c r="O284" s="44" t="str">
        <f aca="false">IF(OR(C284="",N(N284)=0),"",SUMIFS(Settings!$AA$2:$AA$21,Settings!$Y$2:$Y$21,"Budget AED 5k+/mo?",Settings!$Z$2:$Z$21,H284)+SUMIFS(Settings!$AA$2:$AA$21,Settings!$Y$2:$Y$21,"Decision-maker?",Settings!$Z$2:$Z$21,I284)+SUMIFS(Settings!$AA$2:$AA$21,Settings!$Y$2:$Y$21,"Someone on camera?",Settings!$Z$2:$Z$21,J284)+SUMIFS(Settings!$AA$2:$AA$21,Settings!$Y$2:$Y$21,"OK with 3-month term?",Settings!$Z$2:$Z$21,K284)+SUMIFS(Settings!$AA$2:$AA$21,Settings!$Y$2:$Y$21,"Start timeline",Settings!$Z$2:$Z$21,L284)+SUMIFS(Settings!$AA$2:$AA$21,Settings!$Y$2:$Y$21,"Social media gap",Settings!$Z$2:$Z$21,M284)+IF(OR(E284="",E284="Lead ID not found"),0,IF(COUNTIF(Settings!$AC$2:$AC$6,E284)&gt;0,Settings!$AA$20,Settings!$AA$21)))</f>
        <v/>
      </c>
      <c r="P284" s="44" t="str">
        <f aca="false">IF(C284="","",IF(N(N284)&lt;6,"Partly scored ("&amp;N284&amp;"/6)",IF(O284&gt;=Settings!$S$8,"Hot",IF(O284&gt;=Settings!$S$9,"Warm","Cold"))))</f>
        <v/>
      </c>
      <c r="Q284" s="44" t="str">
        <f aca="false">IF(C284="","",IF(AND(H284="No",J284="No"),"🚩 Budget  ·  🚩 No one on camera",IF(H284="No","🚩 Budget under AED 5k",IF(J284="No","🚩 No one on camera",""))))</f>
        <v/>
      </c>
      <c r="R284" s="44" t="str">
        <f aca="false">IF(C284="","",IF(N(N284)&lt;6,"Finish the scoresheet before closing",IF(P284="Hot","Close now – send the contract / proposal today",IF(P284="Warm","Send proposal + a relevant result; follow up in 3 days","Rep's call – nurture or close politely")))&amp;IF(Q284&lt;&gt;""," (handle the 🚩 first)",""))</f>
        <v/>
      </c>
      <c r="S284" s="17"/>
      <c r="T284" s="17"/>
      <c r="U284" s="44" t="str">
        <f aca="false">IF(C284="","",IF(COUNTIF(C285:C$501,C284)=0,1,0))</f>
        <v/>
      </c>
    </row>
    <row r="285" customFormat="false" ht="15" hidden="false" customHeight="false" outlineLevel="0" collapsed="false">
      <c r="A285" s="17"/>
      <c r="B285" s="40"/>
      <c r="C285" s="17"/>
      <c r="D285" s="44" t="str">
        <f aca="false">IF(C285="","",IFERROR(INDEX(Inbound!$E$2:$E$501,MATCH(C285,Inbound!$A$2:$A$501,0)),IFERROR(INDEX(Outbound!$D$2:$D$501,MATCH(C285,Outbound!$A$2:$A$501,0)),"Lead ID not found")))</f>
        <v/>
      </c>
      <c r="E285" s="44" t="str">
        <f aca="false">IF(C285="","",IFERROR(INDEX(Inbound!$F$2:$F$501,MATCH(C285,Inbound!$A$2:$A$501,0)),IFERROR(INDEX(Outbound!$E$2:$E$501,MATCH(C285,Outbound!$A$2:$A$501,0)),"Lead ID not found")))</f>
        <v/>
      </c>
      <c r="F285" s="17"/>
      <c r="G285" s="17"/>
      <c r="H285" s="17"/>
      <c r="I285" s="17"/>
      <c r="J285" s="17"/>
      <c r="K285" s="17"/>
      <c r="L285" s="17"/>
      <c r="M285" s="17"/>
      <c r="N285" s="44" t="str">
        <f aca="false">IF(C285="","",COUNTA(H285:M285))</f>
        <v/>
      </c>
      <c r="O285" s="44" t="str">
        <f aca="false">IF(OR(C285="",N(N285)=0),"",SUMIFS(Settings!$AA$2:$AA$21,Settings!$Y$2:$Y$21,"Budget AED 5k+/mo?",Settings!$Z$2:$Z$21,H285)+SUMIFS(Settings!$AA$2:$AA$21,Settings!$Y$2:$Y$21,"Decision-maker?",Settings!$Z$2:$Z$21,I285)+SUMIFS(Settings!$AA$2:$AA$21,Settings!$Y$2:$Y$21,"Someone on camera?",Settings!$Z$2:$Z$21,J285)+SUMIFS(Settings!$AA$2:$AA$21,Settings!$Y$2:$Y$21,"OK with 3-month term?",Settings!$Z$2:$Z$21,K285)+SUMIFS(Settings!$AA$2:$AA$21,Settings!$Y$2:$Y$21,"Start timeline",Settings!$Z$2:$Z$21,L285)+SUMIFS(Settings!$AA$2:$AA$21,Settings!$Y$2:$Y$21,"Social media gap",Settings!$Z$2:$Z$21,M285)+IF(OR(E285="",E285="Lead ID not found"),0,IF(COUNTIF(Settings!$AC$2:$AC$6,E285)&gt;0,Settings!$AA$20,Settings!$AA$21)))</f>
        <v/>
      </c>
      <c r="P285" s="44" t="str">
        <f aca="false">IF(C285="","",IF(N(N285)&lt;6,"Partly scored ("&amp;N285&amp;"/6)",IF(O285&gt;=Settings!$S$8,"Hot",IF(O285&gt;=Settings!$S$9,"Warm","Cold"))))</f>
        <v/>
      </c>
      <c r="Q285" s="44" t="str">
        <f aca="false">IF(C285="","",IF(AND(H285="No",J285="No"),"🚩 Budget  ·  🚩 No one on camera",IF(H285="No","🚩 Budget under AED 5k",IF(J285="No","🚩 No one on camera",""))))</f>
        <v/>
      </c>
      <c r="R285" s="44" t="str">
        <f aca="false">IF(C285="","",IF(N(N285)&lt;6,"Finish the scoresheet before closing",IF(P285="Hot","Close now – send the contract / proposal today",IF(P285="Warm","Send proposal + a relevant result; follow up in 3 days","Rep's call – nurture or close politely")))&amp;IF(Q285&lt;&gt;""," (handle the 🚩 first)",""))</f>
        <v/>
      </c>
      <c r="S285" s="17"/>
      <c r="T285" s="17"/>
      <c r="U285" s="44" t="str">
        <f aca="false">IF(C285="","",IF(COUNTIF(C286:C$501,C285)=0,1,0))</f>
        <v/>
      </c>
    </row>
    <row r="286" customFormat="false" ht="15" hidden="false" customHeight="false" outlineLevel="0" collapsed="false">
      <c r="A286" s="17"/>
      <c r="B286" s="40"/>
      <c r="C286" s="17"/>
      <c r="D286" s="44" t="str">
        <f aca="false">IF(C286="","",IFERROR(INDEX(Inbound!$E$2:$E$501,MATCH(C286,Inbound!$A$2:$A$501,0)),IFERROR(INDEX(Outbound!$D$2:$D$501,MATCH(C286,Outbound!$A$2:$A$501,0)),"Lead ID not found")))</f>
        <v/>
      </c>
      <c r="E286" s="44" t="str">
        <f aca="false">IF(C286="","",IFERROR(INDEX(Inbound!$F$2:$F$501,MATCH(C286,Inbound!$A$2:$A$501,0)),IFERROR(INDEX(Outbound!$E$2:$E$501,MATCH(C286,Outbound!$A$2:$A$501,0)),"Lead ID not found")))</f>
        <v/>
      </c>
      <c r="F286" s="17"/>
      <c r="G286" s="17"/>
      <c r="H286" s="17"/>
      <c r="I286" s="17"/>
      <c r="J286" s="17"/>
      <c r="K286" s="17"/>
      <c r="L286" s="17"/>
      <c r="M286" s="17"/>
      <c r="N286" s="44" t="str">
        <f aca="false">IF(C286="","",COUNTA(H286:M286))</f>
        <v/>
      </c>
      <c r="O286" s="44" t="str">
        <f aca="false">IF(OR(C286="",N(N286)=0),"",SUMIFS(Settings!$AA$2:$AA$21,Settings!$Y$2:$Y$21,"Budget AED 5k+/mo?",Settings!$Z$2:$Z$21,H286)+SUMIFS(Settings!$AA$2:$AA$21,Settings!$Y$2:$Y$21,"Decision-maker?",Settings!$Z$2:$Z$21,I286)+SUMIFS(Settings!$AA$2:$AA$21,Settings!$Y$2:$Y$21,"Someone on camera?",Settings!$Z$2:$Z$21,J286)+SUMIFS(Settings!$AA$2:$AA$21,Settings!$Y$2:$Y$21,"OK with 3-month term?",Settings!$Z$2:$Z$21,K286)+SUMIFS(Settings!$AA$2:$AA$21,Settings!$Y$2:$Y$21,"Start timeline",Settings!$Z$2:$Z$21,L286)+SUMIFS(Settings!$AA$2:$AA$21,Settings!$Y$2:$Y$21,"Social media gap",Settings!$Z$2:$Z$21,M286)+IF(OR(E286="",E286="Lead ID not found"),0,IF(COUNTIF(Settings!$AC$2:$AC$6,E286)&gt;0,Settings!$AA$20,Settings!$AA$21)))</f>
        <v/>
      </c>
      <c r="P286" s="44" t="str">
        <f aca="false">IF(C286="","",IF(N(N286)&lt;6,"Partly scored ("&amp;N286&amp;"/6)",IF(O286&gt;=Settings!$S$8,"Hot",IF(O286&gt;=Settings!$S$9,"Warm","Cold"))))</f>
        <v/>
      </c>
      <c r="Q286" s="44" t="str">
        <f aca="false">IF(C286="","",IF(AND(H286="No",J286="No"),"🚩 Budget  ·  🚩 No one on camera",IF(H286="No","🚩 Budget under AED 5k",IF(J286="No","🚩 No one on camera",""))))</f>
        <v/>
      </c>
      <c r="R286" s="44" t="str">
        <f aca="false">IF(C286="","",IF(N(N286)&lt;6,"Finish the scoresheet before closing",IF(P286="Hot","Close now – send the contract / proposal today",IF(P286="Warm","Send proposal + a relevant result; follow up in 3 days","Rep's call – nurture or close politely")))&amp;IF(Q286&lt;&gt;""," (handle the 🚩 first)",""))</f>
        <v/>
      </c>
      <c r="S286" s="17"/>
      <c r="T286" s="17"/>
      <c r="U286" s="44" t="str">
        <f aca="false">IF(C286="","",IF(COUNTIF(C287:C$501,C286)=0,1,0))</f>
        <v/>
      </c>
    </row>
    <row r="287" customFormat="false" ht="15" hidden="false" customHeight="false" outlineLevel="0" collapsed="false">
      <c r="A287" s="17"/>
      <c r="B287" s="40"/>
      <c r="C287" s="17"/>
      <c r="D287" s="44" t="str">
        <f aca="false">IF(C287="","",IFERROR(INDEX(Inbound!$E$2:$E$501,MATCH(C287,Inbound!$A$2:$A$501,0)),IFERROR(INDEX(Outbound!$D$2:$D$501,MATCH(C287,Outbound!$A$2:$A$501,0)),"Lead ID not found")))</f>
        <v/>
      </c>
      <c r="E287" s="44" t="str">
        <f aca="false">IF(C287="","",IFERROR(INDEX(Inbound!$F$2:$F$501,MATCH(C287,Inbound!$A$2:$A$501,0)),IFERROR(INDEX(Outbound!$E$2:$E$501,MATCH(C287,Outbound!$A$2:$A$501,0)),"Lead ID not found")))</f>
        <v/>
      </c>
      <c r="F287" s="17"/>
      <c r="G287" s="17"/>
      <c r="H287" s="17"/>
      <c r="I287" s="17"/>
      <c r="J287" s="17"/>
      <c r="K287" s="17"/>
      <c r="L287" s="17"/>
      <c r="M287" s="17"/>
      <c r="N287" s="44" t="str">
        <f aca="false">IF(C287="","",COUNTA(H287:M287))</f>
        <v/>
      </c>
      <c r="O287" s="44" t="str">
        <f aca="false">IF(OR(C287="",N(N287)=0),"",SUMIFS(Settings!$AA$2:$AA$21,Settings!$Y$2:$Y$21,"Budget AED 5k+/mo?",Settings!$Z$2:$Z$21,H287)+SUMIFS(Settings!$AA$2:$AA$21,Settings!$Y$2:$Y$21,"Decision-maker?",Settings!$Z$2:$Z$21,I287)+SUMIFS(Settings!$AA$2:$AA$21,Settings!$Y$2:$Y$21,"Someone on camera?",Settings!$Z$2:$Z$21,J287)+SUMIFS(Settings!$AA$2:$AA$21,Settings!$Y$2:$Y$21,"OK with 3-month term?",Settings!$Z$2:$Z$21,K287)+SUMIFS(Settings!$AA$2:$AA$21,Settings!$Y$2:$Y$21,"Start timeline",Settings!$Z$2:$Z$21,L287)+SUMIFS(Settings!$AA$2:$AA$21,Settings!$Y$2:$Y$21,"Social media gap",Settings!$Z$2:$Z$21,M287)+IF(OR(E287="",E287="Lead ID not found"),0,IF(COUNTIF(Settings!$AC$2:$AC$6,E287)&gt;0,Settings!$AA$20,Settings!$AA$21)))</f>
        <v/>
      </c>
      <c r="P287" s="44" t="str">
        <f aca="false">IF(C287="","",IF(N(N287)&lt;6,"Partly scored ("&amp;N287&amp;"/6)",IF(O287&gt;=Settings!$S$8,"Hot",IF(O287&gt;=Settings!$S$9,"Warm","Cold"))))</f>
        <v/>
      </c>
      <c r="Q287" s="44" t="str">
        <f aca="false">IF(C287="","",IF(AND(H287="No",J287="No"),"🚩 Budget  ·  🚩 No one on camera",IF(H287="No","🚩 Budget under AED 5k",IF(J287="No","🚩 No one on camera",""))))</f>
        <v/>
      </c>
      <c r="R287" s="44" t="str">
        <f aca="false">IF(C287="","",IF(N(N287)&lt;6,"Finish the scoresheet before closing",IF(P287="Hot","Close now – send the contract / proposal today",IF(P287="Warm","Send proposal + a relevant result; follow up in 3 days","Rep's call – nurture or close politely")))&amp;IF(Q287&lt;&gt;""," (handle the 🚩 first)",""))</f>
        <v/>
      </c>
      <c r="S287" s="17"/>
      <c r="T287" s="17"/>
      <c r="U287" s="44" t="str">
        <f aca="false">IF(C287="","",IF(COUNTIF(C288:C$501,C287)=0,1,0))</f>
        <v/>
      </c>
    </row>
    <row r="288" customFormat="false" ht="15" hidden="false" customHeight="false" outlineLevel="0" collapsed="false">
      <c r="A288" s="17"/>
      <c r="B288" s="40"/>
      <c r="C288" s="17"/>
      <c r="D288" s="44" t="str">
        <f aca="false">IF(C288="","",IFERROR(INDEX(Inbound!$E$2:$E$501,MATCH(C288,Inbound!$A$2:$A$501,0)),IFERROR(INDEX(Outbound!$D$2:$D$501,MATCH(C288,Outbound!$A$2:$A$501,0)),"Lead ID not found")))</f>
        <v/>
      </c>
      <c r="E288" s="44" t="str">
        <f aca="false">IF(C288="","",IFERROR(INDEX(Inbound!$F$2:$F$501,MATCH(C288,Inbound!$A$2:$A$501,0)),IFERROR(INDEX(Outbound!$E$2:$E$501,MATCH(C288,Outbound!$A$2:$A$501,0)),"Lead ID not found")))</f>
        <v/>
      </c>
      <c r="F288" s="17"/>
      <c r="G288" s="17"/>
      <c r="H288" s="17"/>
      <c r="I288" s="17"/>
      <c r="J288" s="17"/>
      <c r="K288" s="17"/>
      <c r="L288" s="17"/>
      <c r="M288" s="17"/>
      <c r="N288" s="44" t="str">
        <f aca="false">IF(C288="","",COUNTA(H288:M288))</f>
        <v/>
      </c>
      <c r="O288" s="44" t="str">
        <f aca="false">IF(OR(C288="",N(N288)=0),"",SUMIFS(Settings!$AA$2:$AA$21,Settings!$Y$2:$Y$21,"Budget AED 5k+/mo?",Settings!$Z$2:$Z$21,H288)+SUMIFS(Settings!$AA$2:$AA$21,Settings!$Y$2:$Y$21,"Decision-maker?",Settings!$Z$2:$Z$21,I288)+SUMIFS(Settings!$AA$2:$AA$21,Settings!$Y$2:$Y$21,"Someone on camera?",Settings!$Z$2:$Z$21,J288)+SUMIFS(Settings!$AA$2:$AA$21,Settings!$Y$2:$Y$21,"OK with 3-month term?",Settings!$Z$2:$Z$21,K288)+SUMIFS(Settings!$AA$2:$AA$21,Settings!$Y$2:$Y$21,"Start timeline",Settings!$Z$2:$Z$21,L288)+SUMIFS(Settings!$AA$2:$AA$21,Settings!$Y$2:$Y$21,"Social media gap",Settings!$Z$2:$Z$21,M288)+IF(OR(E288="",E288="Lead ID not found"),0,IF(COUNTIF(Settings!$AC$2:$AC$6,E288)&gt;0,Settings!$AA$20,Settings!$AA$21)))</f>
        <v/>
      </c>
      <c r="P288" s="44" t="str">
        <f aca="false">IF(C288="","",IF(N(N288)&lt;6,"Partly scored ("&amp;N288&amp;"/6)",IF(O288&gt;=Settings!$S$8,"Hot",IF(O288&gt;=Settings!$S$9,"Warm","Cold"))))</f>
        <v/>
      </c>
      <c r="Q288" s="44" t="str">
        <f aca="false">IF(C288="","",IF(AND(H288="No",J288="No"),"🚩 Budget  ·  🚩 No one on camera",IF(H288="No","🚩 Budget under AED 5k",IF(J288="No","🚩 No one on camera",""))))</f>
        <v/>
      </c>
      <c r="R288" s="44" t="str">
        <f aca="false">IF(C288="","",IF(N(N288)&lt;6,"Finish the scoresheet before closing",IF(P288="Hot","Close now – send the contract / proposal today",IF(P288="Warm","Send proposal + a relevant result; follow up in 3 days","Rep's call – nurture or close politely")))&amp;IF(Q288&lt;&gt;""," (handle the 🚩 first)",""))</f>
        <v/>
      </c>
      <c r="S288" s="17"/>
      <c r="T288" s="17"/>
      <c r="U288" s="44" t="str">
        <f aca="false">IF(C288="","",IF(COUNTIF(C289:C$501,C288)=0,1,0))</f>
        <v/>
      </c>
    </row>
    <row r="289" customFormat="false" ht="15" hidden="false" customHeight="false" outlineLevel="0" collapsed="false">
      <c r="A289" s="17"/>
      <c r="B289" s="40"/>
      <c r="C289" s="17"/>
      <c r="D289" s="44" t="str">
        <f aca="false">IF(C289="","",IFERROR(INDEX(Inbound!$E$2:$E$501,MATCH(C289,Inbound!$A$2:$A$501,0)),IFERROR(INDEX(Outbound!$D$2:$D$501,MATCH(C289,Outbound!$A$2:$A$501,0)),"Lead ID not found")))</f>
        <v/>
      </c>
      <c r="E289" s="44" t="str">
        <f aca="false">IF(C289="","",IFERROR(INDEX(Inbound!$F$2:$F$501,MATCH(C289,Inbound!$A$2:$A$501,0)),IFERROR(INDEX(Outbound!$E$2:$E$501,MATCH(C289,Outbound!$A$2:$A$501,0)),"Lead ID not found")))</f>
        <v/>
      </c>
      <c r="F289" s="17"/>
      <c r="G289" s="17"/>
      <c r="H289" s="17"/>
      <c r="I289" s="17"/>
      <c r="J289" s="17"/>
      <c r="K289" s="17"/>
      <c r="L289" s="17"/>
      <c r="M289" s="17"/>
      <c r="N289" s="44" t="str">
        <f aca="false">IF(C289="","",COUNTA(H289:M289))</f>
        <v/>
      </c>
      <c r="O289" s="44" t="str">
        <f aca="false">IF(OR(C289="",N(N289)=0),"",SUMIFS(Settings!$AA$2:$AA$21,Settings!$Y$2:$Y$21,"Budget AED 5k+/mo?",Settings!$Z$2:$Z$21,H289)+SUMIFS(Settings!$AA$2:$AA$21,Settings!$Y$2:$Y$21,"Decision-maker?",Settings!$Z$2:$Z$21,I289)+SUMIFS(Settings!$AA$2:$AA$21,Settings!$Y$2:$Y$21,"Someone on camera?",Settings!$Z$2:$Z$21,J289)+SUMIFS(Settings!$AA$2:$AA$21,Settings!$Y$2:$Y$21,"OK with 3-month term?",Settings!$Z$2:$Z$21,K289)+SUMIFS(Settings!$AA$2:$AA$21,Settings!$Y$2:$Y$21,"Start timeline",Settings!$Z$2:$Z$21,L289)+SUMIFS(Settings!$AA$2:$AA$21,Settings!$Y$2:$Y$21,"Social media gap",Settings!$Z$2:$Z$21,M289)+IF(OR(E289="",E289="Lead ID not found"),0,IF(COUNTIF(Settings!$AC$2:$AC$6,E289)&gt;0,Settings!$AA$20,Settings!$AA$21)))</f>
        <v/>
      </c>
      <c r="P289" s="44" t="str">
        <f aca="false">IF(C289="","",IF(N(N289)&lt;6,"Partly scored ("&amp;N289&amp;"/6)",IF(O289&gt;=Settings!$S$8,"Hot",IF(O289&gt;=Settings!$S$9,"Warm","Cold"))))</f>
        <v/>
      </c>
      <c r="Q289" s="44" t="str">
        <f aca="false">IF(C289="","",IF(AND(H289="No",J289="No"),"🚩 Budget  ·  🚩 No one on camera",IF(H289="No","🚩 Budget under AED 5k",IF(J289="No","🚩 No one on camera",""))))</f>
        <v/>
      </c>
      <c r="R289" s="44" t="str">
        <f aca="false">IF(C289="","",IF(N(N289)&lt;6,"Finish the scoresheet before closing",IF(P289="Hot","Close now – send the contract / proposal today",IF(P289="Warm","Send proposal + a relevant result; follow up in 3 days","Rep's call – nurture or close politely")))&amp;IF(Q289&lt;&gt;""," (handle the 🚩 first)",""))</f>
        <v/>
      </c>
      <c r="S289" s="17"/>
      <c r="T289" s="17"/>
      <c r="U289" s="44" t="str">
        <f aca="false">IF(C289="","",IF(COUNTIF(C290:C$501,C289)=0,1,0))</f>
        <v/>
      </c>
    </row>
    <row r="290" customFormat="false" ht="15" hidden="false" customHeight="false" outlineLevel="0" collapsed="false">
      <c r="A290" s="17"/>
      <c r="B290" s="40"/>
      <c r="C290" s="17"/>
      <c r="D290" s="44" t="str">
        <f aca="false">IF(C290="","",IFERROR(INDEX(Inbound!$E$2:$E$501,MATCH(C290,Inbound!$A$2:$A$501,0)),IFERROR(INDEX(Outbound!$D$2:$D$501,MATCH(C290,Outbound!$A$2:$A$501,0)),"Lead ID not found")))</f>
        <v/>
      </c>
      <c r="E290" s="44" t="str">
        <f aca="false">IF(C290="","",IFERROR(INDEX(Inbound!$F$2:$F$501,MATCH(C290,Inbound!$A$2:$A$501,0)),IFERROR(INDEX(Outbound!$E$2:$E$501,MATCH(C290,Outbound!$A$2:$A$501,0)),"Lead ID not found")))</f>
        <v/>
      </c>
      <c r="F290" s="17"/>
      <c r="G290" s="17"/>
      <c r="H290" s="17"/>
      <c r="I290" s="17"/>
      <c r="J290" s="17"/>
      <c r="K290" s="17"/>
      <c r="L290" s="17"/>
      <c r="M290" s="17"/>
      <c r="N290" s="44" t="str">
        <f aca="false">IF(C290="","",COUNTA(H290:M290))</f>
        <v/>
      </c>
      <c r="O290" s="44" t="str">
        <f aca="false">IF(OR(C290="",N(N290)=0),"",SUMIFS(Settings!$AA$2:$AA$21,Settings!$Y$2:$Y$21,"Budget AED 5k+/mo?",Settings!$Z$2:$Z$21,H290)+SUMIFS(Settings!$AA$2:$AA$21,Settings!$Y$2:$Y$21,"Decision-maker?",Settings!$Z$2:$Z$21,I290)+SUMIFS(Settings!$AA$2:$AA$21,Settings!$Y$2:$Y$21,"Someone on camera?",Settings!$Z$2:$Z$21,J290)+SUMIFS(Settings!$AA$2:$AA$21,Settings!$Y$2:$Y$21,"OK with 3-month term?",Settings!$Z$2:$Z$21,K290)+SUMIFS(Settings!$AA$2:$AA$21,Settings!$Y$2:$Y$21,"Start timeline",Settings!$Z$2:$Z$21,L290)+SUMIFS(Settings!$AA$2:$AA$21,Settings!$Y$2:$Y$21,"Social media gap",Settings!$Z$2:$Z$21,M290)+IF(OR(E290="",E290="Lead ID not found"),0,IF(COUNTIF(Settings!$AC$2:$AC$6,E290)&gt;0,Settings!$AA$20,Settings!$AA$21)))</f>
        <v/>
      </c>
      <c r="P290" s="44" t="str">
        <f aca="false">IF(C290="","",IF(N(N290)&lt;6,"Partly scored ("&amp;N290&amp;"/6)",IF(O290&gt;=Settings!$S$8,"Hot",IF(O290&gt;=Settings!$S$9,"Warm","Cold"))))</f>
        <v/>
      </c>
      <c r="Q290" s="44" t="str">
        <f aca="false">IF(C290="","",IF(AND(H290="No",J290="No"),"🚩 Budget  ·  🚩 No one on camera",IF(H290="No","🚩 Budget under AED 5k",IF(J290="No","🚩 No one on camera",""))))</f>
        <v/>
      </c>
      <c r="R290" s="44" t="str">
        <f aca="false">IF(C290="","",IF(N(N290)&lt;6,"Finish the scoresheet before closing",IF(P290="Hot","Close now – send the contract / proposal today",IF(P290="Warm","Send proposal + a relevant result; follow up in 3 days","Rep's call – nurture or close politely")))&amp;IF(Q290&lt;&gt;""," (handle the 🚩 first)",""))</f>
        <v/>
      </c>
      <c r="S290" s="17"/>
      <c r="T290" s="17"/>
      <c r="U290" s="44" t="str">
        <f aca="false">IF(C290="","",IF(COUNTIF(C291:C$501,C290)=0,1,0))</f>
        <v/>
      </c>
    </row>
    <row r="291" customFormat="false" ht="15" hidden="false" customHeight="false" outlineLevel="0" collapsed="false">
      <c r="A291" s="17"/>
      <c r="B291" s="40"/>
      <c r="C291" s="17"/>
      <c r="D291" s="44" t="str">
        <f aca="false">IF(C291="","",IFERROR(INDEX(Inbound!$E$2:$E$501,MATCH(C291,Inbound!$A$2:$A$501,0)),IFERROR(INDEX(Outbound!$D$2:$D$501,MATCH(C291,Outbound!$A$2:$A$501,0)),"Lead ID not found")))</f>
        <v/>
      </c>
      <c r="E291" s="44" t="str">
        <f aca="false">IF(C291="","",IFERROR(INDEX(Inbound!$F$2:$F$501,MATCH(C291,Inbound!$A$2:$A$501,0)),IFERROR(INDEX(Outbound!$E$2:$E$501,MATCH(C291,Outbound!$A$2:$A$501,0)),"Lead ID not found")))</f>
        <v/>
      </c>
      <c r="F291" s="17"/>
      <c r="G291" s="17"/>
      <c r="H291" s="17"/>
      <c r="I291" s="17"/>
      <c r="J291" s="17"/>
      <c r="K291" s="17"/>
      <c r="L291" s="17"/>
      <c r="M291" s="17"/>
      <c r="N291" s="44" t="str">
        <f aca="false">IF(C291="","",COUNTA(H291:M291))</f>
        <v/>
      </c>
      <c r="O291" s="44" t="str">
        <f aca="false">IF(OR(C291="",N(N291)=0),"",SUMIFS(Settings!$AA$2:$AA$21,Settings!$Y$2:$Y$21,"Budget AED 5k+/mo?",Settings!$Z$2:$Z$21,H291)+SUMIFS(Settings!$AA$2:$AA$21,Settings!$Y$2:$Y$21,"Decision-maker?",Settings!$Z$2:$Z$21,I291)+SUMIFS(Settings!$AA$2:$AA$21,Settings!$Y$2:$Y$21,"Someone on camera?",Settings!$Z$2:$Z$21,J291)+SUMIFS(Settings!$AA$2:$AA$21,Settings!$Y$2:$Y$21,"OK with 3-month term?",Settings!$Z$2:$Z$21,K291)+SUMIFS(Settings!$AA$2:$AA$21,Settings!$Y$2:$Y$21,"Start timeline",Settings!$Z$2:$Z$21,L291)+SUMIFS(Settings!$AA$2:$AA$21,Settings!$Y$2:$Y$21,"Social media gap",Settings!$Z$2:$Z$21,M291)+IF(OR(E291="",E291="Lead ID not found"),0,IF(COUNTIF(Settings!$AC$2:$AC$6,E291)&gt;0,Settings!$AA$20,Settings!$AA$21)))</f>
        <v/>
      </c>
      <c r="P291" s="44" t="str">
        <f aca="false">IF(C291="","",IF(N(N291)&lt;6,"Partly scored ("&amp;N291&amp;"/6)",IF(O291&gt;=Settings!$S$8,"Hot",IF(O291&gt;=Settings!$S$9,"Warm","Cold"))))</f>
        <v/>
      </c>
      <c r="Q291" s="44" t="str">
        <f aca="false">IF(C291="","",IF(AND(H291="No",J291="No"),"🚩 Budget  ·  🚩 No one on camera",IF(H291="No","🚩 Budget under AED 5k",IF(J291="No","🚩 No one on camera",""))))</f>
        <v/>
      </c>
      <c r="R291" s="44" t="str">
        <f aca="false">IF(C291="","",IF(N(N291)&lt;6,"Finish the scoresheet before closing",IF(P291="Hot","Close now – send the contract / proposal today",IF(P291="Warm","Send proposal + a relevant result; follow up in 3 days","Rep's call – nurture or close politely")))&amp;IF(Q291&lt;&gt;""," (handle the 🚩 first)",""))</f>
        <v/>
      </c>
      <c r="S291" s="17"/>
      <c r="T291" s="17"/>
      <c r="U291" s="44" t="str">
        <f aca="false">IF(C291="","",IF(COUNTIF(C292:C$501,C291)=0,1,0))</f>
        <v/>
      </c>
    </row>
    <row r="292" customFormat="false" ht="15" hidden="false" customHeight="false" outlineLevel="0" collapsed="false">
      <c r="A292" s="17"/>
      <c r="B292" s="40"/>
      <c r="C292" s="17"/>
      <c r="D292" s="44" t="str">
        <f aca="false">IF(C292="","",IFERROR(INDEX(Inbound!$E$2:$E$501,MATCH(C292,Inbound!$A$2:$A$501,0)),IFERROR(INDEX(Outbound!$D$2:$D$501,MATCH(C292,Outbound!$A$2:$A$501,0)),"Lead ID not found")))</f>
        <v/>
      </c>
      <c r="E292" s="44" t="str">
        <f aca="false">IF(C292="","",IFERROR(INDEX(Inbound!$F$2:$F$501,MATCH(C292,Inbound!$A$2:$A$501,0)),IFERROR(INDEX(Outbound!$E$2:$E$501,MATCH(C292,Outbound!$A$2:$A$501,0)),"Lead ID not found")))</f>
        <v/>
      </c>
      <c r="F292" s="17"/>
      <c r="G292" s="17"/>
      <c r="H292" s="17"/>
      <c r="I292" s="17"/>
      <c r="J292" s="17"/>
      <c r="K292" s="17"/>
      <c r="L292" s="17"/>
      <c r="M292" s="17"/>
      <c r="N292" s="44" t="str">
        <f aca="false">IF(C292="","",COUNTA(H292:M292))</f>
        <v/>
      </c>
      <c r="O292" s="44" t="str">
        <f aca="false">IF(OR(C292="",N(N292)=0),"",SUMIFS(Settings!$AA$2:$AA$21,Settings!$Y$2:$Y$21,"Budget AED 5k+/mo?",Settings!$Z$2:$Z$21,H292)+SUMIFS(Settings!$AA$2:$AA$21,Settings!$Y$2:$Y$21,"Decision-maker?",Settings!$Z$2:$Z$21,I292)+SUMIFS(Settings!$AA$2:$AA$21,Settings!$Y$2:$Y$21,"Someone on camera?",Settings!$Z$2:$Z$21,J292)+SUMIFS(Settings!$AA$2:$AA$21,Settings!$Y$2:$Y$21,"OK with 3-month term?",Settings!$Z$2:$Z$21,K292)+SUMIFS(Settings!$AA$2:$AA$21,Settings!$Y$2:$Y$21,"Start timeline",Settings!$Z$2:$Z$21,L292)+SUMIFS(Settings!$AA$2:$AA$21,Settings!$Y$2:$Y$21,"Social media gap",Settings!$Z$2:$Z$21,M292)+IF(OR(E292="",E292="Lead ID not found"),0,IF(COUNTIF(Settings!$AC$2:$AC$6,E292)&gt;0,Settings!$AA$20,Settings!$AA$21)))</f>
        <v/>
      </c>
      <c r="P292" s="44" t="str">
        <f aca="false">IF(C292="","",IF(N(N292)&lt;6,"Partly scored ("&amp;N292&amp;"/6)",IF(O292&gt;=Settings!$S$8,"Hot",IF(O292&gt;=Settings!$S$9,"Warm","Cold"))))</f>
        <v/>
      </c>
      <c r="Q292" s="44" t="str">
        <f aca="false">IF(C292="","",IF(AND(H292="No",J292="No"),"🚩 Budget  ·  🚩 No one on camera",IF(H292="No","🚩 Budget under AED 5k",IF(J292="No","🚩 No one on camera",""))))</f>
        <v/>
      </c>
      <c r="R292" s="44" t="str">
        <f aca="false">IF(C292="","",IF(N(N292)&lt;6,"Finish the scoresheet before closing",IF(P292="Hot","Close now – send the contract / proposal today",IF(P292="Warm","Send proposal + a relevant result; follow up in 3 days","Rep's call – nurture or close politely")))&amp;IF(Q292&lt;&gt;""," (handle the 🚩 first)",""))</f>
        <v/>
      </c>
      <c r="S292" s="17"/>
      <c r="T292" s="17"/>
      <c r="U292" s="44" t="str">
        <f aca="false">IF(C292="","",IF(COUNTIF(C293:C$501,C292)=0,1,0))</f>
        <v/>
      </c>
    </row>
    <row r="293" customFormat="false" ht="15" hidden="false" customHeight="false" outlineLevel="0" collapsed="false">
      <c r="A293" s="17"/>
      <c r="B293" s="40"/>
      <c r="C293" s="17"/>
      <c r="D293" s="44" t="str">
        <f aca="false">IF(C293="","",IFERROR(INDEX(Inbound!$E$2:$E$501,MATCH(C293,Inbound!$A$2:$A$501,0)),IFERROR(INDEX(Outbound!$D$2:$D$501,MATCH(C293,Outbound!$A$2:$A$501,0)),"Lead ID not found")))</f>
        <v/>
      </c>
      <c r="E293" s="44" t="str">
        <f aca="false">IF(C293="","",IFERROR(INDEX(Inbound!$F$2:$F$501,MATCH(C293,Inbound!$A$2:$A$501,0)),IFERROR(INDEX(Outbound!$E$2:$E$501,MATCH(C293,Outbound!$A$2:$A$501,0)),"Lead ID not found")))</f>
        <v/>
      </c>
      <c r="F293" s="17"/>
      <c r="G293" s="17"/>
      <c r="H293" s="17"/>
      <c r="I293" s="17"/>
      <c r="J293" s="17"/>
      <c r="K293" s="17"/>
      <c r="L293" s="17"/>
      <c r="M293" s="17"/>
      <c r="N293" s="44" t="str">
        <f aca="false">IF(C293="","",COUNTA(H293:M293))</f>
        <v/>
      </c>
      <c r="O293" s="44" t="str">
        <f aca="false">IF(OR(C293="",N(N293)=0),"",SUMIFS(Settings!$AA$2:$AA$21,Settings!$Y$2:$Y$21,"Budget AED 5k+/mo?",Settings!$Z$2:$Z$21,H293)+SUMIFS(Settings!$AA$2:$AA$21,Settings!$Y$2:$Y$21,"Decision-maker?",Settings!$Z$2:$Z$21,I293)+SUMIFS(Settings!$AA$2:$AA$21,Settings!$Y$2:$Y$21,"Someone on camera?",Settings!$Z$2:$Z$21,J293)+SUMIFS(Settings!$AA$2:$AA$21,Settings!$Y$2:$Y$21,"OK with 3-month term?",Settings!$Z$2:$Z$21,K293)+SUMIFS(Settings!$AA$2:$AA$21,Settings!$Y$2:$Y$21,"Start timeline",Settings!$Z$2:$Z$21,L293)+SUMIFS(Settings!$AA$2:$AA$21,Settings!$Y$2:$Y$21,"Social media gap",Settings!$Z$2:$Z$21,M293)+IF(OR(E293="",E293="Lead ID not found"),0,IF(COUNTIF(Settings!$AC$2:$AC$6,E293)&gt;0,Settings!$AA$20,Settings!$AA$21)))</f>
        <v/>
      </c>
      <c r="P293" s="44" t="str">
        <f aca="false">IF(C293="","",IF(N(N293)&lt;6,"Partly scored ("&amp;N293&amp;"/6)",IF(O293&gt;=Settings!$S$8,"Hot",IF(O293&gt;=Settings!$S$9,"Warm","Cold"))))</f>
        <v/>
      </c>
      <c r="Q293" s="44" t="str">
        <f aca="false">IF(C293="","",IF(AND(H293="No",J293="No"),"🚩 Budget  ·  🚩 No one on camera",IF(H293="No","🚩 Budget under AED 5k",IF(J293="No","🚩 No one on camera",""))))</f>
        <v/>
      </c>
      <c r="R293" s="44" t="str">
        <f aca="false">IF(C293="","",IF(N(N293)&lt;6,"Finish the scoresheet before closing",IF(P293="Hot","Close now – send the contract / proposal today",IF(P293="Warm","Send proposal + a relevant result; follow up in 3 days","Rep's call – nurture or close politely")))&amp;IF(Q293&lt;&gt;""," (handle the 🚩 first)",""))</f>
        <v/>
      </c>
      <c r="S293" s="17"/>
      <c r="T293" s="17"/>
      <c r="U293" s="44" t="str">
        <f aca="false">IF(C293="","",IF(COUNTIF(C294:C$501,C293)=0,1,0))</f>
        <v/>
      </c>
    </row>
    <row r="294" customFormat="false" ht="15" hidden="false" customHeight="false" outlineLevel="0" collapsed="false">
      <c r="A294" s="17"/>
      <c r="B294" s="40"/>
      <c r="C294" s="17"/>
      <c r="D294" s="44" t="str">
        <f aca="false">IF(C294="","",IFERROR(INDEX(Inbound!$E$2:$E$501,MATCH(C294,Inbound!$A$2:$A$501,0)),IFERROR(INDEX(Outbound!$D$2:$D$501,MATCH(C294,Outbound!$A$2:$A$501,0)),"Lead ID not found")))</f>
        <v/>
      </c>
      <c r="E294" s="44" t="str">
        <f aca="false">IF(C294="","",IFERROR(INDEX(Inbound!$F$2:$F$501,MATCH(C294,Inbound!$A$2:$A$501,0)),IFERROR(INDEX(Outbound!$E$2:$E$501,MATCH(C294,Outbound!$A$2:$A$501,0)),"Lead ID not found")))</f>
        <v/>
      </c>
      <c r="F294" s="17"/>
      <c r="G294" s="17"/>
      <c r="H294" s="17"/>
      <c r="I294" s="17"/>
      <c r="J294" s="17"/>
      <c r="K294" s="17"/>
      <c r="L294" s="17"/>
      <c r="M294" s="17"/>
      <c r="N294" s="44" t="str">
        <f aca="false">IF(C294="","",COUNTA(H294:M294))</f>
        <v/>
      </c>
      <c r="O294" s="44" t="str">
        <f aca="false">IF(OR(C294="",N(N294)=0),"",SUMIFS(Settings!$AA$2:$AA$21,Settings!$Y$2:$Y$21,"Budget AED 5k+/mo?",Settings!$Z$2:$Z$21,H294)+SUMIFS(Settings!$AA$2:$AA$21,Settings!$Y$2:$Y$21,"Decision-maker?",Settings!$Z$2:$Z$21,I294)+SUMIFS(Settings!$AA$2:$AA$21,Settings!$Y$2:$Y$21,"Someone on camera?",Settings!$Z$2:$Z$21,J294)+SUMIFS(Settings!$AA$2:$AA$21,Settings!$Y$2:$Y$21,"OK with 3-month term?",Settings!$Z$2:$Z$21,K294)+SUMIFS(Settings!$AA$2:$AA$21,Settings!$Y$2:$Y$21,"Start timeline",Settings!$Z$2:$Z$21,L294)+SUMIFS(Settings!$AA$2:$AA$21,Settings!$Y$2:$Y$21,"Social media gap",Settings!$Z$2:$Z$21,M294)+IF(OR(E294="",E294="Lead ID not found"),0,IF(COUNTIF(Settings!$AC$2:$AC$6,E294)&gt;0,Settings!$AA$20,Settings!$AA$21)))</f>
        <v/>
      </c>
      <c r="P294" s="44" t="str">
        <f aca="false">IF(C294="","",IF(N(N294)&lt;6,"Partly scored ("&amp;N294&amp;"/6)",IF(O294&gt;=Settings!$S$8,"Hot",IF(O294&gt;=Settings!$S$9,"Warm","Cold"))))</f>
        <v/>
      </c>
      <c r="Q294" s="44" t="str">
        <f aca="false">IF(C294="","",IF(AND(H294="No",J294="No"),"🚩 Budget  ·  🚩 No one on camera",IF(H294="No","🚩 Budget under AED 5k",IF(J294="No","🚩 No one on camera",""))))</f>
        <v/>
      </c>
      <c r="R294" s="44" t="str">
        <f aca="false">IF(C294="","",IF(N(N294)&lt;6,"Finish the scoresheet before closing",IF(P294="Hot","Close now – send the contract / proposal today",IF(P294="Warm","Send proposal + a relevant result; follow up in 3 days","Rep's call – nurture or close politely")))&amp;IF(Q294&lt;&gt;""," (handle the 🚩 first)",""))</f>
        <v/>
      </c>
      <c r="S294" s="17"/>
      <c r="T294" s="17"/>
      <c r="U294" s="44" t="str">
        <f aca="false">IF(C294="","",IF(COUNTIF(C295:C$501,C294)=0,1,0))</f>
        <v/>
      </c>
    </row>
    <row r="295" customFormat="false" ht="15" hidden="false" customHeight="false" outlineLevel="0" collapsed="false">
      <c r="A295" s="17"/>
      <c r="B295" s="40"/>
      <c r="C295" s="17"/>
      <c r="D295" s="44" t="str">
        <f aca="false">IF(C295="","",IFERROR(INDEX(Inbound!$E$2:$E$501,MATCH(C295,Inbound!$A$2:$A$501,0)),IFERROR(INDEX(Outbound!$D$2:$D$501,MATCH(C295,Outbound!$A$2:$A$501,0)),"Lead ID not found")))</f>
        <v/>
      </c>
      <c r="E295" s="44" t="str">
        <f aca="false">IF(C295="","",IFERROR(INDEX(Inbound!$F$2:$F$501,MATCH(C295,Inbound!$A$2:$A$501,0)),IFERROR(INDEX(Outbound!$E$2:$E$501,MATCH(C295,Outbound!$A$2:$A$501,0)),"Lead ID not found")))</f>
        <v/>
      </c>
      <c r="F295" s="17"/>
      <c r="G295" s="17"/>
      <c r="H295" s="17"/>
      <c r="I295" s="17"/>
      <c r="J295" s="17"/>
      <c r="K295" s="17"/>
      <c r="L295" s="17"/>
      <c r="M295" s="17"/>
      <c r="N295" s="44" t="str">
        <f aca="false">IF(C295="","",COUNTA(H295:M295))</f>
        <v/>
      </c>
      <c r="O295" s="44" t="str">
        <f aca="false">IF(OR(C295="",N(N295)=0),"",SUMIFS(Settings!$AA$2:$AA$21,Settings!$Y$2:$Y$21,"Budget AED 5k+/mo?",Settings!$Z$2:$Z$21,H295)+SUMIFS(Settings!$AA$2:$AA$21,Settings!$Y$2:$Y$21,"Decision-maker?",Settings!$Z$2:$Z$21,I295)+SUMIFS(Settings!$AA$2:$AA$21,Settings!$Y$2:$Y$21,"Someone on camera?",Settings!$Z$2:$Z$21,J295)+SUMIFS(Settings!$AA$2:$AA$21,Settings!$Y$2:$Y$21,"OK with 3-month term?",Settings!$Z$2:$Z$21,K295)+SUMIFS(Settings!$AA$2:$AA$21,Settings!$Y$2:$Y$21,"Start timeline",Settings!$Z$2:$Z$21,L295)+SUMIFS(Settings!$AA$2:$AA$21,Settings!$Y$2:$Y$21,"Social media gap",Settings!$Z$2:$Z$21,M295)+IF(OR(E295="",E295="Lead ID not found"),0,IF(COUNTIF(Settings!$AC$2:$AC$6,E295)&gt;0,Settings!$AA$20,Settings!$AA$21)))</f>
        <v/>
      </c>
      <c r="P295" s="44" t="str">
        <f aca="false">IF(C295="","",IF(N(N295)&lt;6,"Partly scored ("&amp;N295&amp;"/6)",IF(O295&gt;=Settings!$S$8,"Hot",IF(O295&gt;=Settings!$S$9,"Warm","Cold"))))</f>
        <v/>
      </c>
      <c r="Q295" s="44" t="str">
        <f aca="false">IF(C295="","",IF(AND(H295="No",J295="No"),"🚩 Budget  ·  🚩 No one on camera",IF(H295="No","🚩 Budget under AED 5k",IF(J295="No","🚩 No one on camera",""))))</f>
        <v/>
      </c>
      <c r="R295" s="44" t="str">
        <f aca="false">IF(C295="","",IF(N(N295)&lt;6,"Finish the scoresheet before closing",IF(P295="Hot","Close now – send the contract / proposal today",IF(P295="Warm","Send proposal + a relevant result; follow up in 3 days","Rep's call – nurture or close politely")))&amp;IF(Q295&lt;&gt;""," (handle the 🚩 first)",""))</f>
        <v/>
      </c>
      <c r="S295" s="17"/>
      <c r="T295" s="17"/>
      <c r="U295" s="44" t="str">
        <f aca="false">IF(C295="","",IF(COUNTIF(C296:C$501,C295)=0,1,0))</f>
        <v/>
      </c>
    </row>
    <row r="296" customFormat="false" ht="15" hidden="false" customHeight="false" outlineLevel="0" collapsed="false">
      <c r="A296" s="17"/>
      <c r="B296" s="40"/>
      <c r="C296" s="17"/>
      <c r="D296" s="44" t="str">
        <f aca="false">IF(C296="","",IFERROR(INDEX(Inbound!$E$2:$E$501,MATCH(C296,Inbound!$A$2:$A$501,0)),IFERROR(INDEX(Outbound!$D$2:$D$501,MATCH(C296,Outbound!$A$2:$A$501,0)),"Lead ID not found")))</f>
        <v/>
      </c>
      <c r="E296" s="44" t="str">
        <f aca="false">IF(C296="","",IFERROR(INDEX(Inbound!$F$2:$F$501,MATCH(C296,Inbound!$A$2:$A$501,0)),IFERROR(INDEX(Outbound!$E$2:$E$501,MATCH(C296,Outbound!$A$2:$A$501,0)),"Lead ID not found")))</f>
        <v/>
      </c>
      <c r="F296" s="17"/>
      <c r="G296" s="17"/>
      <c r="H296" s="17"/>
      <c r="I296" s="17"/>
      <c r="J296" s="17"/>
      <c r="K296" s="17"/>
      <c r="L296" s="17"/>
      <c r="M296" s="17"/>
      <c r="N296" s="44" t="str">
        <f aca="false">IF(C296="","",COUNTA(H296:M296))</f>
        <v/>
      </c>
      <c r="O296" s="44" t="str">
        <f aca="false">IF(OR(C296="",N(N296)=0),"",SUMIFS(Settings!$AA$2:$AA$21,Settings!$Y$2:$Y$21,"Budget AED 5k+/mo?",Settings!$Z$2:$Z$21,H296)+SUMIFS(Settings!$AA$2:$AA$21,Settings!$Y$2:$Y$21,"Decision-maker?",Settings!$Z$2:$Z$21,I296)+SUMIFS(Settings!$AA$2:$AA$21,Settings!$Y$2:$Y$21,"Someone on camera?",Settings!$Z$2:$Z$21,J296)+SUMIFS(Settings!$AA$2:$AA$21,Settings!$Y$2:$Y$21,"OK with 3-month term?",Settings!$Z$2:$Z$21,K296)+SUMIFS(Settings!$AA$2:$AA$21,Settings!$Y$2:$Y$21,"Start timeline",Settings!$Z$2:$Z$21,L296)+SUMIFS(Settings!$AA$2:$AA$21,Settings!$Y$2:$Y$21,"Social media gap",Settings!$Z$2:$Z$21,M296)+IF(OR(E296="",E296="Lead ID not found"),0,IF(COUNTIF(Settings!$AC$2:$AC$6,E296)&gt;0,Settings!$AA$20,Settings!$AA$21)))</f>
        <v/>
      </c>
      <c r="P296" s="44" t="str">
        <f aca="false">IF(C296="","",IF(N(N296)&lt;6,"Partly scored ("&amp;N296&amp;"/6)",IF(O296&gt;=Settings!$S$8,"Hot",IF(O296&gt;=Settings!$S$9,"Warm","Cold"))))</f>
        <v/>
      </c>
      <c r="Q296" s="44" t="str">
        <f aca="false">IF(C296="","",IF(AND(H296="No",J296="No"),"🚩 Budget  ·  🚩 No one on camera",IF(H296="No","🚩 Budget under AED 5k",IF(J296="No","🚩 No one on camera",""))))</f>
        <v/>
      </c>
      <c r="R296" s="44" t="str">
        <f aca="false">IF(C296="","",IF(N(N296)&lt;6,"Finish the scoresheet before closing",IF(P296="Hot","Close now – send the contract / proposal today",IF(P296="Warm","Send proposal + a relevant result; follow up in 3 days","Rep's call – nurture or close politely")))&amp;IF(Q296&lt;&gt;""," (handle the 🚩 first)",""))</f>
        <v/>
      </c>
      <c r="S296" s="17"/>
      <c r="T296" s="17"/>
      <c r="U296" s="44" t="str">
        <f aca="false">IF(C296="","",IF(COUNTIF(C297:C$501,C296)=0,1,0))</f>
        <v/>
      </c>
    </row>
    <row r="297" customFormat="false" ht="15" hidden="false" customHeight="false" outlineLevel="0" collapsed="false">
      <c r="A297" s="17"/>
      <c r="B297" s="40"/>
      <c r="C297" s="17"/>
      <c r="D297" s="44" t="str">
        <f aca="false">IF(C297="","",IFERROR(INDEX(Inbound!$E$2:$E$501,MATCH(C297,Inbound!$A$2:$A$501,0)),IFERROR(INDEX(Outbound!$D$2:$D$501,MATCH(C297,Outbound!$A$2:$A$501,0)),"Lead ID not found")))</f>
        <v/>
      </c>
      <c r="E297" s="44" t="str">
        <f aca="false">IF(C297="","",IFERROR(INDEX(Inbound!$F$2:$F$501,MATCH(C297,Inbound!$A$2:$A$501,0)),IFERROR(INDEX(Outbound!$E$2:$E$501,MATCH(C297,Outbound!$A$2:$A$501,0)),"Lead ID not found")))</f>
        <v/>
      </c>
      <c r="F297" s="17"/>
      <c r="G297" s="17"/>
      <c r="H297" s="17"/>
      <c r="I297" s="17"/>
      <c r="J297" s="17"/>
      <c r="K297" s="17"/>
      <c r="L297" s="17"/>
      <c r="M297" s="17"/>
      <c r="N297" s="44" t="str">
        <f aca="false">IF(C297="","",COUNTA(H297:M297))</f>
        <v/>
      </c>
      <c r="O297" s="44" t="str">
        <f aca="false">IF(OR(C297="",N(N297)=0),"",SUMIFS(Settings!$AA$2:$AA$21,Settings!$Y$2:$Y$21,"Budget AED 5k+/mo?",Settings!$Z$2:$Z$21,H297)+SUMIFS(Settings!$AA$2:$AA$21,Settings!$Y$2:$Y$21,"Decision-maker?",Settings!$Z$2:$Z$21,I297)+SUMIFS(Settings!$AA$2:$AA$21,Settings!$Y$2:$Y$21,"Someone on camera?",Settings!$Z$2:$Z$21,J297)+SUMIFS(Settings!$AA$2:$AA$21,Settings!$Y$2:$Y$21,"OK with 3-month term?",Settings!$Z$2:$Z$21,K297)+SUMIFS(Settings!$AA$2:$AA$21,Settings!$Y$2:$Y$21,"Start timeline",Settings!$Z$2:$Z$21,L297)+SUMIFS(Settings!$AA$2:$AA$21,Settings!$Y$2:$Y$21,"Social media gap",Settings!$Z$2:$Z$21,M297)+IF(OR(E297="",E297="Lead ID not found"),0,IF(COUNTIF(Settings!$AC$2:$AC$6,E297)&gt;0,Settings!$AA$20,Settings!$AA$21)))</f>
        <v/>
      </c>
      <c r="P297" s="44" t="str">
        <f aca="false">IF(C297="","",IF(N(N297)&lt;6,"Partly scored ("&amp;N297&amp;"/6)",IF(O297&gt;=Settings!$S$8,"Hot",IF(O297&gt;=Settings!$S$9,"Warm","Cold"))))</f>
        <v/>
      </c>
      <c r="Q297" s="44" t="str">
        <f aca="false">IF(C297="","",IF(AND(H297="No",J297="No"),"🚩 Budget  ·  🚩 No one on camera",IF(H297="No","🚩 Budget under AED 5k",IF(J297="No","🚩 No one on camera",""))))</f>
        <v/>
      </c>
      <c r="R297" s="44" t="str">
        <f aca="false">IF(C297="","",IF(N(N297)&lt;6,"Finish the scoresheet before closing",IF(P297="Hot","Close now – send the contract / proposal today",IF(P297="Warm","Send proposal + a relevant result; follow up in 3 days","Rep's call – nurture or close politely")))&amp;IF(Q297&lt;&gt;""," (handle the 🚩 first)",""))</f>
        <v/>
      </c>
      <c r="S297" s="17"/>
      <c r="T297" s="17"/>
      <c r="U297" s="44" t="str">
        <f aca="false">IF(C297="","",IF(COUNTIF(C298:C$501,C297)=0,1,0))</f>
        <v/>
      </c>
    </row>
    <row r="298" customFormat="false" ht="15" hidden="false" customHeight="false" outlineLevel="0" collapsed="false">
      <c r="A298" s="17"/>
      <c r="B298" s="40"/>
      <c r="C298" s="17"/>
      <c r="D298" s="44" t="str">
        <f aca="false">IF(C298="","",IFERROR(INDEX(Inbound!$E$2:$E$501,MATCH(C298,Inbound!$A$2:$A$501,0)),IFERROR(INDEX(Outbound!$D$2:$D$501,MATCH(C298,Outbound!$A$2:$A$501,0)),"Lead ID not found")))</f>
        <v/>
      </c>
      <c r="E298" s="44" t="str">
        <f aca="false">IF(C298="","",IFERROR(INDEX(Inbound!$F$2:$F$501,MATCH(C298,Inbound!$A$2:$A$501,0)),IFERROR(INDEX(Outbound!$E$2:$E$501,MATCH(C298,Outbound!$A$2:$A$501,0)),"Lead ID not found")))</f>
        <v/>
      </c>
      <c r="F298" s="17"/>
      <c r="G298" s="17"/>
      <c r="H298" s="17"/>
      <c r="I298" s="17"/>
      <c r="J298" s="17"/>
      <c r="K298" s="17"/>
      <c r="L298" s="17"/>
      <c r="M298" s="17"/>
      <c r="N298" s="44" t="str">
        <f aca="false">IF(C298="","",COUNTA(H298:M298))</f>
        <v/>
      </c>
      <c r="O298" s="44" t="str">
        <f aca="false">IF(OR(C298="",N(N298)=0),"",SUMIFS(Settings!$AA$2:$AA$21,Settings!$Y$2:$Y$21,"Budget AED 5k+/mo?",Settings!$Z$2:$Z$21,H298)+SUMIFS(Settings!$AA$2:$AA$21,Settings!$Y$2:$Y$21,"Decision-maker?",Settings!$Z$2:$Z$21,I298)+SUMIFS(Settings!$AA$2:$AA$21,Settings!$Y$2:$Y$21,"Someone on camera?",Settings!$Z$2:$Z$21,J298)+SUMIFS(Settings!$AA$2:$AA$21,Settings!$Y$2:$Y$21,"OK with 3-month term?",Settings!$Z$2:$Z$21,K298)+SUMIFS(Settings!$AA$2:$AA$21,Settings!$Y$2:$Y$21,"Start timeline",Settings!$Z$2:$Z$21,L298)+SUMIFS(Settings!$AA$2:$AA$21,Settings!$Y$2:$Y$21,"Social media gap",Settings!$Z$2:$Z$21,M298)+IF(OR(E298="",E298="Lead ID not found"),0,IF(COUNTIF(Settings!$AC$2:$AC$6,E298)&gt;0,Settings!$AA$20,Settings!$AA$21)))</f>
        <v/>
      </c>
      <c r="P298" s="44" t="str">
        <f aca="false">IF(C298="","",IF(N(N298)&lt;6,"Partly scored ("&amp;N298&amp;"/6)",IF(O298&gt;=Settings!$S$8,"Hot",IF(O298&gt;=Settings!$S$9,"Warm","Cold"))))</f>
        <v/>
      </c>
      <c r="Q298" s="44" t="str">
        <f aca="false">IF(C298="","",IF(AND(H298="No",J298="No"),"🚩 Budget  ·  🚩 No one on camera",IF(H298="No","🚩 Budget under AED 5k",IF(J298="No","🚩 No one on camera",""))))</f>
        <v/>
      </c>
      <c r="R298" s="44" t="str">
        <f aca="false">IF(C298="","",IF(N(N298)&lt;6,"Finish the scoresheet before closing",IF(P298="Hot","Close now – send the contract / proposal today",IF(P298="Warm","Send proposal + a relevant result; follow up in 3 days","Rep's call – nurture or close politely")))&amp;IF(Q298&lt;&gt;""," (handle the 🚩 first)",""))</f>
        <v/>
      </c>
      <c r="S298" s="17"/>
      <c r="T298" s="17"/>
      <c r="U298" s="44" t="str">
        <f aca="false">IF(C298="","",IF(COUNTIF(C299:C$501,C298)=0,1,0))</f>
        <v/>
      </c>
    </row>
    <row r="299" customFormat="false" ht="15" hidden="false" customHeight="false" outlineLevel="0" collapsed="false">
      <c r="A299" s="17"/>
      <c r="B299" s="40"/>
      <c r="C299" s="17"/>
      <c r="D299" s="44" t="str">
        <f aca="false">IF(C299="","",IFERROR(INDEX(Inbound!$E$2:$E$501,MATCH(C299,Inbound!$A$2:$A$501,0)),IFERROR(INDEX(Outbound!$D$2:$D$501,MATCH(C299,Outbound!$A$2:$A$501,0)),"Lead ID not found")))</f>
        <v/>
      </c>
      <c r="E299" s="44" t="str">
        <f aca="false">IF(C299="","",IFERROR(INDEX(Inbound!$F$2:$F$501,MATCH(C299,Inbound!$A$2:$A$501,0)),IFERROR(INDEX(Outbound!$E$2:$E$501,MATCH(C299,Outbound!$A$2:$A$501,0)),"Lead ID not found")))</f>
        <v/>
      </c>
      <c r="F299" s="17"/>
      <c r="G299" s="17"/>
      <c r="H299" s="17"/>
      <c r="I299" s="17"/>
      <c r="J299" s="17"/>
      <c r="K299" s="17"/>
      <c r="L299" s="17"/>
      <c r="M299" s="17"/>
      <c r="N299" s="44" t="str">
        <f aca="false">IF(C299="","",COUNTA(H299:M299))</f>
        <v/>
      </c>
      <c r="O299" s="44" t="str">
        <f aca="false">IF(OR(C299="",N(N299)=0),"",SUMIFS(Settings!$AA$2:$AA$21,Settings!$Y$2:$Y$21,"Budget AED 5k+/mo?",Settings!$Z$2:$Z$21,H299)+SUMIFS(Settings!$AA$2:$AA$21,Settings!$Y$2:$Y$21,"Decision-maker?",Settings!$Z$2:$Z$21,I299)+SUMIFS(Settings!$AA$2:$AA$21,Settings!$Y$2:$Y$21,"Someone on camera?",Settings!$Z$2:$Z$21,J299)+SUMIFS(Settings!$AA$2:$AA$21,Settings!$Y$2:$Y$21,"OK with 3-month term?",Settings!$Z$2:$Z$21,K299)+SUMIFS(Settings!$AA$2:$AA$21,Settings!$Y$2:$Y$21,"Start timeline",Settings!$Z$2:$Z$21,L299)+SUMIFS(Settings!$AA$2:$AA$21,Settings!$Y$2:$Y$21,"Social media gap",Settings!$Z$2:$Z$21,M299)+IF(OR(E299="",E299="Lead ID not found"),0,IF(COUNTIF(Settings!$AC$2:$AC$6,E299)&gt;0,Settings!$AA$20,Settings!$AA$21)))</f>
        <v/>
      </c>
      <c r="P299" s="44" t="str">
        <f aca="false">IF(C299="","",IF(N(N299)&lt;6,"Partly scored ("&amp;N299&amp;"/6)",IF(O299&gt;=Settings!$S$8,"Hot",IF(O299&gt;=Settings!$S$9,"Warm","Cold"))))</f>
        <v/>
      </c>
      <c r="Q299" s="44" t="str">
        <f aca="false">IF(C299="","",IF(AND(H299="No",J299="No"),"🚩 Budget  ·  🚩 No one on camera",IF(H299="No","🚩 Budget under AED 5k",IF(J299="No","🚩 No one on camera",""))))</f>
        <v/>
      </c>
      <c r="R299" s="44" t="str">
        <f aca="false">IF(C299="","",IF(N(N299)&lt;6,"Finish the scoresheet before closing",IF(P299="Hot","Close now – send the contract / proposal today",IF(P299="Warm","Send proposal + a relevant result; follow up in 3 days","Rep's call – nurture or close politely")))&amp;IF(Q299&lt;&gt;""," (handle the 🚩 first)",""))</f>
        <v/>
      </c>
      <c r="S299" s="17"/>
      <c r="T299" s="17"/>
      <c r="U299" s="44" t="str">
        <f aca="false">IF(C299="","",IF(COUNTIF(C300:C$501,C299)=0,1,0))</f>
        <v/>
      </c>
    </row>
    <row r="300" customFormat="false" ht="15" hidden="false" customHeight="false" outlineLevel="0" collapsed="false">
      <c r="A300" s="17"/>
      <c r="B300" s="40"/>
      <c r="C300" s="17"/>
      <c r="D300" s="44" t="str">
        <f aca="false">IF(C300="","",IFERROR(INDEX(Inbound!$E$2:$E$501,MATCH(C300,Inbound!$A$2:$A$501,0)),IFERROR(INDEX(Outbound!$D$2:$D$501,MATCH(C300,Outbound!$A$2:$A$501,0)),"Lead ID not found")))</f>
        <v/>
      </c>
      <c r="E300" s="44" t="str">
        <f aca="false">IF(C300="","",IFERROR(INDEX(Inbound!$F$2:$F$501,MATCH(C300,Inbound!$A$2:$A$501,0)),IFERROR(INDEX(Outbound!$E$2:$E$501,MATCH(C300,Outbound!$A$2:$A$501,0)),"Lead ID not found")))</f>
        <v/>
      </c>
      <c r="F300" s="17"/>
      <c r="G300" s="17"/>
      <c r="H300" s="17"/>
      <c r="I300" s="17"/>
      <c r="J300" s="17"/>
      <c r="K300" s="17"/>
      <c r="L300" s="17"/>
      <c r="M300" s="17"/>
      <c r="N300" s="44" t="str">
        <f aca="false">IF(C300="","",COUNTA(H300:M300))</f>
        <v/>
      </c>
      <c r="O300" s="44" t="str">
        <f aca="false">IF(OR(C300="",N(N300)=0),"",SUMIFS(Settings!$AA$2:$AA$21,Settings!$Y$2:$Y$21,"Budget AED 5k+/mo?",Settings!$Z$2:$Z$21,H300)+SUMIFS(Settings!$AA$2:$AA$21,Settings!$Y$2:$Y$21,"Decision-maker?",Settings!$Z$2:$Z$21,I300)+SUMIFS(Settings!$AA$2:$AA$21,Settings!$Y$2:$Y$21,"Someone on camera?",Settings!$Z$2:$Z$21,J300)+SUMIFS(Settings!$AA$2:$AA$21,Settings!$Y$2:$Y$21,"OK with 3-month term?",Settings!$Z$2:$Z$21,K300)+SUMIFS(Settings!$AA$2:$AA$21,Settings!$Y$2:$Y$21,"Start timeline",Settings!$Z$2:$Z$21,L300)+SUMIFS(Settings!$AA$2:$AA$21,Settings!$Y$2:$Y$21,"Social media gap",Settings!$Z$2:$Z$21,M300)+IF(OR(E300="",E300="Lead ID not found"),0,IF(COUNTIF(Settings!$AC$2:$AC$6,E300)&gt;0,Settings!$AA$20,Settings!$AA$21)))</f>
        <v/>
      </c>
      <c r="P300" s="44" t="str">
        <f aca="false">IF(C300="","",IF(N(N300)&lt;6,"Partly scored ("&amp;N300&amp;"/6)",IF(O300&gt;=Settings!$S$8,"Hot",IF(O300&gt;=Settings!$S$9,"Warm","Cold"))))</f>
        <v/>
      </c>
      <c r="Q300" s="44" t="str">
        <f aca="false">IF(C300="","",IF(AND(H300="No",J300="No"),"🚩 Budget  ·  🚩 No one on camera",IF(H300="No","🚩 Budget under AED 5k",IF(J300="No","🚩 No one on camera",""))))</f>
        <v/>
      </c>
      <c r="R300" s="44" t="str">
        <f aca="false">IF(C300="","",IF(N(N300)&lt;6,"Finish the scoresheet before closing",IF(P300="Hot","Close now – send the contract / proposal today",IF(P300="Warm","Send proposal + a relevant result; follow up in 3 days","Rep's call – nurture or close politely")))&amp;IF(Q300&lt;&gt;""," (handle the 🚩 first)",""))</f>
        <v/>
      </c>
      <c r="S300" s="17"/>
      <c r="T300" s="17"/>
      <c r="U300" s="44" t="str">
        <f aca="false">IF(C300="","",IF(COUNTIF(C301:C$501,C300)=0,1,0))</f>
        <v/>
      </c>
    </row>
    <row r="301" customFormat="false" ht="15" hidden="false" customHeight="false" outlineLevel="0" collapsed="false">
      <c r="A301" s="17"/>
      <c r="B301" s="40"/>
      <c r="C301" s="17"/>
      <c r="D301" s="44" t="str">
        <f aca="false">IF(C301="","",IFERROR(INDEX(Inbound!$E$2:$E$501,MATCH(C301,Inbound!$A$2:$A$501,0)),IFERROR(INDEX(Outbound!$D$2:$D$501,MATCH(C301,Outbound!$A$2:$A$501,0)),"Lead ID not found")))</f>
        <v/>
      </c>
      <c r="E301" s="44" t="str">
        <f aca="false">IF(C301="","",IFERROR(INDEX(Inbound!$F$2:$F$501,MATCH(C301,Inbound!$A$2:$A$501,0)),IFERROR(INDEX(Outbound!$E$2:$E$501,MATCH(C301,Outbound!$A$2:$A$501,0)),"Lead ID not found")))</f>
        <v/>
      </c>
      <c r="F301" s="17"/>
      <c r="G301" s="17"/>
      <c r="H301" s="17"/>
      <c r="I301" s="17"/>
      <c r="J301" s="17"/>
      <c r="K301" s="17"/>
      <c r="L301" s="17"/>
      <c r="M301" s="17"/>
      <c r="N301" s="44" t="str">
        <f aca="false">IF(C301="","",COUNTA(H301:M301))</f>
        <v/>
      </c>
      <c r="O301" s="44" t="str">
        <f aca="false">IF(OR(C301="",N(N301)=0),"",SUMIFS(Settings!$AA$2:$AA$21,Settings!$Y$2:$Y$21,"Budget AED 5k+/mo?",Settings!$Z$2:$Z$21,H301)+SUMIFS(Settings!$AA$2:$AA$21,Settings!$Y$2:$Y$21,"Decision-maker?",Settings!$Z$2:$Z$21,I301)+SUMIFS(Settings!$AA$2:$AA$21,Settings!$Y$2:$Y$21,"Someone on camera?",Settings!$Z$2:$Z$21,J301)+SUMIFS(Settings!$AA$2:$AA$21,Settings!$Y$2:$Y$21,"OK with 3-month term?",Settings!$Z$2:$Z$21,K301)+SUMIFS(Settings!$AA$2:$AA$21,Settings!$Y$2:$Y$21,"Start timeline",Settings!$Z$2:$Z$21,L301)+SUMIFS(Settings!$AA$2:$AA$21,Settings!$Y$2:$Y$21,"Social media gap",Settings!$Z$2:$Z$21,M301)+IF(OR(E301="",E301="Lead ID not found"),0,IF(COUNTIF(Settings!$AC$2:$AC$6,E301)&gt;0,Settings!$AA$20,Settings!$AA$21)))</f>
        <v/>
      </c>
      <c r="P301" s="44" t="str">
        <f aca="false">IF(C301="","",IF(N(N301)&lt;6,"Partly scored ("&amp;N301&amp;"/6)",IF(O301&gt;=Settings!$S$8,"Hot",IF(O301&gt;=Settings!$S$9,"Warm","Cold"))))</f>
        <v/>
      </c>
      <c r="Q301" s="44" t="str">
        <f aca="false">IF(C301="","",IF(AND(H301="No",J301="No"),"🚩 Budget  ·  🚩 No one on camera",IF(H301="No","🚩 Budget under AED 5k",IF(J301="No","🚩 No one on camera",""))))</f>
        <v/>
      </c>
      <c r="R301" s="44" t="str">
        <f aca="false">IF(C301="","",IF(N(N301)&lt;6,"Finish the scoresheet before closing",IF(P301="Hot","Close now – send the contract / proposal today",IF(P301="Warm","Send proposal + a relevant result; follow up in 3 days","Rep's call – nurture or close politely")))&amp;IF(Q301&lt;&gt;""," (handle the 🚩 first)",""))</f>
        <v/>
      </c>
      <c r="S301" s="17"/>
      <c r="T301" s="17"/>
      <c r="U301" s="44" t="str">
        <f aca="false">IF(C301="","",IF(COUNTIF(C302:C$501,C301)=0,1,0))</f>
        <v/>
      </c>
    </row>
    <row r="302" customFormat="false" ht="15" hidden="false" customHeight="false" outlineLevel="0" collapsed="false">
      <c r="A302" s="17"/>
      <c r="B302" s="40"/>
      <c r="C302" s="17"/>
      <c r="D302" s="44" t="str">
        <f aca="false">IF(C302="","",IFERROR(INDEX(Inbound!$E$2:$E$501,MATCH(C302,Inbound!$A$2:$A$501,0)),IFERROR(INDEX(Outbound!$D$2:$D$501,MATCH(C302,Outbound!$A$2:$A$501,0)),"Lead ID not found")))</f>
        <v/>
      </c>
      <c r="E302" s="44" t="str">
        <f aca="false">IF(C302="","",IFERROR(INDEX(Inbound!$F$2:$F$501,MATCH(C302,Inbound!$A$2:$A$501,0)),IFERROR(INDEX(Outbound!$E$2:$E$501,MATCH(C302,Outbound!$A$2:$A$501,0)),"Lead ID not found")))</f>
        <v/>
      </c>
      <c r="F302" s="17"/>
      <c r="G302" s="17"/>
      <c r="H302" s="17"/>
      <c r="I302" s="17"/>
      <c r="J302" s="17"/>
      <c r="K302" s="17"/>
      <c r="L302" s="17"/>
      <c r="M302" s="17"/>
      <c r="N302" s="44" t="str">
        <f aca="false">IF(C302="","",COUNTA(H302:M302))</f>
        <v/>
      </c>
      <c r="O302" s="44" t="str">
        <f aca="false">IF(OR(C302="",N(N302)=0),"",SUMIFS(Settings!$AA$2:$AA$21,Settings!$Y$2:$Y$21,"Budget AED 5k+/mo?",Settings!$Z$2:$Z$21,H302)+SUMIFS(Settings!$AA$2:$AA$21,Settings!$Y$2:$Y$21,"Decision-maker?",Settings!$Z$2:$Z$21,I302)+SUMIFS(Settings!$AA$2:$AA$21,Settings!$Y$2:$Y$21,"Someone on camera?",Settings!$Z$2:$Z$21,J302)+SUMIFS(Settings!$AA$2:$AA$21,Settings!$Y$2:$Y$21,"OK with 3-month term?",Settings!$Z$2:$Z$21,K302)+SUMIFS(Settings!$AA$2:$AA$21,Settings!$Y$2:$Y$21,"Start timeline",Settings!$Z$2:$Z$21,L302)+SUMIFS(Settings!$AA$2:$AA$21,Settings!$Y$2:$Y$21,"Social media gap",Settings!$Z$2:$Z$21,M302)+IF(OR(E302="",E302="Lead ID not found"),0,IF(COUNTIF(Settings!$AC$2:$AC$6,E302)&gt;0,Settings!$AA$20,Settings!$AA$21)))</f>
        <v/>
      </c>
      <c r="P302" s="44" t="str">
        <f aca="false">IF(C302="","",IF(N(N302)&lt;6,"Partly scored ("&amp;N302&amp;"/6)",IF(O302&gt;=Settings!$S$8,"Hot",IF(O302&gt;=Settings!$S$9,"Warm","Cold"))))</f>
        <v/>
      </c>
      <c r="Q302" s="44" t="str">
        <f aca="false">IF(C302="","",IF(AND(H302="No",J302="No"),"🚩 Budget  ·  🚩 No one on camera",IF(H302="No","🚩 Budget under AED 5k",IF(J302="No","🚩 No one on camera",""))))</f>
        <v/>
      </c>
      <c r="R302" s="44" t="str">
        <f aca="false">IF(C302="","",IF(N(N302)&lt;6,"Finish the scoresheet before closing",IF(P302="Hot","Close now – send the contract / proposal today",IF(P302="Warm","Send proposal + a relevant result; follow up in 3 days","Rep's call – nurture or close politely")))&amp;IF(Q302&lt;&gt;""," (handle the 🚩 first)",""))</f>
        <v/>
      </c>
      <c r="S302" s="17"/>
      <c r="T302" s="17"/>
      <c r="U302" s="44" t="str">
        <f aca="false">IF(C302="","",IF(COUNTIF(C303:C$501,C302)=0,1,0))</f>
        <v/>
      </c>
    </row>
    <row r="303" customFormat="false" ht="15" hidden="false" customHeight="false" outlineLevel="0" collapsed="false">
      <c r="A303" s="17"/>
      <c r="B303" s="40"/>
      <c r="C303" s="17"/>
      <c r="D303" s="44" t="str">
        <f aca="false">IF(C303="","",IFERROR(INDEX(Inbound!$E$2:$E$501,MATCH(C303,Inbound!$A$2:$A$501,0)),IFERROR(INDEX(Outbound!$D$2:$D$501,MATCH(C303,Outbound!$A$2:$A$501,0)),"Lead ID not found")))</f>
        <v/>
      </c>
      <c r="E303" s="44" t="str">
        <f aca="false">IF(C303="","",IFERROR(INDEX(Inbound!$F$2:$F$501,MATCH(C303,Inbound!$A$2:$A$501,0)),IFERROR(INDEX(Outbound!$E$2:$E$501,MATCH(C303,Outbound!$A$2:$A$501,0)),"Lead ID not found")))</f>
        <v/>
      </c>
      <c r="F303" s="17"/>
      <c r="G303" s="17"/>
      <c r="H303" s="17"/>
      <c r="I303" s="17"/>
      <c r="J303" s="17"/>
      <c r="K303" s="17"/>
      <c r="L303" s="17"/>
      <c r="M303" s="17"/>
      <c r="N303" s="44" t="str">
        <f aca="false">IF(C303="","",COUNTA(H303:M303))</f>
        <v/>
      </c>
      <c r="O303" s="44" t="str">
        <f aca="false">IF(OR(C303="",N(N303)=0),"",SUMIFS(Settings!$AA$2:$AA$21,Settings!$Y$2:$Y$21,"Budget AED 5k+/mo?",Settings!$Z$2:$Z$21,H303)+SUMIFS(Settings!$AA$2:$AA$21,Settings!$Y$2:$Y$21,"Decision-maker?",Settings!$Z$2:$Z$21,I303)+SUMIFS(Settings!$AA$2:$AA$21,Settings!$Y$2:$Y$21,"Someone on camera?",Settings!$Z$2:$Z$21,J303)+SUMIFS(Settings!$AA$2:$AA$21,Settings!$Y$2:$Y$21,"OK with 3-month term?",Settings!$Z$2:$Z$21,K303)+SUMIFS(Settings!$AA$2:$AA$21,Settings!$Y$2:$Y$21,"Start timeline",Settings!$Z$2:$Z$21,L303)+SUMIFS(Settings!$AA$2:$AA$21,Settings!$Y$2:$Y$21,"Social media gap",Settings!$Z$2:$Z$21,M303)+IF(OR(E303="",E303="Lead ID not found"),0,IF(COUNTIF(Settings!$AC$2:$AC$6,E303)&gt;0,Settings!$AA$20,Settings!$AA$21)))</f>
        <v/>
      </c>
      <c r="P303" s="44" t="str">
        <f aca="false">IF(C303="","",IF(N(N303)&lt;6,"Partly scored ("&amp;N303&amp;"/6)",IF(O303&gt;=Settings!$S$8,"Hot",IF(O303&gt;=Settings!$S$9,"Warm","Cold"))))</f>
        <v/>
      </c>
      <c r="Q303" s="44" t="str">
        <f aca="false">IF(C303="","",IF(AND(H303="No",J303="No"),"🚩 Budget  ·  🚩 No one on camera",IF(H303="No","🚩 Budget under AED 5k",IF(J303="No","🚩 No one on camera",""))))</f>
        <v/>
      </c>
      <c r="R303" s="44" t="str">
        <f aca="false">IF(C303="","",IF(N(N303)&lt;6,"Finish the scoresheet before closing",IF(P303="Hot","Close now – send the contract / proposal today",IF(P303="Warm","Send proposal + a relevant result; follow up in 3 days","Rep's call – nurture or close politely")))&amp;IF(Q303&lt;&gt;""," (handle the 🚩 first)",""))</f>
        <v/>
      </c>
      <c r="S303" s="17"/>
      <c r="T303" s="17"/>
      <c r="U303" s="44" t="str">
        <f aca="false">IF(C303="","",IF(COUNTIF(C304:C$501,C303)=0,1,0))</f>
        <v/>
      </c>
    </row>
    <row r="304" customFormat="false" ht="15" hidden="false" customHeight="false" outlineLevel="0" collapsed="false">
      <c r="A304" s="17"/>
      <c r="B304" s="40"/>
      <c r="C304" s="17"/>
      <c r="D304" s="44" t="str">
        <f aca="false">IF(C304="","",IFERROR(INDEX(Inbound!$E$2:$E$501,MATCH(C304,Inbound!$A$2:$A$501,0)),IFERROR(INDEX(Outbound!$D$2:$D$501,MATCH(C304,Outbound!$A$2:$A$501,0)),"Lead ID not found")))</f>
        <v/>
      </c>
      <c r="E304" s="44" t="str">
        <f aca="false">IF(C304="","",IFERROR(INDEX(Inbound!$F$2:$F$501,MATCH(C304,Inbound!$A$2:$A$501,0)),IFERROR(INDEX(Outbound!$E$2:$E$501,MATCH(C304,Outbound!$A$2:$A$501,0)),"Lead ID not found")))</f>
        <v/>
      </c>
      <c r="F304" s="17"/>
      <c r="G304" s="17"/>
      <c r="H304" s="17"/>
      <c r="I304" s="17"/>
      <c r="J304" s="17"/>
      <c r="K304" s="17"/>
      <c r="L304" s="17"/>
      <c r="M304" s="17"/>
      <c r="N304" s="44" t="str">
        <f aca="false">IF(C304="","",COUNTA(H304:M304))</f>
        <v/>
      </c>
      <c r="O304" s="44" t="str">
        <f aca="false">IF(OR(C304="",N(N304)=0),"",SUMIFS(Settings!$AA$2:$AA$21,Settings!$Y$2:$Y$21,"Budget AED 5k+/mo?",Settings!$Z$2:$Z$21,H304)+SUMIFS(Settings!$AA$2:$AA$21,Settings!$Y$2:$Y$21,"Decision-maker?",Settings!$Z$2:$Z$21,I304)+SUMIFS(Settings!$AA$2:$AA$21,Settings!$Y$2:$Y$21,"Someone on camera?",Settings!$Z$2:$Z$21,J304)+SUMIFS(Settings!$AA$2:$AA$21,Settings!$Y$2:$Y$21,"OK with 3-month term?",Settings!$Z$2:$Z$21,K304)+SUMIFS(Settings!$AA$2:$AA$21,Settings!$Y$2:$Y$21,"Start timeline",Settings!$Z$2:$Z$21,L304)+SUMIFS(Settings!$AA$2:$AA$21,Settings!$Y$2:$Y$21,"Social media gap",Settings!$Z$2:$Z$21,M304)+IF(OR(E304="",E304="Lead ID not found"),0,IF(COUNTIF(Settings!$AC$2:$AC$6,E304)&gt;0,Settings!$AA$20,Settings!$AA$21)))</f>
        <v/>
      </c>
      <c r="P304" s="44" t="str">
        <f aca="false">IF(C304="","",IF(N(N304)&lt;6,"Partly scored ("&amp;N304&amp;"/6)",IF(O304&gt;=Settings!$S$8,"Hot",IF(O304&gt;=Settings!$S$9,"Warm","Cold"))))</f>
        <v/>
      </c>
      <c r="Q304" s="44" t="str">
        <f aca="false">IF(C304="","",IF(AND(H304="No",J304="No"),"🚩 Budget  ·  🚩 No one on camera",IF(H304="No","🚩 Budget under AED 5k",IF(J304="No","🚩 No one on camera",""))))</f>
        <v/>
      </c>
      <c r="R304" s="44" t="str">
        <f aca="false">IF(C304="","",IF(N(N304)&lt;6,"Finish the scoresheet before closing",IF(P304="Hot","Close now – send the contract / proposal today",IF(P304="Warm","Send proposal + a relevant result; follow up in 3 days","Rep's call – nurture or close politely")))&amp;IF(Q304&lt;&gt;""," (handle the 🚩 first)",""))</f>
        <v/>
      </c>
      <c r="S304" s="17"/>
      <c r="T304" s="17"/>
      <c r="U304" s="44" t="str">
        <f aca="false">IF(C304="","",IF(COUNTIF(C305:C$501,C304)=0,1,0))</f>
        <v/>
      </c>
    </row>
    <row r="305" customFormat="false" ht="15" hidden="false" customHeight="false" outlineLevel="0" collapsed="false">
      <c r="A305" s="17"/>
      <c r="B305" s="40"/>
      <c r="C305" s="17"/>
      <c r="D305" s="44" t="str">
        <f aca="false">IF(C305="","",IFERROR(INDEX(Inbound!$E$2:$E$501,MATCH(C305,Inbound!$A$2:$A$501,0)),IFERROR(INDEX(Outbound!$D$2:$D$501,MATCH(C305,Outbound!$A$2:$A$501,0)),"Lead ID not found")))</f>
        <v/>
      </c>
      <c r="E305" s="44" t="str">
        <f aca="false">IF(C305="","",IFERROR(INDEX(Inbound!$F$2:$F$501,MATCH(C305,Inbound!$A$2:$A$501,0)),IFERROR(INDEX(Outbound!$E$2:$E$501,MATCH(C305,Outbound!$A$2:$A$501,0)),"Lead ID not found")))</f>
        <v/>
      </c>
      <c r="F305" s="17"/>
      <c r="G305" s="17"/>
      <c r="H305" s="17"/>
      <c r="I305" s="17"/>
      <c r="J305" s="17"/>
      <c r="K305" s="17"/>
      <c r="L305" s="17"/>
      <c r="M305" s="17"/>
      <c r="N305" s="44" t="str">
        <f aca="false">IF(C305="","",COUNTA(H305:M305))</f>
        <v/>
      </c>
      <c r="O305" s="44" t="str">
        <f aca="false">IF(OR(C305="",N(N305)=0),"",SUMIFS(Settings!$AA$2:$AA$21,Settings!$Y$2:$Y$21,"Budget AED 5k+/mo?",Settings!$Z$2:$Z$21,H305)+SUMIFS(Settings!$AA$2:$AA$21,Settings!$Y$2:$Y$21,"Decision-maker?",Settings!$Z$2:$Z$21,I305)+SUMIFS(Settings!$AA$2:$AA$21,Settings!$Y$2:$Y$21,"Someone on camera?",Settings!$Z$2:$Z$21,J305)+SUMIFS(Settings!$AA$2:$AA$21,Settings!$Y$2:$Y$21,"OK with 3-month term?",Settings!$Z$2:$Z$21,K305)+SUMIFS(Settings!$AA$2:$AA$21,Settings!$Y$2:$Y$21,"Start timeline",Settings!$Z$2:$Z$21,L305)+SUMIFS(Settings!$AA$2:$AA$21,Settings!$Y$2:$Y$21,"Social media gap",Settings!$Z$2:$Z$21,M305)+IF(OR(E305="",E305="Lead ID not found"),0,IF(COUNTIF(Settings!$AC$2:$AC$6,E305)&gt;0,Settings!$AA$20,Settings!$AA$21)))</f>
        <v/>
      </c>
      <c r="P305" s="44" t="str">
        <f aca="false">IF(C305="","",IF(N(N305)&lt;6,"Partly scored ("&amp;N305&amp;"/6)",IF(O305&gt;=Settings!$S$8,"Hot",IF(O305&gt;=Settings!$S$9,"Warm","Cold"))))</f>
        <v/>
      </c>
      <c r="Q305" s="44" t="str">
        <f aca="false">IF(C305="","",IF(AND(H305="No",J305="No"),"🚩 Budget  ·  🚩 No one on camera",IF(H305="No","🚩 Budget under AED 5k",IF(J305="No","🚩 No one on camera",""))))</f>
        <v/>
      </c>
      <c r="R305" s="44" t="str">
        <f aca="false">IF(C305="","",IF(N(N305)&lt;6,"Finish the scoresheet before closing",IF(P305="Hot","Close now – send the contract / proposal today",IF(P305="Warm","Send proposal + a relevant result; follow up in 3 days","Rep's call – nurture or close politely")))&amp;IF(Q305&lt;&gt;""," (handle the 🚩 first)",""))</f>
        <v/>
      </c>
      <c r="S305" s="17"/>
      <c r="T305" s="17"/>
      <c r="U305" s="44" t="str">
        <f aca="false">IF(C305="","",IF(COUNTIF(C306:C$501,C305)=0,1,0))</f>
        <v/>
      </c>
    </row>
    <row r="306" customFormat="false" ht="15" hidden="false" customHeight="false" outlineLevel="0" collapsed="false">
      <c r="A306" s="17"/>
      <c r="B306" s="40"/>
      <c r="C306" s="17"/>
      <c r="D306" s="44" t="str">
        <f aca="false">IF(C306="","",IFERROR(INDEX(Inbound!$E$2:$E$501,MATCH(C306,Inbound!$A$2:$A$501,0)),IFERROR(INDEX(Outbound!$D$2:$D$501,MATCH(C306,Outbound!$A$2:$A$501,0)),"Lead ID not found")))</f>
        <v/>
      </c>
      <c r="E306" s="44" t="str">
        <f aca="false">IF(C306="","",IFERROR(INDEX(Inbound!$F$2:$F$501,MATCH(C306,Inbound!$A$2:$A$501,0)),IFERROR(INDEX(Outbound!$E$2:$E$501,MATCH(C306,Outbound!$A$2:$A$501,0)),"Lead ID not found")))</f>
        <v/>
      </c>
      <c r="F306" s="17"/>
      <c r="G306" s="17"/>
      <c r="H306" s="17"/>
      <c r="I306" s="17"/>
      <c r="J306" s="17"/>
      <c r="K306" s="17"/>
      <c r="L306" s="17"/>
      <c r="M306" s="17"/>
      <c r="N306" s="44" t="str">
        <f aca="false">IF(C306="","",COUNTA(H306:M306))</f>
        <v/>
      </c>
      <c r="O306" s="44" t="str">
        <f aca="false">IF(OR(C306="",N(N306)=0),"",SUMIFS(Settings!$AA$2:$AA$21,Settings!$Y$2:$Y$21,"Budget AED 5k+/mo?",Settings!$Z$2:$Z$21,H306)+SUMIFS(Settings!$AA$2:$AA$21,Settings!$Y$2:$Y$21,"Decision-maker?",Settings!$Z$2:$Z$21,I306)+SUMIFS(Settings!$AA$2:$AA$21,Settings!$Y$2:$Y$21,"Someone on camera?",Settings!$Z$2:$Z$21,J306)+SUMIFS(Settings!$AA$2:$AA$21,Settings!$Y$2:$Y$21,"OK with 3-month term?",Settings!$Z$2:$Z$21,K306)+SUMIFS(Settings!$AA$2:$AA$21,Settings!$Y$2:$Y$21,"Start timeline",Settings!$Z$2:$Z$21,L306)+SUMIFS(Settings!$AA$2:$AA$21,Settings!$Y$2:$Y$21,"Social media gap",Settings!$Z$2:$Z$21,M306)+IF(OR(E306="",E306="Lead ID not found"),0,IF(COUNTIF(Settings!$AC$2:$AC$6,E306)&gt;0,Settings!$AA$20,Settings!$AA$21)))</f>
        <v/>
      </c>
      <c r="P306" s="44" t="str">
        <f aca="false">IF(C306="","",IF(N(N306)&lt;6,"Partly scored ("&amp;N306&amp;"/6)",IF(O306&gt;=Settings!$S$8,"Hot",IF(O306&gt;=Settings!$S$9,"Warm","Cold"))))</f>
        <v/>
      </c>
      <c r="Q306" s="44" t="str">
        <f aca="false">IF(C306="","",IF(AND(H306="No",J306="No"),"🚩 Budget  ·  🚩 No one on camera",IF(H306="No","🚩 Budget under AED 5k",IF(J306="No","🚩 No one on camera",""))))</f>
        <v/>
      </c>
      <c r="R306" s="44" t="str">
        <f aca="false">IF(C306="","",IF(N(N306)&lt;6,"Finish the scoresheet before closing",IF(P306="Hot","Close now – send the contract / proposal today",IF(P306="Warm","Send proposal + a relevant result; follow up in 3 days","Rep's call – nurture or close politely")))&amp;IF(Q306&lt;&gt;""," (handle the 🚩 first)",""))</f>
        <v/>
      </c>
      <c r="S306" s="17"/>
      <c r="T306" s="17"/>
      <c r="U306" s="44" t="str">
        <f aca="false">IF(C306="","",IF(COUNTIF(C307:C$501,C306)=0,1,0))</f>
        <v/>
      </c>
    </row>
    <row r="307" customFormat="false" ht="15" hidden="false" customHeight="false" outlineLevel="0" collapsed="false">
      <c r="A307" s="17"/>
      <c r="B307" s="40"/>
      <c r="C307" s="17"/>
      <c r="D307" s="44" t="str">
        <f aca="false">IF(C307="","",IFERROR(INDEX(Inbound!$E$2:$E$501,MATCH(C307,Inbound!$A$2:$A$501,0)),IFERROR(INDEX(Outbound!$D$2:$D$501,MATCH(C307,Outbound!$A$2:$A$501,0)),"Lead ID not found")))</f>
        <v/>
      </c>
      <c r="E307" s="44" t="str">
        <f aca="false">IF(C307="","",IFERROR(INDEX(Inbound!$F$2:$F$501,MATCH(C307,Inbound!$A$2:$A$501,0)),IFERROR(INDEX(Outbound!$E$2:$E$501,MATCH(C307,Outbound!$A$2:$A$501,0)),"Lead ID not found")))</f>
        <v/>
      </c>
      <c r="F307" s="17"/>
      <c r="G307" s="17"/>
      <c r="H307" s="17"/>
      <c r="I307" s="17"/>
      <c r="J307" s="17"/>
      <c r="K307" s="17"/>
      <c r="L307" s="17"/>
      <c r="M307" s="17"/>
      <c r="N307" s="44" t="str">
        <f aca="false">IF(C307="","",COUNTA(H307:M307))</f>
        <v/>
      </c>
      <c r="O307" s="44" t="str">
        <f aca="false">IF(OR(C307="",N(N307)=0),"",SUMIFS(Settings!$AA$2:$AA$21,Settings!$Y$2:$Y$21,"Budget AED 5k+/mo?",Settings!$Z$2:$Z$21,H307)+SUMIFS(Settings!$AA$2:$AA$21,Settings!$Y$2:$Y$21,"Decision-maker?",Settings!$Z$2:$Z$21,I307)+SUMIFS(Settings!$AA$2:$AA$21,Settings!$Y$2:$Y$21,"Someone on camera?",Settings!$Z$2:$Z$21,J307)+SUMIFS(Settings!$AA$2:$AA$21,Settings!$Y$2:$Y$21,"OK with 3-month term?",Settings!$Z$2:$Z$21,K307)+SUMIFS(Settings!$AA$2:$AA$21,Settings!$Y$2:$Y$21,"Start timeline",Settings!$Z$2:$Z$21,L307)+SUMIFS(Settings!$AA$2:$AA$21,Settings!$Y$2:$Y$21,"Social media gap",Settings!$Z$2:$Z$21,M307)+IF(OR(E307="",E307="Lead ID not found"),0,IF(COUNTIF(Settings!$AC$2:$AC$6,E307)&gt;0,Settings!$AA$20,Settings!$AA$21)))</f>
        <v/>
      </c>
      <c r="P307" s="44" t="str">
        <f aca="false">IF(C307="","",IF(N(N307)&lt;6,"Partly scored ("&amp;N307&amp;"/6)",IF(O307&gt;=Settings!$S$8,"Hot",IF(O307&gt;=Settings!$S$9,"Warm","Cold"))))</f>
        <v/>
      </c>
      <c r="Q307" s="44" t="str">
        <f aca="false">IF(C307="","",IF(AND(H307="No",J307="No"),"🚩 Budget  ·  🚩 No one on camera",IF(H307="No","🚩 Budget under AED 5k",IF(J307="No","🚩 No one on camera",""))))</f>
        <v/>
      </c>
      <c r="R307" s="44" t="str">
        <f aca="false">IF(C307="","",IF(N(N307)&lt;6,"Finish the scoresheet before closing",IF(P307="Hot","Close now – send the contract / proposal today",IF(P307="Warm","Send proposal + a relevant result; follow up in 3 days","Rep's call – nurture or close politely")))&amp;IF(Q307&lt;&gt;""," (handle the 🚩 first)",""))</f>
        <v/>
      </c>
      <c r="S307" s="17"/>
      <c r="T307" s="17"/>
      <c r="U307" s="44" t="str">
        <f aca="false">IF(C307="","",IF(COUNTIF(C308:C$501,C307)=0,1,0))</f>
        <v/>
      </c>
    </row>
    <row r="308" customFormat="false" ht="15" hidden="false" customHeight="false" outlineLevel="0" collapsed="false">
      <c r="A308" s="17"/>
      <c r="B308" s="40"/>
      <c r="C308" s="17"/>
      <c r="D308" s="44" t="str">
        <f aca="false">IF(C308="","",IFERROR(INDEX(Inbound!$E$2:$E$501,MATCH(C308,Inbound!$A$2:$A$501,0)),IFERROR(INDEX(Outbound!$D$2:$D$501,MATCH(C308,Outbound!$A$2:$A$501,0)),"Lead ID not found")))</f>
        <v/>
      </c>
      <c r="E308" s="44" t="str">
        <f aca="false">IF(C308="","",IFERROR(INDEX(Inbound!$F$2:$F$501,MATCH(C308,Inbound!$A$2:$A$501,0)),IFERROR(INDEX(Outbound!$E$2:$E$501,MATCH(C308,Outbound!$A$2:$A$501,0)),"Lead ID not found")))</f>
        <v/>
      </c>
      <c r="F308" s="17"/>
      <c r="G308" s="17"/>
      <c r="H308" s="17"/>
      <c r="I308" s="17"/>
      <c r="J308" s="17"/>
      <c r="K308" s="17"/>
      <c r="L308" s="17"/>
      <c r="M308" s="17"/>
      <c r="N308" s="44" t="str">
        <f aca="false">IF(C308="","",COUNTA(H308:M308))</f>
        <v/>
      </c>
      <c r="O308" s="44" t="str">
        <f aca="false">IF(OR(C308="",N(N308)=0),"",SUMIFS(Settings!$AA$2:$AA$21,Settings!$Y$2:$Y$21,"Budget AED 5k+/mo?",Settings!$Z$2:$Z$21,H308)+SUMIFS(Settings!$AA$2:$AA$21,Settings!$Y$2:$Y$21,"Decision-maker?",Settings!$Z$2:$Z$21,I308)+SUMIFS(Settings!$AA$2:$AA$21,Settings!$Y$2:$Y$21,"Someone on camera?",Settings!$Z$2:$Z$21,J308)+SUMIFS(Settings!$AA$2:$AA$21,Settings!$Y$2:$Y$21,"OK with 3-month term?",Settings!$Z$2:$Z$21,K308)+SUMIFS(Settings!$AA$2:$AA$21,Settings!$Y$2:$Y$21,"Start timeline",Settings!$Z$2:$Z$21,L308)+SUMIFS(Settings!$AA$2:$AA$21,Settings!$Y$2:$Y$21,"Social media gap",Settings!$Z$2:$Z$21,M308)+IF(OR(E308="",E308="Lead ID not found"),0,IF(COUNTIF(Settings!$AC$2:$AC$6,E308)&gt;0,Settings!$AA$20,Settings!$AA$21)))</f>
        <v/>
      </c>
      <c r="P308" s="44" t="str">
        <f aca="false">IF(C308="","",IF(N(N308)&lt;6,"Partly scored ("&amp;N308&amp;"/6)",IF(O308&gt;=Settings!$S$8,"Hot",IF(O308&gt;=Settings!$S$9,"Warm","Cold"))))</f>
        <v/>
      </c>
      <c r="Q308" s="44" t="str">
        <f aca="false">IF(C308="","",IF(AND(H308="No",J308="No"),"🚩 Budget  ·  🚩 No one on camera",IF(H308="No","🚩 Budget under AED 5k",IF(J308="No","🚩 No one on camera",""))))</f>
        <v/>
      </c>
      <c r="R308" s="44" t="str">
        <f aca="false">IF(C308="","",IF(N(N308)&lt;6,"Finish the scoresheet before closing",IF(P308="Hot","Close now – send the contract / proposal today",IF(P308="Warm","Send proposal + a relevant result; follow up in 3 days","Rep's call – nurture or close politely")))&amp;IF(Q308&lt;&gt;""," (handle the 🚩 first)",""))</f>
        <v/>
      </c>
      <c r="S308" s="17"/>
      <c r="T308" s="17"/>
      <c r="U308" s="44" t="str">
        <f aca="false">IF(C308="","",IF(COUNTIF(C309:C$501,C308)=0,1,0))</f>
        <v/>
      </c>
    </row>
    <row r="309" customFormat="false" ht="15" hidden="false" customHeight="false" outlineLevel="0" collapsed="false">
      <c r="A309" s="17"/>
      <c r="B309" s="40"/>
      <c r="C309" s="17"/>
      <c r="D309" s="44" t="str">
        <f aca="false">IF(C309="","",IFERROR(INDEX(Inbound!$E$2:$E$501,MATCH(C309,Inbound!$A$2:$A$501,0)),IFERROR(INDEX(Outbound!$D$2:$D$501,MATCH(C309,Outbound!$A$2:$A$501,0)),"Lead ID not found")))</f>
        <v/>
      </c>
      <c r="E309" s="44" t="str">
        <f aca="false">IF(C309="","",IFERROR(INDEX(Inbound!$F$2:$F$501,MATCH(C309,Inbound!$A$2:$A$501,0)),IFERROR(INDEX(Outbound!$E$2:$E$501,MATCH(C309,Outbound!$A$2:$A$501,0)),"Lead ID not found")))</f>
        <v/>
      </c>
      <c r="F309" s="17"/>
      <c r="G309" s="17"/>
      <c r="H309" s="17"/>
      <c r="I309" s="17"/>
      <c r="J309" s="17"/>
      <c r="K309" s="17"/>
      <c r="L309" s="17"/>
      <c r="M309" s="17"/>
      <c r="N309" s="44" t="str">
        <f aca="false">IF(C309="","",COUNTA(H309:M309))</f>
        <v/>
      </c>
      <c r="O309" s="44" t="str">
        <f aca="false">IF(OR(C309="",N(N309)=0),"",SUMIFS(Settings!$AA$2:$AA$21,Settings!$Y$2:$Y$21,"Budget AED 5k+/mo?",Settings!$Z$2:$Z$21,H309)+SUMIFS(Settings!$AA$2:$AA$21,Settings!$Y$2:$Y$21,"Decision-maker?",Settings!$Z$2:$Z$21,I309)+SUMIFS(Settings!$AA$2:$AA$21,Settings!$Y$2:$Y$21,"Someone on camera?",Settings!$Z$2:$Z$21,J309)+SUMIFS(Settings!$AA$2:$AA$21,Settings!$Y$2:$Y$21,"OK with 3-month term?",Settings!$Z$2:$Z$21,K309)+SUMIFS(Settings!$AA$2:$AA$21,Settings!$Y$2:$Y$21,"Start timeline",Settings!$Z$2:$Z$21,L309)+SUMIFS(Settings!$AA$2:$AA$21,Settings!$Y$2:$Y$21,"Social media gap",Settings!$Z$2:$Z$21,M309)+IF(OR(E309="",E309="Lead ID not found"),0,IF(COUNTIF(Settings!$AC$2:$AC$6,E309)&gt;0,Settings!$AA$20,Settings!$AA$21)))</f>
        <v/>
      </c>
      <c r="P309" s="44" t="str">
        <f aca="false">IF(C309="","",IF(N(N309)&lt;6,"Partly scored ("&amp;N309&amp;"/6)",IF(O309&gt;=Settings!$S$8,"Hot",IF(O309&gt;=Settings!$S$9,"Warm","Cold"))))</f>
        <v/>
      </c>
      <c r="Q309" s="44" t="str">
        <f aca="false">IF(C309="","",IF(AND(H309="No",J309="No"),"🚩 Budget  ·  🚩 No one on camera",IF(H309="No","🚩 Budget under AED 5k",IF(J309="No","🚩 No one on camera",""))))</f>
        <v/>
      </c>
      <c r="R309" s="44" t="str">
        <f aca="false">IF(C309="","",IF(N(N309)&lt;6,"Finish the scoresheet before closing",IF(P309="Hot","Close now – send the contract / proposal today",IF(P309="Warm","Send proposal + a relevant result; follow up in 3 days","Rep's call – nurture or close politely")))&amp;IF(Q309&lt;&gt;""," (handle the 🚩 first)",""))</f>
        <v/>
      </c>
      <c r="S309" s="17"/>
      <c r="T309" s="17"/>
      <c r="U309" s="44" t="str">
        <f aca="false">IF(C309="","",IF(COUNTIF(C310:C$501,C309)=0,1,0))</f>
        <v/>
      </c>
    </row>
    <row r="310" customFormat="false" ht="15" hidden="false" customHeight="false" outlineLevel="0" collapsed="false">
      <c r="A310" s="17"/>
      <c r="B310" s="40"/>
      <c r="C310" s="17"/>
      <c r="D310" s="44" t="str">
        <f aca="false">IF(C310="","",IFERROR(INDEX(Inbound!$E$2:$E$501,MATCH(C310,Inbound!$A$2:$A$501,0)),IFERROR(INDEX(Outbound!$D$2:$D$501,MATCH(C310,Outbound!$A$2:$A$501,0)),"Lead ID not found")))</f>
        <v/>
      </c>
      <c r="E310" s="44" t="str">
        <f aca="false">IF(C310="","",IFERROR(INDEX(Inbound!$F$2:$F$501,MATCH(C310,Inbound!$A$2:$A$501,0)),IFERROR(INDEX(Outbound!$E$2:$E$501,MATCH(C310,Outbound!$A$2:$A$501,0)),"Lead ID not found")))</f>
        <v/>
      </c>
      <c r="F310" s="17"/>
      <c r="G310" s="17"/>
      <c r="H310" s="17"/>
      <c r="I310" s="17"/>
      <c r="J310" s="17"/>
      <c r="K310" s="17"/>
      <c r="L310" s="17"/>
      <c r="M310" s="17"/>
      <c r="N310" s="44" t="str">
        <f aca="false">IF(C310="","",COUNTA(H310:M310))</f>
        <v/>
      </c>
      <c r="O310" s="44" t="str">
        <f aca="false">IF(OR(C310="",N(N310)=0),"",SUMIFS(Settings!$AA$2:$AA$21,Settings!$Y$2:$Y$21,"Budget AED 5k+/mo?",Settings!$Z$2:$Z$21,H310)+SUMIFS(Settings!$AA$2:$AA$21,Settings!$Y$2:$Y$21,"Decision-maker?",Settings!$Z$2:$Z$21,I310)+SUMIFS(Settings!$AA$2:$AA$21,Settings!$Y$2:$Y$21,"Someone on camera?",Settings!$Z$2:$Z$21,J310)+SUMIFS(Settings!$AA$2:$AA$21,Settings!$Y$2:$Y$21,"OK with 3-month term?",Settings!$Z$2:$Z$21,K310)+SUMIFS(Settings!$AA$2:$AA$21,Settings!$Y$2:$Y$21,"Start timeline",Settings!$Z$2:$Z$21,L310)+SUMIFS(Settings!$AA$2:$AA$21,Settings!$Y$2:$Y$21,"Social media gap",Settings!$Z$2:$Z$21,M310)+IF(OR(E310="",E310="Lead ID not found"),0,IF(COUNTIF(Settings!$AC$2:$AC$6,E310)&gt;0,Settings!$AA$20,Settings!$AA$21)))</f>
        <v/>
      </c>
      <c r="P310" s="44" t="str">
        <f aca="false">IF(C310="","",IF(N(N310)&lt;6,"Partly scored ("&amp;N310&amp;"/6)",IF(O310&gt;=Settings!$S$8,"Hot",IF(O310&gt;=Settings!$S$9,"Warm","Cold"))))</f>
        <v/>
      </c>
      <c r="Q310" s="44" t="str">
        <f aca="false">IF(C310="","",IF(AND(H310="No",J310="No"),"🚩 Budget  ·  🚩 No one on camera",IF(H310="No","🚩 Budget under AED 5k",IF(J310="No","🚩 No one on camera",""))))</f>
        <v/>
      </c>
      <c r="R310" s="44" t="str">
        <f aca="false">IF(C310="","",IF(N(N310)&lt;6,"Finish the scoresheet before closing",IF(P310="Hot","Close now – send the contract / proposal today",IF(P310="Warm","Send proposal + a relevant result; follow up in 3 days","Rep's call – nurture or close politely")))&amp;IF(Q310&lt;&gt;""," (handle the 🚩 first)",""))</f>
        <v/>
      </c>
      <c r="S310" s="17"/>
      <c r="T310" s="17"/>
      <c r="U310" s="44" t="str">
        <f aca="false">IF(C310="","",IF(COUNTIF(C311:C$501,C310)=0,1,0))</f>
        <v/>
      </c>
    </row>
    <row r="311" customFormat="false" ht="15" hidden="false" customHeight="false" outlineLevel="0" collapsed="false">
      <c r="A311" s="17"/>
      <c r="B311" s="40"/>
      <c r="C311" s="17"/>
      <c r="D311" s="44" t="str">
        <f aca="false">IF(C311="","",IFERROR(INDEX(Inbound!$E$2:$E$501,MATCH(C311,Inbound!$A$2:$A$501,0)),IFERROR(INDEX(Outbound!$D$2:$D$501,MATCH(C311,Outbound!$A$2:$A$501,0)),"Lead ID not found")))</f>
        <v/>
      </c>
      <c r="E311" s="44" t="str">
        <f aca="false">IF(C311="","",IFERROR(INDEX(Inbound!$F$2:$F$501,MATCH(C311,Inbound!$A$2:$A$501,0)),IFERROR(INDEX(Outbound!$E$2:$E$501,MATCH(C311,Outbound!$A$2:$A$501,0)),"Lead ID not found")))</f>
        <v/>
      </c>
      <c r="F311" s="17"/>
      <c r="G311" s="17"/>
      <c r="H311" s="17"/>
      <c r="I311" s="17"/>
      <c r="J311" s="17"/>
      <c r="K311" s="17"/>
      <c r="L311" s="17"/>
      <c r="M311" s="17"/>
      <c r="N311" s="44" t="str">
        <f aca="false">IF(C311="","",COUNTA(H311:M311))</f>
        <v/>
      </c>
      <c r="O311" s="44" t="str">
        <f aca="false">IF(OR(C311="",N(N311)=0),"",SUMIFS(Settings!$AA$2:$AA$21,Settings!$Y$2:$Y$21,"Budget AED 5k+/mo?",Settings!$Z$2:$Z$21,H311)+SUMIFS(Settings!$AA$2:$AA$21,Settings!$Y$2:$Y$21,"Decision-maker?",Settings!$Z$2:$Z$21,I311)+SUMIFS(Settings!$AA$2:$AA$21,Settings!$Y$2:$Y$21,"Someone on camera?",Settings!$Z$2:$Z$21,J311)+SUMIFS(Settings!$AA$2:$AA$21,Settings!$Y$2:$Y$21,"OK with 3-month term?",Settings!$Z$2:$Z$21,K311)+SUMIFS(Settings!$AA$2:$AA$21,Settings!$Y$2:$Y$21,"Start timeline",Settings!$Z$2:$Z$21,L311)+SUMIFS(Settings!$AA$2:$AA$21,Settings!$Y$2:$Y$21,"Social media gap",Settings!$Z$2:$Z$21,M311)+IF(OR(E311="",E311="Lead ID not found"),0,IF(COUNTIF(Settings!$AC$2:$AC$6,E311)&gt;0,Settings!$AA$20,Settings!$AA$21)))</f>
        <v/>
      </c>
      <c r="P311" s="44" t="str">
        <f aca="false">IF(C311="","",IF(N(N311)&lt;6,"Partly scored ("&amp;N311&amp;"/6)",IF(O311&gt;=Settings!$S$8,"Hot",IF(O311&gt;=Settings!$S$9,"Warm","Cold"))))</f>
        <v/>
      </c>
      <c r="Q311" s="44" t="str">
        <f aca="false">IF(C311="","",IF(AND(H311="No",J311="No"),"🚩 Budget  ·  🚩 No one on camera",IF(H311="No","🚩 Budget under AED 5k",IF(J311="No","🚩 No one on camera",""))))</f>
        <v/>
      </c>
      <c r="R311" s="44" t="str">
        <f aca="false">IF(C311="","",IF(N(N311)&lt;6,"Finish the scoresheet before closing",IF(P311="Hot","Close now – send the contract / proposal today",IF(P311="Warm","Send proposal + a relevant result; follow up in 3 days","Rep's call – nurture or close politely")))&amp;IF(Q311&lt;&gt;""," (handle the 🚩 first)",""))</f>
        <v/>
      </c>
      <c r="S311" s="17"/>
      <c r="T311" s="17"/>
      <c r="U311" s="44" t="str">
        <f aca="false">IF(C311="","",IF(COUNTIF(C312:C$501,C311)=0,1,0))</f>
        <v/>
      </c>
    </row>
    <row r="312" customFormat="false" ht="15" hidden="false" customHeight="false" outlineLevel="0" collapsed="false">
      <c r="A312" s="17"/>
      <c r="B312" s="40"/>
      <c r="C312" s="17"/>
      <c r="D312" s="44" t="str">
        <f aca="false">IF(C312="","",IFERROR(INDEX(Inbound!$E$2:$E$501,MATCH(C312,Inbound!$A$2:$A$501,0)),IFERROR(INDEX(Outbound!$D$2:$D$501,MATCH(C312,Outbound!$A$2:$A$501,0)),"Lead ID not found")))</f>
        <v/>
      </c>
      <c r="E312" s="44" t="str">
        <f aca="false">IF(C312="","",IFERROR(INDEX(Inbound!$F$2:$F$501,MATCH(C312,Inbound!$A$2:$A$501,0)),IFERROR(INDEX(Outbound!$E$2:$E$501,MATCH(C312,Outbound!$A$2:$A$501,0)),"Lead ID not found")))</f>
        <v/>
      </c>
      <c r="F312" s="17"/>
      <c r="G312" s="17"/>
      <c r="H312" s="17"/>
      <c r="I312" s="17"/>
      <c r="J312" s="17"/>
      <c r="K312" s="17"/>
      <c r="L312" s="17"/>
      <c r="M312" s="17"/>
      <c r="N312" s="44" t="str">
        <f aca="false">IF(C312="","",COUNTA(H312:M312))</f>
        <v/>
      </c>
      <c r="O312" s="44" t="str">
        <f aca="false">IF(OR(C312="",N(N312)=0),"",SUMIFS(Settings!$AA$2:$AA$21,Settings!$Y$2:$Y$21,"Budget AED 5k+/mo?",Settings!$Z$2:$Z$21,H312)+SUMIFS(Settings!$AA$2:$AA$21,Settings!$Y$2:$Y$21,"Decision-maker?",Settings!$Z$2:$Z$21,I312)+SUMIFS(Settings!$AA$2:$AA$21,Settings!$Y$2:$Y$21,"Someone on camera?",Settings!$Z$2:$Z$21,J312)+SUMIFS(Settings!$AA$2:$AA$21,Settings!$Y$2:$Y$21,"OK with 3-month term?",Settings!$Z$2:$Z$21,K312)+SUMIFS(Settings!$AA$2:$AA$21,Settings!$Y$2:$Y$21,"Start timeline",Settings!$Z$2:$Z$21,L312)+SUMIFS(Settings!$AA$2:$AA$21,Settings!$Y$2:$Y$21,"Social media gap",Settings!$Z$2:$Z$21,M312)+IF(OR(E312="",E312="Lead ID not found"),0,IF(COUNTIF(Settings!$AC$2:$AC$6,E312)&gt;0,Settings!$AA$20,Settings!$AA$21)))</f>
        <v/>
      </c>
      <c r="P312" s="44" t="str">
        <f aca="false">IF(C312="","",IF(N(N312)&lt;6,"Partly scored ("&amp;N312&amp;"/6)",IF(O312&gt;=Settings!$S$8,"Hot",IF(O312&gt;=Settings!$S$9,"Warm","Cold"))))</f>
        <v/>
      </c>
      <c r="Q312" s="44" t="str">
        <f aca="false">IF(C312="","",IF(AND(H312="No",J312="No"),"🚩 Budget  ·  🚩 No one on camera",IF(H312="No","🚩 Budget under AED 5k",IF(J312="No","🚩 No one on camera",""))))</f>
        <v/>
      </c>
      <c r="R312" s="44" t="str">
        <f aca="false">IF(C312="","",IF(N(N312)&lt;6,"Finish the scoresheet before closing",IF(P312="Hot","Close now – send the contract / proposal today",IF(P312="Warm","Send proposal + a relevant result; follow up in 3 days","Rep's call – nurture or close politely")))&amp;IF(Q312&lt;&gt;""," (handle the 🚩 first)",""))</f>
        <v/>
      </c>
      <c r="S312" s="17"/>
      <c r="T312" s="17"/>
      <c r="U312" s="44" t="str">
        <f aca="false">IF(C312="","",IF(COUNTIF(C313:C$501,C312)=0,1,0))</f>
        <v/>
      </c>
    </row>
    <row r="313" customFormat="false" ht="15" hidden="false" customHeight="false" outlineLevel="0" collapsed="false">
      <c r="A313" s="17"/>
      <c r="B313" s="40"/>
      <c r="C313" s="17"/>
      <c r="D313" s="44" t="str">
        <f aca="false">IF(C313="","",IFERROR(INDEX(Inbound!$E$2:$E$501,MATCH(C313,Inbound!$A$2:$A$501,0)),IFERROR(INDEX(Outbound!$D$2:$D$501,MATCH(C313,Outbound!$A$2:$A$501,0)),"Lead ID not found")))</f>
        <v/>
      </c>
      <c r="E313" s="44" t="str">
        <f aca="false">IF(C313="","",IFERROR(INDEX(Inbound!$F$2:$F$501,MATCH(C313,Inbound!$A$2:$A$501,0)),IFERROR(INDEX(Outbound!$E$2:$E$501,MATCH(C313,Outbound!$A$2:$A$501,0)),"Lead ID not found")))</f>
        <v/>
      </c>
      <c r="F313" s="17"/>
      <c r="G313" s="17"/>
      <c r="H313" s="17"/>
      <c r="I313" s="17"/>
      <c r="J313" s="17"/>
      <c r="K313" s="17"/>
      <c r="L313" s="17"/>
      <c r="M313" s="17"/>
      <c r="N313" s="44" t="str">
        <f aca="false">IF(C313="","",COUNTA(H313:M313))</f>
        <v/>
      </c>
      <c r="O313" s="44" t="str">
        <f aca="false">IF(OR(C313="",N(N313)=0),"",SUMIFS(Settings!$AA$2:$AA$21,Settings!$Y$2:$Y$21,"Budget AED 5k+/mo?",Settings!$Z$2:$Z$21,H313)+SUMIFS(Settings!$AA$2:$AA$21,Settings!$Y$2:$Y$21,"Decision-maker?",Settings!$Z$2:$Z$21,I313)+SUMIFS(Settings!$AA$2:$AA$21,Settings!$Y$2:$Y$21,"Someone on camera?",Settings!$Z$2:$Z$21,J313)+SUMIFS(Settings!$AA$2:$AA$21,Settings!$Y$2:$Y$21,"OK with 3-month term?",Settings!$Z$2:$Z$21,K313)+SUMIFS(Settings!$AA$2:$AA$21,Settings!$Y$2:$Y$21,"Start timeline",Settings!$Z$2:$Z$21,L313)+SUMIFS(Settings!$AA$2:$AA$21,Settings!$Y$2:$Y$21,"Social media gap",Settings!$Z$2:$Z$21,M313)+IF(OR(E313="",E313="Lead ID not found"),0,IF(COUNTIF(Settings!$AC$2:$AC$6,E313)&gt;0,Settings!$AA$20,Settings!$AA$21)))</f>
        <v/>
      </c>
      <c r="P313" s="44" t="str">
        <f aca="false">IF(C313="","",IF(N(N313)&lt;6,"Partly scored ("&amp;N313&amp;"/6)",IF(O313&gt;=Settings!$S$8,"Hot",IF(O313&gt;=Settings!$S$9,"Warm","Cold"))))</f>
        <v/>
      </c>
      <c r="Q313" s="44" t="str">
        <f aca="false">IF(C313="","",IF(AND(H313="No",J313="No"),"🚩 Budget  ·  🚩 No one on camera",IF(H313="No","🚩 Budget under AED 5k",IF(J313="No","🚩 No one on camera",""))))</f>
        <v/>
      </c>
      <c r="R313" s="44" t="str">
        <f aca="false">IF(C313="","",IF(N(N313)&lt;6,"Finish the scoresheet before closing",IF(P313="Hot","Close now – send the contract / proposal today",IF(P313="Warm","Send proposal + a relevant result; follow up in 3 days","Rep's call – nurture or close politely")))&amp;IF(Q313&lt;&gt;""," (handle the 🚩 first)",""))</f>
        <v/>
      </c>
      <c r="S313" s="17"/>
      <c r="T313" s="17"/>
      <c r="U313" s="44" t="str">
        <f aca="false">IF(C313="","",IF(COUNTIF(C314:C$501,C313)=0,1,0))</f>
        <v/>
      </c>
    </row>
    <row r="314" customFormat="false" ht="15" hidden="false" customHeight="false" outlineLevel="0" collapsed="false">
      <c r="A314" s="17"/>
      <c r="B314" s="40"/>
      <c r="C314" s="17"/>
      <c r="D314" s="44" t="str">
        <f aca="false">IF(C314="","",IFERROR(INDEX(Inbound!$E$2:$E$501,MATCH(C314,Inbound!$A$2:$A$501,0)),IFERROR(INDEX(Outbound!$D$2:$D$501,MATCH(C314,Outbound!$A$2:$A$501,0)),"Lead ID not found")))</f>
        <v/>
      </c>
      <c r="E314" s="44" t="str">
        <f aca="false">IF(C314="","",IFERROR(INDEX(Inbound!$F$2:$F$501,MATCH(C314,Inbound!$A$2:$A$501,0)),IFERROR(INDEX(Outbound!$E$2:$E$501,MATCH(C314,Outbound!$A$2:$A$501,0)),"Lead ID not found")))</f>
        <v/>
      </c>
      <c r="F314" s="17"/>
      <c r="G314" s="17"/>
      <c r="H314" s="17"/>
      <c r="I314" s="17"/>
      <c r="J314" s="17"/>
      <c r="K314" s="17"/>
      <c r="L314" s="17"/>
      <c r="M314" s="17"/>
      <c r="N314" s="44" t="str">
        <f aca="false">IF(C314="","",COUNTA(H314:M314))</f>
        <v/>
      </c>
      <c r="O314" s="44" t="str">
        <f aca="false">IF(OR(C314="",N(N314)=0),"",SUMIFS(Settings!$AA$2:$AA$21,Settings!$Y$2:$Y$21,"Budget AED 5k+/mo?",Settings!$Z$2:$Z$21,H314)+SUMIFS(Settings!$AA$2:$AA$21,Settings!$Y$2:$Y$21,"Decision-maker?",Settings!$Z$2:$Z$21,I314)+SUMIFS(Settings!$AA$2:$AA$21,Settings!$Y$2:$Y$21,"Someone on camera?",Settings!$Z$2:$Z$21,J314)+SUMIFS(Settings!$AA$2:$AA$21,Settings!$Y$2:$Y$21,"OK with 3-month term?",Settings!$Z$2:$Z$21,K314)+SUMIFS(Settings!$AA$2:$AA$21,Settings!$Y$2:$Y$21,"Start timeline",Settings!$Z$2:$Z$21,L314)+SUMIFS(Settings!$AA$2:$AA$21,Settings!$Y$2:$Y$21,"Social media gap",Settings!$Z$2:$Z$21,M314)+IF(OR(E314="",E314="Lead ID not found"),0,IF(COUNTIF(Settings!$AC$2:$AC$6,E314)&gt;0,Settings!$AA$20,Settings!$AA$21)))</f>
        <v/>
      </c>
      <c r="P314" s="44" t="str">
        <f aca="false">IF(C314="","",IF(N(N314)&lt;6,"Partly scored ("&amp;N314&amp;"/6)",IF(O314&gt;=Settings!$S$8,"Hot",IF(O314&gt;=Settings!$S$9,"Warm","Cold"))))</f>
        <v/>
      </c>
      <c r="Q314" s="44" t="str">
        <f aca="false">IF(C314="","",IF(AND(H314="No",J314="No"),"🚩 Budget  ·  🚩 No one on camera",IF(H314="No","🚩 Budget under AED 5k",IF(J314="No","🚩 No one on camera",""))))</f>
        <v/>
      </c>
      <c r="R314" s="44" t="str">
        <f aca="false">IF(C314="","",IF(N(N314)&lt;6,"Finish the scoresheet before closing",IF(P314="Hot","Close now – send the contract / proposal today",IF(P314="Warm","Send proposal + a relevant result; follow up in 3 days","Rep's call – nurture or close politely")))&amp;IF(Q314&lt;&gt;""," (handle the 🚩 first)",""))</f>
        <v/>
      </c>
      <c r="S314" s="17"/>
      <c r="T314" s="17"/>
      <c r="U314" s="44" t="str">
        <f aca="false">IF(C314="","",IF(COUNTIF(C315:C$501,C314)=0,1,0))</f>
        <v/>
      </c>
    </row>
    <row r="315" customFormat="false" ht="15" hidden="false" customHeight="false" outlineLevel="0" collapsed="false">
      <c r="A315" s="17"/>
      <c r="B315" s="40"/>
      <c r="C315" s="17"/>
      <c r="D315" s="44" t="str">
        <f aca="false">IF(C315="","",IFERROR(INDEX(Inbound!$E$2:$E$501,MATCH(C315,Inbound!$A$2:$A$501,0)),IFERROR(INDEX(Outbound!$D$2:$D$501,MATCH(C315,Outbound!$A$2:$A$501,0)),"Lead ID not found")))</f>
        <v/>
      </c>
      <c r="E315" s="44" t="str">
        <f aca="false">IF(C315="","",IFERROR(INDEX(Inbound!$F$2:$F$501,MATCH(C315,Inbound!$A$2:$A$501,0)),IFERROR(INDEX(Outbound!$E$2:$E$501,MATCH(C315,Outbound!$A$2:$A$501,0)),"Lead ID not found")))</f>
        <v/>
      </c>
      <c r="F315" s="17"/>
      <c r="G315" s="17"/>
      <c r="H315" s="17"/>
      <c r="I315" s="17"/>
      <c r="J315" s="17"/>
      <c r="K315" s="17"/>
      <c r="L315" s="17"/>
      <c r="M315" s="17"/>
      <c r="N315" s="44" t="str">
        <f aca="false">IF(C315="","",COUNTA(H315:M315))</f>
        <v/>
      </c>
      <c r="O315" s="44" t="str">
        <f aca="false">IF(OR(C315="",N(N315)=0),"",SUMIFS(Settings!$AA$2:$AA$21,Settings!$Y$2:$Y$21,"Budget AED 5k+/mo?",Settings!$Z$2:$Z$21,H315)+SUMIFS(Settings!$AA$2:$AA$21,Settings!$Y$2:$Y$21,"Decision-maker?",Settings!$Z$2:$Z$21,I315)+SUMIFS(Settings!$AA$2:$AA$21,Settings!$Y$2:$Y$21,"Someone on camera?",Settings!$Z$2:$Z$21,J315)+SUMIFS(Settings!$AA$2:$AA$21,Settings!$Y$2:$Y$21,"OK with 3-month term?",Settings!$Z$2:$Z$21,K315)+SUMIFS(Settings!$AA$2:$AA$21,Settings!$Y$2:$Y$21,"Start timeline",Settings!$Z$2:$Z$21,L315)+SUMIFS(Settings!$AA$2:$AA$21,Settings!$Y$2:$Y$21,"Social media gap",Settings!$Z$2:$Z$21,M315)+IF(OR(E315="",E315="Lead ID not found"),0,IF(COUNTIF(Settings!$AC$2:$AC$6,E315)&gt;0,Settings!$AA$20,Settings!$AA$21)))</f>
        <v/>
      </c>
      <c r="P315" s="44" t="str">
        <f aca="false">IF(C315="","",IF(N(N315)&lt;6,"Partly scored ("&amp;N315&amp;"/6)",IF(O315&gt;=Settings!$S$8,"Hot",IF(O315&gt;=Settings!$S$9,"Warm","Cold"))))</f>
        <v/>
      </c>
      <c r="Q315" s="44" t="str">
        <f aca="false">IF(C315="","",IF(AND(H315="No",J315="No"),"🚩 Budget  ·  🚩 No one on camera",IF(H315="No","🚩 Budget under AED 5k",IF(J315="No","🚩 No one on camera",""))))</f>
        <v/>
      </c>
      <c r="R315" s="44" t="str">
        <f aca="false">IF(C315="","",IF(N(N315)&lt;6,"Finish the scoresheet before closing",IF(P315="Hot","Close now – send the contract / proposal today",IF(P315="Warm","Send proposal + a relevant result; follow up in 3 days","Rep's call – nurture or close politely")))&amp;IF(Q315&lt;&gt;""," (handle the 🚩 first)",""))</f>
        <v/>
      </c>
      <c r="S315" s="17"/>
      <c r="T315" s="17"/>
      <c r="U315" s="44" t="str">
        <f aca="false">IF(C315="","",IF(COUNTIF(C316:C$501,C315)=0,1,0))</f>
        <v/>
      </c>
    </row>
    <row r="316" customFormat="false" ht="15" hidden="false" customHeight="false" outlineLevel="0" collapsed="false">
      <c r="A316" s="17"/>
      <c r="B316" s="40"/>
      <c r="C316" s="17"/>
      <c r="D316" s="44" t="str">
        <f aca="false">IF(C316="","",IFERROR(INDEX(Inbound!$E$2:$E$501,MATCH(C316,Inbound!$A$2:$A$501,0)),IFERROR(INDEX(Outbound!$D$2:$D$501,MATCH(C316,Outbound!$A$2:$A$501,0)),"Lead ID not found")))</f>
        <v/>
      </c>
      <c r="E316" s="44" t="str">
        <f aca="false">IF(C316="","",IFERROR(INDEX(Inbound!$F$2:$F$501,MATCH(C316,Inbound!$A$2:$A$501,0)),IFERROR(INDEX(Outbound!$E$2:$E$501,MATCH(C316,Outbound!$A$2:$A$501,0)),"Lead ID not found")))</f>
        <v/>
      </c>
      <c r="F316" s="17"/>
      <c r="G316" s="17"/>
      <c r="H316" s="17"/>
      <c r="I316" s="17"/>
      <c r="J316" s="17"/>
      <c r="K316" s="17"/>
      <c r="L316" s="17"/>
      <c r="M316" s="17"/>
      <c r="N316" s="44" t="str">
        <f aca="false">IF(C316="","",COUNTA(H316:M316))</f>
        <v/>
      </c>
      <c r="O316" s="44" t="str">
        <f aca="false">IF(OR(C316="",N(N316)=0),"",SUMIFS(Settings!$AA$2:$AA$21,Settings!$Y$2:$Y$21,"Budget AED 5k+/mo?",Settings!$Z$2:$Z$21,H316)+SUMIFS(Settings!$AA$2:$AA$21,Settings!$Y$2:$Y$21,"Decision-maker?",Settings!$Z$2:$Z$21,I316)+SUMIFS(Settings!$AA$2:$AA$21,Settings!$Y$2:$Y$21,"Someone on camera?",Settings!$Z$2:$Z$21,J316)+SUMIFS(Settings!$AA$2:$AA$21,Settings!$Y$2:$Y$21,"OK with 3-month term?",Settings!$Z$2:$Z$21,K316)+SUMIFS(Settings!$AA$2:$AA$21,Settings!$Y$2:$Y$21,"Start timeline",Settings!$Z$2:$Z$21,L316)+SUMIFS(Settings!$AA$2:$AA$21,Settings!$Y$2:$Y$21,"Social media gap",Settings!$Z$2:$Z$21,M316)+IF(OR(E316="",E316="Lead ID not found"),0,IF(COUNTIF(Settings!$AC$2:$AC$6,E316)&gt;0,Settings!$AA$20,Settings!$AA$21)))</f>
        <v/>
      </c>
      <c r="P316" s="44" t="str">
        <f aca="false">IF(C316="","",IF(N(N316)&lt;6,"Partly scored ("&amp;N316&amp;"/6)",IF(O316&gt;=Settings!$S$8,"Hot",IF(O316&gt;=Settings!$S$9,"Warm","Cold"))))</f>
        <v/>
      </c>
      <c r="Q316" s="44" t="str">
        <f aca="false">IF(C316="","",IF(AND(H316="No",J316="No"),"🚩 Budget  ·  🚩 No one on camera",IF(H316="No","🚩 Budget under AED 5k",IF(J316="No","🚩 No one on camera",""))))</f>
        <v/>
      </c>
      <c r="R316" s="44" t="str">
        <f aca="false">IF(C316="","",IF(N(N316)&lt;6,"Finish the scoresheet before closing",IF(P316="Hot","Close now – send the contract / proposal today",IF(P316="Warm","Send proposal + a relevant result; follow up in 3 days","Rep's call – nurture or close politely")))&amp;IF(Q316&lt;&gt;""," (handle the 🚩 first)",""))</f>
        <v/>
      </c>
      <c r="S316" s="17"/>
      <c r="T316" s="17"/>
      <c r="U316" s="44" t="str">
        <f aca="false">IF(C316="","",IF(COUNTIF(C317:C$501,C316)=0,1,0))</f>
        <v/>
      </c>
    </row>
    <row r="317" customFormat="false" ht="15" hidden="false" customHeight="false" outlineLevel="0" collapsed="false">
      <c r="A317" s="17"/>
      <c r="B317" s="40"/>
      <c r="C317" s="17"/>
      <c r="D317" s="44" t="str">
        <f aca="false">IF(C317="","",IFERROR(INDEX(Inbound!$E$2:$E$501,MATCH(C317,Inbound!$A$2:$A$501,0)),IFERROR(INDEX(Outbound!$D$2:$D$501,MATCH(C317,Outbound!$A$2:$A$501,0)),"Lead ID not found")))</f>
        <v/>
      </c>
      <c r="E317" s="44" t="str">
        <f aca="false">IF(C317="","",IFERROR(INDEX(Inbound!$F$2:$F$501,MATCH(C317,Inbound!$A$2:$A$501,0)),IFERROR(INDEX(Outbound!$E$2:$E$501,MATCH(C317,Outbound!$A$2:$A$501,0)),"Lead ID not found")))</f>
        <v/>
      </c>
      <c r="F317" s="17"/>
      <c r="G317" s="17"/>
      <c r="H317" s="17"/>
      <c r="I317" s="17"/>
      <c r="J317" s="17"/>
      <c r="K317" s="17"/>
      <c r="L317" s="17"/>
      <c r="M317" s="17"/>
      <c r="N317" s="44" t="str">
        <f aca="false">IF(C317="","",COUNTA(H317:M317))</f>
        <v/>
      </c>
      <c r="O317" s="44" t="str">
        <f aca="false">IF(OR(C317="",N(N317)=0),"",SUMIFS(Settings!$AA$2:$AA$21,Settings!$Y$2:$Y$21,"Budget AED 5k+/mo?",Settings!$Z$2:$Z$21,H317)+SUMIFS(Settings!$AA$2:$AA$21,Settings!$Y$2:$Y$21,"Decision-maker?",Settings!$Z$2:$Z$21,I317)+SUMIFS(Settings!$AA$2:$AA$21,Settings!$Y$2:$Y$21,"Someone on camera?",Settings!$Z$2:$Z$21,J317)+SUMIFS(Settings!$AA$2:$AA$21,Settings!$Y$2:$Y$21,"OK with 3-month term?",Settings!$Z$2:$Z$21,K317)+SUMIFS(Settings!$AA$2:$AA$21,Settings!$Y$2:$Y$21,"Start timeline",Settings!$Z$2:$Z$21,L317)+SUMIFS(Settings!$AA$2:$AA$21,Settings!$Y$2:$Y$21,"Social media gap",Settings!$Z$2:$Z$21,M317)+IF(OR(E317="",E317="Lead ID not found"),0,IF(COUNTIF(Settings!$AC$2:$AC$6,E317)&gt;0,Settings!$AA$20,Settings!$AA$21)))</f>
        <v/>
      </c>
      <c r="P317" s="44" t="str">
        <f aca="false">IF(C317="","",IF(N(N317)&lt;6,"Partly scored ("&amp;N317&amp;"/6)",IF(O317&gt;=Settings!$S$8,"Hot",IF(O317&gt;=Settings!$S$9,"Warm","Cold"))))</f>
        <v/>
      </c>
      <c r="Q317" s="44" t="str">
        <f aca="false">IF(C317="","",IF(AND(H317="No",J317="No"),"🚩 Budget  ·  🚩 No one on camera",IF(H317="No","🚩 Budget under AED 5k",IF(J317="No","🚩 No one on camera",""))))</f>
        <v/>
      </c>
      <c r="R317" s="44" t="str">
        <f aca="false">IF(C317="","",IF(N(N317)&lt;6,"Finish the scoresheet before closing",IF(P317="Hot","Close now – send the contract / proposal today",IF(P317="Warm","Send proposal + a relevant result; follow up in 3 days","Rep's call – nurture or close politely")))&amp;IF(Q317&lt;&gt;""," (handle the 🚩 first)",""))</f>
        <v/>
      </c>
      <c r="S317" s="17"/>
      <c r="T317" s="17"/>
      <c r="U317" s="44" t="str">
        <f aca="false">IF(C317="","",IF(COUNTIF(C318:C$501,C317)=0,1,0))</f>
        <v/>
      </c>
    </row>
    <row r="318" customFormat="false" ht="15" hidden="false" customHeight="false" outlineLevel="0" collapsed="false">
      <c r="A318" s="17"/>
      <c r="B318" s="40"/>
      <c r="C318" s="17"/>
      <c r="D318" s="44" t="str">
        <f aca="false">IF(C318="","",IFERROR(INDEX(Inbound!$E$2:$E$501,MATCH(C318,Inbound!$A$2:$A$501,0)),IFERROR(INDEX(Outbound!$D$2:$D$501,MATCH(C318,Outbound!$A$2:$A$501,0)),"Lead ID not found")))</f>
        <v/>
      </c>
      <c r="E318" s="44" t="str">
        <f aca="false">IF(C318="","",IFERROR(INDEX(Inbound!$F$2:$F$501,MATCH(C318,Inbound!$A$2:$A$501,0)),IFERROR(INDEX(Outbound!$E$2:$E$501,MATCH(C318,Outbound!$A$2:$A$501,0)),"Lead ID not found")))</f>
        <v/>
      </c>
      <c r="F318" s="17"/>
      <c r="G318" s="17"/>
      <c r="H318" s="17"/>
      <c r="I318" s="17"/>
      <c r="J318" s="17"/>
      <c r="K318" s="17"/>
      <c r="L318" s="17"/>
      <c r="M318" s="17"/>
      <c r="N318" s="44" t="str">
        <f aca="false">IF(C318="","",COUNTA(H318:M318))</f>
        <v/>
      </c>
      <c r="O318" s="44" t="str">
        <f aca="false">IF(OR(C318="",N(N318)=0),"",SUMIFS(Settings!$AA$2:$AA$21,Settings!$Y$2:$Y$21,"Budget AED 5k+/mo?",Settings!$Z$2:$Z$21,H318)+SUMIFS(Settings!$AA$2:$AA$21,Settings!$Y$2:$Y$21,"Decision-maker?",Settings!$Z$2:$Z$21,I318)+SUMIFS(Settings!$AA$2:$AA$21,Settings!$Y$2:$Y$21,"Someone on camera?",Settings!$Z$2:$Z$21,J318)+SUMIFS(Settings!$AA$2:$AA$21,Settings!$Y$2:$Y$21,"OK with 3-month term?",Settings!$Z$2:$Z$21,K318)+SUMIFS(Settings!$AA$2:$AA$21,Settings!$Y$2:$Y$21,"Start timeline",Settings!$Z$2:$Z$21,L318)+SUMIFS(Settings!$AA$2:$AA$21,Settings!$Y$2:$Y$21,"Social media gap",Settings!$Z$2:$Z$21,M318)+IF(OR(E318="",E318="Lead ID not found"),0,IF(COUNTIF(Settings!$AC$2:$AC$6,E318)&gt;0,Settings!$AA$20,Settings!$AA$21)))</f>
        <v/>
      </c>
      <c r="P318" s="44" t="str">
        <f aca="false">IF(C318="","",IF(N(N318)&lt;6,"Partly scored ("&amp;N318&amp;"/6)",IF(O318&gt;=Settings!$S$8,"Hot",IF(O318&gt;=Settings!$S$9,"Warm","Cold"))))</f>
        <v/>
      </c>
      <c r="Q318" s="44" t="str">
        <f aca="false">IF(C318="","",IF(AND(H318="No",J318="No"),"🚩 Budget  ·  🚩 No one on camera",IF(H318="No","🚩 Budget under AED 5k",IF(J318="No","🚩 No one on camera",""))))</f>
        <v/>
      </c>
      <c r="R318" s="44" t="str">
        <f aca="false">IF(C318="","",IF(N(N318)&lt;6,"Finish the scoresheet before closing",IF(P318="Hot","Close now – send the contract / proposal today",IF(P318="Warm","Send proposal + a relevant result; follow up in 3 days","Rep's call – nurture or close politely")))&amp;IF(Q318&lt;&gt;""," (handle the 🚩 first)",""))</f>
        <v/>
      </c>
      <c r="S318" s="17"/>
      <c r="T318" s="17"/>
      <c r="U318" s="44" t="str">
        <f aca="false">IF(C318="","",IF(COUNTIF(C319:C$501,C318)=0,1,0))</f>
        <v/>
      </c>
    </row>
    <row r="319" customFormat="false" ht="15" hidden="false" customHeight="false" outlineLevel="0" collapsed="false">
      <c r="A319" s="17"/>
      <c r="B319" s="40"/>
      <c r="C319" s="17"/>
      <c r="D319" s="44" t="str">
        <f aca="false">IF(C319="","",IFERROR(INDEX(Inbound!$E$2:$E$501,MATCH(C319,Inbound!$A$2:$A$501,0)),IFERROR(INDEX(Outbound!$D$2:$D$501,MATCH(C319,Outbound!$A$2:$A$501,0)),"Lead ID not found")))</f>
        <v/>
      </c>
      <c r="E319" s="44" t="str">
        <f aca="false">IF(C319="","",IFERROR(INDEX(Inbound!$F$2:$F$501,MATCH(C319,Inbound!$A$2:$A$501,0)),IFERROR(INDEX(Outbound!$E$2:$E$501,MATCH(C319,Outbound!$A$2:$A$501,0)),"Lead ID not found")))</f>
        <v/>
      </c>
      <c r="F319" s="17"/>
      <c r="G319" s="17"/>
      <c r="H319" s="17"/>
      <c r="I319" s="17"/>
      <c r="J319" s="17"/>
      <c r="K319" s="17"/>
      <c r="L319" s="17"/>
      <c r="M319" s="17"/>
      <c r="N319" s="44" t="str">
        <f aca="false">IF(C319="","",COUNTA(H319:M319))</f>
        <v/>
      </c>
      <c r="O319" s="44" t="str">
        <f aca="false">IF(OR(C319="",N(N319)=0),"",SUMIFS(Settings!$AA$2:$AA$21,Settings!$Y$2:$Y$21,"Budget AED 5k+/mo?",Settings!$Z$2:$Z$21,H319)+SUMIFS(Settings!$AA$2:$AA$21,Settings!$Y$2:$Y$21,"Decision-maker?",Settings!$Z$2:$Z$21,I319)+SUMIFS(Settings!$AA$2:$AA$21,Settings!$Y$2:$Y$21,"Someone on camera?",Settings!$Z$2:$Z$21,J319)+SUMIFS(Settings!$AA$2:$AA$21,Settings!$Y$2:$Y$21,"OK with 3-month term?",Settings!$Z$2:$Z$21,K319)+SUMIFS(Settings!$AA$2:$AA$21,Settings!$Y$2:$Y$21,"Start timeline",Settings!$Z$2:$Z$21,L319)+SUMIFS(Settings!$AA$2:$AA$21,Settings!$Y$2:$Y$21,"Social media gap",Settings!$Z$2:$Z$21,M319)+IF(OR(E319="",E319="Lead ID not found"),0,IF(COUNTIF(Settings!$AC$2:$AC$6,E319)&gt;0,Settings!$AA$20,Settings!$AA$21)))</f>
        <v/>
      </c>
      <c r="P319" s="44" t="str">
        <f aca="false">IF(C319="","",IF(N(N319)&lt;6,"Partly scored ("&amp;N319&amp;"/6)",IF(O319&gt;=Settings!$S$8,"Hot",IF(O319&gt;=Settings!$S$9,"Warm","Cold"))))</f>
        <v/>
      </c>
      <c r="Q319" s="44" t="str">
        <f aca="false">IF(C319="","",IF(AND(H319="No",J319="No"),"🚩 Budget  ·  🚩 No one on camera",IF(H319="No","🚩 Budget under AED 5k",IF(J319="No","🚩 No one on camera",""))))</f>
        <v/>
      </c>
      <c r="R319" s="44" t="str">
        <f aca="false">IF(C319="","",IF(N(N319)&lt;6,"Finish the scoresheet before closing",IF(P319="Hot","Close now – send the contract / proposal today",IF(P319="Warm","Send proposal + a relevant result; follow up in 3 days","Rep's call – nurture or close politely")))&amp;IF(Q319&lt;&gt;""," (handle the 🚩 first)",""))</f>
        <v/>
      </c>
      <c r="S319" s="17"/>
      <c r="T319" s="17"/>
      <c r="U319" s="44" t="str">
        <f aca="false">IF(C319="","",IF(COUNTIF(C320:C$501,C319)=0,1,0))</f>
        <v/>
      </c>
    </row>
    <row r="320" customFormat="false" ht="15" hidden="false" customHeight="false" outlineLevel="0" collapsed="false">
      <c r="A320" s="17"/>
      <c r="B320" s="40"/>
      <c r="C320" s="17"/>
      <c r="D320" s="44" t="str">
        <f aca="false">IF(C320="","",IFERROR(INDEX(Inbound!$E$2:$E$501,MATCH(C320,Inbound!$A$2:$A$501,0)),IFERROR(INDEX(Outbound!$D$2:$D$501,MATCH(C320,Outbound!$A$2:$A$501,0)),"Lead ID not found")))</f>
        <v/>
      </c>
      <c r="E320" s="44" t="str">
        <f aca="false">IF(C320="","",IFERROR(INDEX(Inbound!$F$2:$F$501,MATCH(C320,Inbound!$A$2:$A$501,0)),IFERROR(INDEX(Outbound!$E$2:$E$501,MATCH(C320,Outbound!$A$2:$A$501,0)),"Lead ID not found")))</f>
        <v/>
      </c>
      <c r="F320" s="17"/>
      <c r="G320" s="17"/>
      <c r="H320" s="17"/>
      <c r="I320" s="17"/>
      <c r="J320" s="17"/>
      <c r="K320" s="17"/>
      <c r="L320" s="17"/>
      <c r="M320" s="17"/>
      <c r="N320" s="44" t="str">
        <f aca="false">IF(C320="","",COUNTA(H320:M320))</f>
        <v/>
      </c>
      <c r="O320" s="44" t="str">
        <f aca="false">IF(OR(C320="",N(N320)=0),"",SUMIFS(Settings!$AA$2:$AA$21,Settings!$Y$2:$Y$21,"Budget AED 5k+/mo?",Settings!$Z$2:$Z$21,H320)+SUMIFS(Settings!$AA$2:$AA$21,Settings!$Y$2:$Y$21,"Decision-maker?",Settings!$Z$2:$Z$21,I320)+SUMIFS(Settings!$AA$2:$AA$21,Settings!$Y$2:$Y$21,"Someone on camera?",Settings!$Z$2:$Z$21,J320)+SUMIFS(Settings!$AA$2:$AA$21,Settings!$Y$2:$Y$21,"OK with 3-month term?",Settings!$Z$2:$Z$21,K320)+SUMIFS(Settings!$AA$2:$AA$21,Settings!$Y$2:$Y$21,"Start timeline",Settings!$Z$2:$Z$21,L320)+SUMIFS(Settings!$AA$2:$AA$21,Settings!$Y$2:$Y$21,"Social media gap",Settings!$Z$2:$Z$21,M320)+IF(OR(E320="",E320="Lead ID not found"),0,IF(COUNTIF(Settings!$AC$2:$AC$6,E320)&gt;0,Settings!$AA$20,Settings!$AA$21)))</f>
        <v/>
      </c>
      <c r="P320" s="44" t="str">
        <f aca="false">IF(C320="","",IF(N(N320)&lt;6,"Partly scored ("&amp;N320&amp;"/6)",IF(O320&gt;=Settings!$S$8,"Hot",IF(O320&gt;=Settings!$S$9,"Warm","Cold"))))</f>
        <v/>
      </c>
      <c r="Q320" s="44" t="str">
        <f aca="false">IF(C320="","",IF(AND(H320="No",J320="No"),"🚩 Budget  ·  🚩 No one on camera",IF(H320="No","🚩 Budget under AED 5k",IF(J320="No","🚩 No one on camera",""))))</f>
        <v/>
      </c>
      <c r="R320" s="44" t="str">
        <f aca="false">IF(C320="","",IF(N(N320)&lt;6,"Finish the scoresheet before closing",IF(P320="Hot","Close now – send the contract / proposal today",IF(P320="Warm","Send proposal + a relevant result; follow up in 3 days","Rep's call – nurture or close politely")))&amp;IF(Q320&lt;&gt;""," (handle the 🚩 first)",""))</f>
        <v/>
      </c>
      <c r="S320" s="17"/>
      <c r="T320" s="17"/>
      <c r="U320" s="44" t="str">
        <f aca="false">IF(C320="","",IF(COUNTIF(C321:C$501,C320)=0,1,0))</f>
        <v/>
      </c>
    </row>
    <row r="321" customFormat="false" ht="15" hidden="false" customHeight="false" outlineLevel="0" collapsed="false">
      <c r="A321" s="17"/>
      <c r="B321" s="40"/>
      <c r="C321" s="17"/>
      <c r="D321" s="44" t="str">
        <f aca="false">IF(C321="","",IFERROR(INDEX(Inbound!$E$2:$E$501,MATCH(C321,Inbound!$A$2:$A$501,0)),IFERROR(INDEX(Outbound!$D$2:$D$501,MATCH(C321,Outbound!$A$2:$A$501,0)),"Lead ID not found")))</f>
        <v/>
      </c>
      <c r="E321" s="44" t="str">
        <f aca="false">IF(C321="","",IFERROR(INDEX(Inbound!$F$2:$F$501,MATCH(C321,Inbound!$A$2:$A$501,0)),IFERROR(INDEX(Outbound!$E$2:$E$501,MATCH(C321,Outbound!$A$2:$A$501,0)),"Lead ID not found")))</f>
        <v/>
      </c>
      <c r="F321" s="17"/>
      <c r="G321" s="17"/>
      <c r="H321" s="17"/>
      <c r="I321" s="17"/>
      <c r="J321" s="17"/>
      <c r="K321" s="17"/>
      <c r="L321" s="17"/>
      <c r="M321" s="17"/>
      <c r="N321" s="44" t="str">
        <f aca="false">IF(C321="","",COUNTA(H321:M321))</f>
        <v/>
      </c>
      <c r="O321" s="44" t="str">
        <f aca="false">IF(OR(C321="",N(N321)=0),"",SUMIFS(Settings!$AA$2:$AA$21,Settings!$Y$2:$Y$21,"Budget AED 5k+/mo?",Settings!$Z$2:$Z$21,H321)+SUMIFS(Settings!$AA$2:$AA$21,Settings!$Y$2:$Y$21,"Decision-maker?",Settings!$Z$2:$Z$21,I321)+SUMIFS(Settings!$AA$2:$AA$21,Settings!$Y$2:$Y$21,"Someone on camera?",Settings!$Z$2:$Z$21,J321)+SUMIFS(Settings!$AA$2:$AA$21,Settings!$Y$2:$Y$21,"OK with 3-month term?",Settings!$Z$2:$Z$21,K321)+SUMIFS(Settings!$AA$2:$AA$21,Settings!$Y$2:$Y$21,"Start timeline",Settings!$Z$2:$Z$21,L321)+SUMIFS(Settings!$AA$2:$AA$21,Settings!$Y$2:$Y$21,"Social media gap",Settings!$Z$2:$Z$21,M321)+IF(OR(E321="",E321="Lead ID not found"),0,IF(COUNTIF(Settings!$AC$2:$AC$6,E321)&gt;0,Settings!$AA$20,Settings!$AA$21)))</f>
        <v/>
      </c>
      <c r="P321" s="44" t="str">
        <f aca="false">IF(C321="","",IF(N(N321)&lt;6,"Partly scored ("&amp;N321&amp;"/6)",IF(O321&gt;=Settings!$S$8,"Hot",IF(O321&gt;=Settings!$S$9,"Warm","Cold"))))</f>
        <v/>
      </c>
      <c r="Q321" s="44" t="str">
        <f aca="false">IF(C321="","",IF(AND(H321="No",J321="No"),"🚩 Budget  ·  🚩 No one on camera",IF(H321="No","🚩 Budget under AED 5k",IF(J321="No","🚩 No one on camera",""))))</f>
        <v/>
      </c>
      <c r="R321" s="44" t="str">
        <f aca="false">IF(C321="","",IF(N(N321)&lt;6,"Finish the scoresheet before closing",IF(P321="Hot","Close now – send the contract / proposal today",IF(P321="Warm","Send proposal + a relevant result; follow up in 3 days","Rep's call – nurture or close politely")))&amp;IF(Q321&lt;&gt;""," (handle the 🚩 first)",""))</f>
        <v/>
      </c>
      <c r="S321" s="17"/>
      <c r="T321" s="17"/>
      <c r="U321" s="44" t="str">
        <f aca="false">IF(C321="","",IF(COUNTIF(C322:C$501,C321)=0,1,0))</f>
        <v/>
      </c>
    </row>
    <row r="322" customFormat="false" ht="15" hidden="false" customHeight="false" outlineLevel="0" collapsed="false">
      <c r="A322" s="17"/>
      <c r="B322" s="40"/>
      <c r="C322" s="17"/>
      <c r="D322" s="44" t="str">
        <f aca="false">IF(C322="","",IFERROR(INDEX(Inbound!$E$2:$E$501,MATCH(C322,Inbound!$A$2:$A$501,0)),IFERROR(INDEX(Outbound!$D$2:$D$501,MATCH(C322,Outbound!$A$2:$A$501,0)),"Lead ID not found")))</f>
        <v/>
      </c>
      <c r="E322" s="44" t="str">
        <f aca="false">IF(C322="","",IFERROR(INDEX(Inbound!$F$2:$F$501,MATCH(C322,Inbound!$A$2:$A$501,0)),IFERROR(INDEX(Outbound!$E$2:$E$501,MATCH(C322,Outbound!$A$2:$A$501,0)),"Lead ID not found")))</f>
        <v/>
      </c>
      <c r="F322" s="17"/>
      <c r="G322" s="17"/>
      <c r="H322" s="17"/>
      <c r="I322" s="17"/>
      <c r="J322" s="17"/>
      <c r="K322" s="17"/>
      <c r="L322" s="17"/>
      <c r="M322" s="17"/>
      <c r="N322" s="44" t="str">
        <f aca="false">IF(C322="","",COUNTA(H322:M322))</f>
        <v/>
      </c>
      <c r="O322" s="44" t="str">
        <f aca="false">IF(OR(C322="",N(N322)=0),"",SUMIFS(Settings!$AA$2:$AA$21,Settings!$Y$2:$Y$21,"Budget AED 5k+/mo?",Settings!$Z$2:$Z$21,H322)+SUMIFS(Settings!$AA$2:$AA$21,Settings!$Y$2:$Y$21,"Decision-maker?",Settings!$Z$2:$Z$21,I322)+SUMIFS(Settings!$AA$2:$AA$21,Settings!$Y$2:$Y$21,"Someone on camera?",Settings!$Z$2:$Z$21,J322)+SUMIFS(Settings!$AA$2:$AA$21,Settings!$Y$2:$Y$21,"OK with 3-month term?",Settings!$Z$2:$Z$21,K322)+SUMIFS(Settings!$AA$2:$AA$21,Settings!$Y$2:$Y$21,"Start timeline",Settings!$Z$2:$Z$21,L322)+SUMIFS(Settings!$AA$2:$AA$21,Settings!$Y$2:$Y$21,"Social media gap",Settings!$Z$2:$Z$21,M322)+IF(OR(E322="",E322="Lead ID not found"),0,IF(COUNTIF(Settings!$AC$2:$AC$6,E322)&gt;0,Settings!$AA$20,Settings!$AA$21)))</f>
        <v/>
      </c>
      <c r="P322" s="44" t="str">
        <f aca="false">IF(C322="","",IF(N(N322)&lt;6,"Partly scored ("&amp;N322&amp;"/6)",IF(O322&gt;=Settings!$S$8,"Hot",IF(O322&gt;=Settings!$S$9,"Warm","Cold"))))</f>
        <v/>
      </c>
      <c r="Q322" s="44" t="str">
        <f aca="false">IF(C322="","",IF(AND(H322="No",J322="No"),"🚩 Budget  ·  🚩 No one on camera",IF(H322="No","🚩 Budget under AED 5k",IF(J322="No","🚩 No one on camera",""))))</f>
        <v/>
      </c>
      <c r="R322" s="44" t="str">
        <f aca="false">IF(C322="","",IF(N(N322)&lt;6,"Finish the scoresheet before closing",IF(P322="Hot","Close now – send the contract / proposal today",IF(P322="Warm","Send proposal + a relevant result; follow up in 3 days","Rep's call – nurture or close politely")))&amp;IF(Q322&lt;&gt;""," (handle the 🚩 first)",""))</f>
        <v/>
      </c>
      <c r="S322" s="17"/>
      <c r="T322" s="17"/>
      <c r="U322" s="44" t="str">
        <f aca="false">IF(C322="","",IF(COUNTIF(C323:C$501,C322)=0,1,0))</f>
        <v/>
      </c>
    </row>
    <row r="323" customFormat="false" ht="15" hidden="false" customHeight="false" outlineLevel="0" collapsed="false">
      <c r="A323" s="17"/>
      <c r="B323" s="40"/>
      <c r="C323" s="17"/>
      <c r="D323" s="44" t="str">
        <f aca="false">IF(C323="","",IFERROR(INDEX(Inbound!$E$2:$E$501,MATCH(C323,Inbound!$A$2:$A$501,0)),IFERROR(INDEX(Outbound!$D$2:$D$501,MATCH(C323,Outbound!$A$2:$A$501,0)),"Lead ID not found")))</f>
        <v/>
      </c>
      <c r="E323" s="44" t="str">
        <f aca="false">IF(C323="","",IFERROR(INDEX(Inbound!$F$2:$F$501,MATCH(C323,Inbound!$A$2:$A$501,0)),IFERROR(INDEX(Outbound!$E$2:$E$501,MATCH(C323,Outbound!$A$2:$A$501,0)),"Lead ID not found")))</f>
        <v/>
      </c>
      <c r="F323" s="17"/>
      <c r="G323" s="17"/>
      <c r="H323" s="17"/>
      <c r="I323" s="17"/>
      <c r="J323" s="17"/>
      <c r="K323" s="17"/>
      <c r="L323" s="17"/>
      <c r="M323" s="17"/>
      <c r="N323" s="44" t="str">
        <f aca="false">IF(C323="","",COUNTA(H323:M323))</f>
        <v/>
      </c>
      <c r="O323" s="44" t="str">
        <f aca="false">IF(OR(C323="",N(N323)=0),"",SUMIFS(Settings!$AA$2:$AA$21,Settings!$Y$2:$Y$21,"Budget AED 5k+/mo?",Settings!$Z$2:$Z$21,H323)+SUMIFS(Settings!$AA$2:$AA$21,Settings!$Y$2:$Y$21,"Decision-maker?",Settings!$Z$2:$Z$21,I323)+SUMIFS(Settings!$AA$2:$AA$21,Settings!$Y$2:$Y$21,"Someone on camera?",Settings!$Z$2:$Z$21,J323)+SUMIFS(Settings!$AA$2:$AA$21,Settings!$Y$2:$Y$21,"OK with 3-month term?",Settings!$Z$2:$Z$21,K323)+SUMIFS(Settings!$AA$2:$AA$21,Settings!$Y$2:$Y$21,"Start timeline",Settings!$Z$2:$Z$21,L323)+SUMIFS(Settings!$AA$2:$AA$21,Settings!$Y$2:$Y$21,"Social media gap",Settings!$Z$2:$Z$21,M323)+IF(OR(E323="",E323="Lead ID not found"),0,IF(COUNTIF(Settings!$AC$2:$AC$6,E323)&gt;0,Settings!$AA$20,Settings!$AA$21)))</f>
        <v/>
      </c>
      <c r="P323" s="44" t="str">
        <f aca="false">IF(C323="","",IF(N(N323)&lt;6,"Partly scored ("&amp;N323&amp;"/6)",IF(O323&gt;=Settings!$S$8,"Hot",IF(O323&gt;=Settings!$S$9,"Warm","Cold"))))</f>
        <v/>
      </c>
      <c r="Q323" s="44" t="str">
        <f aca="false">IF(C323="","",IF(AND(H323="No",J323="No"),"🚩 Budget  ·  🚩 No one on camera",IF(H323="No","🚩 Budget under AED 5k",IF(J323="No","🚩 No one on camera",""))))</f>
        <v/>
      </c>
      <c r="R323" s="44" t="str">
        <f aca="false">IF(C323="","",IF(N(N323)&lt;6,"Finish the scoresheet before closing",IF(P323="Hot","Close now – send the contract / proposal today",IF(P323="Warm","Send proposal + a relevant result; follow up in 3 days","Rep's call – nurture or close politely")))&amp;IF(Q323&lt;&gt;""," (handle the 🚩 first)",""))</f>
        <v/>
      </c>
      <c r="S323" s="17"/>
      <c r="T323" s="17"/>
      <c r="U323" s="44" t="str">
        <f aca="false">IF(C323="","",IF(COUNTIF(C324:C$501,C323)=0,1,0))</f>
        <v/>
      </c>
    </row>
    <row r="324" customFormat="false" ht="15" hidden="false" customHeight="false" outlineLevel="0" collapsed="false">
      <c r="A324" s="17"/>
      <c r="B324" s="40"/>
      <c r="C324" s="17"/>
      <c r="D324" s="44" t="str">
        <f aca="false">IF(C324="","",IFERROR(INDEX(Inbound!$E$2:$E$501,MATCH(C324,Inbound!$A$2:$A$501,0)),IFERROR(INDEX(Outbound!$D$2:$D$501,MATCH(C324,Outbound!$A$2:$A$501,0)),"Lead ID not found")))</f>
        <v/>
      </c>
      <c r="E324" s="44" t="str">
        <f aca="false">IF(C324="","",IFERROR(INDEX(Inbound!$F$2:$F$501,MATCH(C324,Inbound!$A$2:$A$501,0)),IFERROR(INDEX(Outbound!$E$2:$E$501,MATCH(C324,Outbound!$A$2:$A$501,0)),"Lead ID not found")))</f>
        <v/>
      </c>
      <c r="F324" s="17"/>
      <c r="G324" s="17"/>
      <c r="H324" s="17"/>
      <c r="I324" s="17"/>
      <c r="J324" s="17"/>
      <c r="K324" s="17"/>
      <c r="L324" s="17"/>
      <c r="M324" s="17"/>
      <c r="N324" s="44" t="str">
        <f aca="false">IF(C324="","",COUNTA(H324:M324))</f>
        <v/>
      </c>
      <c r="O324" s="44" t="str">
        <f aca="false">IF(OR(C324="",N(N324)=0),"",SUMIFS(Settings!$AA$2:$AA$21,Settings!$Y$2:$Y$21,"Budget AED 5k+/mo?",Settings!$Z$2:$Z$21,H324)+SUMIFS(Settings!$AA$2:$AA$21,Settings!$Y$2:$Y$21,"Decision-maker?",Settings!$Z$2:$Z$21,I324)+SUMIFS(Settings!$AA$2:$AA$21,Settings!$Y$2:$Y$21,"Someone on camera?",Settings!$Z$2:$Z$21,J324)+SUMIFS(Settings!$AA$2:$AA$21,Settings!$Y$2:$Y$21,"OK with 3-month term?",Settings!$Z$2:$Z$21,K324)+SUMIFS(Settings!$AA$2:$AA$21,Settings!$Y$2:$Y$21,"Start timeline",Settings!$Z$2:$Z$21,L324)+SUMIFS(Settings!$AA$2:$AA$21,Settings!$Y$2:$Y$21,"Social media gap",Settings!$Z$2:$Z$21,M324)+IF(OR(E324="",E324="Lead ID not found"),0,IF(COUNTIF(Settings!$AC$2:$AC$6,E324)&gt;0,Settings!$AA$20,Settings!$AA$21)))</f>
        <v/>
      </c>
      <c r="P324" s="44" t="str">
        <f aca="false">IF(C324="","",IF(N(N324)&lt;6,"Partly scored ("&amp;N324&amp;"/6)",IF(O324&gt;=Settings!$S$8,"Hot",IF(O324&gt;=Settings!$S$9,"Warm","Cold"))))</f>
        <v/>
      </c>
      <c r="Q324" s="44" t="str">
        <f aca="false">IF(C324="","",IF(AND(H324="No",J324="No"),"🚩 Budget  ·  🚩 No one on camera",IF(H324="No","🚩 Budget under AED 5k",IF(J324="No","🚩 No one on camera",""))))</f>
        <v/>
      </c>
      <c r="R324" s="44" t="str">
        <f aca="false">IF(C324="","",IF(N(N324)&lt;6,"Finish the scoresheet before closing",IF(P324="Hot","Close now – send the contract / proposal today",IF(P324="Warm","Send proposal + a relevant result; follow up in 3 days","Rep's call – nurture or close politely")))&amp;IF(Q324&lt;&gt;""," (handle the 🚩 first)",""))</f>
        <v/>
      </c>
      <c r="S324" s="17"/>
      <c r="T324" s="17"/>
      <c r="U324" s="44" t="str">
        <f aca="false">IF(C324="","",IF(COUNTIF(C325:C$501,C324)=0,1,0))</f>
        <v/>
      </c>
    </row>
    <row r="325" customFormat="false" ht="15" hidden="false" customHeight="false" outlineLevel="0" collapsed="false">
      <c r="A325" s="17"/>
      <c r="B325" s="40"/>
      <c r="C325" s="17"/>
      <c r="D325" s="44" t="str">
        <f aca="false">IF(C325="","",IFERROR(INDEX(Inbound!$E$2:$E$501,MATCH(C325,Inbound!$A$2:$A$501,0)),IFERROR(INDEX(Outbound!$D$2:$D$501,MATCH(C325,Outbound!$A$2:$A$501,0)),"Lead ID not found")))</f>
        <v/>
      </c>
      <c r="E325" s="44" t="str">
        <f aca="false">IF(C325="","",IFERROR(INDEX(Inbound!$F$2:$F$501,MATCH(C325,Inbound!$A$2:$A$501,0)),IFERROR(INDEX(Outbound!$E$2:$E$501,MATCH(C325,Outbound!$A$2:$A$501,0)),"Lead ID not found")))</f>
        <v/>
      </c>
      <c r="F325" s="17"/>
      <c r="G325" s="17"/>
      <c r="H325" s="17"/>
      <c r="I325" s="17"/>
      <c r="J325" s="17"/>
      <c r="K325" s="17"/>
      <c r="L325" s="17"/>
      <c r="M325" s="17"/>
      <c r="N325" s="44" t="str">
        <f aca="false">IF(C325="","",COUNTA(H325:M325))</f>
        <v/>
      </c>
      <c r="O325" s="44" t="str">
        <f aca="false">IF(OR(C325="",N(N325)=0),"",SUMIFS(Settings!$AA$2:$AA$21,Settings!$Y$2:$Y$21,"Budget AED 5k+/mo?",Settings!$Z$2:$Z$21,H325)+SUMIFS(Settings!$AA$2:$AA$21,Settings!$Y$2:$Y$21,"Decision-maker?",Settings!$Z$2:$Z$21,I325)+SUMIFS(Settings!$AA$2:$AA$21,Settings!$Y$2:$Y$21,"Someone on camera?",Settings!$Z$2:$Z$21,J325)+SUMIFS(Settings!$AA$2:$AA$21,Settings!$Y$2:$Y$21,"OK with 3-month term?",Settings!$Z$2:$Z$21,K325)+SUMIFS(Settings!$AA$2:$AA$21,Settings!$Y$2:$Y$21,"Start timeline",Settings!$Z$2:$Z$21,L325)+SUMIFS(Settings!$AA$2:$AA$21,Settings!$Y$2:$Y$21,"Social media gap",Settings!$Z$2:$Z$21,M325)+IF(OR(E325="",E325="Lead ID not found"),0,IF(COUNTIF(Settings!$AC$2:$AC$6,E325)&gt;0,Settings!$AA$20,Settings!$AA$21)))</f>
        <v/>
      </c>
      <c r="P325" s="44" t="str">
        <f aca="false">IF(C325="","",IF(N(N325)&lt;6,"Partly scored ("&amp;N325&amp;"/6)",IF(O325&gt;=Settings!$S$8,"Hot",IF(O325&gt;=Settings!$S$9,"Warm","Cold"))))</f>
        <v/>
      </c>
      <c r="Q325" s="44" t="str">
        <f aca="false">IF(C325="","",IF(AND(H325="No",J325="No"),"🚩 Budget  ·  🚩 No one on camera",IF(H325="No","🚩 Budget under AED 5k",IF(J325="No","🚩 No one on camera",""))))</f>
        <v/>
      </c>
      <c r="R325" s="44" t="str">
        <f aca="false">IF(C325="","",IF(N(N325)&lt;6,"Finish the scoresheet before closing",IF(P325="Hot","Close now – send the contract / proposal today",IF(P325="Warm","Send proposal + a relevant result; follow up in 3 days","Rep's call – nurture or close politely")))&amp;IF(Q325&lt;&gt;""," (handle the 🚩 first)",""))</f>
        <v/>
      </c>
      <c r="S325" s="17"/>
      <c r="T325" s="17"/>
      <c r="U325" s="44" t="str">
        <f aca="false">IF(C325="","",IF(COUNTIF(C326:C$501,C325)=0,1,0))</f>
        <v/>
      </c>
    </row>
    <row r="326" customFormat="false" ht="15" hidden="false" customHeight="false" outlineLevel="0" collapsed="false">
      <c r="A326" s="17"/>
      <c r="B326" s="40"/>
      <c r="C326" s="17"/>
      <c r="D326" s="44" t="str">
        <f aca="false">IF(C326="","",IFERROR(INDEX(Inbound!$E$2:$E$501,MATCH(C326,Inbound!$A$2:$A$501,0)),IFERROR(INDEX(Outbound!$D$2:$D$501,MATCH(C326,Outbound!$A$2:$A$501,0)),"Lead ID not found")))</f>
        <v/>
      </c>
      <c r="E326" s="44" t="str">
        <f aca="false">IF(C326="","",IFERROR(INDEX(Inbound!$F$2:$F$501,MATCH(C326,Inbound!$A$2:$A$501,0)),IFERROR(INDEX(Outbound!$E$2:$E$501,MATCH(C326,Outbound!$A$2:$A$501,0)),"Lead ID not found")))</f>
        <v/>
      </c>
      <c r="F326" s="17"/>
      <c r="G326" s="17"/>
      <c r="H326" s="17"/>
      <c r="I326" s="17"/>
      <c r="J326" s="17"/>
      <c r="K326" s="17"/>
      <c r="L326" s="17"/>
      <c r="M326" s="17"/>
      <c r="N326" s="44" t="str">
        <f aca="false">IF(C326="","",COUNTA(H326:M326))</f>
        <v/>
      </c>
      <c r="O326" s="44" t="str">
        <f aca="false">IF(OR(C326="",N(N326)=0),"",SUMIFS(Settings!$AA$2:$AA$21,Settings!$Y$2:$Y$21,"Budget AED 5k+/mo?",Settings!$Z$2:$Z$21,H326)+SUMIFS(Settings!$AA$2:$AA$21,Settings!$Y$2:$Y$21,"Decision-maker?",Settings!$Z$2:$Z$21,I326)+SUMIFS(Settings!$AA$2:$AA$21,Settings!$Y$2:$Y$21,"Someone on camera?",Settings!$Z$2:$Z$21,J326)+SUMIFS(Settings!$AA$2:$AA$21,Settings!$Y$2:$Y$21,"OK with 3-month term?",Settings!$Z$2:$Z$21,K326)+SUMIFS(Settings!$AA$2:$AA$21,Settings!$Y$2:$Y$21,"Start timeline",Settings!$Z$2:$Z$21,L326)+SUMIFS(Settings!$AA$2:$AA$21,Settings!$Y$2:$Y$21,"Social media gap",Settings!$Z$2:$Z$21,M326)+IF(OR(E326="",E326="Lead ID not found"),0,IF(COUNTIF(Settings!$AC$2:$AC$6,E326)&gt;0,Settings!$AA$20,Settings!$AA$21)))</f>
        <v/>
      </c>
      <c r="P326" s="44" t="str">
        <f aca="false">IF(C326="","",IF(N(N326)&lt;6,"Partly scored ("&amp;N326&amp;"/6)",IF(O326&gt;=Settings!$S$8,"Hot",IF(O326&gt;=Settings!$S$9,"Warm","Cold"))))</f>
        <v/>
      </c>
      <c r="Q326" s="44" t="str">
        <f aca="false">IF(C326="","",IF(AND(H326="No",J326="No"),"🚩 Budget  ·  🚩 No one on camera",IF(H326="No","🚩 Budget under AED 5k",IF(J326="No","🚩 No one on camera",""))))</f>
        <v/>
      </c>
      <c r="R326" s="44" t="str">
        <f aca="false">IF(C326="","",IF(N(N326)&lt;6,"Finish the scoresheet before closing",IF(P326="Hot","Close now – send the contract / proposal today",IF(P326="Warm","Send proposal + a relevant result; follow up in 3 days","Rep's call – nurture or close politely")))&amp;IF(Q326&lt;&gt;""," (handle the 🚩 first)",""))</f>
        <v/>
      </c>
      <c r="S326" s="17"/>
      <c r="T326" s="17"/>
      <c r="U326" s="44" t="str">
        <f aca="false">IF(C326="","",IF(COUNTIF(C327:C$501,C326)=0,1,0))</f>
        <v/>
      </c>
    </row>
    <row r="327" customFormat="false" ht="15" hidden="false" customHeight="false" outlineLevel="0" collapsed="false">
      <c r="A327" s="17"/>
      <c r="B327" s="40"/>
      <c r="C327" s="17"/>
      <c r="D327" s="44" t="str">
        <f aca="false">IF(C327="","",IFERROR(INDEX(Inbound!$E$2:$E$501,MATCH(C327,Inbound!$A$2:$A$501,0)),IFERROR(INDEX(Outbound!$D$2:$D$501,MATCH(C327,Outbound!$A$2:$A$501,0)),"Lead ID not found")))</f>
        <v/>
      </c>
      <c r="E327" s="44" t="str">
        <f aca="false">IF(C327="","",IFERROR(INDEX(Inbound!$F$2:$F$501,MATCH(C327,Inbound!$A$2:$A$501,0)),IFERROR(INDEX(Outbound!$E$2:$E$501,MATCH(C327,Outbound!$A$2:$A$501,0)),"Lead ID not found")))</f>
        <v/>
      </c>
      <c r="F327" s="17"/>
      <c r="G327" s="17"/>
      <c r="H327" s="17"/>
      <c r="I327" s="17"/>
      <c r="J327" s="17"/>
      <c r="K327" s="17"/>
      <c r="L327" s="17"/>
      <c r="M327" s="17"/>
      <c r="N327" s="44" t="str">
        <f aca="false">IF(C327="","",COUNTA(H327:M327))</f>
        <v/>
      </c>
      <c r="O327" s="44" t="str">
        <f aca="false">IF(OR(C327="",N(N327)=0),"",SUMIFS(Settings!$AA$2:$AA$21,Settings!$Y$2:$Y$21,"Budget AED 5k+/mo?",Settings!$Z$2:$Z$21,H327)+SUMIFS(Settings!$AA$2:$AA$21,Settings!$Y$2:$Y$21,"Decision-maker?",Settings!$Z$2:$Z$21,I327)+SUMIFS(Settings!$AA$2:$AA$21,Settings!$Y$2:$Y$21,"Someone on camera?",Settings!$Z$2:$Z$21,J327)+SUMIFS(Settings!$AA$2:$AA$21,Settings!$Y$2:$Y$21,"OK with 3-month term?",Settings!$Z$2:$Z$21,K327)+SUMIFS(Settings!$AA$2:$AA$21,Settings!$Y$2:$Y$21,"Start timeline",Settings!$Z$2:$Z$21,L327)+SUMIFS(Settings!$AA$2:$AA$21,Settings!$Y$2:$Y$21,"Social media gap",Settings!$Z$2:$Z$21,M327)+IF(OR(E327="",E327="Lead ID not found"),0,IF(COUNTIF(Settings!$AC$2:$AC$6,E327)&gt;0,Settings!$AA$20,Settings!$AA$21)))</f>
        <v/>
      </c>
      <c r="P327" s="44" t="str">
        <f aca="false">IF(C327="","",IF(N(N327)&lt;6,"Partly scored ("&amp;N327&amp;"/6)",IF(O327&gt;=Settings!$S$8,"Hot",IF(O327&gt;=Settings!$S$9,"Warm","Cold"))))</f>
        <v/>
      </c>
      <c r="Q327" s="44" t="str">
        <f aca="false">IF(C327="","",IF(AND(H327="No",J327="No"),"🚩 Budget  ·  🚩 No one on camera",IF(H327="No","🚩 Budget under AED 5k",IF(J327="No","🚩 No one on camera",""))))</f>
        <v/>
      </c>
      <c r="R327" s="44" t="str">
        <f aca="false">IF(C327="","",IF(N(N327)&lt;6,"Finish the scoresheet before closing",IF(P327="Hot","Close now – send the contract / proposal today",IF(P327="Warm","Send proposal + a relevant result; follow up in 3 days","Rep's call – nurture or close politely")))&amp;IF(Q327&lt;&gt;""," (handle the 🚩 first)",""))</f>
        <v/>
      </c>
      <c r="S327" s="17"/>
      <c r="T327" s="17"/>
      <c r="U327" s="44" t="str">
        <f aca="false">IF(C327="","",IF(COUNTIF(C328:C$501,C327)=0,1,0))</f>
        <v/>
      </c>
    </row>
    <row r="328" customFormat="false" ht="15" hidden="false" customHeight="false" outlineLevel="0" collapsed="false">
      <c r="A328" s="17"/>
      <c r="B328" s="40"/>
      <c r="C328" s="17"/>
      <c r="D328" s="44" t="str">
        <f aca="false">IF(C328="","",IFERROR(INDEX(Inbound!$E$2:$E$501,MATCH(C328,Inbound!$A$2:$A$501,0)),IFERROR(INDEX(Outbound!$D$2:$D$501,MATCH(C328,Outbound!$A$2:$A$501,0)),"Lead ID not found")))</f>
        <v/>
      </c>
      <c r="E328" s="44" t="str">
        <f aca="false">IF(C328="","",IFERROR(INDEX(Inbound!$F$2:$F$501,MATCH(C328,Inbound!$A$2:$A$501,0)),IFERROR(INDEX(Outbound!$E$2:$E$501,MATCH(C328,Outbound!$A$2:$A$501,0)),"Lead ID not found")))</f>
        <v/>
      </c>
      <c r="F328" s="17"/>
      <c r="G328" s="17"/>
      <c r="H328" s="17"/>
      <c r="I328" s="17"/>
      <c r="J328" s="17"/>
      <c r="K328" s="17"/>
      <c r="L328" s="17"/>
      <c r="M328" s="17"/>
      <c r="N328" s="44" t="str">
        <f aca="false">IF(C328="","",COUNTA(H328:M328))</f>
        <v/>
      </c>
      <c r="O328" s="44" t="str">
        <f aca="false">IF(OR(C328="",N(N328)=0),"",SUMIFS(Settings!$AA$2:$AA$21,Settings!$Y$2:$Y$21,"Budget AED 5k+/mo?",Settings!$Z$2:$Z$21,H328)+SUMIFS(Settings!$AA$2:$AA$21,Settings!$Y$2:$Y$21,"Decision-maker?",Settings!$Z$2:$Z$21,I328)+SUMIFS(Settings!$AA$2:$AA$21,Settings!$Y$2:$Y$21,"Someone on camera?",Settings!$Z$2:$Z$21,J328)+SUMIFS(Settings!$AA$2:$AA$21,Settings!$Y$2:$Y$21,"OK with 3-month term?",Settings!$Z$2:$Z$21,K328)+SUMIFS(Settings!$AA$2:$AA$21,Settings!$Y$2:$Y$21,"Start timeline",Settings!$Z$2:$Z$21,L328)+SUMIFS(Settings!$AA$2:$AA$21,Settings!$Y$2:$Y$21,"Social media gap",Settings!$Z$2:$Z$21,M328)+IF(OR(E328="",E328="Lead ID not found"),0,IF(COUNTIF(Settings!$AC$2:$AC$6,E328)&gt;0,Settings!$AA$20,Settings!$AA$21)))</f>
        <v/>
      </c>
      <c r="P328" s="44" t="str">
        <f aca="false">IF(C328="","",IF(N(N328)&lt;6,"Partly scored ("&amp;N328&amp;"/6)",IF(O328&gt;=Settings!$S$8,"Hot",IF(O328&gt;=Settings!$S$9,"Warm","Cold"))))</f>
        <v/>
      </c>
      <c r="Q328" s="44" t="str">
        <f aca="false">IF(C328="","",IF(AND(H328="No",J328="No"),"🚩 Budget  ·  🚩 No one on camera",IF(H328="No","🚩 Budget under AED 5k",IF(J328="No","🚩 No one on camera",""))))</f>
        <v/>
      </c>
      <c r="R328" s="44" t="str">
        <f aca="false">IF(C328="","",IF(N(N328)&lt;6,"Finish the scoresheet before closing",IF(P328="Hot","Close now – send the contract / proposal today",IF(P328="Warm","Send proposal + a relevant result; follow up in 3 days","Rep's call – nurture or close politely")))&amp;IF(Q328&lt;&gt;""," (handle the 🚩 first)",""))</f>
        <v/>
      </c>
      <c r="S328" s="17"/>
      <c r="T328" s="17"/>
      <c r="U328" s="44" t="str">
        <f aca="false">IF(C328="","",IF(COUNTIF(C329:C$501,C328)=0,1,0))</f>
        <v/>
      </c>
    </row>
    <row r="329" customFormat="false" ht="15" hidden="false" customHeight="false" outlineLevel="0" collapsed="false">
      <c r="A329" s="17"/>
      <c r="B329" s="40"/>
      <c r="C329" s="17"/>
      <c r="D329" s="44" t="str">
        <f aca="false">IF(C329="","",IFERROR(INDEX(Inbound!$E$2:$E$501,MATCH(C329,Inbound!$A$2:$A$501,0)),IFERROR(INDEX(Outbound!$D$2:$D$501,MATCH(C329,Outbound!$A$2:$A$501,0)),"Lead ID not found")))</f>
        <v/>
      </c>
      <c r="E329" s="44" t="str">
        <f aca="false">IF(C329="","",IFERROR(INDEX(Inbound!$F$2:$F$501,MATCH(C329,Inbound!$A$2:$A$501,0)),IFERROR(INDEX(Outbound!$E$2:$E$501,MATCH(C329,Outbound!$A$2:$A$501,0)),"Lead ID not found")))</f>
        <v/>
      </c>
      <c r="F329" s="17"/>
      <c r="G329" s="17"/>
      <c r="H329" s="17"/>
      <c r="I329" s="17"/>
      <c r="J329" s="17"/>
      <c r="K329" s="17"/>
      <c r="L329" s="17"/>
      <c r="M329" s="17"/>
      <c r="N329" s="44" t="str">
        <f aca="false">IF(C329="","",COUNTA(H329:M329))</f>
        <v/>
      </c>
      <c r="O329" s="44" t="str">
        <f aca="false">IF(OR(C329="",N(N329)=0),"",SUMIFS(Settings!$AA$2:$AA$21,Settings!$Y$2:$Y$21,"Budget AED 5k+/mo?",Settings!$Z$2:$Z$21,H329)+SUMIFS(Settings!$AA$2:$AA$21,Settings!$Y$2:$Y$21,"Decision-maker?",Settings!$Z$2:$Z$21,I329)+SUMIFS(Settings!$AA$2:$AA$21,Settings!$Y$2:$Y$21,"Someone on camera?",Settings!$Z$2:$Z$21,J329)+SUMIFS(Settings!$AA$2:$AA$21,Settings!$Y$2:$Y$21,"OK with 3-month term?",Settings!$Z$2:$Z$21,K329)+SUMIFS(Settings!$AA$2:$AA$21,Settings!$Y$2:$Y$21,"Start timeline",Settings!$Z$2:$Z$21,L329)+SUMIFS(Settings!$AA$2:$AA$21,Settings!$Y$2:$Y$21,"Social media gap",Settings!$Z$2:$Z$21,M329)+IF(OR(E329="",E329="Lead ID not found"),0,IF(COUNTIF(Settings!$AC$2:$AC$6,E329)&gt;0,Settings!$AA$20,Settings!$AA$21)))</f>
        <v/>
      </c>
      <c r="P329" s="44" t="str">
        <f aca="false">IF(C329="","",IF(N(N329)&lt;6,"Partly scored ("&amp;N329&amp;"/6)",IF(O329&gt;=Settings!$S$8,"Hot",IF(O329&gt;=Settings!$S$9,"Warm","Cold"))))</f>
        <v/>
      </c>
      <c r="Q329" s="44" t="str">
        <f aca="false">IF(C329="","",IF(AND(H329="No",J329="No"),"🚩 Budget  ·  🚩 No one on camera",IF(H329="No","🚩 Budget under AED 5k",IF(J329="No","🚩 No one on camera",""))))</f>
        <v/>
      </c>
      <c r="R329" s="44" t="str">
        <f aca="false">IF(C329="","",IF(N(N329)&lt;6,"Finish the scoresheet before closing",IF(P329="Hot","Close now – send the contract / proposal today",IF(P329="Warm","Send proposal + a relevant result; follow up in 3 days","Rep's call – nurture or close politely")))&amp;IF(Q329&lt;&gt;""," (handle the 🚩 first)",""))</f>
        <v/>
      </c>
      <c r="S329" s="17"/>
      <c r="T329" s="17"/>
      <c r="U329" s="44" t="str">
        <f aca="false">IF(C329="","",IF(COUNTIF(C330:C$501,C329)=0,1,0))</f>
        <v/>
      </c>
    </row>
    <row r="330" customFormat="false" ht="15" hidden="false" customHeight="false" outlineLevel="0" collapsed="false">
      <c r="A330" s="17"/>
      <c r="B330" s="40"/>
      <c r="C330" s="17"/>
      <c r="D330" s="44" t="str">
        <f aca="false">IF(C330="","",IFERROR(INDEX(Inbound!$E$2:$E$501,MATCH(C330,Inbound!$A$2:$A$501,0)),IFERROR(INDEX(Outbound!$D$2:$D$501,MATCH(C330,Outbound!$A$2:$A$501,0)),"Lead ID not found")))</f>
        <v/>
      </c>
      <c r="E330" s="44" t="str">
        <f aca="false">IF(C330="","",IFERROR(INDEX(Inbound!$F$2:$F$501,MATCH(C330,Inbound!$A$2:$A$501,0)),IFERROR(INDEX(Outbound!$E$2:$E$501,MATCH(C330,Outbound!$A$2:$A$501,0)),"Lead ID not found")))</f>
        <v/>
      </c>
      <c r="F330" s="17"/>
      <c r="G330" s="17"/>
      <c r="H330" s="17"/>
      <c r="I330" s="17"/>
      <c r="J330" s="17"/>
      <c r="K330" s="17"/>
      <c r="L330" s="17"/>
      <c r="M330" s="17"/>
      <c r="N330" s="44" t="str">
        <f aca="false">IF(C330="","",COUNTA(H330:M330))</f>
        <v/>
      </c>
      <c r="O330" s="44" t="str">
        <f aca="false">IF(OR(C330="",N(N330)=0),"",SUMIFS(Settings!$AA$2:$AA$21,Settings!$Y$2:$Y$21,"Budget AED 5k+/mo?",Settings!$Z$2:$Z$21,H330)+SUMIFS(Settings!$AA$2:$AA$21,Settings!$Y$2:$Y$21,"Decision-maker?",Settings!$Z$2:$Z$21,I330)+SUMIFS(Settings!$AA$2:$AA$21,Settings!$Y$2:$Y$21,"Someone on camera?",Settings!$Z$2:$Z$21,J330)+SUMIFS(Settings!$AA$2:$AA$21,Settings!$Y$2:$Y$21,"OK with 3-month term?",Settings!$Z$2:$Z$21,K330)+SUMIFS(Settings!$AA$2:$AA$21,Settings!$Y$2:$Y$21,"Start timeline",Settings!$Z$2:$Z$21,L330)+SUMIFS(Settings!$AA$2:$AA$21,Settings!$Y$2:$Y$21,"Social media gap",Settings!$Z$2:$Z$21,M330)+IF(OR(E330="",E330="Lead ID not found"),0,IF(COUNTIF(Settings!$AC$2:$AC$6,E330)&gt;0,Settings!$AA$20,Settings!$AA$21)))</f>
        <v/>
      </c>
      <c r="P330" s="44" t="str">
        <f aca="false">IF(C330="","",IF(N(N330)&lt;6,"Partly scored ("&amp;N330&amp;"/6)",IF(O330&gt;=Settings!$S$8,"Hot",IF(O330&gt;=Settings!$S$9,"Warm","Cold"))))</f>
        <v/>
      </c>
      <c r="Q330" s="44" t="str">
        <f aca="false">IF(C330="","",IF(AND(H330="No",J330="No"),"🚩 Budget  ·  🚩 No one on camera",IF(H330="No","🚩 Budget under AED 5k",IF(J330="No","🚩 No one on camera",""))))</f>
        <v/>
      </c>
      <c r="R330" s="44" t="str">
        <f aca="false">IF(C330="","",IF(N(N330)&lt;6,"Finish the scoresheet before closing",IF(P330="Hot","Close now – send the contract / proposal today",IF(P330="Warm","Send proposal + a relevant result; follow up in 3 days","Rep's call – nurture or close politely")))&amp;IF(Q330&lt;&gt;""," (handle the 🚩 first)",""))</f>
        <v/>
      </c>
      <c r="S330" s="17"/>
      <c r="T330" s="17"/>
      <c r="U330" s="44" t="str">
        <f aca="false">IF(C330="","",IF(COUNTIF(C331:C$501,C330)=0,1,0))</f>
        <v/>
      </c>
    </row>
    <row r="331" customFormat="false" ht="15" hidden="false" customHeight="false" outlineLevel="0" collapsed="false">
      <c r="A331" s="17"/>
      <c r="B331" s="40"/>
      <c r="C331" s="17"/>
      <c r="D331" s="44" t="str">
        <f aca="false">IF(C331="","",IFERROR(INDEX(Inbound!$E$2:$E$501,MATCH(C331,Inbound!$A$2:$A$501,0)),IFERROR(INDEX(Outbound!$D$2:$D$501,MATCH(C331,Outbound!$A$2:$A$501,0)),"Lead ID not found")))</f>
        <v/>
      </c>
      <c r="E331" s="44" t="str">
        <f aca="false">IF(C331="","",IFERROR(INDEX(Inbound!$F$2:$F$501,MATCH(C331,Inbound!$A$2:$A$501,0)),IFERROR(INDEX(Outbound!$E$2:$E$501,MATCH(C331,Outbound!$A$2:$A$501,0)),"Lead ID not found")))</f>
        <v/>
      </c>
      <c r="F331" s="17"/>
      <c r="G331" s="17"/>
      <c r="H331" s="17"/>
      <c r="I331" s="17"/>
      <c r="J331" s="17"/>
      <c r="K331" s="17"/>
      <c r="L331" s="17"/>
      <c r="M331" s="17"/>
      <c r="N331" s="44" t="str">
        <f aca="false">IF(C331="","",COUNTA(H331:M331))</f>
        <v/>
      </c>
      <c r="O331" s="44" t="str">
        <f aca="false">IF(OR(C331="",N(N331)=0),"",SUMIFS(Settings!$AA$2:$AA$21,Settings!$Y$2:$Y$21,"Budget AED 5k+/mo?",Settings!$Z$2:$Z$21,H331)+SUMIFS(Settings!$AA$2:$AA$21,Settings!$Y$2:$Y$21,"Decision-maker?",Settings!$Z$2:$Z$21,I331)+SUMIFS(Settings!$AA$2:$AA$21,Settings!$Y$2:$Y$21,"Someone on camera?",Settings!$Z$2:$Z$21,J331)+SUMIFS(Settings!$AA$2:$AA$21,Settings!$Y$2:$Y$21,"OK with 3-month term?",Settings!$Z$2:$Z$21,K331)+SUMIFS(Settings!$AA$2:$AA$21,Settings!$Y$2:$Y$21,"Start timeline",Settings!$Z$2:$Z$21,L331)+SUMIFS(Settings!$AA$2:$AA$21,Settings!$Y$2:$Y$21,"Social media gap",Settings!$Z$2:$Z$21,M331)+IF(OR(E331="",E331="Lead ID not found"),0,IF(COUNTIF(Settings!$AC$2:$AC$6,E331)&gt;0,Settings!$AA$20,Settings!$AA$21)))</f>
        <v/>
      </c>
      <c r="P331" s="44" t="str">
        <f aca="false">IF(C331="","",IF(N(N331)&lt;6,"Partly scored ("&amp;N331&amp;"/6)",IF(O331&gt;=Settings!$S$8,"Hot",IF(O331&gt;=Settings!$S$9,"Warm","Cold"))))</f>
        <v/>
      </c>
      <c r="Q331" s="44" t="str">
        <f aca="false">IF(C331="","",IF(AND(H331="No",J331="No"),"🚩 Budget  ·  🚩 No one on camera",IF(H331="No","🚩 Budget under AED 5k",IF(J331="No","🚩 No one on camera",""))))</f>
        <v/>
      </c>
      <c r="R331" s="44" t="str">
        <f aca="false">IF(C331="","",IF(N(N331)&lt;6,"Finish the scoresheet before closing",IF(P331="Hot","Close now – send the contract / proposal today",IF(P331="Warm","Send proposal + a relevant result; follow up in 3 days","Rep's call – nurture or close politely")))&amp;IF(Q331&lt;&gt;""," (handle the 🚩 first)",""))</f>
        <v/>
      </c>
      <c r="S331" s="17"/>
      <c r="T331" s="17"/>
      <c r="U331" s="44" t="str">
        <f aca="false">IF(C331="","",IF(COUNTIF(C332:C$501,C331)=0,1,0))</f>
        <v/>
      </c>
    </row>
    <row r="332" customFormat="false" ht="15" hidden="false" customHeight="false" outlineLevel="0" collapsed="false">
      <c r="A332" s="17"/>
      <c r="B332" s="40"/>
      <c r="C332" s="17"/>
      <c r="D332" s="44" t="str">
        <f aca="false">IF(C332="","",IFERROR(INDEX(Inbound!$E$2:$E$501,MATCH(C332,Inbound!$A$2:$A$501,0)),IFERROR(INDEX(Outbound!$D$2:$D$501,MATCH(C332,Outbound!$A$2:$A$501,0)),"Lead ID not found")))</f>
        <v/>
      </c>
      <c r="E332" s="44" t="str">
        <f aca="false">IF(C332="","",IFERROR(INDEX(Inbound!$F$2:$F$501,MATCH(C332,Inbound!$A$2:$A$501,0)),IFERROR(INDEX(Outbound!$E$2:$E$501,MATCH(C332,Outbound!$A$2:$A$501,0)),"Lead ID not found")))</f>
        <v/>
      </c>
      <c r="F332" s="17"/>
      <c r="G332" s="17"/>
      <c r="H332" s="17"/>
      <c r="I332" s="17"/>
      <c r="J332" s="17"/>
      <c r="K332" s="17"/>
      <c r="L332" s="17"/>
      <c r="M332" s="17"/>
      <c r="N332" s="44" t="str">
        <f aca="false">IF(C332="","",COUNTA(H332:M332))</f>
        <v/>
      </c>
      <c r="O332" s="44" t="str">
        <f aca="false">IF(OR(C332="",N(N332)=0),"",SUMIFS(Settings!$AA$2:$AA$21,Settings!$Y$2:$Y$21,"Budget AED 5k+/mo?",Settings!$Z$2:$Z$21,H332)+SUMIFS(Settings!$AA$2:$AA$21,Settings!$Y$2:$Y$21,"Decision-maker?",Settings!$Z$2:$Z$21,I332)+SUMIFS(Settings!$AA$2:$AA$21,Settings!$Y$2:$Y$21,"Someone on camera?",Settings!$Z$2:$Z$21,J332)+SUMIFS(Settings!$AA$2:$AA$21,Settings!$Y$2:$Y$21,"OK with 3-month term?",Settings!$Z$2:$Z$21,K332)+SUMIFS(Settings!$AA$2:$AA$21,Settings!$Y$2:$Y$21,"Start timeline",Settings!$Z$2:$Z$21,L332)+SUMIFS(Settings!$AA$2:$AA$21,Settings!$Y$2:$Y$21,"Social media gap",Settings!$Z$2:$Z$21,M332)+IF(OR(E332="",E332="Lead ID not found"),0,IF(COUNTIF(Settings!$AC$2:$AC$6,E332)&gt;0,Settings!$AA$20,Settings!$AA$21)))</f>
        <v/>
      </c>
      <c r="P332" s="44" t="str">
        <f aca="false">IF(C332="","",IF(N(N332)&lt;6,"Partly scored ("&amp;N332&amp;"/6)",IF(O332&gt;=Settings!$S$8,"Hot",IF(O332&gt;=Settings!$S$9,"Warm","Cold"))))</f>
        <v/>
      </c>
      <c r="Q332" s="44" t="str">
        <f aca="false">IF(C332="","",IF(AND(H332="No",J332="No"),"🚩 Budget  ·  🚩 No one on camera",IF(H332="No","🚩 Budget under AED 5k",IF(J332="No","🚩 No one on camera",""))))</f>
        <v/>
      </c>
      <c r="R332" s="44" t="str">
        <f aca="false">IF(C332="","",IF(N(N332)&lt;6,"Finish the scoresheet before closing",IF(P332="Hot","Close now – send the contract / proposal today",IF(P332="Warm","Send proposal + a relevant result; follow up in 3 days","Rep's call – nurture or close politely")))&amp;IF(Q332&lt;&gt;""," (handle the 🚩 first)",""))</f>
        <v/>
      </c>
      <c r="S332" s="17"/>
      <c r="T332" s="17"/>
      <c r="U332" s="44" t="str">
        <f aca="false">IF(C332="","",IF(COUNTIF(C333:C$501,C332)=0,1,0))</f>
        <v/>
      </c>
    </row>
    <row r="333" customFormat="false" ht="15" hidden="false" customHeight="false" outlineLevel="0" collapsed="false">
      <c r="A333" s="17"/>
      <c r="B333" s="40"/>
      <c r="C333" s="17"/>
      <c r="D333" s="44" t="str">
        <f aca="false">IF(C333="","",IFERROR(INDEX(Inbound!$E$2:$E$501,MATCH(C333,Inbound!$A$2:$A$501,0)),IFERROR(INDEX(Outbound!$D$2:$D$501,MATCH(C333,Outbound!$A$2:$A$501,0)),"Lead ID not found")))</f>
        <v/>
      </c>
      <c r="E333" s="44" t="str">
        <f aca="false">IF(C333="","",IFERROR(INDEX(Inbound!$F$2:$F$501,MATCH(C333,Inbound!$A$2:$A$501,0)),IFERROR(INDEX(Outbound!$E$2:$E$501,MATCH(C333,Outbound!$A$2:$A$501,0)),"Lead ID not found")))</f>
        <v/>
      </c>
      <c r="F333" s="17"/>
      <c r="G333" s="17"/>
      <c r="H333" s="17"/>
      <c r="I333" s="17"/>
      <c r="J333" s="17"/>
      <c r="K333" s="17"/>
      <c r="L333" s="17"/>
      <c r="M333" s="17"/>
      <c r="N333" s="44" t="str">
        <f aca="false">IF(C333="","",COUNTA(H333:M333))</f>
        <v/>
      </c>
      <c r="O333" s="44" t="str">
        <f aca="false">IF(OR(C333="",N(N333)=0),"",SUMIFS(Settings!$AA$2:$AA$21,Settings!$Y$2:$Y$21,"Budget AED 5k+/mo?",Settings!$Z$2:$Z$21,H333)+SUMIFS(Settings!$AA$2:$AA$21,Settings!$Y$2:$Y$21,"Decision-maker?",Settings!$Z$2:$Z$21,I333)+SUMIFS(Settings!$AA$2:$AA$21,Settings!$Y$2:$Y$21,"Someone on camera?",Settings!$Z$2:$Z$21,J333)+SUMIFS(Settings!$AA$2:$AA$21,Settings!$Y$2:$Y$21,"OK with 3-month term?",Settings!$Z$2:$Z$21,K333)+SUMIFS(Settings!$AA$2:$AA$21,Settings!$Y$2:$Y$21,"Start timeline",Settings!$Z$2:$Z$21,L333)+SUMIFS(Settings!$AA$2:$AA$21,Settings!$Y$2:$Y$21,"Social media gap",Settings!$Z$2:$Z$21,M333)+IF(OR(E333="",E333="Lead ID not found"),0,IF(COUNTIF(Settings!$AC$2:$AC$6,E333)&gt;0,Settings!$AA$20,Settings!$AA$21)))</f>
        <v/>
      </c>
      <c r="P333" s="44" t="str">
        <f aca="false">IF(C333="","",IF(N(N333)&lt;6,"Partly scored ("&amp;N333&amp;"/6)",IF(O333&gt;=Settings!$S$8,"Hot",IF(O333&gt;=Settings!$S$9,"Warm","Cold"))))</f>
        <v/>
      </c>
      <c r="Q333" s="44" t="str">
        <f aca="false">IF(C333="","",IF(AND(H333="No",J333="No"),"🚩 Budget  ·  🚩 No one on camera",IF(H333="No","🚩 Budget under AED 5k",IF(J333="No","🚩 No one on camera",""))))</f>
        <v/>
      </c>
      <c r="R333" s="44" t="str">
        <f aca="false">IF(C333="","",IF(N(N333)&lt;6,"Finish the scoresheet before closing",IF(P333="Hot","Close now – send the contract / proposal today",IF(P333="Warm","Send proposal + a relevant result; follow up in 3 days","Rep's call – nurture or close politely")))&amp;IF(Q333&lt;&gt;""," (handle the 🚩 first)",""))</f>
        <v/>
      </c>
      <c r="S333" s="17"/>
      <c r="T333" s="17"/>
      <c r="U333" s="44" t="str">
        <f aca="false">IF(C333="","",IF(COUNTIF(C334:C$501,C333)=0,1,0))</f>
        <v/>
      </c>
    </row>
    <row r="334" customFormat="false" ht="15" hidden="false" customHeight="false" outlineLevel="0" collapsed="false">
      <c r="A334" s="17"/>
      <c r="B334" s="40"/>
      <c r="C334" s="17"/>
      <c r="D334" s="44" t="str">
        <f aca="false">IF(C334="","",IFERROR(INDEX(Inbound!$E$2:$E$501,MATCH(C334,Inbound!$A$2:$A$501,0)),IFERROR(INDEX(Outbound!$D$2:$D$501,MATCH(C334,Outbound!$A$2:$A$501,0)),"Lead ID not found")))</f>
        <v/>
      </c>
      <c r="E334" s="44" t="str">
        <f aca="false">IF(C334="","",IFERROR(INDEX(Inbound!$F$2:$F$501,MATCH(C334,Inbound!$A$2:$A$501,0)),IFERROR(INDEX(Outbound!$E$2:$E$501,MATCH(C334,Outbound!$A$2:$A$501,0)),"Lead ID not found")))</f>
        <v/>
      </c>
      <c r="F334" s="17"/>
      <c r="G334" s="17"/>
      <c r="H334" s="17"/>
      <c r="I334" s="17"/>
      <c r="J334" s="17"/>
      <c r="K334" s="17"/>
      <c r="L334" s="17"/>
      <c r="M334" s="17"/>
      <c r="N334" s="44" t="str">
        <f aca="false">IF(C334="","",COUNTA(H334:M334))</f>
        <v/>
      </c>
      <c r="O334" s="44" t="str">
        <f aca="false">IF(OR(C334="",N(N334)=0),"",SUMIFS(Settings!$AA$2:$AA$21,Settings!$Y$2:$Y$21,"Budget AED 5k+/mo?",Settings!$Z$2:$Z$21,H334)+SUMIFS(Settings!$AA$2:$AA$21,Settings!$Y$2:$Y$21,"Decision-maker?",Settings!$Z$2:$Z$21,I334)+SUMIFS(Settings!$AA$2:$AA$21,Settings!$Y$2:$Y$21,"Someone on camera?",Settings!$Z$2:$Z$21,J334)+SUMIFS(Settings!$AA$2:$AA$21,Settings!$Y$2:$Y$21,"OK with 3-month term?",Settings!$Z$2:$Z$21,K334)+SUMIFS(Settings!$AA$2:$AA$21,Settings!$Y$2:$Y$21,"Start timeline",Settings!$Z$2:$Z$21,L334)+SUMIFS(Settings!$AA$2:$AA$21,Settings!$Y$2:$Y$21,"Social media gap",Settings!$Z$2:$Z$21,M334)+IF(OR(E334="",E334="Lead ID not found"),0,IF(COUNTIF(Settings!$AC$2:$AC$6,E334)&gt;0,Settings!$AA$20,Settings!$AA$21)))</f>
        <v/>
      </c>
      <c r="P334" s="44" t="str">
        <f aca="false">IF(C334="","",IF(N(N334)&lt;6,"Partly scored ("&amp;N334&amp;"/6)",IF(O334&gt;=Settings!$S$8,"Hot",IF(O334&gt;=Settings!$S$9,"Warm","Cold"))))</f>
        <v/>
      </c>
      <c r="Q334" s="44" t="str">
        <f aca="false">IF(C334="","",IF(AND(H334="No",J334="No"),"🚩 Budget  ·  🚩 No one on camera",IF(H334="No","🚩 Budget under AED 5k",IF(J334="No","🚩 No one on camera",""))))</f>
        <v/>
      </c>
      <c r="R334" s="44" t="str">
        <f aca="false">IF(C334="","",IF(N(N334)&lt;6,"Finish the scoresheet before closing",IF(P334="Hot","Close now – send the contract / proposal today",IF(P334="Warm","Send proposal + a relevant result; follow up in 3 days","Rep's call – nurture or close politely")))&amp;IF(Q334&lt;&gt;""," (handle the 🚩 first)",""))</f>
        <v/>
      </c>
      <c r="S334" s="17"/>
      <c r="T334" s="17"/>
      <c r="U334" s="44" t="str">
        <f aca="false">IF(C334="","",IF(COUNTIF(C335:C$501,C334)=0,1,0))</f>
        <v/>
      </c>
    </row>
    <row r="335" customFormat="false" ht="15" hidden="false" customHeight="false" outlineLevel="0" collapsed="false">
      <c r="A335" s="17"/>
      <c r="B335" s="40"/>
      <c r="C335" s="17"/>
      <c r="D335" s="44" t="str">
        <f aca="false">IF(C335="","",IFERROR(INDEX(Inbound!$E$2:$E$501,MATCH(C335,Inbound!$A$2:$A$501,0)),IFERROR(INDEX(Outbound!$D$2:$D$501,MATCH(C335,Outbound!$A$2:$A$501,0)),"Lead ID not found")))</f>
        <v/>
      </c>
      <c r="E335" s="44" t="str">
        <f aca="false">IF(C335="","",IFERROR(INDEX(Inbound!$F$2:$F$501,MATCH(C335,Inbound!$A$2:$A$501,0)),IFERROR(INDEX(Outbound!$E$2:$E$501,MATCH(C335,Outbound!$A$2:$A$501,0)),"Lead ID not found")))</f>
        <v/>
      </c>
      <c r="F335" s="17"/>
      <c r="G335" s="17"/>
      <c r="H335" s="17"/>
      <c r="I335" s="17"/>
      <c r="J335" s="17"/>
      <c r="K335" s="17"/>
      <c r="L335" s="17"/>
      <c r="M335" s="17"/>
      <c r="N335" s="44" t="str">
        <f aca="false">IF(C335="","",COUNTA(H335:M335))</f>
        <v/>
      </c>
      <c r="O335" s="44" t="str">
        <f aca="false">IF(OR(C335="",N(N335)=0),"",SUMIFS(Settings!$AA$2:$AA$21,Settings!$Y$2:$Y$21,"Budget AED 5k+/mo?",Settings!$Z$2:$Z$21,H335)+SUMIFS(Settings!$AA$2:$AA$21,Settings!$Y$2:$Y$21,"Decision-maker?",Settings!$Z$2:$Z$21,I335)+SUMIFS(Settings!$AA$2:$AA$21,Settings!$Y$2:$Y$21,"Someone on camera?",Settings!$Z$2:$Z$21,J335)+SUMIFS(Settings!$AA$2:$AA$21,Settings!$Y$2:$Y$21,"OK with 3-month term?",Settings!$Z$2:$Z$21,K335)+SUMIFS(Settings!$AA$2:$AA$21,Settings!$Y$2:$Y$21,"Start timeline",Settings!$Z$2:$Z$21,L335)+SUMIFS(Settings!$AA$2:$AA$21,Settings!$Y$2:$Y$21,"Social media gap",Settings!$Z$2:$Z$21,M335)+IF(OR(E335="",E335="Lead ID not found"),0,IF(COUNTIF(Settings!$AC$2:$AC$6,E335)&gt;0,Settings!$AA$20,Settings!$AA$21)))</f>
        <v/>
      </c>
      <c r="P335" s="44" t="str">
        <f aca="false">IF(C335="","",IF(N(N335)&lt;6,"Partly scored ("&amp;N335&amp;"/6)",IF(O335&gt;=Settings!$S$8,"Hot",IF(O335&gt;=Settings!$S$9,"Warm","Cold"))))</f>
        <v/>
      </c>
      <c r="Q335" s="44" t="str">
        <f aca="false">IF(C335="","",IF(AND(H335="No",J335="No"),"🚩 Budget  ·  🚩 No one on camera",IF(H335="No","🚩 Budget under AED 5k",IF(J335="No","🚩 No one on camera",""))))</f>
        <v/>
      </c>
      <c r="R335" s="44" t="str">
        <f aca="false">IF(C335="","",IF(N(N335)&lt;6,"Finish the scoresheet before closing",IF(P335="Hot","Close now – send the contract / proposal today",IF(P335="Warm","Send proposal + a relevant result; follow up in 3 days","Rep's call – nurture or close politely")))&amp;IF(Q335&lt;&gt;""," (handle the 🚩 first)",""))</f>
        <v/>
      </c>
      <c r="S335" s="17"/>
      <c r="T335" s="17"/>
      <c r="U335" s="44" t="str">
        <f aca="false">IF(C335="","",IF(COUNTIF(C336:C$501,C335)=0,1,0))</f>
        <v/>
      </c>
    </row>
    <row r="336" customFormat="false" ht="15" hidden="false" customHeight="false" outlineLevel="0" collapsed="false">
      <c r="A336" s="17"/>
      <c r="B336" s="40"/>
      <c r="C336" s="17"/>
      <c r="D336" s="44" t="str">
        <f aca="false">IF(C336="","",IFERROR(INDEX(Inbound!$E$2:$E$501,MATCH(C336,Inbound!$A$2:$A$501,0)),IFERROR(INDEX(Outbound!$D$2:$D$501,MATCH(C336,Outbound!$A$2:$A$501,0)),"Lead ID not found")))</f>
        <v/>
      </c>
      <c r="E336" s="44" t="str">
        <f aca="false">IF(C336="","",IFERROR(INDEX(Inbound!$F$2:$F$501,MATCH(C336,Inbound!$A$2:$A$501,0)),IFERROR(INDEX(Outbound!$E$2:$E$501,MATCH(C336,Outbound!$A$2:$A$501,0)),"Lead ID not found")))</f>
        <v/>
      </c>
      <c r="F336" s="17"/>
      <c r="G336" s="17"/>
      <c r="H336" s="17"/>
      <c r="I336" s="17"/>
      <c r="J336" s="17"/>
      <c r="K336" s="17"/>
      <c r="L336" s="17"/>
      <c r="M336" s="17"/>
      <c r="N336" s="44" t="str">
        <f aca="false">IF(C336="","",COUNTA(H336:M336))</f>
        <v/>
      </c>
      <c r="O336" s="44" t="str">
        <f aca="false">IF(OR(C336="",N(N336)=0),"",SUMIFS(Settings!$AA$2:$AA$21,Settings!$Y$2:$Y$21,"Budget AED 5k+/mo?",Settings!$Z$2:$Z$21,H336)+SUMIFS(Settings!$AA$2:$AA$21,Settings!$Y$2:$Y$21,"Decision-maker?",Settings!$Z$2:$Z$21,I336)+SUMIFS(Settings!$AA$2:$AA$21,Settings!$Y$2:$Y$21,"Someone on camera?",Settings!$Z$2:$Z$21,J336)+SUMIFS(Settings!$AA$2:$AA$21,Settings!$Y$2:$Y$21,"OK with 3-month term?",Settings!$Z$2:$Z$21,K336)+SUMIFS(Settings!$AA$2:$AA$21,Settings!$Y$2:$Y$21,"Start timeline",Settings!$Z$2:$Z$21,L336)+SUMIFS(Settings!$AA$2:$AA$21,Settings!$Y$2:$Y$21,"Social media gap",Settings!$Z$2:$Z$21,M336)+IF(OR(E336="",E336="Lead ID not found"),0,IF(COUNTIF(Settings!$AC$2:$AC$6,E336)&gt;0,Settings!$AA$20,Settings!$AA$21)))</f>
        <v/>
      </c>
      <c r="P336" s="44" t="str">
        <f aca="false">IF(C336="","",IF(N(N336)&lt;6,"Partly scored ("&amp;N336&amp;"/6)",IF(O336&gt;=Settings!$S$8,"Hot",IF(O336&gt;=Settings!$S$9,"Warm","Cold"))))</f>
        <v/>
      </c>
      <c r="Q336" s="44" t="str">
        <f aca="false">IF(C336="","",IF(AND(H336="No",J336="No"),"🚩 Budget  ·  🚩 No one on camera",IF(H336="No","🚩 Budget under AED 5k",IF(J336="No","🚩 No one on camera",""))))</f>
        <v/>
      </c>
      <c r="R336" s="44" t="str">
        <f aca="false">IF(C336="","",IF(N(N336)&lt;6,"Finish the scoresheet before closing",IF(P336="Hot","Close now – send the contract / proposal today",IF(P336="Warm","Send proposal + a relevant result; follow up in 3 days","Rep's call – nurture or close politely")))&amp;IF(Q336&lt;&gt;""," (handle the 🚩 first)",""))</f>
        <v/>
      </c>
      <c r="S336" s="17"/>
      <c r="T336" s="17"/>
      <c r="U336" s="44" t="str">
        <f aca="false">IF(C336="","",IF(COUNTIF(C337:C$501,C336)=0,1,0))</f>
        <v/>
      </c>
    </row>
    <row r="337" customFormat="false" ht="15" hidden="false" customHeight="false" outlineLevel="0" collapsed="false">
      <c r="A337" s="17"/>
      <c r="B337" s="40"/>
      <c r="C337" s="17"/>
      <c r="D337" s="44" t="str">
        <f aca="false">IF(C337="","",IFERROR(INDEX(Inbound!$E$2:$E$501,MATCH(C337,Inbound!$A$2:$A$501,0)),IFERROR(INDEX(Outbound!$D$2:$D$501,MATCH(C337,Outbound!$A$2:$A$501,0)),"Lead ID not found")))</f>
        <v/>
      </c>
      <c r="E337" s="44" t="str">
        <f aca="false">IF(C337="","",IFERROR(INDEX(Inbound!$F$2:$F$501,MATCH(C337,Inbound!$A$2:$A$501,0)),IFERROR(INDEX(Outbound!$E$2:$E$501,MATCH(C337,Outbound!$A$2:$A$501,0)),"Lead ID not found")))</f>
        <v/>
      </c>
      <c r="F337" s="17"/>
      <c r="G337" s="17"/>
      <c r="H337" s="17"/>
      <c r="I337" s="17"/>
      <c r="J337" s="17"/>
      <c r="K337" s="17"/>
      <c r="L337" s="17"/>
      <c r="M337" s="17"/>
      <c r="N337" s="44" t="str">
        <f aca="false">IF(C337="","",COUNTA(H337:M337))</f>
        <v/>
      </c>
      <c r="O337" s="44" t="str">
        <f aca="false">IF(OR(C337="",N(N337)=0),"",SUMIFS(Settings!$AA$2:$AA$21,Settings!$Y$2:$Y$21,"Budget AED 5k+/mo?",Settings!$Z$2:$Z$21,H337)+SUMIFS(Settings!$AA$2:$AA$21,Settings!$Y$2:$Y$21,"Decision-maker?",Settings!$Z$2:$Z$21,I337)+SUMIFS(Settings!$AA$2:$AA$21,Settings!$Y$2:$Y$21,"Someone on camera?",Settings!$Z$2:$Z$21,J337)+SUMIFS(Settings!$AA$2:$AA$21,Settings!$Y$2:$Y$21,"OK with 3-month term?",Settings!$Z$2:$Z$21,K337)+SUMIFS(Settings!$AA$2:$AA$21,Settings!$Y$2:$Y$21,"Start timeline",Settings!$Z$2:$Z$21,L337)+SUMIFS(Settings!$AA$2:$AA$21,Settings!$Y$2:$Y$21,"Social media gap",Settings!$Z$2:$Z$21,M337)+IF(OR(E337="",E337="Lead ID not found"),0,IF(COUNTIF(Settings!$AC$2:$AC$6,E337)&gt;0,Settings!$AA$20,Settings!$AA$21)))</f>
        <v/>
      </c>
      <c r="P337" s="44" t="str">
        <f aca="false">IF(C337="","",IF(N(N337)&lt;6,"Partly scored ("&amp;N337&amp;"/6)",IF(O337&gt;=Settings!$S$8,"Hot",IF(O337&gt;=Settings!$S$9,"Warm","Cold"))))</f>
        <v/>
      </c>
      <c r="Q337" s="44" t="str">
        <f aca="false">IF(C337="","",IF(AND(H337="No",J337="No"),"🚩 Budget  ·  🚩 No one on camera",IF(H337="No","🚩 Budget under AED 5k",IF(J337="No","🚩 No one on camera",""))))</f>
        <v/>
      </c>
      <c r="R337" s="44" t="str">
        <f aca="false">IF(C337="","",IF(N(N337)&lt;6,"Finish the scoresheet before closing",IF(P337="Hot","Close now – send the contract / proposal today",IF(P337="Warm","Send proposal + a relevant result; follow up in 3 days","Rep's call – nurture or close politely")))&amp;IF(Q337&lt;&gt;""," (handle the 🚩 first)",""))</f>
        <v/>
      </c>
      <c r="S337" s="17"/>
      <c r="T337" s="17"/>
      <c r="U337" s="44" t="str">
        <f aca="false">IF(C337="","",IF(COUNTIF(C338:C$501,C337)=0,1,0))</f>
        <v/>
      </c>
    </row>
    <row r="338" customFormat="false" ht="15" hidden="false" customHeight="false" outlineLevel="0" collapsed="false">
      <c r="A338" s="17"/>
      <c r="B338" s="40"/>
      <c r="C338" s="17"/>
      <c r="D338" s="44" t="str">
        <f aca="false">IF(C338="","",IFERROR(INDEX(Inbound!$E$2:$E$501,MATCH(C338,Inbound!$A$2:$A$501,0)),IFERROR(INDEX(Outbound!$D$2:$D$501,MATCH(C338,Outbound!$A$2:$A$501,0)),"Lead ID not found")))</f>
        <v/>
      </c>
      <c r="E338" s="44" t="str">
        <f aca="false">IF(C338="","",IFERROR(INDEX(Inbound!$F$2:$F$501,MATCH(C338,Inbound!$A$2:$A$501,0)),IFERROR(INDEX(Outbound!$E$2:$E$501,MATCH(C338,Outbound!$A$2:$A$501,0)),"Lead ID not found")))</f>
        <v/>
      </c>
      <c r="F338" s="17"/>
      <c r="G338" s="17"/>
      <c r="H338" s="17"/>
      <c r="I338" s="17"/>
      <c r="J338" s="17"/>
      <c r="K338" s="17"/>
      <c r="L338" s="17"/>
      <c r="M338" s="17"/>
      <c r="N338" s="44" t="str">
        <f aca="false">IF(C338="","",COUNTA(H338:M338))</f>
        <v/>
      </c>
      <c r="O338" s="44" t="str">
        <f aca="false">IF(OR(C338="",N(N338)=0),"",SUMIFS(Settings!$AA$2:$AA$21,Settings!$Y$2:$Y$21,"Budget AED 5k+/mo?",Settings!$Z$2:$Z$21,H338)+SUMIFS(Settings!$AA$2:$AA$21,Settings!$Y$2:$Y$21,"Decision-maker?",Settings!$Z$2:$Z$21,I338)+SUMIFS(Settings!$AA$2:$AA$21,Settings!$Y$2:$Y$21,"Someone on camera?",Settings!$Z$2:$Z$21,J338)+SUMIFS(Settings!$AA$2:$AA$21,Settings!$Y$2:$Y$21,"OK with 3-month term?",Settings!$Z$2:$Z$21,K338)+SUMIFS(Settings!$AA$2:$AA$21,Settings!$Y$2:$Y$21,"Start timeline",Settings!$Z$2:$Z$21,L338)+SUMIFS(Settings!$AA$2:$AA$21,Settings!$Y$2:$Y$21,"Social media gap",Settings!$Z$2:$Z$21,M338)+IF(OR(E338="",E338="Lead ID not found"),0,IF(COUNTIF(Settings!$AC$2:$AC$6,E338)&gt;0,Settings!$AA$20,Settings!$AA$21)))</f>
        <v/>
      </c>
      <c r="P338" s="44" t="str">
        <f aca="false">IF(C338="","",IF(N(N338)&lt;6,"Partly scored ("&amp;N338&amp;"/6)",IF(O338&gt;=Settings!$S$8,"Hot",IF(O338&gt;=Settings!$S$9,"Warm","Cold"))))</f>
        <v/>
      </c>
      <c r="Q338" s="44" t="str">
        <f aca="false">IF(C338="","",IF(AND(H338="No",J338="No"),"🚩 Budget  ·  🚩 No one on camera",IF(H338="No","🚩 Budget under AED 5k",IF(J338="No","🚩 No one on camera",""))))</f>
        <v/>
      </c>
      <c r="R338" s="44" t="str">
        <f aca="false">IF(C338="","",IF(N(N338)&lt;6,"Finish the scoresheet before closing",IF(P338="Hot","Close now – send the contract / proposal today",IF(P338="Warm","Send proposal + a relevant result; follow up in 3 days","Rep's call – nurture or close politely")))&amp;IF(Q338&lt;&gt;""," (handle the 🚩 first)",""))</f>
        <v/>
      </c>
      <c r="S338" s="17"/>
      <c r="T338" s="17"/>
      <c r="U338" s="44" t="str">
        <f aca="false">IF(C338="","",IF(COUNTIF(C339:C$501,C338)=0,1,0))</f>
        <v/>
      </c>
    </row>
    <row r="339" customFormat="false" ht="15" hidden="false" customHeight="false" outlineLevel="0" collapsed="false">
      <c r="A339" s="17"/>
      <c r="B339" s="40"/>
      <c r="C339" s="17"/>
      <c r="D339" s="44" t="str">
        <f aca="false">IF(C339="","",IFERROR(INDEX(Inbound!$E$2:$E$501,MATCH(C339,Inbound!$A$2:$A$501,0)),IFERROR(INDEX(Outbound!$D$2:$D$501,MATCH(C339,Outbound!$A$2:$A$501,0)),"Lead ID not found")))</f>
        <v/>
      </c>
      <c r="E339" s="44" t="str">
        <f aca="false">IF(C339="","",IFERROR(INDEX(Inbound!$F$2:$F$501,MATCH(C339,Inbound!$A$2:$A$501,0)),IFERROR(INDEX(Outbound!$E$2:$E$501,MATCH(C339,Outbound!$A$2:$A$501,0)),"Lead ID not found")))</f>
        <v/>
      </c>
      <c r="F339" s="17"/>
      <c r="G339" s="17"/>
      <c r="H339" s="17"/>
      <c r="I339" s="17"/>
      <c r="J339" s="17"/>
      <c r="K339" s="17"/>
      <c r="L339" s="17"/>
      <c r="M339" s="17"/>
      <c r="N339" s="44" t="str">
        <f aca="false">IF(C339="","",COUNTA(H339:M339))</f>
        <v/>
      </c>
      <c r="O339" s="44" t="str">
        <f aca="false">IF(OR(C339="",N(N339)=0),"",SUMIFS(Settings!$AA$2:$AA$21,Settings!$Y$2:$Y$21,"Budget AED 5k+/mo?",Settings!$Z$2:$Z$21,H339)+SUMIFS(Settings!$AA$2:$AA$21,Settings!$Y$2:$Y$21,"Decision-maker?",Settings!$Z$2:$Z$21,I339)+SUMIFS(Settings!$AA$2:$AA$21,Settings!$Y$2:$Y$21,"Someone on camera?",Settings!$Z$2:$Z$21,J339)+SUMIFS(Settings!$AA$2:$AA$21,Settings!$Y$2:$Y$21,"OK with 3-month term?",Settings!$Z$2:$Z$21,K339)+SUMIFS(Settings!$AA$2:$AA$21,Settings!$Y$2:$Y$21,"Start timeline",Settings!$Z$2:$Z$21,L339)+SUMIFS(Settings!$AA$2:$AA$21,Settings!$Y$2:$Y$21,"Social media gap",Settings!$Z$2:$Z$21,M339)+IF(OR(E339="",E339="Lead ID not found"),0,IF(COUNTIF(Settings!$AC$2:$AC$6,E339)&gt;0,Settings!$AA$20,Settings!$AA$21)))</f>
        <v/>
      </c>
      <c r="P339" s="44" t="str">
        <f aca="false">IF(C339="","",IF(N(N339)&lt;6,"Partly scored ("&amp;N339&amp;"/6)",IF(O339&gt;=Settings!$S$8,"Hot",IF(O339&gt;=Settings!$S$9,"Warm","Cold"))))</f>
        <v/>
      </c>
      <c r="Q339" s="44" t="str">
        <f aca="false">IF(C339="","",IF(AND(H339="No",J339="No"),"🚩 Budget  ·  🚩 No one on camera",IF(H339="No","🚩 Budget under AED 5k",IF(J339="No","🚩 No one on camera",""))))</f>
        <v/>
      </c>
      <c r="R339" s="44" t="str">
        <f aca="false">IF(C339="","",IF(N(N339)&lt;6,"Finish the scoresheet before closing",IF(P339="Hot","Close now – send the contract / proposal today",IF(P339="Warm","Send proposal + a relevant result; follow up in 3 days","Rep's call – nurture or close politely")))&amp;IF(Q339&lt;&gt;""," (handle the 🚩 first)",""))</f>
        <v/>
      </c>
      <c r="S339" s="17"/>
      <c r="T339" s="17"/>
      <c r="U339" s="44" t="str">
        <f aca="false">IF(C339="","",IF(COUNTIF(C340:C$501,C339)=0,1,0))</f>
        <v/>
      </c>
    </row>
    <row r="340" customFormat="false" ht="15" hidden="false" customHeight="false" outlineLevel="0" collapsed="false">
      <c r="A340" s="17"/>
      <c r="B340" s="40"/>
      <c r="C340" s="17"/>
      <c r="D340" s="44" t="str">
        <f aca="false">IF(C340="","",IFERROR(INDEX(Inbound!$E$2:$E$501,MATCH(C340,Inbound!$A$2:$A$501,0)),IFERROR(INDEX(Outbound!$D$2:$D$501,MATCH(C340,Outbound!$A$2:$A$501,0)),"Lead ID not found")))</f>
        <v/>
      </c>
      <c r="E340" s="44" t="str">
        <f aca="false">IF(C340="","",IFERROR(INDEX(Inbound!$F$2:$F$501,MATCH(C340,Inbound!$A$2:$A$501,0)),IFERROR(INDEX(Outbound!$E$2:$E$501,MATCH(C340,Outbound!$A$2:$A$501,0)),"Lead ID not found")))</f>
        <v/>
      </c>
      <c r="F340" s="17"/>
      <c r="G340" s="17"/>
      <c r="H340" s="17"/>
      <c r="I340" s="17"/>
      <c r="J340" s="17"/>
      <c r="K340" s="17"/>
      <c r="L340" s="17"/>
      <c r="M340" s="17"/>
      <c r="N340" s="44" t="str">
        <f aca="false">IF(C340="","",COUNTA(H340:M340))</f>
        <v/>
      </c>
      <c r="O340" s="44" t="str">
        <f aca="false">IF(OR(C340="",N(N340)=0),"",SUMIFS(Settings!$AA$2:$AA$21,Settings!$Y$2:$Y$21,"Budget AED 5k+/mo?",Settings!$Z$2:$Z$21,H340)+SUMIFS(Settings!$AA$2:$AA$21,Settings!$Y$2:$Y$21,"Decision-maker?",Settings!$Z$2:$Z$21,I340)+SUMIFS(Settings!$AA$2:$AA$21,Settings!$Y$2:$Y$21,"Someone on camera?",Settings!$Z$2:$Z$21,J340)+SUMIFS(Settings!$AA$2:$AA$21,Settings!$Y$2:$Y$21,"OK with 3-month term?",Settings!$Z$2:$Z$21,K340)+SUMIFS(Settings!$AA$2:$AA$21,Settings!$Y$2:$Y$21,"Start timeline",Settings!$Z$2:$Z$21,L340)+SUMIFS(Settings!$AA$2:$AA$21,Settings!$Y$2:$Y$21,"Social media gap",Settings!$Z$2:$Z$21,M340)+IF(OR(E340="",E340="Lead ID not found"),0,IF(COUNTIF(Settings!$AC$2:$AC$6,E340)&gt;0,Settings!$AA$20,Settings!$AA$21)))</f>
        <v/>
      </c>
      <c r="P340" s="44" t="str">
        <f aca="false">IF(C340="","",IF(N(N340)&lt;6,"Partly scored ("&amp;N340&amp;"/6)",IF(O340&gt;=Settings!$S$8,"Hot",IF(O340&gt;=Settings!$S$9,"Warm","Cold"))))</f>
        <v/>
      </c>
      <c r="Q340" s="44" t="str">
        <f aca="false">IF(C340="","",IF(AND(H340="No",J340="No"),"🚩 Budget  ·  🚩 No one on camera",IF(H340="No","🚩 Budget under AED 5k",IF(J340="No","🚩 No one on camera",""))))</f>
        <v/>
      </c>
      <c r="R340" s="44" t="str">
        <f aca="false">IF(C340="","",IF(N(N340)&lt;6,"Finish the scoresheet before closing",IF(P340="Hot","Close now – send the contract / proposal today",IF(P340="Warm","Send proposal + a relevant result; follow up in 3 days","Rep's call – nurture or close politely")))&amp;IF(Q340&lt;&gt;""," (handle the 🚩 first)",""))</f>
        <v/>
      </c>
      <c r="S340" s="17"/>
      <c r="T340" s="17"/>
      <c r="U340" s="44" t="str">
        <f aca="false">IF(C340="","",IF(COUNTIF(C341:C$501,C340)=0,1,0))</f>
        <v/>
      </c>
    </row>
    <row r="341" customFormat="false" ht="15" hidden="false" customHeight="false" outlineLevel="0" collapsed="false">
      <c r="A341" s="17"/>
      <c r="B341" s="40"/>
      <c r="C341" s="17"/>
      <c r="D341" s="44" t="str">
        <f aca="false">IF(C341="","",IFERROR(INDEX(Inbound!$E$2:$E$501,MATCH(C341,Inbound!$A$2:$A$501,0)),IFERROR(INDEX(Outbound!$D$2:$D$501,MATCH(C341,Outbound!$A$2:$A$501,0)),"Lead ID not found")))</f>
        <v/>
      </c>
      <c r="E341" s="44" t="str">
        <f aca="false">IF(C341="","",IFERROR(INDEX(Inbound!$F$2:$F$501,MATCH(C341,Inbound!$A$2:$A$501,0)),IFERROR(INDEX(Outbound!$E$2:$E$501,MATCH(C341,Outbound!$A$2:$A$501,0)),"Lead ID not found")))</f>
        <v/>
      </c>
      <c r="F341" s="17"/>
      <c r="G341" s="17"/>
      <c r="H341" s="17"/>
      <c r="I341" s="17"/>
      <c r="J341" s="17"/>
      <c r="K341" s="17"/>
      <c r="L341" s="17"/>
      <c r="M341" s="17"/>
      <c r="N341" s="44" t="str">
        <f aca="false">IF(C341="","",COUNTA(H341:M341))</f>
        <v/>
      </c>
      <c r="O341" s="44" t="str">
        <f aca="false">IF(OR(C341="",N(N341)=0),"",SUMIFS(Settings!$AA$2:$AA$21,Settings!$Y$2:$Y$21,"Budget AED 5k+/mo?",Settings!$Z$2:$Z$21,H341)+SUMIFS(Settings!$AA$2:$AA$21,Settings!$Y$2:$Y$21,"Decision-maker?",Settings!$Z$2:$Z$21,I341)+SUMIFS(Settings!$AA$2:$AA$21,Settings!$Y$2:$Y$21,"Someone on camera?",Settings!$Z$2:$Z$21,J341)+SUMIFS(Settings!$AA$2:$AA$21,Settings!$Y$2:$Y$21,"OK with 3-month term?",Settings!$Z$2:$Z$21,K341)+SUMIFS(Settings!$AA$2:$AA$21,Settings!$Y$2:$Y$21,"Start timeline",Settings!$Z$2:$Z$21,L341)+SUMIFS(Settings!$AA$2:$AA$21,Settings!$Y$2:$Y$21,"Social media gap",Settings!$Z$2:$Z$21,M341)+IF(OR(E341="",E341="Lead ID not found"),0,IF(COUNTIF(Settings!$AC$2:$AC$6,E341)&gt;0,Settings!$AA$20,Settings!$AA$21)))</f>
        <v/>
      </c>
      <c r="P341" s="44" t="str">
        <f aca="false">IF(C341="","",IF(N(N341)&lt;6,"Partly scored ("&amp;N341&amp;"/6)",IF(O341&gt;=Settings!$S$8,"Hot",IF(O341&gt;=Settings!$S$9,"Warm","Cold"))))</f>
        <v/>
      </c>
      <c r="Q341" s="44" t="str">
        <f aca="false">IF(C341="","",IF(AND(H341="No",J341="No"),"🚩 Budget  ·  🚩 No one on camera",IF(H341="No","🚩 Budget under AED 5k",IF(J341="No","🚩 No one on camera",""))))</f>
        <v/>
      </c>
      <c r="R341" s="44" t="str">
        <f aca="false">IF(C341="","",IF(N(N341)&lt;6,"Finish the scoresheet before closing",IF(P341="Hot","Close now – send the contract / proposal today",IF(P341="Warm","Send proposal + a relevant result; follow up in 3 days","Rep's call – nurture or close politely")))&amp;IF(Q341&lt;&gt;""," (handle the 🚩 first)",""))</f>
        <v/>
      </c>
      <c r="S341" s="17"/>
      <c r="T341" s="17"/>
      <c r="U341" s="44" t="str">
        <f aca="false">IF(C341="","",IF(COUNTIF(C342:C$501,C341)=0,1,0))</f>
        <v/>
      </c>
    </row>
    <row r="342" customFormat="false" ht="15" hidden="false" customHeight="false" outlineLevel="0" collapsed="false">
      <c r="A342" s="17"/>
      <c r="B342" s="40"/>
      <c r="C342" s="17"/>
      <c r="D342" s="44" t="str">
        <f aca="false">IF(C342="","",IFERROR(INDEX(Inbound!$E$2:$E$501,MATCH(C342,Inbound!$A$2:$A$501,0)),IFERROR(INDEX(Outbound!$D$2:$D$501,MATCH(C342,Outbound!$A$2:$A$501,0)),"Lead ID not found")))</f>
        <v/>
      </c>
      <c r="E342" s="44" t="str">
        <f aca="false">IF(C342="","",IFERROR(INDEX(Inbound!$F$2:$F$501,MATCH(C342,Inbound!$A$2:$A$501,0)),IFERROR(INDEX(Outbound!$E$2:$E$501,MATCH(C342,Outbound!$A$2:$A$501,0)),"Lead ID not found")))</f>
        <v/>
      </c>
      <c r="F342" s="17"/>
      <c r="G342" s="17"/>
      <c r="H342" s="17"/>
      <c r="I342" s="17"/>
      <c r="J342" s="17"/>
      <c r="K342" s="17"/>
      <c r="L342" s="17"/>
      <c r="M342" s="17"/>
      <c r="N342" s="44" t="str">
        <f aca="false">IF(C342="","",COUNTA(H342:M342))</f>
        <v/>
      </c>
      <c r="O342" s="44" t="str">
        <f aca="false">IF(OR(C342="",N(N342)=0),"",SUMIFS(Settings!$AA$2:$AA$21,Settings!$Y$2:$Y$21,"Budget AED 5k+/mo?",Settings!$Z$2:$Z$21,H342)+SUMIFS(Settings!$AA$2:$AA$21,Settings!$Y$2:$Y$21,"Decision-maker?",Settings!$Z$2:$Z$21,I342)+SUMIFS(Settings!$AA$2:$AA$21,Settings!$Y$2:$Y$21,"Someone on camera?",Settings!$Z$2:$Z$21,J342)+SUMIFS(Settings!$AA$2:$AA$21,Settings!$Y$2:$Y$21,"OK with 3-month term?",Settings!$Z$2:$Z$21,K342)+SUMIFS(Settings!$AA$2:$AA$21,Settings!$Y$2:$Y$21,"Start timeline",Settings!$Z$2:$Z$21,L342)+SUMIFS(Settings!$AA$2:$AA$21,Settings!$Y$2:$Y$21,"Social media gap",Settings!$Z$2:$Z$21,M342)+IF(OR(E342="",E342="Lead ID not found"),0,IF(COUNTIF(Settings!$AC$2:$AC$6,E342)&gt;0,Settings!$AA$20,Settings!$AA$21)))</f>
        <v/>
      </c>
      <c r="P342" s="44" t="str">
        <f aca="false">IF(C342="","",IF(N(N342)&lt;6,"Partly scored ("&amp;N342&amp;"/6)",IF(O342&gt;=Settings!$S$8,"Hot",IF(O342&gt;=Settings!$S$9,"Warm","Cold"))))</f>
        <v/>
      </c>
      <c r="Q342" s="44" t="str">
        <f aca="false">IF(C342="","",IF(AND(H342="No",J342="No"),"🚩 Budget  ·  🚩 No one on camera",IF(H342="No","🚩 Budget under AED 5k",IF(J342="No","🚩 No one on camera",""))))</f>
        <v/>
      </c>
      <c r="R342" s="44" t="str">
        <f aca="false">IF(C342="","",IF(N(N342)&lt;6,"Finish the scoresheet before closing",IF(P342="Hot","Close now – send the contract / proposal today",IF(P342="Warm","Send proposal + a relevant result; follow up in 3 days","Rep's call – nurture or close politely")))&amp;IF(Q342&lt;&gt;""," (handle the 🚩 first)",""))</f>
        <v/>
      </c>
      <c r="S342" s="17"/>
      <c r="T342" s="17"/>
      <c r="U342" s="44" t="str">
        <f aca="false">IF(C342="","",IF(COUNTIF(C343:C$501,C342)=0,1,0))</f>
        <v/>
      </c>
    </row>
    <row r="343" customFormat="false" ht="15" hidden="false" customHeight="false" outlineLevel="0" collapsed="false">
      <c r="A343" s="17"/>
      <c r="B343" s="40"/>
      <c r="C343" s="17"/>
      <c r="D343" s="44" t="str">
        <f aca="false">IF(C343="","",IFERROR(INDEX(Inbound!$E$2:$E$501,MATCH(C343,Inbound!$A$2:$A$501,0)),IFERROR(INDEX(Outbound!$D$2:$D$501,MATCH(C343,Outbound!$A$2:$A$501,0)),"Lead ID not found")))</f>
        <v/>
      </c>
      <c r="E343" s="44" t="str">
        <f aca="false">IF(C343="","",IFERROR(INDEX(Inbound!$F$2:$F$501,MATCH(C343,Inbound!$A$2:$A$501,0)),IFERROR(INDEX(Outbound!$E$2:$E$501,MATCH(C343,Outbound!$A$2:$A$501,0)),"Lead ID not found")))</f>
        <v/>
      </c>
      <c r="F343" s="17"/>
      <c r="G343" s="17"/>
      <c r="H343" s="17"/>
      <c r="I343" s="17"/>
      <c r="J343" s="17"/>
      <c r="K343" s="17"/>
      <c r="L343" s="17"/>
      <c r="M343" s="17"/>
      <c r="N343" s="44" t="str">
        <f aca="false">IF(C343="","",COUNTA(H343:M343))</f>
        <v/>
      </c>
      <c r="O343" s="44" t="str">
        <f aca="false">IF(OR(C343="",N(N343)=0),"",SUMIFS(Settings!$AA$2:$AA$21,Settings!$Y$2:$Y$21,"Budget AED 5k+/mo?",Settings!$Z$2:$Z$21,H343)+SUMIFS(Settings!$AA$2:$AA$21,Settings!$Y$2:$Y$21,"Decision-maker?",Settings!$Z$2:$Z$21,I343)+SUMIFS(Settings!$AA$2:$AA$21,Settings!$Y$2:$Y$21,"Someone on camera?",Settings!$Z$2:$Z$21,J343)+SUMIFS(Settings!$AA$2:$AA$21,Settings!$Y$2:$Y$21,"OK with 3-month term?",Settings!$Z$2:$Z$21,K343)+SUMIFS(Settings!$AA$2:$AA$21,Settings!$Y$2:$Y$21,"Start timeline",Settings!$Z$2:$Z$21,L343)+SUMIFS(Settings!$AA$2:$AA$21,Settings!$Y$2:$Y$21,"Social media gap",Settings!$Z$2:$Z$21,M343)+IF(OR(E343="",E343="Lead ID not found"),0,IF(COUNTIF(Settings!$AC$2:$AC$6,E343)&gt;0,Settings!$AA$20,Settings!$AA$21)))</f>
        <v/>
      </c>
      <c r="P343" s="44" t="str">
        <f aca="false">IF(C343="","",IF(N(N343)&lt;6,"Partly scored ("&amp;N343&amp;"/6)",IF(O343&gt;=Settings!$S$8,"Hot",IF(O343&gt;=Settings!$S$9,"Warm","Cold"))))</f>
        <v/>
      </c>
      <c r="Q343" s="44" t="str">
        <f aca="false">IF(C343="","",IF(AND(H343="No",J343="No"),"🚩 Budget  ·  🚩 No one on camera",IF(H343="No","🚩 Budget under AED 5k",IF(J343="No","🚩 No one on camera",""))))</f>
        <v/>
      </c>
      <c r="R343" s="44" t="str">
        <f aca="false">IF(C343="","",IF(N(N343)&lt;6,"Finish the scoresheet before closing",IF(P343="Hot","Close now – send the contract / proposal today",IF(P343="Warm","Send proposal + a relevant result; follow up in 3 days","Rep's call – nurture or close politely")))&amp;IF(Q343&lt;&gt;""," (handle the 🚩 first)",""))</f>
        <v/>
      </c>
      <c r="S343" s="17"/>
      <c r="T343" s="17"/>
      <c r="U343" s="44" t="str">
        <f aca="false">IF(C343="","",IF(COUNTIF(C344:C$501,C343)=0,1,0))</f>
        <v/>
      </c>
    </row>
    <row r="344" customFormat="false" ht="15" hidden="false" customHeight="false" outlineLevel="0" collapsed="false">
      <c r="A344" s="17"/>
      <c r="B344" s="40"/>
      <c r="C344" s="17"/>
      <c r="D344" s="44" t="str">
        <f aca="false">IF(C344="","",IFERROR(INDEX(Inbound!$E$2:$E$501,MATCH(C344,Inbound!$A$2:$A$501,0)),IFERROR(INDEX(Outbound!$D$2:$D$501,MATCH(C344,Outbound!$A$2:$A$501,0)),"Lead ID not found")))</f>
        <v/>
      </c>
      <c r="E344" s="44" t="str">
        <f aca="false">IF(C344="","",IFERROR(INDEX(Inbound!$F$2:$F$501,MATCH(C344,Inbound!$A$2:$A$501,0)),IFERROR(INDEX(Outbound!$E$2:$E$501,MATCH(C344,Outbound!$A$2:$A$501,0)),"Lead ID not found")))</f>
        <v/>
      </c>
      <c r="F344" s="17"/>
      <c r="G344" s="17"/>
      <c r="H344" s="17"/>
      <c r="I344" s="17"/>
      <c r="J344" s="17"/>
      <c r="K344" s="17"/>
      <c r="L344" s="17"/>
      <c r="M344" s="17"/>
      <c r="N344" s="44" t="str">
        <f aca="false">IF(C344="","",COUNTA(H344:M344))</f>
        <v/>
      </c>
      <c r="O344" s="44" t="str">
        <f aca="false">IF(OR(C344="",N(N344)=0),"",SUMIFS(Settings!$AA$2:$AA$21,Settings!$Y$2:$Y$21,"Budget AED 5k+/mo?",Settings!$Z$2:$Z$21,H344)+SUMIFS(Settings!$AA$2:$AA$21,Settings!$Y$2:$Y$21,"Decision-maker?",Settings!$Z$2:$Z$21,I344)+SUMIFS(Settings!$AA$2:$AA$21,Settings!$Y$2:$Y$21,"Someone on camera?",Settings!$Z$2:$Z$21,J344)+SUMIFS(Settings!$AA$2:$AA$21,Settings!$Y$2:$Y$21,"OK with 3-month term?",Settings!$Z$2:$Z$21,K344)+SUMIFS(Settings!$AA$2:$AA$21,Settings!$Y$2:$Y$21,"Start timeline",Settings!$Z$2:$Z$21,L344)+SUMIFS(Settings!$AA$2:$AA$21,Settings!$Y$2:$Y$21,"Social media gap",Settings!$Z$2:$Z$21,M344)+IF(OR(E344="",E344="Lead ID not found"),0,IF(COUNTIF(Settings!$AC$2:$AC$6,E344)&gt;0,Settings!$AA$20,Settings!$AA$21)))</f>
        <v/>
      </c>
      <c r="P344" s="44" t="str">
        <f aca="false">IF(C344="","",IF(N(N344)&lt;6,"Partly scored ("&amp;N344&amp;"/6)",IF(O344&gt;=Settings!$S$8,"Hot",IF(O344&gt;=Settings!$S$9,"Warm","Cold"))))</f>
        <v/>
      </c>
      <c r="Q344" s="44" t="str">
        <f aca="false">IF(C344="","",IF(AND(H344="No",J344="No"),"🚩 Budget  ·  🚩 No one on camera",IF(H344="No","🚩 Budget under AED 5k",IF(J344="No","🚩 No one on camera",""))))</f>
        <v/>
      </c>
      <c r="R344" s="44" t="str">
        <f aca="false">IF(C344="","",IF(N(N344)&lt;6,"Finish the scoresheet before closing",IF(P344="Hot","Close now – send the contract / proposal today",IF(P344="Warm","Send proposal + a relevant result; follow up in 3 days","Rep's call – nurture or close politely")))&amp;IF(Q344&lt;&gt;""," (handle the 🚩 first)",""))</f>
        <v/>
      </c>
      <c r="S344" s="17"/>
      <c r="T344" s="17"/>
      <c r="U344" s="44" t="str">
        <f aca="false">IF(C344="","",IF(COUNTIF(C345:C$501,C344)=0,1,0))</f>
        <v/>
      </c>
    </row>
    <row r="345" customFormat="false" ht="15" hidden="false" customHeight="false" outlineLevel="0" collapsed="false">
      <c r="A345" s="17"/>
      <c r="B345" s="40"/>
      <c r="C345" s="17"/>
      <c r="D345" s="44" t="str">
        <f aca="false">IF(C345="","",IFERROR(INDEX(Inbound!$E$2:$E$501,MATCH(C345,Inbound!$A$2:$A$501,0)),IFERROR(INDEX(Outbound!$D$2:$D$501,MATCH(C345,Outbound!$A$2:$A$501,0)),"Lead ID not found")))</f>
        <v/>
      </c>
      <c r="E345" s="44" t="str">
        <f aca="false">IF(C345="","",IFERROR(INDEX(Inbound!$F$2:$F$501,MATCH(C345,Inbound!$A$2:$A$501,0)),IFERROR(INDEX(Outbound!$E$2:$E$501,MATCH(C345,Outbound!$A$2:$A$501,0)),"Lead ID not found")))</f>
        <v/>
      </c>
      <c r="F345" s="17"/>
      <c r="G345" s="17"/>
      <c r="H345" s="17"/>
      <c r="I345" s="17"/>
      <c r="J345" s="17"/>
      <c r="K345" s="17"/>
      <c r="L345" s="17"/>
      <c r="M345" s="17"/>
      <c r="N345" s="44" t="str">
        <f aca="false">IF(C345="","",COUNTA(H345:M345))</f>
        <v/>
      </c>
      <c r="O345" s="44" t="str">
        <f aca="false">IF(OR(C345="",N(N345)=0),"",SUMIFS(Settings!$AA$2:$AA$21,Settings!$Y$2:$Y$21,"Budget AED 5k+/mo?",Settings!$Z$2:$Z$21,H345)+SUMIFS(Settings!$AA$2:$AA$21,Settings!$Y$2:$Y$21,"Decision-maker?",Settings!$Z$2:$Z$21,I345)+SUMIFS(Settings!$AA$2:$AA$21,Settings!$Y$2:$Y$21,"Someone on camera?",Settings!$Z$2:$Z$21,J345)+SUMIFS(Settings!$AA$2:$AA$21,Settings!$Y$2:$Y$21,"OK with 3-month term?",Settings!$Z$2:$Z$21,K345)+SUMIFS(Settings!$AA$2:$AA$21,Settings!$Y$2:$Y$21,"Start timeline",Settings!$Z$2:$Z$21,L345)+SUMIFS(Settings!$AA$2:$AA$21,Settings!$Y$2:$Y$21,"Social media gap",Settings!$Z$2:$Z$21,M345)+IF(OR(E345="",E345="Lead ID not found"),0,IF(COUNTIF(Settings!$AC$2:$AC$6,E345)&gt;0,Settings!$AA$20,Settings!$AA$21)))</f>
        <v/>
      </c>
      <c r="P345" s="44" t="str">
        <f aca="false">IF(C345="","",IF(N(N345)&lt;6,"Partly scored ("&amp;N345&amp;"/6)",IF(O345&gt;=Settings!$S$8,"Hot",IF(O345&gt;=Settings!$S$9,"Warm","Cold"))))</f>
        <v/>
      </c>
      <c r="Q345" s="44" t="str">
        <f aca="false">IF(C345="","",IF(AND(H345="No",J345="No"),"🚩 Budget  ·  🚩 No one on camera",IF(H345="No","🚩 Budget under AED 5k",IF(J345="No","🚩 No one on camera",""))))</f>
        <v/>
      </c>
      <c r="R345" s="44" t="str">
        <f aca="false">IF(C345="","",IF(N(N345)&lt;6,"Finish the scoresheet before closing",IF(P345="Hot","Close now – send the contract / proposal today",IF(P345="Warm","Send proposal + a relevant result; follow up in 3 days","Rep's call – nurture or close politely")))&amp;IF(Q345&lt;&gt;""," (handle the 🚩 first)",""))</f>
        <v/>
      </c>
      <c r="S345" s="17"/>
      <c r="T345" s="17"/>
      <c r="U345" s="44" t="str">
        <f aca="false">IF(C345="","",IF(COUNTIF(C346:C$501,C345)=0,1,0))</f>
        <v/>
      </c>
    </row>
    <row r="346" customFormat="false" ht="15" hidden="false" customHeight="false" outlineLevel="0" collapsed="false">
      <c r="A346" s="17"/>
      <c r="B346" s="40"/>
      <c r="C346" s="17"/>
      <c r="D346" s="44" t="str">
        <f aca="false">IF(C346="","",IFERROR(INDEX(Inbound!$E$2:$E$501,MATCH(C346,Inbound!$A$2:$A$501,0)),IFERROR(INDEX(Outbound!$D$2:$D$501,MATCH(C346,Outbound!$A$2:$A$501,0)),"Lead ID not found")))</f>
        <v/>
      </c>
      <c r="E346" s="44" t="str">
        <f aca="false">IF(C346="","",IFERROR(INDEX(Inbound!$F$2:$F$501,MATCH(C346,Inbound!$A$2:$A$501,0)),IFERROR(INDEX(Outbound!$E$2:$E$501,MATCH(C346,Outbound!$A$2:$A$501,0)),"Lead ID not found")))</f>
        <v/>
      </c>
      <c r="F346" s="17"/>
      <c r="G346" s="17"/>
      <c r="H346" s="17"/>
      <c r="I346" s="17"/>
      <c r="J346" s="17"/>
      <c r="K346" s="17"/>
      <c r="L346" s="17"/>
      <c r="M346" s="17"/>
      <c r="N346" s="44" t="str">
        <f aca="false">IF(C346="","",COUNTA(H346:M346))</f>
        <v/>
      </c>
      <c r="O346" s="44" t="str">
        <f aca="false">IF(OR(C346="",N(N346)=0),"",SUMIFS(Settings!$AA$2:$AA$21,Settings!$Y$2:$Y$21,"Budget AED 5k+/mo?",Settings!$Z$2:$Z$21,H346)+SUMIFS(Settings!$AA$2:$AA$21,Settings!$Y$2:$Y$21,"Decision-maker?",Settings!$Z$2:$Z$21,I346)+SUMIFS(Settings!$AA$2:$AA$21,Settings!$Y$2:$Y$21,"Someone on camera?",Settings!$Z$2:$Z$21,J346)+SUMIFS(Settings!$AA$2:$AA$21,Settings!$Y$2:$Y$21,"OK with 3-month term?",Settings!$Z$2:$Z$21,K346)+SUMIFS(Settings!$AA$2:$AA$21,Settings!$Y$2:$Y$21,"Start timeline",Settings!$Z$2:$Z$21,L346)+SUMIFS(Settings!$AA$2:$AA$21,Settings!$Y$2:$Y$21,"Social media gap",Settings!$Z$2:$Z$21,M346)+IF(OR(E346="",E346="Lead ID not found"),0,IF(COUNTIF(Settings!$AC$2:$AC$6,E346)&gt;0,Settings!$AA$20,Settings!$AA$21)))</f>
        <v/>
      </c>
      <c r="P346" s="44" t="str">
        <f aca="false">IF(C346="","",IF(N(N346)&lt;6,"Partly scored ("&amp;N346&amp;"/6)",IF(O346&gt;=Settings!$S$8,"Hot",IF(O346&gt;=Settings!$S$9,"Warm","Cold"))))</f>
        <v/>
      </c>
      <c r="Q346" s="44" t="str">
        <f aca="false">IF(C346="","",IF(AND(H346="No",J346="No"),"🚩 Budget  ·  🚩 No one on camera",IF(H346="No","🚩 Budget under AED 5k",IF(J346="No","🚩 No one on camera",""))))</f>
        <v/>
      </c>
      <c r="R346" s="44" t="str">
        <f aca="false">IF(C346="","",IF(N(N346)&lt;6,"Finish the scoresheet before closing",IF(P346="Hot","Close now – send the contract / proposal today",IF(P346="Warm","Send proposal + a relevant result; follow up in 3 days","Rep's call – nurture or close politely")))&amp;IF(Q346&lt;&gt;""," (handle the 🚩 first)",""))</f>
        <v/>
      </c>
      <c r="S346" s="17"/>
      <c r="T346" s="17"/>
      <c r="U346" s="44" t="str">
        <f aca="false">IF(C346="","",IF(COUNTIF(C347:C$501,C346)=0,1,0))</f>
        <v/>
      </c>
    </row>
    <row r="347" customFormat="false" ht="15" hidden="false" customHeight="false" outlineLevel="0" collapsed="false">
      <c r="A347" s="17"/>
      <c r="B347" s="40"/>
      <c r="C347" s="17"/>
      <c r="D347" s="44" t="str">
        <f aca="false">IF(C347="","",IFERROR(INDEX(Inbound!$E$2:$E$501,MATCH(C347,Inbound!$A$2:$A$501,0)),IFERROR(INDEX(Outbound!$D$2:$D$501,MATCH(C347,Outbound!$A$2:$A$501,0)),"Lead ID not found")))</f>
        <v/>
      </c>
      <c r="E347" s="44" t="str">
        <f aca="false">IF(C347="","",IFERROR(INDEX(Inbound!$F$2:$F$501,MATCH(C347,Inbound!$A$2:$A$501,0)),IFERROR(INDEX(Outbound!$E$2:$E$501,MATCH(C347,Outbound!$A$2:$A$501,0)),"Lead ID not found")))</f>
        <v/>
      </c>
      <c r="F347" s="17"/>
      <c r="G347" s="17"/>
      <c r="H347" s="17"/>
      <c r="I347" s="17"/>
      <c r="J347" s="17"/>
      <c r="K347" s="17"/>
      <c r="L347" s="17"/>
      <c r="M347" s="17"/>
      <c r="N347" s="44" t="str">
        <f aca="false">IF(C347="","",COUNTA(H347:M347))</f>
        <v/>
      </c>
      <c r="O347" s="44" t="str">
        <f aca="false">IF(OR(C347="",N(N347)=0),"",SUMIFS(Settings!$AA$2:$AA$21,Settings!$Y$2:$Y$21,"Budget AED 5k+/mo?",Settings!$Z$2:$Z$21,H347)+SUMIFS(Settings!$AA$2:$AA$21,Settings!$Y$2:$Y$21,"Decision-maker?",Settings!$Z$2:$Z$21,I347)+SUMIFS(Settings!$AA$2:$AA$21,Settings!$Y$2:$Y$21,"Someone on camera?",Settings!$Z$2:$Z$21,J347)+SUMIFS(Settings!$AA$2:$AA$21,Settings!$Y$2:$Y$21,"OK with 3-month term?",Settings!$Z$2:$Z$21,K347)+SUMIFS(Settings!$AA$2:$AA$21,Settings!$Y$2:$Y$21,"Start timeline",Settings!$Z$2:$Z$21,L347)+SUMIFS(Settings!$AA$2:$AA$21,Settings!$Y$2:$Y$21,"Social media gap",Settings!$Z$2:$Z$21,M347)+IF(OR(E347="",E347="Lead ID not found"),0,IF(COUNTIF(Settings!$AC$2:$AC$6,E347)&gt;0,Settings!$AA$20,Settings!$AA$21)))</f>
        <v/>
      </c>
      <c r="P347" s="44" t="str">
        <f aca="false">IF(C347="","",IF(N(N347)&lt;6,"Partly scored ("&amp;N347&amp;"/6)",IF(O347&gt;=Settings!$S$8,"Hot",IF(O347&gt;=Settings!$S$9,"Warm","Cold"))))</f>
        <v/>
      </c>
      <c r="Q347" s="44" t="str">
        <f aca="false">IF(C347="","",IF(AND(H347="No",J347="No"),"🚩 Budget  ·  🚩 No one on camera",IF(H347="No","🚩 Budget under AED 5k",IF(J347="No","🚩 No one on camera",""))))</f>
        <v/>
      </c>
      <c r="R347" s="44" t="str">
        <f aca="false">IF(C347="","",IF(N(N347)&lt;6,"Finish the scoresheet before closing",IF(P347="Hot","Close now – send the contract / proposal today",IF(P347="Warm","Send proposal + a relevant result; follow up in 3 days","Rep's call – nurture or close politely")))&amp;IF(Q347&lt;&gt;""," (handle the 🚩 first)",""))</f>
        <v/>
      </c>
      <c r="S347" s="17"/>
      <c r="T347" s="17"/>
      <c r="U347" s="44" t="str">
        <f aca="false">IF(C347="","",IF(COUNTIF(C348:C$501,C347)=0,1,0))</f>
        <v/>
      </c>
    </row>
    <row r="348" customFormat="false" ht="15" hidden="false" customHeight="false" outlineLevel="0" collapsed="false">
      <c r="A348" s="17"/>
      <c r="B348" s="40"/>
      <c r="C348" s="17"/>
      <c r="D348" s="44" t="str">
        <f aca="false">IF(C348="","",IFERROR(INDEX(Inbound!$E$2:$E$501,MATCH(C348,Inbound!$A$2:$A$501,0)),IFERROR(INDEX(Outbound!$D$2:$D$501,MATCH(C348,Outbound!$A$2:$A$501,0)),"Lead ID not found")))</f>
        <v/>
      </c>
      <c r="E348" s="44" t="str">
        <f aca="false">IF(C348="","",IFERROR(INDEX(Inbound!$F$2:$F$501,MATCH(C348,Inbound!$A$2:$A$501,0)),IFERROR(INDEX(Outbound!$E$2:$E$501,MATCH(C348,Outbound!$A$2:$A$501,0)),"Lead ID not found")))</f>
        <v/>
      </c>
      <c r="F348" s="17"/>
      <c r="G348" s="17"/>
      <c r="H348" s="17"/>
      <c r="I348" s="17"/>
      <c r="J348" s="17"/>
      <c r="K348" s="17"/>
      <c r="L348" s="17"/>
      <c r="M348" s="17"/>
      <c r="N348" s="44" t="str">
        <f aca="false">IF(C348="","",COUNTA(H348:M348))</f>
        <v/>
      </c>
      <c r="O348" s="44" t="str">
        <f aca="false">IF(OR(C348="",N(N348)=0),"",SUMIFS(Settings!$AA$2:$AA$21,Settings!$Y$2:$Y$21,"Budget AED 5k+/mo?",Settings!$Z$2:$Z$21,H348)+SUMIFS(Settings!$AA$2:$AA$21,Settings!$Y$2:$Y$21,"Decision-maker?",Settings!$Z$2:$Z$21,I348)+SUMIFS(Settings!$AA$2:$AA$21,Settings!$Y$2:$Y$21,"Someone on camera?",Settings!$Z$2:$Z$21,J348)+SUMIFS(Settings!$AA$2:$AA$21,Settings!$Y$2:$Y$21,"OK with 3-month term?",Settings!$Z$2:$Z$21,K348)+SUMIFS(Settings!$AA$2:$AA$21,Settings!$Y$2:$Y$21,"Start timeline",Settings!$Z$2:$Z$21,L348)+SUMIFS(Settings!$AA$2:$AA$21,Settings!$Y$2:$Y$21,"Social media gap",Settings!$Z$2:$Z$21,M348)+IF(OR(E348="",E348="Lead ID not found"),0,IF(COUNTIF(Settings!$AC$2:$AC$6,E348)&gt;0,Settings!$AA$20,Settings!$AA$21)))</f>
        <v/>
      </c>
      <c r="P348" s="44" t="str">
        <f aca="false">IF(C348="","",IF(N(N348)&lt;6,"Partly scored ("&amp;N348&amp;"/6)",IF(O348&gt;=Settings!$S$8,"Hot",IF(O348&gt;=Settings!$S$9,"Warm","Cold"))))</f>
        <v/>
      </c>
      <c r="Q348" s="44" t="str">
        <f aca="false">IF(C348="","",IF(AND(H348="No",J348="No"),"🚩 Budget  ·  🚩 No one on camera",IF(H348="No","🚩 Budget under AED 5k",IF(J348="No","🚩 No one on camera",""))))</f>
        <v/>
      </c>
      <c r="R348" s="44" t="str">
        <f aca="false">IF(C348="","",IF(N(N348)&lt;6,"Finish the scoresheet before closing",IF(P348="Hot","Close now – send the contract / proposal today",IF(P348="Warm","Send proposal + a relevant result; follow up in 3 days","Rep's call – nurture or close politely")))&amp;IF(Q348&lt;&gt;""," (handle the 🚩 first)",""))</f>
        <v/>
      </c>
      <c r="S348" s="17"/>
      <c r="T348" s="17"/>
      <c r="U348" s="44" t="str">
        <f aca="false">IF(C348="","",IF(COUNTIF(C349:C$501,C348)=0,1,0))</f>
        <v/>
      </c>
    </row>
    <row r="349" customFormat="false" ht="15" hidden="false" customHeight="false" outlineLevel="0" collapsed="false">
      <c r="A349" s="17"/>
      <c r="B349" s="40"/>
      <c r="C349" s="17"/>
      <c r="D349" s="44" t="str">
        <f aca="false">IF(C349="","",IFERROR(INDEX(Inbound!$E$2:$E$501,MATCH(C349,Inbound!$A$2:$A$501,0)),IFERROR(INDEX(Outbound!$D$2:$D$501,MATCH(C349,Outbound!$A$2:$A$501,0)),"Lead ID not found")))</f>
        <v/>
      </c>
      <c r="E349" s="44" t="str">
        <f aca="false">IF(C349="","",IFERROR(INDEX(Inbound!$F$2:$F$501,MATCH(C349,Inbound!$A$2:$A$501,0)),IFERROR(INDEX(Outbound!$E$2:$E$501,MATCH(C349,Outbound!$A$2:$A$501,0)),"Lead ID not found")))</f>
        <v/>
      </c>
      <c r="F349" s="17"/>
      <c r="G349" s="17"/>
      <c r="H349" s="17"/>
      <c r="I349" s="17"/>
      <c r="J349" s="17"/>
      <c r="K349" s="17"/>
      <c r="L349" s="17"/>
      <c r="M349" s="17"/>
      <c r="N349" s="44" t="str">
        <f aca="false">IF(C349="","",COUNTA(H349:M349))</f>
        <v/>
      </c>
      <c r="O349" s="44" t="str">
        <f aca="false">IF(OR(C349="",N(N349)=0),"",SUMIFS(Settings!$AA$2:$AA$21,Settings!$Y$2:$Y$21,"Budget AED 5k+/mo?",Settings!$Z$2:$Z$21,H349)+SUMIFS(Settings!$AA$2:$AA$21,Settings!$Y$2:$Y$21,"Decision-maker?",Settings!$Z$2:$Z$21,I349)+SUMIFS(Settings!$AA$2:$AA$21,Settings!$Y$2:$Y$21,"Someone on camera?",Settings!$Z$2:$Z$21,J349)+SUMIFS(Settings!$AA$2:$AA$21,Settings!$Y$2:$Y$21,"OK with 3-month term?",Settings!$Z$2:$Z$21,K349)+SUMIFS(Settings!$AA$2:$AA$21,Settings!$Y$2:$Y$21,"Start timeline",Settings!$Z$2:$Z$21,L349)+SUMIFS(Settings!$AA$2:$AA$21,Settings!$Y$2:$Y$21,"Social media gap",Settings!$Z$2:$Z$21,M349)+IF(OR(E349="",E349="Lead ID not found"),0,IF(COUNTIF(Settings!$AC$2:$AC$6,E349)&gt;0,Settings!$AA$20,Settings!$AA$21)))</f>
        <v/>
      </c>
      <c r="P349" s="44" t="str">
        <f aca="false">IF(C349="","",IF(N(N349)&lt;6,"Partly scored ("&amp;N349&amp;"/6)",IF(O349&gt;=Settings!$S$8,"Hot",IF(O349&gt;=Settings!$S$9,"Warm","Cold"))))</f>
        <v/>
      </c>
      <c r="Q349" s="44" t="str">
        <f aca="false">IF(C349="","",IF(AND(H349="No",J349="No"),"🚩 Budget  ·  🚩 No one on camera",IF(H349="No","🚩 Budget under AED 5k",IF(J349="No","🚩 No one on camera",""))))</f>
        <v/>
      </c>
      <c r="R349" s="44" t="str">
        <f aca="false">IF(C349="","",IF(N(N349)&lt;6,"Finish the scoresheet before closing",IF(P349="Hot","Close now – send the contract / proposal today",IF(P349="Warm","Send proposal + a relevant result; follow up in 3 days","Rep's call – nurture or close politely")))&amp;IF(Q349&lt;&gt;""," (handle the 🚩 first)",""))</f>
        <v/>
      </c>
      <c r="S349" s="17"/>
      <c r="T349" s="17"/>
      <c r="U349" s="44" t="str">
        <f aca="false">IF(C349="","",IF(COUNTIF(C350:C$501,C349)=0,1,0))</f>
        <v/>
      </c>
    </row>
    <row r="350" customFormat="false" ht="15" hidden="false" customHeight="false" outlineLevel="0" collapsed="false">
      <c r="A350" s="17"/>
      <c r="B350" s="40"/>
      <c r="C350" s="17"/>
      <c r="D350" s="44" t="str">
        <f aca="false">IF(C350="","",IFERROR(INDEX(Inbound!$E$2:$E$501,MATCH(C350,Inbound!$A$2:$A$501,0)),IFERROR(INDEX(Outbound!$D$2:$D$501,MATCH(C350,Outbound!$A$2:$A$501,0)),"Lead ID not found")))</f>
        <v/>
      </c>
      <c r="E350" s="44" t="str">
        <f aca="false">IF(C350="","",IFERROR(INDEX(Inbound!$F$2:$F$501,MATCH(C350,Inbound!$A$2:$A$501,0)),IFERROR(INDEX(Outbound!$E$2:$E$501,MATCH(C350,Outbound!$A$2:$A$501,0)),"Lead ID not found")))</f>
        <v/>
      </c>
      <c r="F350" s="17"/>
      <c r="G350" s="17"/>
      <c r="H350" s="17"/>
      <c r="I350" s="17"/>
      <c r="J350" s="17"/>
      <c r="K350" s="17"/>
      <c r="L350" s="17"/>
      <c r="M350" s="17"/>
      <c r="N350" s="44" t="str">
        <f aca="false">IF(C350="","",COUNTA(H350:M350))</f>
        <v/>
      </c>
      <c r="O350" s="44" t="str">
        <f aca="false">IF(OR(C350="",N(N350)=0),"",SUMIFS(Settings!$AA$2:$AA$21,Settings!$Y$2:$Y$21,"Budget AED 5k+/mo?",Settings!$Z$2:$Z$21,H350)+SUMIFS(Settings!$AA$2:$AA$21,Settings!$Y$2:$Y$21,"Decision-maker?",Settings!$Z$2:$Z$21,I350)+SUMIFS(Settings!$AA$2:$AA$21,Settings!$Y$2:$Y$21,"Someone on camera?",Settings!$Z$2:$Z$21,J350)+SUMIFS(Settings!$AA$2:$AA$21,Settings!$Y$2:$Y$21,"OK with 3-month term?",Settings!$Z$2:$Z$21,K350)+SUMIFS(Settings!$AA$2:$AA$21,Settings!$Y$2:$Y$21,"Start timeline",Settings!$Z$2:$Z$21,L350)+SUMIFS(Settings!$AA$2:$AA$21,Settings!$Y$2:$Y$21,"Social media gap",Settings!$Z$2:$Z$21,M350)+IF(OR(E350="",E350="Lead ID not found"),0,IF(COUNTIF(Settings!$AC$2:$AC$6,E350)&gt;0,Settings!$AA$20,Settings!$AA$21)))</f>
        <v/>
      </c>
      <c r="P350" s="44" t="str">
        <f aca="false">IF(C350="","",IF(N(N350)&lt;6,"Partly scored ("&amp;N350&amp;"/6)",IF(O350&gt;=Settings!$S$8,"Hot",IF(O350&gt;=Settings!$S$9,"Warm","Cold"))))</f>
        <v/>
      </c>
      <c r="Q350" s="44" t="str">
        <f aca="false">IF(C350="","",IF(AND(H350="No",J350="No"),"🚩 Budget  ·  🚩 No one on camera",IF(H350="No","🚩 Budget under AED 5k",IF(J350="No","🚩 No one on camera",""))))</f>
        <v/>
      </c>
      <c r="R350" s="44" t="str">
        <f aca="false">IF(C350="","",IF(N(N350)&lt;6,"Finish the scoresheet before closing",IF(P350="Hot","Close now – send the contract / proposal today",IF(P350="Warm","Send proposal + a relevant result; follow up in 3 days","Rep's call – nurture or close politely")))&amp;IF(Q350&lt;&gt;""," (handle the 🚩 first)",""))</f>
        <v/>
      </c>
      <c r="S350" s="17"/>
      <c r="T350" s="17"/>
      <c r="U350" s="44" t="str">
        <f aca="false">IF(C350="","",IF(COUNTIF(C351:C$501,C350)=0,1,0))</f>
        <v/>
      </c>
    </row>
    <row r="351" customFormat="false" ht="15" hidden="false" customHeight="false" outlineLevel="0" collapsed="false">
      <c r="A351" s="17"/>
      <c r="B351" s="40"/>
      <c r="C351" s="17"/>
      <c r="D351" s="44" t="str">
        <f aca="false">IF(C351="","",IFERROR(INDEX(Inbound!$E$2:$E$501,MATCH(C351,Inbound!$A$2:$A$501,0)),IFERROR(INDEX(Outbound!$D$2:$D$501,MATCH(C351,Outbound!$A$2:$A$501,0)),"Lead ID not found")))</f>
        <v/>
      </c>
      <c r="E351" s="44" t="str">
        <f aca="false">IF(C351="","",IFERROR(INDEX(Inbound!$F$2:$F$501,MATCH(C351,Inbound!$A$2:$A$501,0)),IFERROR(INDEX(Outbound!$E$2:$E$501,MATCH(C351,Outbound!$A$2:$A$501,0)),"Lead ID not found")))</f>
        <v/>
      </c>
      <c r="F351" s="17"/>
      <c r="G351" s="17"/>
      <c r="H351" s="17"/>
      <c r="I351" s="17"/>
      <c r="J351" s="17"/>
      <c r="K351" s="17"/>
      <c r="L351" s="17"/>
      <c r="M351" s="17"/>
      <c r="N351" s="44" t="str">
        <f aca="false">IF(C351="","",COUNTA(H351:M351))</f>
        <v/>
      </c>
      <c r="O351" s="44" t="str">
        <f aca="false">IF(OR(C351="",N(N351)=0),"",SUMIFS(Settings!$AA$2:$AA$21,Settings!$Y$2:$Y$21,"Budget AED 5k+/mo?",Settings!$Z$2:$Z$21,H351)+SUMIFS(Settings!$AA$2:$AA$21,Settings!$Y$2:$Y$21,"Decision-maker?",Settings!$Z$2:$Z$21,I351)+SUMIFS(Settings!$AA$2:$AA$21,Settings!$Y$2:$Y$21,"Someone on camera?",Settings!$Z$2:$Z$21,J351)+SUMIFS(Settings!$AA$2:$AA$21,Settings!$Y$2:$Y$21,"OK with 3-month term?",Settings!$Z$2:$Z$21,K351)+SUMIFS(Settings!$AA$2:$AA$21,Settings!$Y$2:$Y$21,"Start timeline",Settings!$Z$2:$Z$21,L351)+SUMIFS(Settings!$AA$2:$AA$21,Settings!$Y$2:$Y$21,"Social media gap",Settings!$Z$2:$Z$21,M351)+IF(OR(E351="",E351="Lead ID not found"),0,IF(COUNTIF(Settings!$AC$2:$AC$6,E351)&gt;0,Settings!$AA$20,Settings!$AA$21)))</f>
        <v/>
      </c>
      <c r="P351" s="44" t="str">
        <f aca="false">IF(C351="","",IF(N(N351)&lt;6,"Partly scored ("&amp;N351&amp;"/6)",IF(O351&gt;=Settings!$S$8,"Hot",IF(O351&gt;=Settings!$S$9,"Warm","Cold"))))</f>
        <v/>
      </c>
      <c r="Q351" s="44" t="str">
        <f aca="false">IF(C351="","",IF(AND(H351="No",J351="No"),"🚩 Budget  ·  🚩 No one on camera",IF(H351="No","🚩 Budget under AED 5k",IF(J351="No","🚩 No one on camera",""))))</f>
        <v/>
      </c>
      <c r="R351" s="44" t="str">
        <f aca="false">IF(C351="","",IF(N(N351)&lt;6,"Finish the scoresheet before closing",IF(P351="Hot","Close now – send the contract / proposal today",IF(P351="Warm","Send proposal + a relevant result; follow up in 3 days","Rep's call – nurture or close politely")))&amp;IF(Q351&lt;&gt;""," (handle the 🚩 first)",""))</f>
        <v/>
      </c>
      <c r="S351" s="17"/>
      <c r="T351" s="17"/>
      <c r="U351" s="44" t="str">
        <f aca="false">IF(C351="","",IF(COUNTIF(C352:C$501,C351)=0,1,0))</f>
        <v/>
      </c>
    </row>
    <row r="352" customFormat="false" ht="15" hidden="false" customHeight="false" outlineLevel="0" collapsed="false">
      <c r="A352" s="17"/>
      <c r="B352" s="40"/>
      <c r="C352" s="17"/>
      <c r="D352" s="44" t="str">
        <f aca="false">IF(C352="","",IFERROR(INDEX(Inbound!$E$2:$E$501,MATCH(C352,Inbound!$A$2:$A$501,0)),IFERROR(INDEX(Outbound!$D$2:$D$501,MATCH(C352,Outbound!$A$2:$A$501,0)),"Lead ID not found")))</f>
        <v/>
      </c>
      <c r="E352" s="44" t="str">
        <f aca="false">IF(C352="","",IFERROR(INDEX(Inbound!$F$2:$F$501,MATCH(C352,Inbound!$A$2:$A$501,0)),IFERROR(INDEX(Outbound!$E$2:$E$501,MATCH(C352,Outbound!$A$2:$A$501,0)),"Lead ID not found")))</f>
        <v/>
      </c>
      <c r="F352" s="17"/>
      <c r="G352" s="17"/>
      <c r="H352" s="17"/>
      <c r="I352" s="17"/>
      <c r="J352" s="17"/>
      <c r="K352" s="17"/>
      <c r="L352" s="17"/>
      <c r="M352" s="17"/>
      <c r="N352" s="44" t="str">
        <f aca="false">IF(C352="","",COUNTA(H352:M352))</f>
        <v/>
      </c>
      <c r="O352" s="44" t="str">
        <f aca="false">IF(OR(C352="",N(N352)=0),"",SUMIFS(Settings!$AA$2:$AA$21,Settings!$Y$2:$Y$21,"Budget AED 5k+/mo?",Settings!$Z$2:$Z$21,H352)+SUMIFS(Settings!$AA$2:$AA$21,Settings!$Y$2:$Y$21,"Decision-maker?",Settings!$Z$2:$Z$21,I352)+SUMIFS(Settings!$AA$2:$AA$21,Settings!$Y$2:$Y$21,"Someone on camera?",Settings!$Z$2:$Z$21,J352)+SUMIFS(Settings!$AA$2:$AA$21,Settings!$Y$2:$Y$21,"OK with 3-month term?",Settings!$Z$2:$Z$21,K352)+SUMIFS(Settings!$AA$2:$AA$21,Settings!$Y$2:$Y$21,"Start timeline",Settings!$Z$2:$Z$21,L352)+SUMIFS(Settings!$AA$2:$AA$21,Settings!$Y$2:$Y$21,"Social media gap",Settings!$Z$2:$Z$21,M352)+IF(OR(E352="",E352="Lead ID not found"),0,IF(COUNTIF(Settings!$AC$2:$AC$6,E352)&gt;0,Settings!$AA$20,Settings!$AA$21)))</f>
        <v/>
      </c>
      <c r="P352" s="44" t="str">
        <f aca="false">IF(C352="","",IF(N(N352)&lt;6,"Partly scored ("&amp;N352&amp;"/6)",IF(O352&gt;=Settings!$S$8,"Hot",IF(O352&gt;=Settings!$S$9,"Warm","Cold"))))</f>
        <v/>
      </c>
      <c r="Q352" s="44" t="str">
        <f aca="false">IF(C352="","",IF(AND(H352="No",J352="No"),"🚩 Budget  ·  🚩 No one on camera",IF(H352="No","🚩 Budget under AED 5k",IF(J352="No","🚩 No one on camera",""))))</f>
        <v/>
      </c>
      <c r="R352" s="44" t="str">
        <f aca="false">IF(C352="","",IF(N(N352)&lt;6,"Finish the scoresheet before closing",IF(P352="Hot","Close now – send the contract / proposal today",IF(P352="Warm","Send proposal + a relevant result; follow up in 3 days","Rep's call – nurture or close politely")))&amp;IF(Q352&lt;&gt;""," (handle the 🚩 first)",""))</f>
        <v/>
      </c>
      <c r="S352" s="17"/>
      <c r="T352" s="17"/>
      <c r="U352" s="44" t="str">
        <f aca="false">IF(C352="","",IF(COUNTIF(C353:C$501,C352)=0,1,0))</f>
        <v/>
      </c>
    </row>
    <row r="353" customFormat="false" ht="15" hidden="false" customHeight="false" outlineLevel="0" collapsed="false">
      <c r="A353" s="17"/>
      <c r="B353" s="40"/>
      <c r="C353" s="17"/>
      <c r="D353" s="44" t="str">
        <f aca="false">IF(C353="","",IFERROR(INDEX(Inbound!$E$2:$E$501,MATCH(C353,Inbound!$A$2:$A$501,0)),IFERROR(INDEX(Outbound!$D$2:$D$501,MATCH(C353,Outbound!$A$2:$A$501,0)),"Lead ID not found")))</f>
        <v/>
      </c>
      <c r="E353" s="44" t="str">
        <f aca="false">IF(C353="","",IFERROR(INDEX(Inbound!$F$2:$F$501,MATCH(C353,Inbound!$A$2:$A$501,0)),IFERROR(INDEX(Outbound!$E$2:$E$501,MATCH(C353,Outbound!$A$2:$A$501,0)),"Lead ID not found")))</f>
        <v/>
      </c>
      <c r="F353" s="17"/>
      <c r="G353" s="17"/>
      <c r="H353" s="17"/>
      <c r="I353" s="17"/>
      <c r="J353" s="17"/>
      <c r="K353" s="17"/>
      <c r="L353" s="17"/>
      <c r="M353" s="17"/>
      <c r="N353" s="44" t="str">
        <f aca="false">IF(C353="","",COUNTA(H353:M353))</f>
        <v/>
      </c>
      <c r="O353" s="44" t="str">
        <f aca="false">IF(OR(C353="",N(N353)=0),"",SUMIFS(Settings!$AA$2:$AA$21,Settings!$Y$2:$Y$21,"Budget AED 5k+/mo?",Settings!$Z$2:$Z$21,H353)+SUMIFS(Settings!$AA$2:$AA$21,Settings!$Y$2:$Y$21,"Decision-maker?",Settings!$Z$2:$Z$21,I353)+SUMIFS(Settings!$AA$2:$AA$21,Settings!$Y$2:$Y$21,"Someone on camera?",Settings!$Z$2:$Z$21,J353)+SUMIFS(Settings!$AA$2:$AA$21,Settings!$Y$2:$Y$21,"OK with 3-month term?",Settings!$Z$2:$Z$21,K353)+SUMIFS(Settings!$AA$2:$AA$21,Settings!$Y$2:$Y$21,"Start timeline",Settings!$Z$2:$Z$21,L353)+SUMIFS(Settings!$AA$2:$AA$21,Settings!$Y$2:$Y$21,"Social media gap",Settings!$Z$2:$Z$21,M353)+IF(OR(E353="",E353="Lead ID not found"),0,IF(COUNTIF(Settings!$AC$2:$AC$6,E353)&gt;0,Settings!$AA$20,Settings!$AA$21)))</f>
        <v/>
      </c>
      <c r="P353" s="44" t="str">
        <f aca="false">IF(C353="","",IF(N(N353)&lt;6,"Partly scored ("&amp;N353&amp;"/6)",IF(O353&gt;=Settings!$S$8,"Hot",IF(O353&gt;=Settings!$S$9,"Warm","Cold"))))</f>
        <v/>
      </c>
      <c r="Q353" s="44" t="str">
        <f aca="false">IF(C353="","",IF(AND(H353="No",J353="No"),"🚩 Budget  ·  🚩 No one on camera",IF(H353="No","🚩 Budget under AED 5k",IF(J353="No","🚩 No one on camera",""))))</f>
        <v/>
      </c>
      <c r="R353" s="44" t="str">
        <f aca="false">IF(C353="","",IF(N(N353)&lt;6,"Finish the scoresheet before closing",IF(P353="Hot","Close now – send the contract / proposal today",IF(P353="Warm","Send proposal + a relevant result; follow up in 3 days","Rep's call – nurture or close politely")))&amp;IF(Q353&lt;&gt;""," (handle the 🚩 first)",""))</f>
        <v/>
      </c>
      <c r="S353" s="17"/>
      <c r="T353" s="17"/>
      <c r="U353" s="44" t="str">
        <f aca="false">IF(C353="","",IF(COUNTIF(C354:C$501,C353)=0,1,0))</f>
        <v/>
      </c>
    </row>
    <row r="354" customFormat="false" ht="15" hidden="false" customHeight="false" outlineLevel="0" collapsed="false">
      <c r="A354" s="17"/>
      <c r="B354" s="40"/>
      <c r="C354" s="17"/>
      <c r="D354" s="44" t="str">
        <f aca="false">IF(C354="","",IFERROR(INDEX(Inbound!$E$2:$E$501,MATCH(C354,Inbound!$A$2:$A$501,0)),IFERROR(INDEX(Outbound!$D$2:$D$501,MATCH(C354,Outbound!$A$2:$A$501,0)),"Lead ID not found")))</f>
        <v/>
      </c>
      <c r="E354" s="44" t="str">
        <f aca="false">IF(C354="","",IFERROR(INDEX(Inbound!$F$2:$F$501,MATCH(C354,Inbound!$A$2:$A$501,0)),IFERROR(INDEX(Outbound!$E$2:$E$501,MATCH(C354,Outbound!$A$2:$A$501,0)),"Lead ID not found")))</f>
        <v/>
      </c>
      <c r="F354" s="17"/>
      <c r="G354" s="17"/>
      <c r="H354" s="17"/>
      <c r="I354" s="17"/>
      <c r="J354" s="17"/>
      <c r="K354" s="17"/>
      <c r="L354" s="17"/>
      <c r="M354" s="17"/>
      <c r="N354" s="44" t="str">
        <f aca="false">IF(C354="","",COUNTA(H354:M354))</f>
        <v/>
      </c>
      <c r="O354" s="44" t="str">
        <f aca="false">IF(OR(C354="",N(N354)=0),"",SUMIFS(Settings!$AA$2:$AA$21,Settings!$Y$2:$Y$21,"Budget AED 5k+/mo?",Settings!$Z$2:$Z$21,H354)+SUMIFS(Settings!$AA$2:$AA$21,Settings!$Y$2:$Y$21,"Decision-maker?",Settings!$Z$2:$Z$21,I354)+SUMIFS(Settings!$AA$2:$AA$21,Settings!$Y$2:$Y$21,"Someone on camera?",Settings!$Z$2:$Z$21,J354)+SUMIFS(Settings!$AA$2:$AA$21,Settings!$Y$2:$Y$21,"OK with 3-month term?",Settings!$Z$2:$Z$21,K354)+SUMIFS(Settings!$AA$2:$AA$21,Settings!$Y$2:$Y$21,"Start timeline",Settings!$Z$2:$Z$21,L354)+SUMIFS(Settings!$AA$2:$AA$21,Settings!$Y$2:$Y$21,"Social media gap",Settings!$Z$2:$Z$21,M354)+IF(OR(E354="",E354="Lead ID not found"),0,IF(COUNTIF(Settings!$AC$2:$AC$6,E354)&gt;0,Settings!$AA$20,Settings!$AA$21)))</f>
        <v/>
      </c>
      <c r="P354" s="44" t="str">
        <f aca="false">IF(C354="","",IF(N(N354)&lt;6,"Partly scored ("&amp;N354&amp;"/6)",IF(O354&gt;=Settings!$S$8,"Hot",IF(O354&gt;=Settings!$S$9,"Warm","Cold"))))</f>
        <v/>
      </c>
      <c r="Q354" s="44" t="str">
        <f aca="false">IF(C354="","",IF(AND(H354="No",J354="No"),"🚩 Budget  ·  🚩 No one on camera",IF(H354="No","🚩 Budget under AED 5k",IF(J354="No","🚩 No one on camera",""))))</f>
        <v/>
      </c>
      <c r="R354" s="44" t="str">
        <f aca="false">IF(C354="","",IF(N(N354)&lt;6,"Finish the scoresheet before closing",IF(P354="Hot","Close now – send the contract / proposal today",IF(P354="Warm","Send proposal + a relevant result; follow up in 3 days","Rep's call – nurture or close politely")))&amp;IF(Q354&lt;&gt;""," (handle the 🚩 first)",""))</f>
        <v/>
      </c>
      <c r="S354" s="17"/>
      <c r="T354" s="17"/>
      <c r="U354" s="44" t="str">
        <f aca="false">IF(C354="","",IF(COUNTIF(C355:C$501,C354)=0,1,0))</f>
        <v/>
      </c>
    </row>
    <row r="355" customFormat="false" ht="15" hidden="false" customHeight="false" outlineLevel="0" collapsed="false">
      <c r="A355" s="17"/>
      <c r="B355" s="40"/>
      <c r="C355" s="17"/>
      <c r="D355" s="44" t="str">
        <f aca="false">IF(C355="","",IFERROR(INDEX(Inbound!$E$2:$E$501,MATCH(C355,Inbound!$A$2:$A$501,0)),IFERROR(INDEX(Outbound!$D$2:$D$501,MATCH(C355,Outbound!$A$2:$A$501,0)),"Lead ID not found")))</f>
        <v/>
      </c>
      <c r="E355" s="44" t="str">
        <f aca="false">IF(C355="","",IFERROR(INDEX(Inbound!$F$2:$F$501,MATCH(C355,Inbound!$A$2:$A$501,0)),IFERROR(INDEX(Outbound!$E$2:$E$501,MATCH(C355,Outbound!$A$2:$A$501,0)),"Lead ID not found")))</f>
        <v/>
      </c>
      <c r="F355" s="17"/>
      <c r="G355" s="17"/>
      <c r="H355" s="17"/>
      <c r="I355" s="17"/>
      <c r="J355" s="17"/>
      <c r="K355" s="17"/>
      <c r="L355" s="17"/>
      <c r="M355" s="17"/>
      <c r="N355" s="44" t="str">
        <f aca="false">IF(C355="","",COUNTA(H355:M355))</f>
        <v/>
      </c>
      <c r="O355" s="44" t="str">
        <f aca="false">IF(OR(C355="",N(N355)=0),"",SUMIFS(Settings!$AA$2:$AA$21,Settings!$Y$2:$Y$21,"Budget AED 5k+/mo?",Settings!$Z$2:$Z$21,H355)+SUMIFS(Settings!$AA$2:$AA$21,Settings!$Y$2:$Y$21,"Decision-maker?",Settings!$Z$2:$Z$21,I355)+SUMIFS(Settings!$AA$2:$AA$21,Settings!$Y$2:$Y$21,"Someone on camera?",Settings!$Z$2:$Z$21,J355)+SUMIFS(Settings!$AA$2:$AA$21,Settings!$Y$2:$Y$21,"OK with 3-month term?",Settings!$Z$2:$Z$21,K355)+SUMIFS(Settings!$AA$2:$AA$21,Settings!$Y$2:$Y$21,"Start timeline",Settings!$Z$2:$Z$21,L355)+SUMIFS(Settings!$AA$2:$AA$21,Settings!$Y$2:$Y$21,"Social media gap",Settings!$Z$2:$Z$21,M355)+IF(OR(E355="",E355="Lead ID not found"),0,IF(COUNTIF(Settings!$AC$2:$AC$6,E355)&gt;0,Settings!$AA$20,Settings!$AA$21)))</f>
        <v/>
      </c>
      <c r="P355" s="44" t="str">
        <f aca="false">IF(C355="","",IF(N(N355)&lt;6,"Partly scored ("&amp;N355&amp;"/6)",IF(O355&gt;=Settings!$S$8,"Hot",IF(O355&gt;=Settings!$S$9,"Warm","Cold"))))</f>
        <v/>
      </c>
      <c r="Q355" s="44" t="str">
        <f aca="false">IF(C355="","",IF(AND(H355="No",J355="No"),"🚩 Budget  ·  🚩 No one on camera",IF(H355="No","🚩 Budget under AED 5k",IF(J355="No","🚩 No one on camera",""))))</f>
        <v/>
      </c>
      <c r="R355" s="44" t="str">
        <f aca="false">IF(C355="","",IF(N(N355)&lt;6,"Finish the scoresheet before closing",IF(P355="Hot","Close now – send the contract / proposal today",IF(P355="Warm","Send proposal + a relevant result; follow up in 3 days","Rep's call – nurture or close politely")))&amp;IF(Q355&lt;&gt;""," (handle the 🚩 first)",""))</f>
        <v/>
      </c>
      <c r="S355" s="17"/>
      <c r="T355" s="17"/>
      <c r="U355" s="44" t="str">
        <f aca="false">IF(C355="","",IF(COUNTIF(C356:C$501,C355)=0,1,0))</f>
        <v/>
      </c>
    </row>
    <row r="356" customFormat="false" ht="15" hidden="false" customHeight="false" outlineLevel="0" collapsed="false">
      <c r="A356" s="17"/>
      <c r="B356" s="40"/>
      <c r="C356" s="17"/>
      <c r="D356" s="44" t="str">
        <f aca="false">IF(C356="","",IFERROR(INDEX(Inbound!$E$2:$E$501,MATCH(C356,Inbound!$A$2:$A$501,0)),IFERROR(INDEX(Outbound!$D$2:$D$501,MATCH(C356,Outbound!$A$2:$A$501,0)),"Lead ID not found")))</f>
        <v/>
      </c>
      <c r="E356" s="44" t="str">
        <f aca="false">IF(C356="","",IFERROR(INDEX(Inbound!$F$2:$F$501,MATCH(C356,Inbound!$A$2:$A$501,0)),IFERROR(INDEX(Outbound!$E$2:$E$501,MATCH(C356,Outbound!$A$2:$A$501,0)),"Lead ID not found")))</f>
        <v/>
      </c>
      <c r="F356" s="17"/>
      <c r="G356" s="17"/>
      <c r="H356" s="17"/>
      <c r="I356" s="17"/>
      <c r="J356" s="17"/>
      <c r="K356" s="17"/>
      <c r="L356" s="17"/>
      <c r="M356" s="17"/>
      <c r="N356" s="44" t="str">
        <f aca="false">IF(C356="","",COUNTA(H356:M356))</f>
        <v/>
      </c>
      <c r="O356" s="44" t="str">
        <f aca="false">IF(OR(C356="",N(N356)=0),"",SUMIFS(Settings!$AA$2:$AA$21,Settings!$Y$2:$Y$21,"Budget AED 5k+/mo?",Settings!$Z$2:$Z$21,H356)+SUMIFS(Settings!$AA$2:$AA$21,Settings!$Y$2:$Y$21,"Decision-maker?",Settings!$Z$2:$Z$21,I356)+SUMIFS(Settings!$AA$2:$AA$21,Settings!$Y$2:$Y$21,"Someone on camera?",Settings!$Z$2:$Z$21,J356)+SUMIFS(Settings!$AA$2:$AA$21,Settings!$Y$2:$Y$21,"OK with 3-month term?",Settings!$Z$2:$Z$21,K356)+SUMIFS(Settings!$AA$2:$AA$21,Settings!$Y$2:$Y$21,"Start timeline",Settings!$Z$2:$Z$21,L356)+SUMIFS(Settings!$AA$2:$AA$21,Settings!$Y$2:$Y$21,"Social media gap",Settings!$Z$2:$Z$21,M356)+IF(OR(E356="",E356="Lead ID not found"),0,IF(COUNTIF(Settings!$AC$2:$AC$6,E356)&gt;0,Settings!$AA$20,Settings!$AA$21)))</f>
        <v/>
      </c>
      <c r="P356" s="44" t="str">
        <f aca="false">IF(C356="","",IF(N(N356)&lt;6,"Partly scored ("&amp;N356&amp;"/6)",IF(O356&gt;=Settings!$S$8,"Hot",IF(O356&gt;=Settings!$S$9,"Warm","Cold"))))</f>
        <v/>
      </c>
      <c r="Q356" s="44" t="str">
        <f aca="false">IF(C356="","",IF(AND(H356="No",J356="No"),"🚩 Budget  ·  🚩 No one on camera",IF(H356="No","🚩 Budget under AED 5k",IF(J356="No","🚩 No one on camera",""))))</f>
        <v/>
      </c>
      <c r="R356" s="44" t="str">
        <f aca="false">IF(C356="","",IF(N(N356)&lt;6,"Finish the scoresheet before closing",IF(P356="Hot","Close now – send the contract / proposal today",IF(P356="Warm","Send proposal + a relevant result; follow up in 3 days","Rep's call – nurture or close politely")))&amp;IF(Q356&lt;&gt;""," (handle the 🚩 first)",""))</f>
        <v/>
      </c>
      <c r="S356" s="17"/>
      <c r="T356" s="17"/>
      <c r="U356" s="44" t="str">
        <f aca="false">IF(C356="","",IF(COUNTIF(C357:C$501,C356)=0,1,0))</f>
        <v/>
      </c>
    </row>
    <row r="357" customFormat="false" ht="15" hidden="false" customHeight="false" outlineLevel="0" collapsed="false">
      <c r="A357" s="17"/>
      <c r="B357" s="40"/>
      <c r="C357" s="17"/>
      <c r="D357" s="44" t="str">
        <f aca="false">IF(C357="","",IFERROR(INDEX(Inbound!$E$2:$E$501,MATCH(C357,Inbound!$A$2:$A$501,0)),IFERROR(INDEX(Outbound!$D$2:$D$501,MATCH(C357,Outbound!$A$2:$A$501,0)),"Lead ID not found")))</f>
        <v/>
      </c>
      <c r="E357" s="44" t="str">
        <f aca="false">IF(C357="","",IFERROR(INDEX(Inbound!$F$2:$F$501,MATCH(C357,Inbound!$A$2:$A$501,0)),IFERROR(INDEX(Outbound!$E$2:$E$501,MATCH(C357,Outbound!$A$2:$A$501,0)),"Lead ID not found")))</f>
        <v/>
      </c>
      <c r="F357" s="17"/>
      <c r="G357" s="17"/>
      <c r="H357" s="17"/>
      <c r="I357" s="17"/>
      <c r="J357" s="17"/>
      <c r="K357" s="17"/>
      <c r="L357" s="17"/>
      <c r="M357" s="17"/>
      <c r="N357" s="44" t="str">
        <f aca="false">IF(C357="","",COUNTA(H357:M357))</f>
        <v/>
      </c>
      <c r="O357" s="44" t="str">
        <f aca="false">IF(OR(C357="",N(N357)=0),"",SUMIFS(Settings!$AA$2:$AA$21,Settings!$Y$2:$Y$21,"Budget AED 5k+/mo?",Settings!$Z$2:$Z$21,H357)+SUMIFS(Settings!$AA$2:$AA$21,Settings!$Y$2:$Y$21,"Decision-maker?",Settings!$Z$2:$Z$21,I357)+SUMIFS(Settings!$AA$2:$AA$21,Settings!$Y$2:$Y$21,"Someone on camera?",Settings!$Z$2:$Z$21,J357)+SUMIFS(Settings!$AA$2:$AA$21,Settings!$Y$2:$Y$21,"OK with 3-month term?",Settings!$Z$2:$Z$21,K357)+SUMIFS(Settings!$AA$2:$AA$21,Settings!$Y$2:$Y$21,"Start timeline",Settings!$Z$2:$Z$21,L357)+SUMIFS(Settings!$AA$2:$AA$21,Settings!$Y$2:$Y$21,"Social media gap",Settings!$Z$2:$Z$21,M357)+IF(OR(E357="",E357="Lead ID not found"),0,IF(COUNTIF(Settings!$AC$2:$AC$6,E357)&gt;0,Settings!$AA$20,Settings!$AA$21)))</f>
        <v/>
      </c>
      <c r="P357" s="44" t="str">
        <f aca="false">IF(C357="","",IF(N(N357)&lt;6,"Partly scored ("&amp;N357&amp;"/6)",IF(O357&gt;=Settings!$S$8,"Hot",IF(O357&gt;=Settings!$S$9,"Warm","Cold"))))</f>
        <v/>
      </c>
      <c r="Q357" s="44" t="str">
        <f aca="false">IF(C357="","",IF(AND(H357="No",J357="No"),"🚩 Budget  ·  🚩 No one on camera",IF(H357="No","🚩 Budget under AED 5k",IF(J357="No","🚩 No one on camera",""))))</f>
        <v/>
      </c>
      <c r="R357" s="44" t="str">
        <f aca="false">IF(C357="","",IF(N(N357)&lt;6,"Finish the scoresheet before closing",IF(P357="Hot","Close now – send the contract / proposal today",IF(P357="Warm","Send proposal + a relevant result; follow up in 3 days","Rep's call – nurture or close politely")))&amp;IF(Q357&lt;&gt;""," (handle the 🚩 first)",""))</f>
        <v/>
      </c>
      <c r="S357" s="17"/>
      <c r="T357" s="17"/>
      <c r="U357" s="44" t="str">
        <f aca="false">IF(C357="","",IF(COUNTIF(C358:C$501,C357)=0,1,0))</f>
        <v/>
      </c>
    </row>
    <row r="358" customFormat="false" ht="15" hidden="false" customHeight="false" outlineLevel="0" collapsed="false">
      <c r="A358" s="17"/>
      <c r="B358" s="40"/>
      <c r="C358" s="17"/>
      <c r="D358" s="44" t="str">
        <f aca="false">IF(C358="","",IFERROR(INDEX(Inbound!$E$2:$E$501,MATCH(C358,Inbound!$A$2:$A$501,0)),IFERROR(INDEX(Outbound!$D$2:$D$501,MATCH(C358,Outbound!$A$2:$A$501,0)),"Lead ID not found")))</f>
        <v/>
      </c>
      <c r="E358" s="44" t="str">
        <f aca="false">IF(C358="","",IFERROR(INDEX(Inbound!$F$2:$F$501,MATCH(C358,Inbound!$A$2:$A$501,0)),IFERROR(INDEX(Outbound!$E$2:$E$501,MATCH(C358,Outbound!$A$2:$A$501,0)),"Lead ID not found")))</f>
        <v/>
      </c>
      <c r="F358" s="17"/>
      <c r="G358" s="17"/>
      <c r="H358" s="17"/>
      <c r="I358" s="17"/>
      <c r="J358" s="17"/>
      <c r="K358" s="17"/>
      <c r="L358" s="17"/>
      <c r="M358" s="17"/>
      <c r="N358" s="44" t="str">
        <f aca="false">IF(C358="","",COUNTA(H358:M358))</f>
        <v/>
      </c>
      <c r="O358" s="44" t="str">
        <f aca="false">IF(OR(C358="",N(N358)=0),"",SUMIFS(Settings!$AA$2:$AA$21,Settings!$Y$2:$Y$21,"Budget AED 5k+/mo?",Settings!$Z$2:$Z$21,H358)+SUMIFS(Settings!$AA$2:$AA$21,Settings!$Y$2:$Y$21,"Decision-maker?",Settings!$Z$2:$Z$21,I358)+SUMIFS(Settings!$AA$2:$AA$21,Settings!$Y$2:$Y$21,"Someone on camera?",Settings!$Z$2:$Z$21,J358)+SUMIFS(Settings!$AA$2:$AA$21,Settings!$Y$2:$Y$21,"OK with 3-month term?",Settings!$Z$2:$Z$21,K358)+SUMIFS(Settings!$AA$2:$AA$21,Settings!$Y$2:$Y$21,"Start timeline",Settings!$Z$2:$Z$21,L358)+SUMIFS(Settings!$AA$2:$AA$21,Settings!$Y$2:$Y$21,"Social media gap",Settings!$Z$2:$Z$21,M358)+IF(OR(E358="",E358="Lead ID not found"),0,IF(COUNTIF(Settings!$AC$2:$AC$6,E358)&gt;0,Settings!$AA$20,Settings!$AA$21)))</f>
        <v/>
      </c>
      <c r="P358" s="44" t="str">
        <f aca="false">IF(C358="","",IF(N(N358)&lt;6,"Partly scored ("&amp;N358&amp;"/6)",IF(O358&gt;=Settings!$S$8,"Hot",IF(O358&gt;=Settings!$S$9,"Warm","Cold"))))</f>
        <v/>
      </c>
      <c r="Q358" s="44" t="str">
        <f aca="false">IF(C358="","",IF(AND(H358="No",J358="No"),"🚩 Budget  ·  🚩 No one on camera",IF(H358="No","🚩 Budget under AED 5k",IF(J358="No","🚩 No one on camera",""))))</f>
        <v/>
      </c>
      <c r="R358" s="44" t="str">
        <f aca="false">IF(C358="","",IF(N(N358)&lt;6,"Finish the scoresheet before closing",IF(P358="Hot","Close now – send the contract / proposal today",IF(P358="Warm","Send proposal + a relevant result; follow up in 3 days","Rep's call – nurture or close politely")))&amp;IF(Q358&lt;&gt;""," (handle the 🚩 first)",""))</f>
        <v/>
      </c>
      <c r="S358" s="17"/>
      <c r="T358" s="17"/>
      <c r="U358" s="44" t="str">
        <f aca="false">IF(C358="","",IF(COUNTIF(C359:C$501,C358)=0,1,0))</f>
        <v/>
      </c>
    </row>
    <row r="359" customFormat="false" ht="15" hidden="false" customHeight="false" outlineLevel="0" collapsed="false">
      <c r="A359" s="17"/>
      <c r="B359" s="40"/>
      <c r="C359" s="17"/>
      <c r="D359" s="44" t="str">
        <f aca="false">IF(C359="","",IFERROR(INDEX(Inbound!$E$2:$E$501,MATCH(C359,Inbound!$A$2:$A$501,0)),IFERROR(INDEX(Outbound!$D$2:$D$501,MATCH(C359,Outbound!$A$2:$A$501,0)),"Lead ID not found")))</f>
        <v/>
      </c>
      <c r="E359" s="44" t="str">
        <f aca="false">IF(C359="","",IFERROR(INDEX(Inbound!$F$2:$F$501,MATCH(C359,Inbound!$A$2:$A$501,0)),IFERROR(INDEX(Outbound!$E$2:$E$501,MATCH(C359,Outbound!$A$2:$A$501,0)),"Lead ID not found")))</f>
        <v/>
      </c>
      <c r="F359" s="17"/>
      <c r="G359" s="17"/>
      <c r="H359" s="17"/>
      <c r="I359" s="17"/>
      <c r="J359" s="17"/>
      <c r="K359" s="17"/>
      <c r="L359" s="17"/>
      <c r="M359" s="17"/>
      <c r="N359" s="44" t="str">
        <f aca="false">IF(C359="","",COUNTA(H359:M359))</f>
        <v/>
      </c>
      <c r="O359" s="44" t="str">
        <f aca="false">IF(OR(C359="",N(N359)=0),"",SUMIFS(Settings!$AA$2:$AA$21,Settings!$Y$2:$Y$21,"Budget AED 5k+/mo?",Settings!$Z$2:$Z$21,H359)+SUMIFS(Settings!$AA$2:$AA$21,Settings!$Y$2:$Y$21,"Decision-maker?",Settings!$Z$2:$Z$21,I359)+SUMIFS(Settings!$AA$2:$AA$21,Settings!$Y$2:$Y$21,"Someone on camera?",Settings!$Z$2:$Z$21,J359)+SUMIFS(Settings!$AA$2:$AA$21,Settings!$Y$2:$Y$21,"OK with 3-month term?",Settings!$Z$2:$Z$21,K359)+SUMIFS(Settings!$AA$2:$AA$21,Settings!$Y$2:$Y$21,"Start timeline",Settings!$Z$2:$Z$21,L359)+SUMIFS(Settings!$AA$2:$AA$21,Settings!$Y$2:$Y$21,"Social media gap",Settings!$Z$2:$Z$21,M359)+IF(OR(E359="",E359="Lead ID not found"),0,IF(COUNTIF(Settings!$AC$2:$AC$6,E359)&gt;0,Settings!$AA$20,Settings!$AA$21)))</f>
        <v/>
      </c>
      <c r="P359" s="44" t="str">
        <f aca="false">IF(C359="","",IF(N(N359)&lt;6,"Partly scored ("&amp;N359&amp;"/6)",IF(O359&gt;=Settings!$S$8,"Hot",IF(O359&gt;=Settings!$S$9,"Warm","Cold"))))</f>
        <v/>
      </c>
      <c r="Q359" s="44" t="str">
        <f aca="false">IF(C359="","",IF(AND(H359="No",J359="No"),"🚩 Budget  ·  🚩 No one on camera",IF(H359="No","🚩 Budget under AED 5k",IF(J359="No","🚩 No one on camera",""))))</f>
        <v/>
      </c>
      <c r="R359" s="44" t="str">
        <f aca="false">IF(C359="","",IF(N(N359)&lt;6,"Finish the scoresheet before closing",IF(P359="Hot","Close now – send the contract / proposal today",IF(P359="Warm","Send proposal + a relevant result; follow up in 3 days","Rep's call – nurture or close politely")))&amp;IF(Q359&lt;&gt;""," (handle the 🚩 first)",""))</f>
        <v/>
      </c>
      <c r="S359" s="17"/>
      <c r="T359" s="17"/>
      <c r="U359" s="44" t="str">
        <f aca="false">IF(C359="","",IF(COUNTIF(C360:C$501,C359)=0,1,0))</f>
        <v/>
      </c>
    </row>
    <row r="360" customFormat="false" ht="15" hidden="false" customHeight="false" outlineLevel="0" collapsed="false">
      <c r="A360" s="17"/>
      <c r="B360" s="40"/>
      <c r="C360" s="17"/>
      <c r="D360" s="44" t="str">
        <f aca="false">IF(C360="","",IFERROR(INDEX(Inbound!$E$2:$E$501,MATCH(C360,Inbound!$A$2:$A$501,0)),IFERROR(INDEX(Outbound!$D$2:$D$501,MATCH(C360,Outbound!$A$2:$A$501,0)),"Lead ID not found")))</f>
        <v/>
      </c>
      <c r="E360" s="44" t="str">
        <f aca="false">IF(C360="","",IFERROR(INDEX(Inbound!$F$2:$F$501,MATCH(C360,Inbound!$A$2:$A$501,0)),IFERROR(INDEX(Outbound!$E$2:$E$501,MATCH(C360,Outbound!$A$2:$A$501,0)),"Lead ID not found")))</f>
        <v/>
      </c>
      <c r="F360" s="17"/>
      <c r="G360" s="17"/>
      <c r="H360" s="17"/>
      <c r="I360" s="17"/>
      <c r="J360" s="17"/>
      <c r="K360" s="17"/>
      <c r="L360" s="17"/>
      <c r="M360" s="17"/>
      <c r="N360" s="44" t="str">
        <f aca="false">IF(C360="","",COUNTA(H360:M360))</f>
        <v/>
      </c>
      <c r="O360" s="44" t="str">
        <f aca="false">IF(OR(C360="",N(N360)=0),"",SUMIFS(Settings!$AA$2:$AA$21,Settings!$Y$2:$Y$21,"Budget AED 5k+/mo?",Settings!$Z$2:$Z$21,H360)+SUMIFS(Settings!$AA$2:$AA$21,Settings!$Y$2:$Y$21,"Decision-maker?",Settings!$Z$2:$Z$21,I360)+SUMIFS(Settings!$AA$2:$AA$21,Settings!$Y$2:$Y$21,"Someone on camera?",Settings!$Z$2:$Z$21,J360)+SUMIFS(Settings!$AA$2:$AA$21,Settings!$Y$2:$Y$21,"OK with 3-month term?",Settings!$Z$2:$Z$21,K360)+SUMIFS(Settings!$AA$2:$AA$21,Settings!$Y$2:$Y$21,"Start timeline",Settings!$Z$2:$Z$21,L360)+SUMIFS(Settings!$AA$2:$AA$21,Settings!$Y$2:$Y$21,"Social media gap",Settings!$Z$2:$Z$21,M360)+IF(OR(E360="",E360="Lead ID not found"),0,IF(COUNTIF(Settings!$AC$2:$AC$6,E360)&gt;0,Settings!$AA$20,Settings!$AA$21)))</f>
        <v/>
      </c>
      <c r="P360" s="44" t="str">
        <f aca="false">IF(C360="","",IF(N(N360)&lt;6,"Partly scored ("&amp;N360&amp;"/6)",IF(O360&gt;=Settings!$S$8,"Hot",IF(O360&gt;=Settings!$S$9,"Warm","Cold"))))</f>
        <v/>
      </c>
      <c r="Q360" s="44" t="str">
        <f aca="false">IF(C360="","",IF(AND(H360="No",J360="No"),"🚩 Budget  ·  🚩 No one on camera",IF(H360="No","🚩 Budget under AED 5k",IF(J360="No","🚩 No one on camera",""))))</f>
        <v/>
      </c>
      <c r="R360" s="44" t="str">
        <f aca="false">IF(C360="","",IF(N(N360)&lt;6,"Finish the scoresheet before closing",IF(P360="Hot","Close now – send the contract / proposal today",IF(P360="Warm","Send proposal + a relevant result; follow up in 3 days","Rep's call – nurture or close politely")))&amp;IF(Q360&lt;&gt;""," (handle the 🚩 first)",""))</f>
        <v/>
      </c>
      <c r="S360" s="17"/>
      <c r="T360" s="17"/>
      <c r="U360" s="44" t="str">
        <f aca="false">IF(C360="","",IF(COUNTIF(C361:C$501,C360)=0,1,0))</f>
        <v/>
      </c>
    </row>
    <row r="361" customFormat="false" ht="15" hidden="false" customHeight="false" outlineLevel="0" collapsed="false">
      <c r="A361" s="17"/>
      <c r="B361" s="40"/>
      <c r="C361" s="17"/>
      <c r="D361" s="44" t="str">
        <f aca="false">IF(C361="","",IFERROR(INDEX(Inbound!$E$2:$E$501,MATCH(C361,Inbound!$A$2:$A$501,0)),IFERROR(INDEX(Outbound!$D$2:$D$501,MATCH(C361,Outbound!$A$2:$A$501,0)),"Lead ID not found")))</f>
        <v/>
      </c>
      <c r="E361" s="44" t="str">
        <f aca="false">IF(C361="","",IFERROR(INDEX(Inbound!$F$2:$F$501,MATCH(C361,Inbound!$A$2:$A$501,0)),IFERROR(INDEX(Outbound!$E$2:$E$501,MATCH(C361,Outbound!$A$2:$A$501,0)),"Lead ID not found")))</f>
        <v/>
      </c>
      <c r="F361" s="17"/>
      <c r="G361" s="17"/>
      <c r="H361" s="17"/>
      <c r="I361" s="17"/>
      <c r="J361" s="17"/>
      <c r="K361" s="17"/>
      <c r="L361" s="17"/>
      <c r="M361" s="17"/>
      <c r="N361" s="44" t="str">
        <f aca="false">IF(C361="","",COUNTA(H361:M361))</f>
        <v/>
      </c>
      <c r="O361" s="44" t="str">
        <f aca="false">IF(OR(C361="",N(N361)=0),"",SUMIFS(Settings!$AA$2:$AA$21,Settings!$Y$2:$Y$21,"Budget AED 5k+/mo?",Settings!$Z$2:$Z$21,H361)+SUMIFS(Settings!$AA$2:$AA$21,Settings!$Y$2:$Y$21,"Decision-maker?",Settings!$Z$2:$Z$21,I361)+SUMIFS(Settings!$AA$2:$AA$21,Settings!$Y$2:$Y$21,"Someone on camera?",Settings!$Z$2:$Z$21,J361)+SUMIFS(Settings!$AA$2:$AA$21,Settings!$Y$2:$Y$21,"OK with 3-month term?",Settings!$Z$2:$Z$21,K361)+SUMIFS(Settings!$AA$2:$AA$21,Settings!$Y$2:$Y$21,"Start timeline",Settings!$Z$2:$Z$21,L361)+SUMIFS(Settings!$AA$2:$AA$21,Settings!$Y$2:$Y$21,"Social media gap",Settings!$Z$2:$Z$21,M361)+IF(OR(E361="",E361="Lead ID not found"),0,IF(COUNTIF(Settings!$AC$2:$AC$6,E361)&gt;0,Settings!$AA$20,Settings!$AA$21)))</f>
        <v/>
      </c>
      <c r="P361" s="44" t="str">
        <f aca="false">IF(C361="","",IF(N(N361)&lt;6,"Partly scored ("&amp;N361&amp;"/6)",IF(O361&gt;=Settings!$S$8,"Hot",IF(O361&gt;=Settings!$S$9,"Warm","Cold"))))</f>
        <v/>
      </c>
      <c r="Q361" s="44" t="str">
        <f aca="false">IF(C361="","",IF(AND(H361="No",J361="No"),"🚩 Budget  ·  🚩 No one on camera",IF(H361="No","🚩 Budget under AED 5k",IF(J361="No","🚩 No one on camera",""))))</f>
        <v/>
      </c>
      <c r="R361" s="44" t="str">
        <f aca="false">IF(C361="","",IF(N(N361)&lt;6,"Finish the scoresheet before closing",IF(P361="Hot","Close now – send the contract / proposal today",IF(P361="Warm","Send proposal + a relevant result; follow up in 3 days","Rep's call – nurture or close politely")))&amp;IF(Q361&lt;&gt;""," (handle the 🚩 first)",""))</f>
        <v/>
      </c>
      <c r="S361" s="17"/>
      <c r="T361" s="17"/>
      <c r="U361" s="44" t="str">
        <f aca="false">IF(C361="","",IF(COUNTIF(C362:C$501,C361)=0,1,0))</f>
        <v/>
      </c>
    </row>
    <row r="362" customFormat="false" ht="15" hidden="false" customHeight="false" outlineLevel="0" collapsed="false">
      <c r="A362" s="17"/>
      <c r="B362" s="40"/>
      <c r="C362" s="17"/>
      <c r="D362" s="44" t="str">
        <f aca="false">IF(C362="","",IFERROR(INDEX(Inbound!$E$2:$E$501,MATCH(C362,Inbound!$A$2:$A$501,0)),IFERROR(INDEX(Outbound!$D$2:$D$501,MATCH(C362,Outbound!$A$2:$A$501,0)),"Lead ID not found")))</f>
        <v/>
      </c>
      <c r="E362" s="44" t="str">
        <f aca="false">IF(C362="","",IFERROR(INDEX(Inbound!$F$2:$F$501,MATCH(C362,Inbound!$A$2:$A$501,0)),IFERROR(INDEX(Outbound!$E$2:$E$501,MATCH(C362,Outbound!$A$2:$A$501,0)),"Lead ID not found")))</f>
        <v/>
      </c>
      <c r="F362" s="17"/>
      <c r="G362" s="17"/>
      <c r="H362" s="17"/>
      <c r="I362" s="17"/>
      <c r="J362" s="17"/>
      <c r="K362" s="17"/>
      <c r="L362" s="17"/>
      <c r="M362" s="17"/>
      <c r="N362" s="44" t="str">
        <f aca="false">IF(C362="","",COUNTA(H362:M362))</f>
        <v/>
      </c>
      <c r="O362" s="44" t="str">
        <f aca="false">IF(OR(C362="",N(N362)=0),"",SUMIFS(Settings!$AA$2:$AA$21,Settings!$Y$2:$Y$21,"Budget AED 5k+/mo?",Settings!$Z$2:$Z$21,H362)+SUMIFS(Settings!$AA$2:$AA$21,Settings!$Y$2:$Y$21,"Decision-maker?",Settings!$Z$2:$Z$21,I362)+SUMIFS(Settings!$AA$2:$AA$21,Settings!$Y$2:$Y$21,"Someone on camera?",Settings!$Z$2:$Z$21,J362)+SUMIFS(Settings!$AA$2:$AA$21,Settings!$Y$2:$Y$21,"OK with 3-month term?",Settings!$Z$2:$Z$21,K362)+SUMIFS(Settings!$AA$2:$AA$21,Settings!$Y$2:$Y$21,"Start timeline",Settings!$Z$2:$Z$21,L362)+SUMIFS(Settings!$AA$2:$AA$21,Settings!$Y$2:$Y$21,"Social media gap",Settings!$Z$2:$Z$21,M362)+IF(OR(E362="",E362="Lead ID not found"),0,IF(COUNTIF(Settings!$AC$2:$AC$6,E362)&gt;0,Settings!$AA$20,Settings!$AA$21)))</f>
        <v/>
      </c>
      <c r="P362" s="44" t="str">
        <f aca="false">IF(C362="","",IF(N(N362)&lt;6,"Partly scored ("&amp;N362&amp;"/6)",IF(O362&gt;=Settings!$S$8,"Hot",IF(O362&gt;=Settings!$S$9,"Warm","Cold"))))</f>
        <v/>
      </c>
      <c r="Q362" s="44" t="str">
        <f aca="false">IF(C362="","",IF(AND(H362="No",J362="No"),"🚩 Budget  ·  🚩 No one on camera",IF(H362="No","🚩 Budget under AED 5k",IF(J362="No","🚩 No one on camera",""))))</f>
        <v/>
      </c>
      <c r="R362" s="44" t="str">
        <f aca="false">IF(C362="","",IF(N(N362)&lt;6,"Finish the scoresheet before closing",IF(P362="Hot","Close now – send the contract / proposal today",IF(P362="Warm","Send proposal + a relevant result; follow up in 3 days","Rep's call – nurture or close politely")))&amp;IF(Q362&lt;&gt;""," (handle the 🚩 first)",""))</f>
        <v/>
      </c>
      <c r="S362" s="17"/>
      <c r="T362" s="17"/>
      <c r="U362" s="44" t="str">
        <f aca="false">IF(C362="","",IF(COUNTIF(C363:C$501,C362)=0,1,0))</f>
        <v/>
      </c>
    </row>
    <row r="363" customFormat="false" ht="15" hidden="false" customHeight="false" outlineLevel="0" collapsed="false">
      <c r="A363" s="17"/>
      <c r="B363" s="40"/>
      <c r="C363" s="17"/>
      <c r="D363" s="44" t="str">
        <f aca="false">IF(C363="","",IFERROR(INDEX(Inbound!$E$2:$E$501,MATCH(C363,Inbound!$A$2:$A$501,0)),IFERROR(INDEX(Outbound!$D$2:$D$501,MATCH(C363,Outbound!$A$2:$A$501,0)),"Lead ID not found")))</f>
        <v/>
      </c>
      <c r="E363" s="44" t="str">
        <f aca="false">IF(C363="","",IFERROR(INDEX(Inbound!$F$2:$F$501,MATCH(C363,Inbound!$A$2:$A$501,0)),IFERROR(INDEX(Outbound!$E$2:$E$501,MATCH(C363,Outbound!$A$2:$A$501,0)),"Lead ID not found")))</f>
        <v/>
      </c>
      <c r="F363" s="17"/>
      <c r="G363" s="17"/>
      <c r="H363" s="17"/>
      <c r="I363" s="17"/>
      <c r="J363" s="17"/>
      <c r="K363" s="17"/>
      <c r="L363" s="17"/>
      <c r="M363" s="17"/>
      <c r="N363" s="44" t="str">
        <f aca="false">IF(C363="","",COUNTA(H363:M363))</f>
        <v/>
      </c>
      <c r="O363" s="44" t="str">
        <f aca="false">IF(OR(C363="",N(N363)=0),"",SUMIFS(Settings!$AA$2:$AA$21,Settings!$Y$2:$Y$21,"Budget AED 5k+/mo?",Settings!$Z$2:$Z$21,H363)+SUMIFS(Settings!$AA$2:$AA$21,Settings!$Y$2:$Y$21,"Decision-maker?",Settings!$Z$2:$Z$21,I363)+SUMIFS(Settings!$AA$2:$AA$21,Settings!$Y$2:$Y$21,"Someone on camera?",Settings!$Z$2:$Z$21,J363)+SUMIFS(Settings!$AA$2:$AA$21,Settings!$Y$2:$Y$21,"OK with 3-month term?",Settings!$Z$2:$Z$21,K363)+SUMIFS(Settings!$AA$2:$AA$21,Settings!$Y$2:$Y$21,"Start timeline",Settings!$Z$2:$Z$21,L363)+SUMIFS(Settings!$AA$2:$AA$21,Settings!$Y$2:$Y$21,"Social media gap",Settings!$Z$2:$Z$21,M363)+IF(OR(E363="",E363="Lead ID not found"),0,IF(COUNTIF(Settings!$AC$2:$AC$6,E363)&gt;0,Settings!$AA$20,Settings!$AA$21)))</f>
        <v/>
      </c>
      <c r="P363" s="44" t="str">
        <f aca="false">IF(C363="","",IF(N(N363)&lt;6,"Partly scored ("&amp;N363&amp;"/6)",IF(O363&gt;=Settings!$S$8,"Hot",IF(O363&gt;=Settings!$S$9,"Warm","Cold"))))</f>
        <v/>
      </c>
      <c r="Q363" s="44" t="str">
        <f aca="false">IF(C363="","",IF(AND(H363="No",J363="No"),"🚩 Budget  ·  🚩 No one on camera",IF(H363="No","🚩 Budget under AED 5k",IF(J363="No","🚩 No one on camera",""))))</f>
        <v/>
      </c>
      <c r="R363" s="44" t="str">
        <f aca="false">IF(C363="","",IF(N(N363)&lt;6,"Finish the scoresheet before closing",IF(P363="Hot","Close now – send the contract / proposal today",IF(P363="Warm","Send proposal + a relevant result; follow up in 3 days","Rep's call – nurture or close politely")))&amp;IF(Q363&lt;&gt;""," (handle the 🚩 first)",""))</f>
        <v/>
      </c>
      <c r="S363" s="17"/>
      <c r="T363" s="17"/>
      <c r="U363" s="44" t="str">
        <f aca="false">IF(C363="","",IF(COUNTIF(C364:C$501,C363)=0,1,0))</f>
        <v/>
      </c>
    </row>
    <row r="364" customFormat="false" ht="15" hidden="false" customHeight="false" outlineLevel="0" collapsed="false">
      <c r="A364" s="17"/>
      <c r="B364" s="40"/>
      <c r="C364" s="17"/>
      <c r="D364" s="44" t="str">
        <f aca="false">IF(C364="","",IFERROR(INDEX(Inbound!$E$2:$E$501,MATCH(C364,Inbound!$A$2:$A$501,0)),IFERROR(INDEX(Outbound!$D$2:$D$501,MATCH(C364,Outbound!$A$2:$A$501,0)),"Lead ID not found")))</f>
        <v/>
      </c>
      <c r="E364" s="44" t="str">
        <f aca="false">IF(C364="","",IFERROR(INDEX(Inbound!$F$2:$F$501,MATCH(C364,Inbound!$A$2:$A$501,0)),IFERROR(INDEX(Outbound!$E$2:$E$501,MATCH(C364,Outbound!$A$2:$A$501,0)),"Lead ID not found")))</f>
        <v/>
      </c>
      <c r="F364" s="17"/>
      <c r="G364" s="17"/>
      <c r="H364" s="17"/>
      <c r="I364" s="17"/>
      <c r="J364" s="17"/>
      <c r="K364" s="17"/>
      <c r="L364" s="17"/>
      <c r="M364" s="17"/>
      <c r="N364" s="44" t="str">
        <f aca="false">IF(C364="","",COUNTA(H364:M364))</f>
        <v/>
      </c>
      <c r="O364" s="44" t="str">
        <f aca="false">IF(OR(C364="",N(N364)=0),"",SUMIFS(Settings!$AA$2:$AA$21,Settings!$Y$2:$Y$21,"Budget AED 5k+/mo?",Settings!$Z$2:$Z$21,H364)+SUMIFS(Settings!$AA$2:$AA$21,Settings!$Y$2:$Y$21,"Decision-maker?",Settings!$Z$2:$Z$21,I364)+SUMIFS(Settings!$AA$2:$AA$21,Settings!$Y$2:$Y$21,"Someone on camera?",Settings!$Z$2:$Z$21,J364)+SUMIFS(Settings!$AA$2:$AA$21,Settings!$Y$2:$Y$21,"OK with 3-month term?",Settings!$Z$2:$Z$21,K364)+SUMIFS(Settings!$AA$2:$AA$21,Settings!$Y$2:$Y$21,"Start timeline",Settings!$Z$2:$Z$21,L364)+SUMIFS(Settings!$AA$2:$AA$21,Settings!$Y$2:$Y$21,"Social media gap",Settings!$Z$2:$Z$21,M364)+IF(OR(E364="",E364="Lead ID not found"),0,IF(COUNTIF(Settings!$AC$2:$AC$6,E364)&gt;0,Settings!$AA$20,Settings!$AA$21)))</f>
        <v/>
      </c>
      <c r="P364" s="44" t="str">
        <f aca="false">IF(C364="","",IF(N(N364)&lt;6,"Partly scored ("&amp;N364&amp;"/6)",IF(O364&gt;=Settings!$S$8,"Hot",IF(O364&gt;=Settings!$S$9,"Warm","Cold"))))</f>
        <v/>
      </c>
      <c r="Q364" s="44" t="str">
        <f aca="false">IF(C364="","",IF(AND(H364="No",J364="No"),"🚩 Budget  ·  🚩 No one on camera",IF(H364="No","🚩 Budget under AED 5k",IF(J364="No","🚩 No one on camera",""))))</f>
        <v/>
      </c>
      <c r="R364" s="44" t="str">
        <f aca="false">IF(C364="","",IF(N(N364)&lt;6,"Finish the scoresheet before closing",IF(P364="Hot","Close now – send the contract / proposal today",IF(P364="Warm","Send proposal + a relevant result; follow up in 3 days","Rep's call – nurture or close politely")))&amp;IF(Q364&lt;&gt;""," (handle the 🚩 first)",""))</f>
        <v/>
      </c>
      <c r="S364" s="17"/>
      <c r="T364" s="17"/>
      <c r="U364" s="44" t="str">
        <f aca="false">IF(C364="","",IF(COUNTIF(C365:C$501,C364)=0,1,0))</f>
        <v/>
      </c>
    </row>
    <row r="365" customFormat="false" ht="15" hidden="false" customHeight="false" outlineLevel="0" collapsed="false">
      <c r="A365" s="17"/>
      <c r="B365" s="40"/>
      <c r="C365" s="17"/>
      <c r="D365" s="44" t="str">
        <f aca="false">IF(C365="","",IFERROR(INDEX(Inbound!$E$2:$E$501,MATCH(C365,Inbound!$A$2:$A$501,0)),IFERROR(INDEX(Outbound!$D$2:$D$501,MATCH(C365,Outbound!$A$2:$A$501,0)),"Lead ID not found")))</f>
        <v/>
      </c>
      <c r="E365" s="44" t="str">
        <f aca="false">IF(C365="","",IFERROR(INDEX(Inbound!$F$2:$F$501,MATCH(C365,Inbound!$A$2:$A$501,0)),IFERROR(INDEX(Outbound!$E$2:$E$501,MATCH(C365,Outbound!$A$2:$A$501,0)),"Lead ID not found")))</f>
        <v/>
      </c>
      <c r="F365" s="17"/>
      <c r="G365" s="17"/>
      <c r="H365" s="17"/>
      <c r="I365" s="17"/>
      <c r="J365" s="17"/>
      <c r="K365" s="17"/>
      <c r="L365" s="17"/>
      <c r="M365" s="17"/>
      <c r="N365" s="44" t="str">
        <f aca="false">IF(C365="","",COUNTA(H365:M365))</f>
        <v/>
      </c>
      <c r="O365" s="44" t="str">
        <f aca="false">IF(OR(C365="",N(N365)=0),"",SUMIFS(Settings!$AA$2:$AA$21,Settings!$Y$2:$Y$21,"Budget AED 5k+/mo?",Settings!$Z$2:$Z$21,H365)+SUMIFS(Settings!$AA$2:$AA$21,Settings!$Y$2:$Y$21,"Decision-maker?",Settings!$Z$2:$Z$21,I365)+SUMIFS(Settings!$AA$2:$AA$21,Settings!$Y$2:$Y$21,"Someone on camera?",Settings!$Z$2:$Z$21,J365)+SUMIFS(Settings!$AA$2:$AA$21,Settings!$Y$2:$Y$21,"OK with 3-month term?",Settings!$Z$2:$Z$21,K365)+SUMIFS(Settings!$AA$2:$AA$21,Settings!$Y$2:$Y$21,"Start timeline",Settings!$Z$2:$Z$21,L365)+SUMIFS(Settings!$AA$2:$AA$21,Settings!$Y$2:$Y$21,"Social media gap",Settings!$Z$2:$Z$21,M365)+IF(OR(E365="",E365="Lead ID not found"),0,IF(COUNTIF(Settings!$AC$2:$AC$6,E365)&gt;0,Settings!$AA$20,Settings!$AA$21)))</f>
        <v/>
      </c>
      <c r="P365" s="44" t="str">
        <f aca="false">IF(C365="","",IF(N(N365)&lt;6,"Partly scored ("&amp;N365&amp;"/6)",IF(O365&gt;=Settings!$S$8,"Hot",IF(O365&gt;=Settings!$S$9,"Warm","Cold"))))</f>
        <v/>
      </c>
      <c r="Q365" s="44" t="str">
        <f aca="false">IF(C365="","",IF(AND(H365="No",J365="No"),"🚩 Budget  ·  🚩 No one on camera",IF(H365="No","🚩 Budget under AED 5k",IF(J365="No","🚩 No one on camera",""))))</f>
        <v/>
      </c>
      <c r="R365" s="44" t="str">
        <f aca="false">IF(C365="","",IF(N(N365)&lt;6,"Finish the scoresheet before closing",IF(P365="Hot","Close now – send the contract / proposal today",IF(P365="Warm","Send proposal + a relevant result; follow up in 3 days","Rep's call – nurture or close politely")))&amp;IF(Q365&lt;&gt;""," (handle the 🚩 first)",""))</f>
        <v/>
      </c>
      <c r="S365" s="17"/>
      <c r="T365" s="17"/>
      <c r="U365" s="44" t="str">
        <f aca="false">IF(C365="","",IF(COUNTIF(C366:C$501,C365)=0,1,0))</f>
        <v/>
      </c>
    </row>
    <row r="366" customFormat="false" ht="15" hidden="false" customHeight="false" outlineLevel="0" collapsed="false">
      <c r="A366" s="17"/>
      <c r="B366" s="40"/>
      <c r="C366" s="17"/>
      <c r="D366" s="44" t="str">
        <f aca="false">IF(C366="","",IFERROR(INDEX(Inbound!$E$2:$E$501,MATCH(C366,Inbound!$A$2:$A$501,0)),IFERROR(INDEX(Outbound!$D$2:$D$501,MATCH(C366,Outbound!$A$2:$A$501,0)),"Lead ID not found")))</f>
        <v/>
      </c>
      <c r="E366" s="44" t="str">
        <f aca="false">IF(C366="","",IFERROR(INDEX(Inbound!$F$2:$F$501,MATCH(C366,Inbound!$A$2:$A$501,0)),IFERROR(INDEX(Outbound!$E$2:$E$501,MATCH(C366,Outbound!$A$2:$A$501,0)),"Lead ID not found")))</f>
        <v/>
      </c>
      <c r="F366" s="17"/>
      <c r="G366" s="17"/>
      <c r="H366" s="17"/>
      <c r="I366" s="17"/>
      <c r="J366" s="17"/>
      <c r="K366" s="17"/>
      <c r="L366" s="17"/>
      <c r="M366" s="17"/>
      <c r="N366" s="44" t="str">
        <f aca="false">IF(C366="","",COUNTA(H366:M366))</f>
        <v/>
      </c>
      <c r="O366" s="44" t="str">
        <f aca="false">IF(OR(C366="",N(N366)=0),"",SUMIFS(Settings!$AA$2:$AA$21,Settings!$Y$2:$Y$21,"Budget AED 5k+/mo?",Settings!$Z$2:$Z$21,H366)+SUMIFS(Settings!$AA$2:$AA$21,Settings!$Y$2:$Y$21,"Decision-maker?",Settings!$Z$2:$Z$21,I366)+SUMIFS(Settings!$AA$2:$AA$21,Settings!$Y$2:$Y$21,"Someone on camera?",Settings!$Z$2:$Z$21,J366)+SUMIFS(Settings!$AA$2:$AA$21,Settings!$Y$2:$Y$21,"OK with 3-month term?",Settings!$Z$2:$Z$21,K366)+SUMIFS(Settings!$AA$2:$AA$21,Settings!$Y$2:$Y$21,"Start timeline",Settings!$Z$2:$Z$21,L366)+SUMIFS(Settings!$AA$2:$AA$21,Settings!$Y$2:$Y$21,"Social media gap",Settings!$Z$2:$Z$21,M366)+IF(OR(E366="",E366="Lead ID not found"),0,IF(COUNTIF(Settings!$AC$2:$AC$6,E366)&gt;0,Settings!$AA$20,Settings!$AA$21)))</f>
        <v/>
      </c>
      <c r="P366" s="44" t="str">
        <f aca="false">IF(C366="","",IF(N(N366)&lt;6,"Partly scored ("&amp;N366&amp;"/6)",IF(O366&gt;=Settings!$S$8,"Hot",IF(O366&gt;=Settings!$S$9,"Warm","Cold"))))</f>
        <v/>
      </c>
      <c r="Q366" s="44" t="str">
        <f aca="false">IF(C366="","",IF(AND(H366="No",J366="No"),"🚩 Budget  ·  🚩 No one on camera",IF(H366="No","🚩 Budget under AED 5k",IF(J366="No","🚩 No one on camera",""))))</f>
        <v/>
      </c>
      <c r="R366" s="44" t="str">
        <f aca="false">IF(C366="","",IF(N(N366)&lt;6,"Finish the scoresheet before closing",IF(P366="Hot","Close now – send the contract / proposal today",IF(P366="Warm","Send proposal + a relevant result; follow up in 3 days","Rep's call – nurture or close politely")))&amp;IF(Q366&lt;&gt;""," (handle the 🚩 first)",""))</f>
        <v/>
      </c>
      <c r="S366" s="17"/>
      <c r="T366" s="17"/>
      <c r="U366" s="44" t="str">
        <f aca="false">IF(C366="","",IF(COUNTIF(C367:C$501,C366)=0,1,0))</f>
        <v/>
      </c>
    </row>
    <row r="367" customFormat="false" ht="15" hidden="false" customHeight="false" outlineLevel="0" collapsed="false">
      <c r="A367" s="17"/>
      <c r="B367" s="40"/>
      <c r="C367" s="17"/>
      <c r="D367" s="44" t="str">
        <f aca="false">IF(C367="","",IFERROR(INDEX(Inbound!$E$2:$E$501,MATCH(C367,Inbound!$A$2:$A$501,0)),IFERROR(INDEX(Outbound!$D$2:$D$501,MATCH(C367,Outbound!$A$2:$A$501,0)),"Lead ID not found")))</f>
        <v/>
      </c>
      <c r="E367" s="44" t="str">
        <f aca="false">IF(C367="","",IFERROR(INDEX(Inbound!$F$2:$F$501,MATCH(C367,Inbound!$A$2:$A$501,0)),IFERROR(INDEX(Outbound!$E$2:$E$501,MATCH(C367,Outbound!$A$2:$A$501,0)),"Lead ID not found")))</f>
        <v/>
      </c>
      <c r="F367" s="17"/>
      <c r="G367" s="17"/>
      <c r="H367" s="17"/>
      <c r="I367" s="17"/>
      <c r="J367" s="17"/>
      <c r="K367" s="17"/>
      <c r="L367" s="17"/>
      <c r="M367" s="17"/>
      <c r="N367" s="44" t="str">
        <f aca="false">IF(C367="","",COUNTA(H367:M367))</f>
        <v/>
      </c>
      <c r="O367" s="44" t="str">
        <f aca="false">IF(OR(C367="",N(N367)=0),"",SUMIFS(Settings!$AA$2:$AA$21,Settings!$Y$2:$Y$21,"Budget AED 5k+/mo?",Settings!$Z$2:$Z$21,H367)+SUMIFS(Settings!$AA$2:$AA$21,Settings!$Y$2:$Y$21,"Decision-maker?",Settings!$Z$2:$Z$21,I367)+SUMIFS(Settings!$AA$2:$AA$21,Settings!$Y$2:$Y$21,"Someone on camera?",Settings!$Z$2:$Z$21,J367)+SUMIFS(Settings!$AA$2:$AA$21,Settings!$Y$2:$Y$21,"OK with 3-month term?",Settings!$Z$2:$Z$21,K367)+SUMIFS(Settings!$AA$2:$AA$21,Settings!$Y$2:$Y$21,"Start timeline",Settings!$Z$2:$Z$21,L367)+SUMIFS(Settings!$AA$2:$AA$21,Settings!$Y$2:$Y$21,"Social media gap",Settings!$Z$2:$Z$21,M367)+IF(OR(E367="",E367="Lead ID not found"),0,IF(COUNTIF(Settings!$AC$2:$AC$6,E367)&gt;0,Settings!$AA$20,Settings!$AA$21)))</f>
        <v/>
      </c>
      <c r="P367" s="44" t="str">
        <f aca="false">IF(C367="","",IF(N(N367)&lt;6,"Partly scored ("&amp;N367&amp;"/6)",IF(O367&gt;=Settings!$S$8,"Hot",IF(O367&gt;=Settings!$S$9,"Warm","Cold"))))</f>
        <v/>
      </c>
      <c r="Q367" s="44" t="str">
        <f aca="false">IF(C367="","",IF(AND(H367="No",J367="No"),"🚩 Budget  ·  🚩 No one on camera",IF(H367="No","🚩 Budget under AED 5k",IF(J367="No","🚩 No one on camera",""))))</f>
        <v/>
      </c>
      <c r="R367" s="44" t="str">
        <f aca="false">IF(C367="","",IF(N(N367)&lt;6,"Finish the scoresheet before closing",IF(P367="Hot","Close now – send the contract / proposal today",IF(P367="Warm","Send proposal + a relevant result; follow up in 3 days","Rep's call – nurture or close politely")))&amp;IF(Q367&lt;&gt;""," (handle the 🚩 first)",""))</f>
        <v/>
      </c>
      <c r="S367" s="17"/>
      <c r="T367" s="17"/>
      <c r="U367" s="44" t="str">
        <f aca="false">IF(C367="","",IF(COUNTIF(C368:C$501,C367)=0,1,0))</f>
        <v/>
      </c>
    </row>
    <row r="368" customFormat="false" ht="15" hidden="false" customHeight="false" outlineLevel="0" collapsed="false">
      <c r="A368" s="17"/>
      <c r="B368" s="40"/>
      <c r="C368" s="17"/>
      <c r="D368" s="44" t="str">
        <f aca="false">IF(C368="","",IFERROR(INDEX(Inbound!$E$2:$E$501,MATCH(C368,Inbound!$A$2:$A$501,0)),IFERROR(INDEX(Outbound!$D$2:$D$501,MATCH(C368,Outbound!$A$2:$A$501,0)),"Lead ID not found")))</f>
        <v/>
      </c>
      <c r="E368" s="44" t="str">
        <f aca="false">IF(C368="","",IFERROR(INDEX(Inbound!$F$2:$F$501,MATCH(C368,Inbound!$A$2:$A$501,0)),IFERROR(INDEX(Outbound!$E$2:$E$501,MATCH(C368,Outbound!$A$2:$A$501,0)),"Lead ID not found")))</f>
        <v/>
      </c>
      <c r="F368" s="17"/>
      <c r="G368" s="17"/>
      <c r="H368" s="17"/>
      <c r="I368" s="17"/>
      <c r="J368" s="17"/>
      <c r="K368" s="17"/>
      <c r="L368" s="17"/>
      <c r="M368" s="17"/>
      <c r="N368" s="44" t="str">
        <f aca="false">IF(C368="","",COUNTA(H368:M368))</f>
        <v/>
      </c>
      <c r="O368" s="44" t="str">
        <f aca="false">IF(OR(C368="",N(N368)=0),"",SUMIFS(Settings!$AA$2:$AA$21,Settings!$Y$2:$Y$21,"Budget AED 5k+/mo?",Settings!$Z$2:$Z$21,H368)+SUMIFS(Settings!$AA$2:$AA$21,Settings!$Y$2:$Y$21,"Decision-maker?",Settings!$Z$2:$Z$21,I368)+SUMIFS(Settings!$AA$2:$AA$21,Settings!$Y$2:$Y$21,"Someone on camera?",Settings!$Z$2:$Z$21,J368)+SUMIFS(Settings!$AA$2:$AA$21,Settings!$Y$2:$Y$21,"OK with 3-month term?",Settings!$Z$2:$Z$21,K368)+SUMIFS(Settings!$AA$2:$AA$21,Settings!$Y$2:$Y$21,"Start timeline",Settings!$Z$2:$Z$21,L368)+SUMIFS(Settings!$AA$2:$AA$21,Settings!$Y$2:$Y$21,"Social media gap",Settings!$Z$2:$Z$21,M368)+IF(OR(E368="",E368="Lead ID not found"),0,IF(COUNTIF(Settings!$AC$2:$AC$6,E368)&gt;0,Settings!$AA$20,Settings!$AA$21)))</f>
        <v/>
      </c>
      <c r="P368" s="44" t="str">
        <f aca="false">IF(C368="","",IF(N(N368)&lt;6,"Partly scored ("&amp;N368&amp;"/6)",IF(O368&gt;=Settings!$S$8,"Hot",IF(O368&gt;=Settings!$S$9,"Warm","Cold"))))</f>
        <v/>
      </c>
      <c r="Q368" s="44" t="str">
        <f aca="false">IF(C368="","",IF(AND(H368="No",J368="No"),"🚩 Budget  ·  🚩 No one on camera",IF(H368="No","🚩 Budget under AED 5k",IF(J368="No","🚩 No one on camera",""))))</f>
        <v/>
      </c>
      <c r="R368" s="44" t="str">
        <f aca="false">IF(C368="","",IF(N(N368)&lt;6,"Finish the scoresheet before closing",IF(P368="Hot","Close now – send the contract / proposal today",IF(P368="Warm","Send proposal + a relevant result; follow up in 3 days","Rep's call – nurture or close politely")))&amp;IF(Q368&lt;&gt;""," (handle the 🚩 first)",""))</f>
        <v/>
      </c>
      <c r="S368" s="17"/>
      <c r="T368" s="17"/>
      <c r="U368" s="44" t="str">
        <f aca="false">IF(C368="","",IF(COUNTIF(C369:C$501,C368)=0,1,0))</f>
        <v/>
      </c>
    </row>
    <row r="369" customFormat="false" ht="15" hidden="false" customHeight="false" outlineLevel="0" collapsed="false">
      <c r="A369" s="17"/>
      <c r="B369" s="40"/>
      <c r="C369" s="17"/>
      <c r="D369" s="44" t="str">
        <f aca="false">IF(C369="","",IFERROR(INDEX(Inbound!$E$2:$E$501,MATCH(C369,Inbound!$A$2:$A$501,0)),IFERROR(INDEX(Outbound!$D$2:$D$501,MATCH(C369,Outbound!$A$2:$A$501,0)),"Lead ID not found")))</f>
        <v/>
      </c>
      <c r="E369" s="44" t="str">
        <f aca="false">IF(C369="","",IFERROR(INDEX(Inbound!$F$2:$F$501,MATCH(C369,Inbound!$A$2:$A$501,0)),IFERROR(INDEX(Outbound!$E$2:$E$501,MATCH(C369,Outbound!$A$2:$A$501,0)),"Lead ID not found")))</f>
        <v/>
      </c>
      <c r="F369" s="17"/>
      <c r="G369" s="17"/>
      <c r="H369" s="17"/>
      <c r="I369" s="17"/>
      <c r="J369" s="17"/>
      <c r="K369" s="17"/>
      <c r="L369" s="17"/>
      <c r="M369" s="17"/>
      <c r="N369" s="44" t="str">
        <f aca="false">IF(C369="","",COUNTA(H369:M369))</f>
        <v/>
      </c>
      <c r="O369" s="44" t="str">
        <f aca="false">IF(OR(C369="",N(N369)=0),"",SUMIFS(Settings!$AA$2:$AA$21,Settings!$Y$2:$Y$21,"Budget AED 5k+/mo?",Settings!$Z$2:$Z$21,H369)+SUMIFS(Settings!$AA$2:$AA$21,Settings!$Y$2:$Y$21,"Decision-maker?",Settings!$Z$2:$Z$21,I369)+SUMIFS(Settings!$AA$2:$AA$21,Settings!$Y$2:$Y$21,"Someone on camera?",Settings!$Z$2:$Z$21,J369)+SUMIFS(Settings!$AA$2:$AA$21,Settings!$Y$2:$Y$21,"OK with 3-month term?",Settings!$Z$2:$Z$21,K369)+SUMIFS(Settings!$AA$2:$AA$21,Settings!$Y$2:$Y$21,"Start timeline",Settings!$Z$2:$Z$21,L369)+SUMIFS(Settings!$AA$2:$AA$21,Settings!$Y$2:$Y$21,"Social media gap",Settings!$Z$2:$Z$21,M369)+IF(OR(E369="",E369="Lead ID not found"),0,IF(COUNTIF(Settings!$AC$2:$AC$6,E369)&gt;0,Settings!$AA$20,Settings!$AA$21)))</f>
        <v/>
      </c>
      <c r="P369" s="44" t="str">
        <f aca="false">IF(C369="","",IF(N(N369)&lt;6,"Partly scored ("&amp;N369&amp;"/6)",IF(O369&gt;=Settings!$S$8,"Hot",IF(O369&gt;=Settings!$S$9,"Warm","Cold"))))</f>
        <v/>
      </c>
      <c r="Q369" s="44" t="str">
        <f aca="false">IF(C369="","",IF(AND(H369="No",J369="No"),"🚩 Budget  ·  🚩 No one on camera",IF(H369="No","🚩 Budget under AED 5k",IF(J369="No","🚩 No one on camera",""))))</f>
        <v/>
      </c>
      <c r="R369" s="44" t="str">
        <f aca="false">IF(C369="","",IF(N(N369)&lt;6,"Finish the scoresheet before closing",IF(P369="Hot","Close now – send the contract / proposal today",IF(P369="Warm","Send proposal + a relevant result; follow up in 3 days","Rep's call – nurture or close politely")))&amp;IF(Q369&lt;&gt;""," (handle the 🚩 first)",""))</f>
        <v/>
      </c>
      <c r="S369" s="17"/>
      <c r="T369" s="17"/>
      <c r="U369" s="44" t="str">
        <f aca="false">IF(C369="","",IF(COUNTIF(C370:C$501,C369)=0,1,0))</f>
        <v/>
      </c>
    </row>
    <row r="370" customFormat="false" ht="15" hidden="false" customHeight="false" outlineLevel="0" collapsed="false">
      <c r="A370" s="17"/>
      <c r="B370" s="40"/>
      <c r="C370" s="17"/>
      <c r="D370" s="44" t="str">
        <f aca="false">IF(C370="","",IFERROR(INDEX(Inbound!$E$2:$E$501,MATCH(C370,Inbound!$A$2:$A$501,0)),IFERROR(INDEX(Outbound!$D$2:$D$501,MATCH(C370,Outbound!$A$2:$A$501,0)),"Lead ID not found")))</f>
        <v/>
      </c>
      <c r="E370" s="44" t="str">
        <f aca="false">IF(C370="","",IFERROR(INDEX(Inbound!$F$2:$F$501,MATCH(C370,Inbound!$A$2:$A$501,0)),IFERROR(INDEX(Outbound!$E$2:$E$501,MATCH(C370,Outbound!$A$2:$A$501,0)),"Lead ID not found")))</f>
        <v/>
      </c>
      <c r="F370" s="17"/>
      <c r="G370" s="17"/>
      <c r="H370" s="17"/>
      <c r="I370" s="17"/>
      <c r="J370" s="17"/>
      <c r="K370" s="17"/>
      <c r="L370" s="17"/>
      <c r="M370" s="17"/>
      <c r="N370" s="44" t="str">
        <f aca="false">IF(C370="","",COUNTA(H370:M370))</f>
        <v/>
      </c>
      <c r="O370" s="44" t="str">
        <f aca="false">IF(OR(C370="",N(N370)=0),"",SUMIFS(Settings!$AA$2:$AA$21,Settings!$Y$2:$Y$21,"Budget AED 5k+/mo?",Settings!$Z$2:$Z$21,H370)+SUMIFS(Settings!$AA$2:$AA$21,Settings!$Y$2:$Y$21,"Decision-maker?",Settings!$Z$2:$Z$21,I370)+SUMIFS(Settings!$AA$2:$AA$21,Settings!$Y$2:$Y$21,"Someone on camera?",Settings!$Z$2:$Z$21,J370)+SUMIFS(Settings!$AA$2:$AA$21,Settings!$Y$2:$Y$21,"OK with 3-month term?",Settings!$Z$2:$Z$21,K370)+SUMIFS(Settings!$AA$2:$AA$21,Settings!$Y$2:$Y$21,"Start timeline",Settings!$Z$2:$Z$21,L370)+SUMIFS(Settings!$AA$2:$AA$21,Settings!$Y$2:$Y$21,"Social media gap",Settings!$Z$2:$Z$21,M370)+IF(OR(E370="",E370="Lead ID not found"),0,IF(COUNTIF(Settings!$AC$2:$AC$6,E370)&gt;0,Settings!$AA$20,Settings!$AA$21)))</f>
        <v/>
      </c>
      <c r="P370" s="44" t="str">
        <f aca="false">IF(C370="","",IF(N(N370)&lt;6,"Partly scored ("&amp;N370&amp;"/6)",IF(O370&gt;=Settings!$S$8,"Hot",IF(O370&gt;=Settings!$S$9,"Warm","Cold"))))</f>
        <v/>
      </c>
      <c r="Q370" s="44" t="str">
        <f aca="false">IF(C370="","",IF(AND(H370="No",J370="No"),"🚩 Budget  ·  🚩 No one on camera",IF(H370="No","🚩 Budget under AED 5k",IF(J370="No","🚩 No one on camera",""))))</f>
        <v/>
      </c>
      <c r="R370" s="44" t="str">
        <f aca="false">IF(C370="","",IF(N(N370)&lt;6,"Finish the scoresheet before closing",IF(P370="Hot","Close now – send the contract / proposal today",IF(P370="Warm","Send proposal + a relevant result; follow up in 3 days","Rep's call – nurture or close politely")))&amp;IF(Q370&lt;&gt;""," (handle the 🚩 first)",""))</f>
        <v/>
      </c>
      <c r="S370" s="17"/>
      <c r="T370" s="17"/>
      <c r="U370" s="44" t="str">
        <f aca="false">IF(C370="","",IF(COUNTIF(C371:C$501,C370)=0,1,0))</f>
        <v/>
      </c>
    </row>
    <row r="371" customFormat="false" ht="15" hidden="false" customHeight="false" outlineLevel="0" collapsed="false">
      <c r="A371" s="17"/>
      <c r="B371" s="40"/>
      <c r="C371" s="17"/>
      <c r="D371" s="44" t="str">
        <f aca="false">IF(C371="","",IFERROR(INDEX(Inbound!$E$2:$E$501,MATCH(C371,Inbound!$A$2:$A$501,0)),IFERROR(INDEX(Outbound!$D$2:$D$501,MATCH(C371,Outbound!$A$2:$A$501,0)),"Lead ID not found")))</f>
        <v/>
      </c>
      <c r="E371" s="44" t="str">
        <f aca="false">IF(C371="","",IFERROR(INDEX(Inbound!$F$2:$F$501,MATCH(C371,Inbound!$A$2:$A$501,0)),IFERROR(INDEX(Outbound!$E$2:$E$501,MATCH(C371,Outbound!$A$2:$A$501,0)),"Lead ID not found")))</f>
        <v/>
      </c>
      <c r="F371" s="17"/>
      <c r="G371" s="17"/>
      <c r="H371" s="17"/>
      <c r="I371" s="17"/>
      <c r="J371" s="17"/>
      <c r="K371" s="17"/>
      <c r="L371" s="17"/>
      <c r="M371" s="17"/>
      <c r="N371" s="44" t="str">
        <f aca="false">IF(C371="","",COUNTA(H371:M371))</f>
        <v/>
      </c>
      <c r="O371" s="44" t="str">
        <f aca="false">IF(OR(C371="",N(N371)=0),"",SUMIFS(Settings!$AA$2:$AA$21,Settings!$Y$2:$Y$21,"Budget AED 5k+/mo?",Settings!$Z$2:$Z$21,H371)+SUMIFS(Settings!$AA$2:$AA$21,Settings!$Y$2:$Y$21,"Decision-maker?",Settings!$Z$2:$Z$21,I371)+SUMIFS(Settings!$AA$2:$AA$21,Settings!$Y$2:$Y$21,"Someone on camera?",Settings!$Z$2:$Z$21,J371)+SUMIFS(Settings!$AA$2:$AA$21,Settings!$Y$2:$Y$21,"OK with 3-month term?",Settings!$Z$2:$Z$21,K371)+SUMIFS(Settings!$AA$2:$AA$21,Settings!$Y$2:$Y$21,"Start timeline",Settings!$Z$2:$Z$21,L371)+SUMIFS(Settings!$AA$2:$AA$21,Settings!$Y$2:$Y$21,"Social media gap",Settings!$Z$2:$Z$21,M371)+IF(OR(E371="",E371="Lead ID not found"),0,IF(COUNTIF(Settings!$AC$2:$AC$6,E371)&gt;0,Settings!$AA$20,Settings!$AA$21)))</f>
        <v/>
      </c>
      <c r="P371" s="44" t="str">
        <f aca="false">IF(C371="","",IF(N(N371)&lt;6,"Partly scored ("&amp;N371&amp;"/6)",IF(O371&gt;=Settings!$S$8,"Hot",IF(O371&gt;=Settings!$S$9,"Warm","Cold"))))</f>
        <v/>
      </c>
      <c r="Q371" s="44" t="str">
        <f aca="false">IF(C371="","",IF(AND(H371="No",J371="No"),"🚩 Budget  ·  🚩 No one on camera",IF(H371="No","🚩 Budget under AED 5k",IF(J371="No","🚩 No one on camera",""))))</f>
        <v/>
      </c>
      <c r="R371" s="44" t="str">
        <f aca="false">IF(C371="","",IF(N(N371)&lt;6,"Finish the scoresheet before closing",IF(P371="Hot","Close now – send the contract / proposal today",IF(P371="Warm","Send proposal + a relevant result; follow up in 3 days","Rep's call – nurture or close politely")))&amp;IF(Q371&lt;&gt;""," (handle the 🚩 first)",""))</f>
        <v/>
      </c>
      <c r="S371" s="17"/>
      <c r="T371" s="17"/>
      <c r="U371" s="44" t="str">
        <f aca="false">IF(C371="","",IF(COUNTIF(C372:C$501,C371)=0,1,0))</f>
        <v/>
      </c>
    </row>
    <row r="372" customFormat="false" ht="15" hidden="false" customHeight="false" outlineLevel="0" collapsed="false">
      <c r="A372" s="17"/>
      <c r="B372" s="40"/>
      <c r="C372" s="17"/>
      <c r="D372" s="44" t="str">
        <f aca="false">IF(C372="","",IFERROR(INDEX(Inbound!$E$2:$E$501,MATCH(C372,Inbound!$A$2:$A$501,0)),IFERROR(INDEX(Outbound!$D$2:$D$501,MATCH(C372,Outbound!$A$2:$A$501,0)),"Lead ID not found")))</f>
        <v/>
      </c>
      <c r="E372" s="44" t="str">
        <f aca="false">IF(C372="","",IFERROR(INDEX(Inbound!$F$2:$F$501,MATCH(C372,Inbound!$A$2:$A$501,0)),IFERROR(INDEX(Outbound!$E$2:$E$501,MATCH(C372,Outbound!$A$2:$A$501,0)),"Lead ID not found")))</f>
        <v/>
      </c>
      <c r="F372" s="17"/>
      <c r="G372" s="17"/>
      <c r="H372" s="17"/>
      <c r="I372" s="17"/>
      <c r="J372" s="17"/>
      <c r="K372" s="17"/>
      <c r="L372" s="17"/>
      <c r="M372" s="17"/>
      <c r="N372" s="44" t="str">
        <f aca="false">IF(C372="","",COUNTA(H372:M372))</f>
        <v/>
      </c>
      <c r="O372" s="44" t="str">
        <f aca="false">IF(OR(C372="",N(N372)=0),"",SUMIFS(Settings!$AA$2:$AA$21,Settings!$Y$2:$Y$21,"Budget AED 5k+/mo?",Settings!$Z$2:$Z$21,H372)+SUMIFS(Settings!$AA$2:$AA$21,Settings!$Y$2:$Y$21,"Decision-maker?",Settings!$Z$2:$Z$21,I372)+SUMIFS(Settings!$AA$2:$AA$21,Settings!$Y$2:$Y$21,"Someone on camera?",Settings!$Z$2:$Z$21,J372)+SUMIFS(Settings!$AA$2:$AA$21,Settings!$Y$2:$Y$21,"OK with 3-month term?",Settings!$Z$2:$Z$21,K372)+SUMIFS(Settings!$AA$2:$AA$21,Settings!$Y$2:$Y$21,"Start timeline",Settings!$Z$2:$Z$21,L372)+SUMIFS(Settings!$AA$2:$AA$21,Settings!$Y$2:$Y$21,"Social media gap",Settings!$Z$2:$Z$21,M372)+IF(OR(E372="",E372="Lead ID not found"),0,IF(COUNTIF(Settings!$AC$2:$AC$6,E372)&gt;0,Settings!$AA$20,Settings!$AA$21)))</f>
        <v/>
      </c>
      <c r="P372" s="44" t="str">
        <f aca="false">IF(C372="","",IF(N(N372)&lt;6,"Partly scored ("&amp;N372&amp;"/6)",IF(O372&gt;=Settings!$S$8,"Hot",IF(O372&gt;=Settings!$S$9,"Warm","Cold"))))</f>
        <v/>
      </c>
      <c r="Q372" s="44" t="str">
        <f aca="false">IF(C372="","",IF(AND(H372="No",J372="No"),"🚩 Budget  ·  🚩 No one on camera",IF(H372="No","🚩 Budget under AED 5k",IF(J372="No","🚩 No one on camera",""))))</f>
        <v/>
      </c>
      <c r="R372" s="44" t="str">
        <f aca="false">IF(C372="","",IF(N(N372)&lt;6,"Finish the scoresheet before closing",IF(P372="Hot","Close now – send the contract / proposal today",IF(P372="Warm","Send proposal + a relevant result; follow up in 3 days","Rep's call – nurture or close politely")))&amp;IF(Q372&lt;&gt;""," (handle the 🚩 first)",""))</f>
        <v/>
      </c>
      <c r="S372" s="17"/>
      <c r="T372" s="17"/>
      <c r="U372" s="44" t="str">
        <f aca="false">IF(C372="","",IF(COUNTIF(C373:C$501,C372)=0,1,0))</f>
        <v/>
      </c>
    </row>
    <row r="373" customFormat="false" ht="15" hidden="false" customHeight="false" outlineLevel="0" collapsed="false">
      <c r="A373" s="17"/>
      <c r="B373" s="40"/>
      <c r="C373" s="17"/>
      <c r="D373" s="44" t="str">
        <f aca="false">IF(C373="","",IFERROR(INDEX(Inbound!$E$2:$E$501,MATCH(C373,Inbound!$A$2:$A$501,0)),IFERROR(INDEX(Outbound!$D$2:$D$501,MATCH(C373,Outbound!$A$2:$A$501,0)),"Lead ID not found")))</f>
        <v/>
      </c>
      <c r="E373" s="44" t="str">
        <f aca="false">IF(C373="","",IFERROR(INDEX(Inbound!$F$2:$F$501,MATCH(C373,Inbound!$A$2:$A$501,0)),IFERROR(INDEX(Outbound!$E$2:$E$501,MATCH(C373,Outbound!$A$2:$A$501,0)),"Lead ID not found")))</f>
        <v/>
      </c>
      <c r="F373" s="17"/>
      <c r="G373" s="17"/>
      <c r="H373" s="17"/>
      <c r="I373" s="17"/>
      <c r="J373" s="17"/>
      <c r="K373" s="17"/>
      <c r="L373" s="17"/>
      <c r="M373" s="17"/>
      <c r="N373" s="44" t="str">
        <f aca="false">IF(C373="","",COUNTA(H373:M373))</f>
        <v/>
      </c>
      <c r="O373" s="44" t="str">
        <f aca="false">IF(OR(C373="",N(N373)=0),"",SUMIFS(Settings!$AA$2:$AA$21,Settings!$Y$2:$Y$21,"Budget AED 5k+/mo?",Settings!$Z$2:$Z$21,H373)+SUMIFS(Settings!$AA$2:$AA$21,Settings!$Y$2:$Y$21,"Decision-maker?",Settings!$Z$2:$Z$21,I373)+SUMIFS(Settings!$AA$2:$AA$21,Settings!$Y$2:$Y$21,"Someone on camera?",Settings!$Z$2:$Z$21,J373)+SUMIFS(Settings!$AA$2:$AA$21,Settings!$Y$2:$Y$21,"OK with 3-month term?",Settings!$Z$2:$Z$21,K373)+SUMIFS(Settings!$AA$2:$AA$21,Settings!$Y$2:$Y$21,"Start timeline",Settings!$Z$2:$Z$21,L373)+SUMIFS(Settings!$AA$2:$AA$21,Settings!$Y$2:$Y$21,"Social media gap",Settings!$Z$2:$Z$21,M373)+IF(OR(E373="",E373="Lead ID not found"),0,IF(COUNTIF(Settings!$AC$2:$AC$6,E373)&gt;0,Settings!$AA$20,Settings!$AA$21)))</f>
        <v/>
      </c>
      <c r="P373" s="44" t="str">
        <f aca="false">IF(C373="","",IF(N(N373)&lt;6,"Partly scored ("&amp;N373&amp;"/6)",IF(O373&gt;=Settings!$S$8,"Hot",IF(O373&gt;=Settings!$S$9,"Warm","Cold"))))</f>
        <v/>
      </c>
      <c r="Q373" s="44" t="str">
        <f aca="false">IF(C373="","",IF(AND(H373="No",J373="No"),"🚩 Budget  ·  🚩 No one on camera",IF(H373="No","🚩 Budget under AED 5k",IF(J373="No","🚩 No one on camera",""))))</f>
        <v/>
      </c>
      <c r="R373" s="44" t="str">
        <f aca="false">IF(C373="","",IF(N(N373)&lt;6,"Finish the scoresheet before closing",IF(P373="Hot","Close now – send the contract / proposal today",IF(P373="Warm","Send proposal + a relevant result; follow up in 3 days","Rep's call – nurture or close politely")))&amp;IF(Q373&lt;&gt;""," (handle the 🚩 first)",""))</f>
        <v/>
      </c>
      <c r="S373" s="17"/>
      <c r="T373" s="17"/>
      <c r="U373" s="44" t="str">
        <f aca="false">IF(C373="","",IF(COUNTIF(C374:C$501,C373)=0,1,0))</f>
        <v/>
      </c>
    </row>
    <row r="374" customFormat="false" ht="15" hidden="false" customHeight="false" outlineLevel="0" collapsed="false">
      <c r="A374" s="17"/>
      <c r="B374" s="40"/>
      <c r="C374" s="17"/>
      <c r="D374" s="44" t="str">
        <f aca="false">IF(C374="","",IFERROR(INDEX(Inbound!$E$2:$E$501,MATCH(C374,Inbound!$A$2:$A$501,0)),IFERROR(INDEX(Outbound!$D$2:$D$501,MATCH(C374,Outbound!$A$2:$A$501,0)),"Lead ID not found")))</f>
        <v/>
      </c>
      <c r="E374" s="44" t="str">
        <f aca="false">IF(C374="","",IFERROR(INDEX(Inbound!$F$2:$F$501,MATCH(C374,Inbound!$A$2:$A$501,0)),IFERROR(INDEX(Outbound!$E$2:$E$501,MATCH(C374,Outbound!$A$2:$A$501,0)),"Lead ID not found")))</f>
        <v/>
      </c>
      <c r="F374" s="17"/>
      <c r="G374" s="17"/>
      <c r="H374" s="17"/>
      <c r="I374" s="17"/>
      <c r="J374" s="17"/>
      <c r="K374" s="17"/>
      <c r="L374" s="17"/>
      <c r="M374" s="17"/>
      <c r="N374" s="44" t="str">
        <f aca="false">IF(C374="","",COUNTA(H374:M374))</f>
        <v/>
      </c>
      <c r="O374" s="44" t="str">
        <f aca="false">IF(OR(C374="",N(N374)=0),"",SUMIFS(Settings!$AA$2:$AA$21,Settings!$Y$2:$Y$21,"Budget AED 5k+/mo?",Settings!$Z$2:$Z$21,H374)+SUMIFS(Settings!$AA$2:$AA$21,Settings!$Y$2:$Y$21,"Decision-maker?",Settings!$Z$2:$Z$21,I374)+SUMIFS(Settings!$AA$2:$AA$21,Settings!$Y$2:$Y$21,"Someone on camera?",Settings!$Z$2:$Z$21,J374)+SUMIFS(Settings!$AA$2:$AA$21,Settings!$Y$2:$Y$21,"OK with 3-month term?",Settings!$Z$2:$Z$21,K374)+SUMIFS(Settings!$AA$2:$AA$21,Settings!$Y$2:$Y$21,"Start timeline",Settings!$Z$2:$Z$21,L374)+SUMIFS(Settings!$AA$2:$AA$21,Settings!$Y$2:$Y$21,"Social media gap",Settings!$Z$2:$Z$21,M374)+IF(OR(E374="",E374="Lead ID not found"),0,IF(COUNTIF(Settings!$AC$2:$AC$6,E374)&gt;0,Settings!$AA$20,Settings!$AA$21)))</f>
        <v/>
      </c>
      <c r="P374" s="44" t="str">
        <f aca="false">IF(C374="","",IF(N(N374)&lt;6,"Partly scored ("&amp;N374&amp;"/6)",IF(O374&gt;=Settings!$S$8,"Hot",IF(O374&gt;=Settings!$S$9,"Warm","Cold"))))</f>
        <v/>
      </c>
      <c r="Q374" s="44" t="str">
        <f aca="false">IF(C374="","",IF(AND(H374="No",J374="No"),"🚩 Budget  ·  🚩 No one on camera",IF(H374="No","🚩 Budget under AED 5k",IF(J374="No","🚩 No one on camera",""))))</f>
        <v/>
      </c>
      <c r="R374" s="44" t="str">
        <f aca="false">IF(C374="","",IF(N(N374)&lt;6,"Finish the scoresheet before closing",IF(P374="Hot","Close now – send the contract / proposal today",IF(P374="Warm","Send proposal + a relevant result; follow up in 3 days","Rep's call – nurture or close politely")))&amp;IF(Q374&lt;&gt;""," (handle the 🚩 first)",""))</f>
        <v/>
      </c>
      <c r="S374" s="17"/>
      <c r="T374" s="17"/>
      <c r="U374" s="44" t="str">
        <f aca="false">IF(C374="","",IF(COUNTIF(C375:C$501,C374)=0,1,0))</f>
        <v/>
      </c>
    </row>
    <row r="375" customFormat="false" ht="15" hidden="false" customHeight="false" outlineLevel="0" collapsed="false">
      <c r="A375" s="17"/>
      <c r="B375" s="40"/>
      <c r="C375" s="17"/>
      <c r="D375" s="44" t="str">
        <f aca="false">IF(C375="","",IFERROR(INDEX(Inbound!$E$2:$E$501,MATCH(C375,Inbound!$A$2:$A$501,0)),IFERROR(INDEX(Outbound!$D$2:$D$501,MATCH(C375,Outbound!$A$2:$A$501,0)),"Lead ID not found")))</f>
        <v/>
      </c>
      <c r="E375" s="44" t="str">
        <f aca="false">IF(C375="","",IFERROR(INDEX(Inbound!$F$2:$F$501,MATCH(C375,Inbound!$A$2:$A$501,0)),IFERROR(INDEX(Outbound!$E$2:$E$501,MATCH(C375,Outbound!$A$2:$A$501,0)),"Lead ID not found")))</f>
        <v/>
      </c>
      <c r="F375" s="17"/>
      <c r="G375" s="17"/>
      <c r="H375" s="17"/>
      <c r="I375" s="17"/>
      <c r="J375" s="17"/>
      <c r="K375" s="17"/>
      <c r="L375" s="17"/>
      <c r="M375" s="17"/>
      <c r="N375" s="44" t="str">
        <f aca="false">IF(C375="","",COUNTA(H375:M375))</f>
        <v/>
      </c>
      <c r="O375" s="44" t="str">
        <f aca="false">IF(OR(C375="",N(N375)=0),"",SUMIFS(Settings!$AA$2:$AA$21,Settings!$Y$2:$Y$21,"Budget AED 5k+/mo?",Settings!$Z$2:$Z$21,H375)+SUMIFS(Settings!$AA$2:$AA$21,Settings!$Y$2:$Y$21,"Decision-maker?",Settings!$Z$2:$Z$21,I375)+SUMIFS(Settings!$AA$2:$AA$21,Settings!$Y$2:$Y$21,"Someone on camera?",Settings!$Z$2:$Z$21,J375)+SUMIFS(Settings!$AA$2:$AA$21,Settings!$Y$2:$Y$21,"OK with 3-month term?",Settings!$Z$2:$Z$21,K375)+SUMIFS(Settings!$AA$2:$AA$21,Settings!$Y$2:$Y$21,"Start timeline",Settings!$Z$2:$Z$21,L375)+SUMIFS(Settings!$AA$2:$AA$21,Settings!$Y$2:$Y$21,"Social media gap",Settings!$Z$2:$Z$21,M375)+IF(OR(E375="",E375="Lead ID not found"),0,IF(COUNTIF(Settings!$AC$2:$AC$6,E375)&gt;0,Settings!$AA$20,Settings!$AA$21)))</f>
        <v/>
      </c>
      <c r="P375" s="44" t="str">
        <f aca="false">IF(C375="","",IF(N(N375)&lt;6,"Partly scored ("&amp;N375&amp;"/6)",IF(O375&gt;=Settings!$S$8,"Hot",IF(O375&gt;=Settings!$S$9,"Warm","Cold"))))</f>
        <v/>
      </c>
      <c r="Q375" s="44" t="str">
        <f aca="false">IF(C375="","",IF(AND(H375="No",J375="No"),"🚩 Budget  ·  🚩 No one on camera",IF(H375="No","🚩 Budget under AED 5k",IF(J375="No","🚩 No one on camera",""))))</f>
        <v/>
      </c>
      <c r="R375" s="44" t="str">
        <f aca="false">IF(C375="","",IF(N(N375)&lt;6,"Finish the scoresheet before closing",IF(P375="Hot","Close now – send the contract / proposal today",IF(P375="Warm","Send proposal + a relevant result; follow up in 3 days","Rep's call – nurture or close politely")))&amp;IF(Q375&lt;&gt;""," (handle the 🚩 first)",""))</f>
        <v/>
      </c>
      <c r="S375" s="17"/>
      <c r="T375" s="17"/>
      <c r="U375" s="44" t="str">
        <f aca="false">IF(C375="","",IF(COUNTIF(C376:C$501,C375)=0,1,0))</f>
        <v/>
      </c>
    </row>
    <row r="376" customFormat="false" ht="15" hidden="false" customHeight="false" outlineLevel="0" collapsed="false">
      <c r="A376" s="17"/>
      <c r="B376" s="40"/>
      <c r="C376" s="17"/>
      <c r="D376" s="44" t="str">
        <f aca="false">IF(C376="","",IFERROR(INDEX(Inbound!$E$2:$E$501,MATCH(C376,Inbound!$A$2:$A$501,0)),IFERROR(INDEX(Outbound!$D$2:$D$501,MATCH(C376,Outbound!$A$2:$A$501,0)),"Lead ID not found")))</f>
        <v/>
      </c>
      <c r="E376" s="44" t="str">
        <f aca="false">IF(C376="","",IFERROR(INDEX(Inbound!$F$2:$F$501,MATCH(C376,Inbound!$A$2:$A$501,0)),IFERROR(INDEX(Outbound!$E$2:$E$501,MATCH(C376,Outbound!$A$2:$A$501,0)),"Lead ID not found")))</f>
        <v/>
      </c>
      <c r="F376" s="17"/>
      <c r="G376" s="17"/>
      <c r="H376" s="17"/>
      <c r="I376" s="17"/>
      <c r="J376" s="17"/>
      <c r="K376" s="17"/>
      <c r="L376" s="17"/>
      <c r="M376" s="17"/>
      <c r="N376" s="44" t="str">
        <f aca="false">IF(C376="","",COUNTA(H376:M376))</f>
        <v/>
      </c>
      <c r="O376" s="44" t="str">
        <f aca="false">IF(OR(C376="",N(N376)=0),"",SUMIFS(Settings!$AA$2:$AA$21,Settings!$Y$2:$Y$21,"Budget AED 5k+/mo?",Settings!$Z$2:$Z$21,H376)+SUMIFS(Settings!$AA$2:$AA$21,Settings!$Y$2:$Y$21,"Decision-maker?",Settings!$Z$2:$Z$21,I376)+SUMIFS(Settings!$AA$2:$AA$21,Settings!$Y$2:$Y$21,"Someone on camera?",Settings!$Z$2:$Z$21,J376)+SUMIFS(Settings!$AA$2:$AA$21,Settings!$Y$2:$Y$21,"OK with 3-month term?",Settings!$Z$2:$Z$21,K376)+SUMIFS(Settings!$AA$2:$AA$21,Settings!$Y$2:$Y$21,"Start timeline",Settings!$Z$2:$Z$21,L376)+SUMIFS(Settings!$AA$2:$AA$21,Settings!$Y$2:$Y$21,"Social media gap",Settings!$Z$2:$Z$21,M376)+IF(OR(E376="",E376="Lead ID not found"),0,IF(COUNTIF(Settings!$AC$2:$AC$6,E376)&gt;0,Settings!$AA$20,Settings!$AA$21)))</f>
        <v/>
      </c>
      <c r="P376" s="44" t="str">
        <f aca="false">IF(C376="","",IF(N(N376)&lt;6,"Partly scored ("&amp;N376&amp;"/6)",IF(O376&gt;=Settings!$S$8,"Hot",IF(O376&gt;=Settings!$S$9,"Warm","Cold"))))</f>
        <v/>
      </c>
      <c r="Q376" s="44" t="str">
        <f aca="false">IF(C376="","",IF(AND(H376="No",J376="No"),"🚩 Budget  ·  🚩 No one on camera",IF(H376="No","🚩 Budget under AED 5k",IF(J376="No","🚩 No one on camera",""))))</f>
        <v/>
      </c>
      <c r="R376" s="44" t="str">
        <f aca="false">IF(C376="","",IF(N(N376)&lt;6,"Finish the scoresheet before closing",IF(P376="Hot","Close now – send the contract / proposal today",IF(P376="Warm","Send proposal + a relevant result; follow up in 3 days","Rep's call – nurture or close politely")))&amp;IF(Q376&lt;&gt;""," (handle the 🚩 first)",""))</f>
        <v/>
      </c>
      <c r="S376" s="17"/>
      <c r="T376" s="17"/>
      <c r="U376" s="44" t="str">
        <f aca="false">IF(C376="","",IF(COUNTIF(C377:C$501,C376)=0,1,0))</f>
        <v/>
      </c>
    </row>
    <row r="377" customFormat="false" ht="15" hidden="false" customHeight="false" outlineLevel="0" collapsed="false">
      <c r="A377" s="17"/>
      <c r="B377" s="40"/>
      <c r="C377" s="17"/>
      <c r="D377" s="44" t="str">
        <f aca="false">IF(C377="","",IFERROR(INDEX(Inbound!$E$2:$E$501,MATCH(C377,Inbound!$A$2:$A$501,0)),IFERROR(INDEX(Outbound!$D$2:$D$501,MATCH(C377,Outbound!$A$2:$A$501,0)),"Lead ID not found")))</f>
        <v/>
      </c>
      <c r="E377" s="44" t="str">
        <f aca="false">IF(C377="","",IFERROR(INDEX(Inbound!$F$2:$F$501,MATCH(C377,Inbound!$A$2:$A$501,0)),IFERROR(INDEX(Outbound!$E$2:$E$501,MATCH(C377,Outbound!$A$2:$A$501,0)),"Lead ID not found")))</f>
        <v/>
      </c>
      <c r="F377" s="17"/>
      <c r="G377" s="17"/>
      <c r="H377" s="17"/>
      <c r="I377" s="17"/>
      <c r="J377" s="17"/>
      <c r="K377" s="17"/>
      <c r="L377" s="17"/>
      <c r="M377" s="17"/>
      <c r="N377" s="44" t="str">
        <f aca="false">IF(C377="","",COUNTA(H377:M377))</f>
        <v/>
      </c>
      <c r="O377" s="44" t="str">
        <f aca="false">IF(OR(C377="",N(N377)=0),"",SUMIFS(Settings!$AA$2:$AA$21,Settings!$Y$2:$Y$21,"Budget AED 5k+/mo?",Settings!$Z$2:$Z$21,H377)+SUMIFS(Settings!$AA$2:$AA$21,Settings!$Y$2:$Y$21,"Decision-maker?",Settings!$Z$2:$Z$21,I377)+SUMIFS(Settings!$AA$2:$AA$21,Settings!$Y$2:$Y$21,"Someone on camera?",Settings!$Z$2:$Z$21,J377)+SUMIFS(Settings!$AA$2:$AA$21,Settings!$Y$2:$Y$21,"OK with 3-month term?",Settings!$Z$2:$Z$21,K377)+SUMIFS(Settings!$AA$2:$AA$21,Settings!$Y$2:$Y$21,"Start timeline",Settings!$Z$2:$Z$21,L377)+SUMIFS(Settings!$AA$2:$AA$21,Settings!$Y$2:$Y$21,"Social media gap",Settings!$Z$2:$Z$21,M377)+IF(OR(E377="",E377="Lead ID not found"),0,IF(COUNTIF(Settings!$AC$2:$AC$6,E377)&gt;0,Settings!$AA$20,Settings!$AA$21)))</f>
        <v/>
      </c>
      <c r="P377" s="44" t="str">
        <f aca="false">IF(C377="","",IF(N(N377)&lt;6,"Partly scored ("&amp;N377&amp;"/6)",IF(O377&gt;=Settings!$S$8,"Hot",IF(O377&gt;=Settings!$S$9,"Warm","Cold"))))</f>
        <v/>
      </c>
      <c r="Q377" s="44" t="str">
        <f aca="false">IF(C377="","",IF(AND(H377="No",J377="No"),"🚩 Budget  ·  🚩 No one on camera",IF(H377="No","🚩 Budget under AED 5k",IF(J377="No","🚩 No one on camera",""))))</f>
        <v/>
      </c>
      <c r="R377" s="44" t="str">
        <f aca="false">IF(C377="","",IF(N(N377)&lt;6,"Finish the scoresheet before closing",IF(P377="Hot","Close now – send the contract / proposal today",IF(P377="Warm","Send proposal + a relevant result; follow up in 3 days","Rep's call – nurture or close politely")))&amp;IF(Q377&lt;&gt;""," (handle the 🚩 first)",""))</f>
        <v/>
      </c>
      <c r="S377" s="17"/>
      <c r="T377" s="17"/>
      <c r="U377" s="44" t="str">
        <f aca="false">IF(C377="","",IF(COUNTIF(C378:C$501,C377)=0,1,0))</f>
        <v/>
      </c>
    </row>
    <row r="378" customFormat="false" ht="15" hidden="false" customHeight="false" outlineLevel="0" collapsed="false">
      <c r="A378" s="17"/>
      <c r="B378" s="40"/>
      <c r="C378" s="17"/>
      <c r="D378" s="44" t="str">
        <f aca="false">IF(C378="","",IFERROR(INDEX(Inbound!$E$2:$E$501,MATCH(C378,Inbound!$A$2:$A$501,0)),IFERROR(INDEX(Outbound!$D$2:$D$501,MATCH(C378,Outbound!$A$2:$A$501,0)),"Lead ID not found")))</f>
        <v/>
      </c>
      <c r="E378" s="44" t="str">
        <f aca="false">IF(C378="","",IFERROR(INDEX(Inbound!$F$2:$F$501,MATCH(C378,Inbound!$A$2:$A$501,0)),IFERROR(INDEX(Outbound!$E$2:$E$501,MATCH(C378,Outbound!$A$2:$A$501,0)),"Lead ID not found")))</f>
        <v/>
      </c>
      <c r="F378" s="17"/>
      <c r="G378" s="17"/>
      <c r="H378" s="17"/>
      <c r="I378" s="17"/>
      <c r="J378" s="17"/>
      <c r="K378" s="17"/>
      <c r="L378" s="17"/>
      <c r="M378" s="17"/>
      <c r="N378" s="44" t="str">
        <f aca="false">IF(C378="","",COUNTA(H378:M378))</f>
        <v/>
      </c>
      <c r="O378" s="44" t="str">
        <f aca="false">IF(OR(C378="",N(N378)=0),"",SUMIFS(Settings!$AA$2:$AA$21,Settings!$Y$2:$Y$21,"Budget AED 5k+/mo?",Settings!$Z$2:$Z$21,H378)+SUMIFS(Settings!$AA$2:$AA$21,Settings!$Y$2:$Y$21,"Decision-maker?",Settings!$Z$2:$Z$21,I378)+SUMIFS(Settings!$AA$2:$AA$21,Settings!$Y$2:$Y$21,"Someone on camera?",Settings!$Z$2:$Z$21,J378)+SUMIFS(Settings!$AA$2:$AA$21,Settings!$Y$2:$Y$21,"OK with 3-month term?",Settings!$Z$2:$Z$21,K378)+SUMIFS(Settings!$AA$2:$AA$21,Settings!$Y$2:$Y$21,"Start timeline",Settings!$Z$2:$Z$21,L378)+SUMIFS(Settings!$AA$2:$AA$21,Settings!$Y$2:$Y$21,"Social media gap",Settings!$Z$2:$Z$21,M378)+IF(OR(E378="",E378="Lead ID not found"),0,IF(COUNTIF(Settings!$AC$2:$AC$6,E378)&gt;0,Settings!$AA$20,Settings!$AA$21)))</f>
        <v/>
      </c>
      <c r="P378" s="44" t="str">
        <f aca="false">IF(C378="","",IF(N(N378)&lt;6,"Partly scored ("&amp;N378&amp;"/6)",IF(O378&gt;=Settings!$S$8,"Hot",IF(O378&gt;=Settings!$S$9,"Warm","Cold"))))</f>
        <v/>
      </c>
      <c r="Q378" s="44" t="str">
        <f aca="false">IF(C378="","",IF(AND(H378="No",J378="No"),"🚩 Budget  ·  🚩 No one on camera",IF(H378="No","🚩 Budget under AED 5k",IF(J378="No","🚩 No one on camera",""))))</f>
        <v/>
      </c>
      <c r="R378" s="44" t="str">
        <f aca="false">IF(C378="","",IF(N(N378)&lt;6,"Finish the scoresheet before closing",IF(P378="Hot","Close now – send the contract / proposal today",IF(P378="Warm","Send proposal + a relevant result; follow up in 3 days","Rep's call – nurture or close politely")))&amp;IF(Q378&lt;&gt;""," (handle the 🚩 first)",""))</f>
        <v/>
      </c>
      <c r="S378" s="17"/>
      <c r="T378" s="17"/>
      <c r="U378" s="44" t="str">
        <f aca="false">IF(C378="","",IF(COUNTIF(C379:C$501,C378)=0,1,0))</f>
        <v/>
      </c>
    </row>
    <row r="379" customFormat="false" ht="15" hidden="false" customHeight="false" outlineLevel="0" collapsed="false">
      <c r="A379" s="17"/>
      <c r="B379" s="40"/>
      <c r="C379" s="17"/>
      <c r="D379" s="44" t="str">
        <f aca="false">IF(C379="","",IFERROR(INDEX(Inbound!$E$2:$E$501,MATCH(C379,Inbound!$A$2:$A$501,0)),IFERROR(INDEX(Outbound!$D$2:$D$501,MATCH(C379,Outbound!$A$2:$A$501,0)),"Lead ID not found")))</f>
        <v/>
      </c>
      <c r="E379" s="44" t="str">
        <f aca="false">IF(C379="","",IFERROR(INDEX(Inbound!$F$2:$F$501,MATCH(C379,Inbound!$A$2:$A$501,0)),IFERROR(INDEX(Outbound!$E$2:$E$501,MATCH(C379,Outbound!$A$2:$A$501,0)),"Lead ID not found")))</f>
        <v/>
      </c>
      <c r="F379" s="17"/>
      <c r="G379" s="17"/>
      <c r="H379" s="17"/>
      <c r="I379" s="17"/>
      <c r="J379" s="17"/>
      <c r="K379" s="17"/>
      <c r="L379" s="17"/>
      <c r="M379" s="17"/>
      <c r="N379" s="44" t="str">
        <f aca="false">IF(C379="","",COUNTA(H379:M379))</f>
        <v/>
      </c>
      <c r="O379" s="44" t="str">
        <f aca="false">IF(OR(C379="",N(N379)=0),"",SUMIFS(Settings!$AA$2:$AA$21,Settings!$Y$2:$Y$21,"Budget AED 5k+/mo?",Settings!$Z$2:$Z$21,H379)+SUMIFS(Settings!$AA$2:$AA$21,Settings!$Y$2:$Y$21,"Decision-maker?",Settings!$Z$2:$Z$21,I379)+SUMIFS(Settings!$AA$2:$AA$21,Settings!$Y$2:$Y$21,"Someone on camera?",Settings!$Z$2:$Z$21,J379)+SUMIFS(Settings!$AA$2:$AA$21,Settings!$Y$2:$Y$21,"OK with 3-month term?",Settings!$Z$2:$Z$21,K379)+SUMIFS(Settings!$AA$2:$AA$21,Settings!$Y$2:$Y$21,"Start timeline",Settings!$Z$2:$Z$21,L379)+SUMIFS(Settings!$AA$2:$AA$21,Settings!$Y$2:$Y$21,"Social media gap",Settings!$Z$2:$Z$21,M379)+IF(OR(E379="",E379="Lead ID not found"),0,IF(COUNTIF(Settings!$AC$2:$AC$6,E379)&gt;0,Settings!$AA$20,Settings!$AA$21)))</f>
        <v/>
      </c>
      <c r="P379" s="44" t="str">
        <f aca="false">IF(C379="","",IF(N(N379)&lt;6,"Partly scored ("&amp;N379&amp;"/6)",IF(O379&gt;=Settings!$S$8,"Hot",IF(O379&gt;=Settings!$S$9,"Warm","Cold"))))</f>
        <v/>
      </c>
      <c r="Q379" s="44" t="str">
        <f aca="false">IF(C379="","",IF(AND(H379="No",J379="No"),"🚩 Budget  ·  🚩 No one on camera",IF(H379="No","🚩 Budget under AED 5k",IF(J379="No","🚩 No one on camera",""))))</f>
        <v/>
      </c>
      <c r="R379" s="44" t="str">
        <f aca="false">IF(C379="","",IF(N(N379)&lt;6,"Finish the scoresheet before closing",IF(P379="Hot","Close now – send the contract / proposal today",IF(P379="Warm","Send proposal + a relevant result; follow up in 3 days","Rep's call – nurture or close politely")))&amp;IF(Q379&lt;&gt;""," (handle the 🚩 first)",""))</f>
        <v/>
      </c>
      <c r="S379" s="17"/>
      <c r="T379" s="17"/>
      <c r="U379" s="44" t="str">
        <f aca="false">IF(C379="","",IF(COUNTIF(C380:C$501,C379)=0,1,0))</f>
        <v/>
      </c>
    </row>
    <row r="380" customFormat="false" ht="15" hidden="false" customHeight="false" outlineLevel="0" collapsed="false">
      <c r="A380" s="17"/>
      <c r="B380" s="40"/>
      <c r="C380" s="17"/>
      <c r="D380" s="44" t="str">
        <f aca="false">IF(C380="","",IFERROR(INDEX(Inbound!$E$2:$E$501,MATCH(C380,Inbound!$A$2:$A$501,0)),IFERROR(INDEX(Outbound!$D$2:$D$501,MATCH(C380,Outbound!$A$2:$A$501,0)),"Lead ID not found")))</f>
        <v/>
      </c>
      <c r="E380" s="44" t="str">
        <f aca="false">IF(C380="","",IFERROR(INDEX(Inbound!$F$2:$F$501,MATCH(C380,Inbound!$A$2:$A$501,0)),IFERROR(INDEX(Outbound!$E$2:$E$501,MATCH(C380,Outbound!$A$2:$A$501,0)),"Lead ID not found")))</f>
        <v/>
      </c>
      <c r="F380" s="17"/>
      <c r="G380" s="17"/>
      <c r="H380" s="17"/>
      <c r="I380" s="17"/>
      <c r="J380" s="17"/>
      <c r="K380" s="17"/>
      <c r="L380" s="17"/>
      <c r="M380" s="17"/>
      <c r="N380" s="44" t="str">
        <f aca="false">IF(C380="","",COUNTA(H380:M380))</f>
        <v/>
      </c>
      <c r="O380" s="44" t="str">
        <f aca="false">IF(OR(C380="",N(N380)=0),"",SUMIFS(Settings!$AA$2:$AA$21,Settings!$Y$2:$Y$21,"Budget AED 5k+/mo?",Settings!$Z$2:$Z$21,H380)+SUMIFS(Settings!$AA$2:$AA$21,Settings!$Y$2:$Y$21,"Decision-maker?",Settings!$Z$2:$Z$21,I380)+SUMIFS(Settings!$AA$2:$AA$21,Settings!$Y$2:$Y$21,"Someone on camera?",Settings!$Z$2:$Z$21,J380)+SUMIFS(Settings!$AA$2:$AA$21,Settings!$Y$2:$Y$21,"OK with 3-month term?",Settings!$Z$2:$Z$21,K380)+SUMIFS(Settings!$AA$2:$AA$21,Settings!$Y$2:$Y$21,"Start timeline",Settings!$Z$2:$Z$21,L380)+SUMIFS(Settings!$AA$2:$AA$21,Settings!$Y$2:$Y$21,"Social media gap",Settings!$Z$2:$Z$21,M380)+IF(OR(E380="",E380="Lead ID not found"),0,IF(COUNTIF(Settings!$AC$2:$AC$6,E380)&gt;0,Settings!$AA$20,Settings!$AA$21)))</f>
        <v/>
      </c>
      <c r="P380" s="44" t="str">
        <f aca="false">IF(C380="","",IF(N(N380)&lt;6,"Partly scored ("&amp;N380&amp;"/6)",IF(O380&gt;=Settings!$S$8,"Hot",IF(O380&gt;=Settings!$S$9,"Warm","Cold"))))</f>
        <v/>
      </c>
      <c r="Q380" s="44" t="str">
        <f aca="false">IF(C380="","",IF(AND(H380="No",J380="No"),"🚩 Budget  ·  🚩 No one on camera",IF(H380="No","🚩 Budget under AED 5k",IF(J380="No","🚩 No one on camera",""))))</f>
        <v/>
      </c>
      <c r="R380" s="44" t="str">
        <f aca="false">IF(C380="","",IF(N(N380)&lt;6,"Finish the scoresheet before closing",IF(P380="Hot","Close now – send the contract / proposal today",IF(P380="Warm","Send proposal + a relevant result; follow up in 3 days","Rep's call – nurture or close politely")))&amp;IF(Q380&lt;&gt;""," (handle the 🚩 first)",""))</f>
        <v/>
      </c>
      <c r="S380" s="17"/>
      <c r="T380" s="17"/>
      <c r="U380" s="44" t="str">
        <f aca="false">IF(C380="","",IF(COUNTIF(C381:C$501,C380)=0,1,0))</f>
        <v/>
      </c>
    </row>
    <row r="381" customFormat="false" ht="15" hidden="false" customHeight="false" outlineLevel="0" collapsed="false">
      <c r="A381" s="17"/>
      <c r="B381" s="40"/>
      <c r="C381" s="17"/>
      <c r="D381" s="44" t="str">
        <f aca="false">IF(C381="","",IFERROR(INDEX(Inbound!$E$2:$E$501,MATCH(C381,Inbound!$A$2:$A$501,0)),IFERROR(INDEX(Outbound!$D$2:$D$501,MATCH(C381,Outbound!$A$2:$A$501,0)),"Lead ID not found")))</f>
        <v/>
      </c>
      <c r="E381" s="44" t="str">
        <f aca="false">IF(C381="","",IFERROR(INDEX(Inbound!$F$2:$F$501,MATCH(C381,Inbound!$A$2:$A$501,0)),IFERROR(INDEX(Outbound!$E$2:$E$501,MATCH(C381,Outbound!$A$2:$A$501,0)),"Lead ID not found")))</f>
        <v/>
      </c>
      <c r="F381" s="17"/>
      <c r="G381" s="17"/>
      <c r="H381" s="17"/>
      <c r="I381" s="17"/>
      <c r="J381" s="17"/>
      <c r="K381" s="17"/>
      <c r="L381" s="17"/>
      <c r="M381" s="17"/>
      <c r="N381" s="44" t="str">
        <f aca="false">IF(C381="","",COUNTA(H381:M381))</f>
        <v/>
      </c>
      <c r="O381" s="44" t="str">
        <f aca="false">IF(OR(C381="",N(N381)=0),"",SUMIFS(Settings!$AA$2:$AA$21,Settings!$Y$2:$Y$21,"Budget AED 5k+/mo?",Settings!$Z$2:$Z$21,H381)+SUMIFS(Settings!$AA$2:$AA$21,Settings!$Y$2:$Y$21,"Decision-maker?",Settings!$Z$2:$Z$21,I381)+SUMIFS(Settings!$AA$2:$AA$21,Settings!$Y$2:$Y$21,"Someone on camera?",Settings!$Z$2:$Z$21,J381)+SUMIFS(Settings!$AA$2:$AA$21,Settings!$Y$2:$Y$21,"OK with 3-month term?",Settings!$Z$2:$Z$21,K381)+SUMIFS(Settings!$AA$2:$AA$21,Settings!$Y$2:$Y$21,"Start timeline",Settings!$Z$2:$Z$21,L381)+SUMIFS(Settings!$AA$2:$AA$21,Settings!$Y$2:$Y$21,"Social media gap",Settings!$Z$2:$Z$21,M381)+IF(OR(E381="",E381="Lead ID not found"),0,IF(COUNTIF(Settings!$AC$2:$AC$6,E381)&gt;0,Settings!$AA$20,Settings!$AA$21)))</f>
        <v/>
      </c>
      <c r="P381" s="44" t="str">
        <f aca="false">IF(C381="","",IF(N(N381)&lt;6,"Partly scored ("&amp;N381&amp;"/6)",IF(O381&gt;=Settings!$S$8,"Hot",IF(O381&gt;=Settings!$S$9,"Warm","Cold"))))</f>
        <v/>
      </c>
      <c r="Q381" s="44" t="str">
        <f aca="false">IF(C381="","",IF(AND(H381="No",J381="No"),"🚩 Budget  ·  🚩 No one on camera",IF(H381="No","🚩 Budget under AED 5k",IF(J381="No","🚩 No one on camera",""))))</f>
        <v/>
      </c>
      <c r="R381" s="44" t="str">
        <f aca="false">IF(C381="","",IF(N(N381)&lt;6,"Finish the scoresheet before closing",IF(P381="Hot","Close now – send the contract / proposal today",IF(P381="Warm","Send proposal + a relevant result; follow up in 3 days","Rep's call – nurture or close politely")))&amp;IF(Q381&lt;&gt;""," (handle the 🚩 first)",""))</f>
        <v/>
      </c>
      <c r="S381" s="17"/>
      <c r="T381" s="17"/>
      <c r="U381" s="44" t="str">
        <f aca="false">IF(C381="","",IF(COUNTIF(C382:C$501,C381)=0,1,0))</f>
        <v/>
      </c>
    </row>
    <row r="382" customFormat="false" ht="15" hidden="false" customHeight="false" outlineLevel="0" collapsed="false">
      <c r="A382" s="17"/>
      <c r="B382" s="40"/>
      <c r="C382" s="17"/>
      <c r="D382" s="44" t="str">
        <f aca="false">IF(C382="","",IFERROR(INDEX(Inbound!$E$2:$E$501,MATCH(C382,Inbound!$A$2:$A$501,0)),IFERROR(INDEX(Outbound!$D$2:$D$501,MATCH(C382,Outbound!$A$2:$A$501,0)),"Lead ID not found")))</f>
        <v/>
      </c>
      <c r="E382" s="44" t="str">
        <f aca="false">IF(C382="","",IFERROR(INDEX(Inbound!$F$2:$F$501,MATCH(C382,Inbound!$A$2:$A$501,0)),IFERROR(INDEX(Outbound!$E$2:$E$501,MATCH(C382,Outbound!$A$2:$A$501,0)),"Lead ID not found")))</f>
        <v/>
      </c>
      <c r="F382" s="17"/>
      <c r="G382" s="17"/>
      <c r="H382" s="17"/>
      <c r="I382" s="17"/>
      <c r="J382" s="17"/>
      <c r="K382" s="17"/>
      <c r="L382" s="17"/>
      <c r="M382" s="17"/>
      <c r="N382" s="44" t="str">
        <f aca="false">IF(C382="","",COUNTA(H382:M382))</f>
        <v/>
      </c>
      <c r="O382" s="44" t="str">
        <f aca="false">IF(OR(C382="",N(N382)=0),"",SUMIFS(Settings!$AA$2:$AA$21,Settings!$Y$2:$Y$21,"Budget AED 5k+/mo?",Settings!$Z$2:$Z$21,H382)+SUMIFS(Settings!$AA$2:$AA$21,Settings!$Y$2:$Y$21,"Decision-maker?",Settings!$Z$2:$Z$21,I382)+SUMIFS(Settings!$AA$2:$AA$21,Settings!$Y$2:$Y$21,"Someone on camera?",Settings!$Z$2:$Z$21,J382)+SUMIFS(Settings!$AA$2:$AA$21,Settings!$Y$2:$Y$21,"OK with 3-month term?",Settings!$Z$2:$Z$21,K382)+SUMIFS(Settings!$AA$2:$AA$21,Settings!$Y$2:$Y$21,"Start timeline",Settings!$Z$2:$Z$21,L382)+SUMIFS(Settings!$AA$2:$AA$21,Settings!$Y$2:$Y$21,"Social media gap",Settings!$Z$2:$Z$21,M382)+IF(OR(E382="",E382="Lead ID not found"),0,IF(COUNTIF(Settings!$AC$2:$AC$6,E382)&gt;0,Settings!$AA$20,Settings!$AA$21)))</f>
        <v/>
      </c>
      <c r="P382" s="44" t="str">
        <f aca="false">IF(C382="","",IF(N(N382)&lt;6,"Partly scored ("&amp;N382&amp;"/6)",IF(O382&gt;=Settings!$S$8,"Hot",IF(O382&gt;=Settings!$S$9,"Warm","Cold"))))</f>
        <v/>
      </c>
      <c r="Q382" s="44" t="str">
        <f aca="false">IF(C382="","",IF(AND(H382="No",J382="No"),"🚩 Budget  ·  🚩 No one on camera",IF(H382="No","🚩 Budget under AED 5k",IF(J382="No","🚩 No one on camera",""))))</f>
        <v/>
      </c>
      <c r="R382" s="44" t="str">
        <f aca="false">IF(C382="","",IF(N(N382)&lt;6,"Finish the scoresheet before closing",IF(P382="Hot","Close now – send the contract / proposal today",IF(P382="Warm","Send proposal + a relevant result; follow up in 3 days","Rep's call – nurture or close politely")))&amp;IF(Q382&lt;&gt;""," (handle the 🚩 first)",""))</f>
        <v/>
      </c>
      <c r="S382" s="17"/>
      <c r="T382" s="17"/>
      <c r="U382" s="44" t="str">
        <f aca="false">IF(C382="","",IF(COUNTIF(C383:C$501,C382)=0,1,0))</f>
        <v/>
      </c>
    </row>
    <row r="383" customFormat="false" ht="15" hidden="false" customHeight="false" outlineLevel="0" collapsed="false">
      <c r="A383" s="17"/>
      <c r="B383" s="40"/>
      <c r="C383" s="17"/>
      <c r="D383" s="44" t="str">
        <f aca="false">IF(C383="","",IFERROR(INDEX(Inbound!$E$2:$E$501,MATCH(C383,Inbound!$A$2:$A$501,0)),IFERROR(INDEX(Outbound!$D$2:$D$501,MATCH(C383,Outbound!$A$2:$A$501,0)),"Lead ID not found")))</f>
        <v/>
      </c>
      <c r="E383" s="44" t="str">
        <f aca="false">IF(C383="","",IFERROR(INDEX(Inbound!$F$2:$F$501,MATCH(C383,Inbound!$A$2:$A$501,0)),IFERROR(INDEX(Outbound!$E$2:$E$501,MATCH(C383,Outbound!$A$2:$A$501,0)),"Lead ID not found")))</f>
        <v/>
      </c>
      <c r="F383" s="17"/>
      <c r="G383" s="17"/>
      <c r="H383" s="17"/>
      <c r="I383" s="17"/>
      <c r="J383" s="17"/>
      <c r="K383" s="17"/>
      <c r="L383" s="17"/>
      <c r="M383" s="17"/>
      <c r="N383" s="44" t="str">
        <f aca="false">IF(C383="","",COUNTA(H383:M383))</f>
        <v/>
      </c>
      <c r="O383" s="44" t="str">
        <f aca="false">IF(OR(C383="",N(N383)=0),"",SUMIFS(Settings!$AA$2:$AA$21,Settings!$Y$2:$Y$21,"Budget AED 5k+/mo?",Settings!$Z$2:$Z$21,H383)+SUMIFS(Settings!$AA$2:$AA$21,Settings!$Y$2:$Y$21,"Decision-maker?",Settings!$Z$2:$Z$21,I383)+SUMIFS(Settings!$AA$2:$AA$21,Settings!$Y$2:$Y$21,"Someone on camera?",Settings!$Z$2:$Z$21,J383)+SUMIFS(Settings!$AA$2:$AA$21,Settings!$Y$2:$Y$21,"OK with 3-month term?",Settings!$Z$2:$Z$21,K383)+SUMIFS(Settings!$AA$2:$AA$21,Settings!$Y$2:$Y$21,"Start timeline",Settings!$Z$2:$Z$21,L383)+SUMIFS(Settings!$AA$2:$AA$21,Settings!$Y$2:$Y$21,"Social media gap",Settings!$Z$2:$Z$21,M383)+IF(OR(E383="",E383="Lead ID not found"),0,IF(COUNTIF(Settings!$AC$2:$AC$6,E383)&gt;0,Settings!$AA$20,Settings!$AA$21)))</f>
        <v/>
      </c>
      <c r="P383" s="44" t="str">
        <f aca="false">IF(C383="","",IF(N(N383)&lt;6,"Partly scored ("&amp;N383&amp;"/6)",IF(O383&gt;=Settings!$S$8,"Hot",IF(O383&gt;=Settings!$S$9,"Warm","Cold"))))</f>
        <v/>
      </c>
      <c r="Q383" s="44" t="str">
        <f aca="false">IF(C383="","",IF(AND(H383="No",J383="No"),"🚩 Budget  ·  🚩 No one on camera",IF(H383="No","🚩 Budget under AED 5k",IF(J383="No","🚩 No one on camera",""))))</f>
        <v/>
      </c>
      <c r="R383" s="44" t="str">
        <f aca="false">IF(C383="","",IF(N(N383)&lt;6,"Finish the scoresheet before closing",IF(P383="Hot","Close now – send the contract / proposal today",IF(P383="Warm","Send proposal + a relevant result; follow up in 3 days","Rep's call – nurture or close politely")))&amp;IF(Q383&lt;&gt;""," (handle the 🚩 first)",""))</f>
        <v/>
      </c>
      <c r="S383" s="17"/>
      <c r="T383" s="17"/>
      <c r="U383" s="44" t="str">
        <f aca="false">IF(C383="","",IF(COUNTIF(C384:C$501,C383)=0,1,0))</f>
        <v/>
      </c>
    </row>
    <row r="384" customFormat="false" ht="15" hidden="false" customHeight="false" outlineLevel="0" collapsed="false">
      <c r="A384" s="17"/>
      <c r="B384" s="40"/>
      <c r="C384" s="17"/>
      <c r="D384" s="44" t="str">
        <f aca="false">IF(C384="","",IFERROR(INDEX(Inbound!$E$2:$E$501,MATCH(C384,Inbound!$A$2:$A$501,0)),IFERROR(INDEX(Outbound!$D$2:$D$501,MATCH(C384,Outbound!$A$2:$A$501,0)),"Lead ID not found")))</f>
        <v/>
      </c>
      <c r="E384" s="44" t="str">
        <f aca="false">IF(C384="","",IFERROR(INDEX(Inbound!$F$2:$F$501,MATCH(C384,Inbound!$A$2:$A$501,0)),IFERROR(INDEX(Outbound!$E$2:$E$501,MATCH(C384,Outbound!$A$2:$A$501,0)),"Lead ID not found")))</f>
        <v/>
      </c>
      <c r="F384" s="17"/>
      <c r="G384" s="17"/>
      <c r="H384" s="17"/>
      <c r="I384" s="17"/>
      <c r="J384" s="17"/>
      <c r="K384" s="17"/>
      <c r="L384" s="17"/>
      <c r="M384" s="17"/>
      <c r="N384" s="44" t="str">
        <f aca="false">IF(C384="","",COUNTA(H384:M384))</f>
        <v/>
      </c>
      <c r="O384" s="44" t="str">
        <f aca="false">IF(OR(C384="",N(N384)=0),"",SUMIFS(Settings!$AA$2:$AA$21,Settings!$Y$2:$Y$21,"Budget AED 5k+/mo?",Settings!$Z$2:$Z$21,H384)+SUMIFS(Settings!$AA$2:$AA$21,Settings!$Y$2:$Y$21,"Decision-maker?",Settings!$Z$2:$Z$21,I384)+SUMIFS(Settings!$AA$2:$AA$21,Settings!$Y$2:$Y$21,"Someone on camera?",Settings!$Z$2:$Z$21,J384)+SUMIFS(Settings!$AA$2:$AA$21,Settings!$Y$2:$Y$21,"OK with 3-month term?",Settings!$Z$2:$Z$21,K384)+SUMIFS(Settings!$AA$2:$AA$21,Settings!$Y$2:$Y$21,"Start timeline",Settings!$Z$2:$Z$21,L384)+SUMIFS(Settings!$AA$2:$AA$21,Settings!$Y$2:$Y$21,"Social media gap",Settings!$Z$2:$Z$21,M384)+IF(OR(E384="",E384="Lead ID not found"),0,IF(COUNTIF(Settings!$AC$2:$AC$6,E384)&gt;0,Settings!$AA$20,Settings!$AA$21)))</f>
        <v/>
      </c>
      <c r="P384" s="44" t="str">
        <f aca="false">IF(C384="","",IF(N(N384)&lt;6,"Partly scored ("&amp;N384&amp;"/6)",IF(O384&gt;=Settings!$S$8,"Hot",IF(O384&gt;=Settings!$S$9,"Warm","Cold"))))</f>
        <v/>
      </c>
      <c r="Q384" s="44" t="str">
        <f aca="false">IF(C384="","",IF(AND(H384="No",J384="No"),"🚩 Budget  ·  🚩 No one on camera",IF(H384="No","🚩 Budget under AED 5k",IF(J384="No","🚩 No one on camera",""))))</f>
        <v/>
      </c>
      <c r="R384" s="44" t="str">
        <f aca="false">IF(C384="","",IF(N(N384)&lt;6,"Finish the scoresheet before closing",IF(P384="Hot","Close now – send the contract / proposal today",IF(P384="Warm","Send proposal + a relevant result; follow up in 3 days","Rep's call – nurture or close politely")))&amp;IF(Q384&lt;&gt;""," (handle the 🚩 first)",""))</f>
        <v/>
      </c>
      <c r="S384" s="17"/>
      <c r="T384" s="17"/>
      <c r="U384" s="44" t="str">
        <f aca="false">IF(C384="","",IF(COUNTIF(C385:C$501,C384)=0,1,0))</f>
        <v/>
      </c>
    </row>
    <row r="385" customFormat="false" ht="15" hidden="false" customHeight="false" outlineLevel="0" collapsed="false">
      <c r="A385" s="17"/>
      <c r="B385" s="40"/>
      <c r="C385" s="17"/>
      <c r="D385" s="44" t="str">
        <f aca="false">IF(C385="","",IFERROR(INDEX(Inbound!$E$2:$E$501,MATCH(C385,Inbound!$A$2:$A$501,0)),IFERROR(INDEX(Outbound!$D$2:$D$501,MATCH(C385,Outbound!$A$2:$A$501,0)),"Lead ID not found")))</f>
        <v/>
      </c>
      <c r="E385" s="44" t="str">
        <f aca="false">IF(C385="","",IFERROR(INDEX(Inbound!$F$2:$F$501,MATCH(C385,Inbound!$A$2:$A$501,0)),IFERROR(INDEX(Outbound!$E$2:$E$501,MATCH(C385,Outbound!$A$2:$A$501,0)),"Lead ID not found")))</f>
        <v/>
      </c>
      <c r="F385" s="17"/>
      <c r="G385" s="17"/>
      <c r="H385" s="17"/>
      <c r="I385" s="17"/>
      <c r="J385" s="17"/>
      <c r="K385" s="17"/>
      <c r="L385" s="17"/>
      <c r="M385" s="17"/>
      <c r="N385" s="44" t="str">
        <f aca="false">IF(C385="","",COUNTA(H385:M385))</f>
        <v/>
      </c>
      <c r="O385" s="44" t="str">
        <f aca="false">IF(OR(C385="",N(N385)=0),"",SUMIFS(Settings!$AA$2:$AA$21,Settings!$Y$2:$Y$21,"Budget AED 5k+/mo?",Settings!$Z$2:$Z$21,H385)+SUMIFS(Settings!$AA$2:$AA$21,Settings!$Y$2:$Y$21,"Decision-maker?",Settings!$Z$2:$Z$21,I385)+SUMIFS(Settings!$AA$2:$AA$21,Settings!$Y$2:$Y$21,"Someone on camera?",Settings!$Z$2:$Z$21,J385)+SUMIFS(Settings!$AA$2:$AA$21,Settings!$Y$2:$Y$21,"OK with 3-month term?",Settings!$Z$2:$Z$21,K385)+SUMIFS(Settings!$AA$2:$AA$21,Settings!$Y$2:$Y$21,"Start timeline",Settings!$Z$2:$Z$21,L385)+SUMIFS(Settings!$AA$2:$AA$21,Settings!$Y$2:$Y$21,"Social media gap",Settings!$Z$2:$Z$21,M385)+IF(OR(E385="",E385="Lead ID not found"),0,IF(COUNTIF(Settings!$AC$2:$AC$6,E385)&gt;0,Settings!$AA$20,Settings!$AA$21)))</f>
        <v/>
      </c>
      <c r="P385" s="44" t="str">
        <f aca="false">IF(C385="","",IF(N(N385)&lt;6,"Partly scored ("&amp;N385&amp;"/6)",IF(O385&gt;=Settings!$S$8,"Hot",IF(O385&gt;=Settings!$S$9,"Warm","Cold"))))</f>
        <v/>
      </c>
      <c r="Q385" s="44" t="str">
        <f aca="false">IF(C385="","",IF(AND(H385="No",J385="No"),"🚩 Budget  ·  🚩 No one on camera",IF(H385="No","🚩 Budget under AED 5k",IF(J385="No","🚩 No one on camera",""))))</f>
        <v/>
      </c>
      <c r="R385" s="44" t="str">
        <f aca="false">IF(C385="","",IF(N(N385)&lt;6,"Finish the scoresheet before closing",IF(P385="Hot","Close now – send the contract / proposal today",IF(P385="Warm","Send proposal + a relevant result; follow up in 3 days","Rep's call – nurture or close politely")))&amp;IF(Q385&lt;&gt;""," (handle the 🚩 first)",""))</f>
        <v/>
      </c>
      <c r="S385" s="17"/>
      <c r="T385" s="17"/>
      <c r="U385" s="44" t="str">
        <f aca="false">IF(C385="","",IF(COUNTIF(C386:C$501,C385)=0,1,0))</f>
        <v/>
      </c>
    </row>
    <row r="386" customFormat="false" ht="15" hidden="false" customHeight="false" outlineLevel="0" collapsed="false">
      <c r="A386" s="17"/>
      <c r="B386" s="40"/>
      <c r="C386" s="17"/>
      <c r="D386" s="44" t="str">
        <f aca="false">IF(C386="","",IFERROR(INDEX(Inbound!$E$2:$E$501,MATCH(C386,Inbound!$A$2:$A$501,0)),IFERROR(INDEX(Outbound!$D$2:$D$501,MATCH(C386,Outbound!$A$2:$A$501,0)),"Lead ID not found")))</f>
        <v/>
      </c>
      <c r="E386" s="44" t="str">
        <f aca="false">IF(C386="","",IFERROR(INDEX(Inbound!$F$2:$F$501,MATCH(C386,Inbound!$A$2:$A$501,0)),IFERROR(INDEX(Outbound!$E$2:$E$501,MATCH(C386,Outbound!$A$2:$A$501,0)),"Lead ID not found")))</f>
        <v/>
      </c>
      <c r="F386" s="17"/>
      <c r="G386" s="17"/>
      <c r="H386" s="17"/>
      <c r="I386" s="17"/>
      <c r="J386" s="17"/>
      <c r="K386" s="17"/>
      <c r="L386" s="17"/>
      <c r="M386" s="17"/>
      <c r="N386" s="44" t="str">
        <f aca="false">IF(C386="","",COUNTA(H386:M386))</f>
        <v/>
      </c>
      <c r="O386" s="44" t="str">
        <f aca="false">IF(OR(C386="",N(N386)=0),"",SUMIFS(Settings!$AA$2:$AA$21,Settings!$Y$2:$Y$21,"Budget AED 5k+/mo?",Settings!$Z$2:$Z$21,H386)+SUMIFS(Settings!$AA$2:$AA$21,Settings!$Y$2:$Y$21,"Decision-maker?",Settings!$Z$2:$Z$21,I386)+SUMIFS(Settings!$AA$2:$AA$21,Settings!$Y$2:$Y$21,"Someone on camera?",Settings!$Z$2:$Z$21,J386)+SUMIFS(Settings!$AA$2:$AA$21,Settings!$Y$2:$Y$21,"OK with 3-month term?",Settings!$Z$2:$Z$21,K386)+SUMIFS(Settings!$AA$2:$AA$21,Settings!$Y$2:$Y$21,"Start timeline",Settings!$Z$2:$Z$21,L386)+SUMIFS(Settings!$AA$2:$AA$21,Settings!$Y$2:$Y$21,"Social media gap",Settings!$Z$2:$Z$21,M386)+IF(OR(E386="",E386="Lead ID not found"),0,IF(COUNTIF(Settings!$AC$2:$AC$6,E386)&gt;0,Settings!$AA$20,Settings!$AA$21)))</f>
        <v/>
      </c>
      <c r="P386" s="44" t="str">
        <f aca="false">IF(C386="","",IF(N(N386)&lt;6,"Partly scored ("&amp;N386&amp;"/6)",IF(O386&gt;=Settings!$S$8,"Hot",IF(O386&gt;=Settings!$S$9,"Warm","Cold"))))</f>
        <v/>
      </c>
      <c r="Q386" s="44" t="str">
        <f aca="false">IF(C386="","",IF(AND(H386="No",J386="No"),"🚩 Budget  ·  🚩 No one on camera",IF(H386="No","🚩 Budget under AED 5k",IF(J386="No","🚩 No one on camera",""))))</f>
        <v/>
      </c>
      <c r="R386" s="44" t="str">
        <f aca="false">IF(C386="","",IF(N(N386)&lt;6,"Finish the scoresheet before closing",IF(P386="Hot","Close now – send the contract / proposal today",IF(P386="Warm","Send proposal + a relevant result; follow up in 3 days","Rep's call – nurture or close politely")))&amp;IF(Q386&lt;&gt;""," (handle the 🚩 first)",""))</f>
        <v/>
      </c>
      <c r="S386" s="17"/>
      <c r="T386" s="17"/>
      <c r="U386" s="44" t="str">
        <f aca="false">IF(C386="","",IF(COUNTIF(C387:C$501,C386)=0,1,0))</f>
        <v/>
      </c>
    </row>
    <row r="387" customFormat="false" ht="15" hidden="false" customHeight="false" outlineLevel="0" collapsed="false">
      <c r="A387" s="17"/>
      <c r="B387" s="40"/>
      <c r="C387" s="17"/>
      <c r="D387" s="44" t="str">
        <f aca="false">IF(C387="","",IFERROR(INDEX(Inbound!$E$2:$E$501,MATCH(C387,Inbound!$A$2:$A$501,0)),IFERROR(INDEX(Outbound!$D$2:$D$501,MATCH(C387,Outbound!$A$2:$A$501,0)),"Lead ID not found")))</f>
        <v/>
      </c>
      <c r="E387" s="44" t="str">
        <f aca="false">IF(C387="","",IFERROR(INDEX(Inbound!$F$2:$F$501,MATCH(C387,Inbound!$A$2:$A$501,0)),IFERROR(INDEX(Outbound!$E$2:$E$501,MATCH(C387,Outbound!$A$2:$A$501,0)),"Lead ID not found")))</f>
        <v/>
      </c>
      <c r="F387" s="17"/>
      <c r="G387" s="17"/>
      <c r="H387" s="17"/>
      <c r="I387" s="17"/>
      <c r="J387" s="17"/>
      <c r="K387" s="17"/>
      <c r="L387" s="17"/>
      <c r="M387" s="17"/>
      <c r="N387" s="44" t="str">
        <f aca="false">IF(C387="","",COUNTA(H387:M387))</f>
        <v/>
      </c>
      <c r="O387" s="44" t="str">
        <f aca="false">IF(OR(C387="",N(N387)=0),"",SUMIFS(Settings!$AA$2:$AA$21,Settings!$Y$2:$Y$21,"Budget AED 5k+/mo?",Settings!$Z$2:$Z$21,H387)+SUMIFS(Settings!$AA$2:$AA$21,Settings!$Y$2:$Y$21,"Decision-maker?",Settings!$Z$2:$Z$21,I387)+SUMIFS(Settings!$AA$2:$AA$21,Settings!$Y$2:$Y$21,"Someone on camera?",Settings!$Z$2:$Z$21,J387)+SUMIFS(Settings!$AA$2:$AA$21,Settings!$Y$2:$Y$21,"OK with 3-month term?",Settings!$Z$2:$Z$21,K387)+SUMIFS(Settings!$AA$2:$AA$21,Settings!$Y$2:$Y$21,"Start timeline",Settings!$Z$2:$Z$21,L387)+SUMIFS(Settings!$AA$2:$AA$21,Settings!$Y$2:$Y$21,"Social media gap",Settings!$Z$2:$Z$21,M387)+IF(OR(E387="",E387="Lead ID not found"),0,IF(COUNTIF(Settings!$AC$2:$AC$6,E387)&gt;0,Settings!$AA$20,Settings!$AA$21)))</f>
        <v/>
      </c>
      <c r="P387" s="44" t="str">
        <f aca="false">IF(C387="","",IF(N(N387)&lt;6,"Partly scored ("&amp;N387&amp;"/6)",IF(O387&gt;=Settings!$S$8,"Hot",IF(O387&gt;=Settings!$S$9,"Warm","Cold"))))</f>
        <v/>
      </c>
      <c r="Q387" s="44" t="str">
        <f aca="false">IF(C387="","",IF(AND(H387="No",J387="No"),"🚩 Budget  ·  🚩 No one on camera",IF(H387="No","🚩 Budget under AED 5k",IF(J387="No","🚩 No one on camera",""))))</f>
        <v/>
      </c>
      <c r="R387" s="44" t="str">
        <f aca="false">IF(C387="","",IF(N(N387)&lt;6,"Finish the scoresheet before closing",IF(P387="Hot","Close now – send the contract / proposal today",IF(P387="Warm","Send proposal + a relevant result; follow up in 3 days","Rep's call – nurture or close politely")))&amp;IF(Q387&lt;&gt;""," (handle the 🚩 first)",""))</f>
        <v/>
      </c>
      <c r="S387" s="17"/>
      <c r="T387" s="17"/>
      <c r="U387" s="44" t="str">
        <f aca="false">IF(C387="","",IF(COUNTIF(C388:C$501,C387)=0,1,0))</f>
        <v/>
      </c>
    </row>
    <row r="388" customFormat="false" ht="15" hidden="false" customHeight="false" outlineLevel="0" collapsed="false">
      <c r="A388" s="17"/>
      <c r="B388" s="40"/>
      <c r="C388" s="17"/>
      <c r="D388" s="44" t="str">
        <f aca="false">IF(C388="","",IFERROR(INDEX(Inbound!$E$2:$E$501,MATCH(C388,Inbound!$A$2:$A$501,0)),IFERROR(INDEX(Outbound!$D$2:$D$501,MATCH(C388,Outbound!$A$2:$A$501,0)),"Lead ID not found")))</f>
        <v/>
      </c>
      <c r="E388" s="44" t="str">
        <f aca="false">IF(C388="","",IFERROR(INDEX(Inbound!$F$2:$F$501,MATCH(C388,Inbound!$A$2:$A$501,0)),IFERROR(INDEX(Outbound!$E$2:$E$501,MATCH(C388,Outbound!$A$2:$A$501,0)),"Lead ID not found")))</f>
        <v/>
      </c>
      <c r="F388" s="17"/>
      <c r="G388" s="17"/>
      <c r="H388" s="17"/>
      <c r="I388" s="17"/>
      <c r="J388" s="17"/>
      <c r="K388" s="17"/>
      <c r="L388" s="17"/>
      <c r="M388" s="17"/>
      <c r="N388" s="44" t="str">
        <f aca="false">IF(C388="","",COUNTA(H388:M388))</f>
        <v/>
      </c>
      <c r="O388" s="44" t="str">
        <f aca="false">IF(OR(C388="",N(N388)=0),"",SUMIFS(Settings!$AA$2:$AA$21,Settings!$Y$2:$Y$21,"Budget AED 5k+/mo?",Settings!$Z$2:$Z$21,H388)+SUMIFS(Settings!$AA$2:$AA$21,Settings!$Y$2:$Y$21,"Decision-maker?",Settings!$Z$2:$Z$21,I388)+SUMIFS(Settings!$AA$2:$AA$21,Settings!$Y$2:$Y$21,"Someone on camera?",Settings!$Z$2:$Z$21,J388)+SUMIFS(Settings!$AA$2:$AA$21,Settings!$Y$2:$Y$21,"OK with 3-month term?",Settings!$Z$2:$Z$21,K388)+SUMIFS(Settings!$AA$2:$AA$21,Settings!$Y$2:$Y$21,"Start timeline",Settings!$Z$2:$Z$21,L388)+SUMIFS(Settings!$AA$2:$AA$21,Settings!$Y$2:$Y$21,"Social media gap",Settings!$Z$2:$Z$21,M388)+IF(OR(E388="",E388="Lead ID not found"),0,IF(COUNTIF(Settings!$AC$2:$AC$6,E388)&gt;0,Settings!$AA$20,Settings!$AA$21)))</f>
        <v/>
      </c>
      <c r="P388" s="44" t="str">
        <f aca="false">IF(C388="","",IF(N(N388)&lt;6,"Partly scored ("&amp;N388&amp;"/6)",IF(O388&gt;=Settings!$S$8,"Hot",IF(O388&gt;=Settings!$S$9,"Warm","Cold"))))</f>
        <v/>
      </c>
      <c r="Q388" s="44" t="str">
        <f aca="false">IF(C388="","",IF(AND(H388="No",J388="No"),"🚩 Budget  ·  🚩 No one on camera",IF(H388="No","🚩 Budget under AED 5k",IF(J388="No","🚩 No one on camera",""))))</f>
        <v/>
      </c>
      <c r="R388" s="44" t="str">
        <f aca="false">IF(C388="","",IF(N(N388)&lt;6,"Finish the scoresheet before closing",IF(P388="Hot","Close now – send the contract / proposal today",IF(P388="Warm","Send proposal + a relevant result; follow up in 3 days","Rep's call – nurture or close politely")))&amp;IF(Q388&lt;&gt;""," (handle the 🚩 first)",""))</f>
        <v/>
      </c>
      <c r="S388" s="17"/>
      <c r="T388" s="17"/>
      <c r="U388" s="44" t="str">
        <f aca="false">IF(C388="","",IF(COUNTIF(C389:C$501,C388)=0,1,0))</f>
        <v/>
      </c>
    </row>
    <row r="389" customFormat="false" ht="15" hidden="false" customHeight="false" outlineLevel="0" collapsed="false">
      <c r="A389" s="17"/>
      <c r="B389" s="40"/>
      <c r="C389" s="17"/>
      <c r="D389" s="44" t="str">
        <f aca="false">IF(C389="","",IFERROR(INDEX(Inbound!$E$2:$E$501,MATCH(C389,Inbound!$A$2:$A$501,0)),IFERROR(INDEX(Outbound!$D$2:$D$501,MATCH(C389,Outbound!$A$2:$A$501,0)),"Lead ID not found")))</f>
        <v/>
      </c>
      <c r="E389" s="44" t="str">
        <f aca="false">IF(C389="","",IFERROR(INDEX(Inbound!$F$2:$F$501,MATCH(C389,Inbound!$A$2:$A$501,0)),IFERROR(INDEX(Outbound!$E$2:$E$501,MATCH(C389,Outbound!$A$2:$A$501,0)),"Lead ID not found")))</f>
        <v/>
      </c>
      <c r="F389" s="17"/>
      <c r="G389" s="17"/>
      <c r="H389" s="17"/>
      <c r="I389" s="17"/>
      <c r="J389" s="17"/>
      <c r="K389" s="17"/>
      <c r="L389" s="17"/>
      <c r="M389" s="17"/>
      <c r="N389" s="44" t="str">
        <f aca="false">IF(C389="","",COUNTA(H389:M389))</f>
        <v/>
      </c>
      <c r="O389" s="44" t="str">
        <f aca="false">IF(OR(C389="",N(N389)=0),"",SUMIFS(Settings!$AA$2:$AA$21,Settings!$Y$2:$Y$21,"Budget AED 5k+/mo?",Settings!$Z$2:$Z$21,H389)+SUMIFS(Settings!$AA$2:$AA$21,Settings!$Y$2:$Y$21,"Decision-maker?",Settings!$Z$2:$Z$21,I389)+SUMIFS(Settings!$AA$2:$AA$21,Settings!$Y$2:$Y$21,"Someone on camera?",Settings!$Z$2:$Z$21,J389)+SUMIFS(Settings!$AA$2:$AA$21,Settings!$Y$2:$Y$21,"OK with 3-month term?",Settings!$Z$2:$Z$21,K389)+SUMIFS(Settings!$AA$2:$AA$21,Settings!$Y$2:$Y$21,"Start timeline",Settings!$Z$2:$Z$21,L389)+SUMIFS(Settings!$AA$2:$AA$21,Settings!$Y$2:$Y$21,"Social media gap",Settings!$Z$2:$Z$21,M389)+IF(OR(E389="",E389="Lead ID not found"),0,IF(COUNTIF(Settings!$AC$2:$AC$6,E389)&gt;0,Settings!$AA$20,Settings!$AA$21)))</f>
        <v/>
      </c>
      <c r="P389" s="44" t="str">
        <f aca="false">IF(C389="","",IF(N(N389)&lt;6,"Partly scored ("&amp;N389&amp;"/6)",IF(O389&gt;=Settings!$S$8,"Hot",IF(O389&gt;=Settings!$S$9,"Warm","Cold"))))</f>
        <v/>
      </c>
      <c r="Q389" s="44" t="str">
        <f aca="false">IF(C389="","",IF(AND(H389="No",J389="No"),"🚩 Budget  ·  🚩 No one on camera",IF(H389="No","🚩 Budget under AED 5k",IF(J389="No","🚩 No one on camera",""))))</f>
        <v/>
      </c>
      <c r="R389" s="44" t="str">
        <f aca="false">IF(C389="","",IF(N(N389)&lt;6,"Finish the scoresheet before closing",IF(P389="Hot","Close now – send the contract / proposal today",IF(P389="Warm","Send proposal + a relevant result; follow up in 3 days","Rep's call – nurture or close politely")))&amp;IF(Q389&lt;&gt;""," (handle the 🚩 first)",""))</f>
        <v/>
      </c>
      <c r="S389" s="17"/>
      <c r="T389" s="17"/>
      <c r="U389" s="44" t="str">
        <f aca="false">IF(C389="","",IF(COUNTIF(C390:C$501,C389)=0,1,0))</f>
        <v/>
      </c>
    </row>
    <row r="390" customFormat="false" ht="15" hidden="false" customHeight="false" outlineLevel="0" collapsed="false">
      <c r="A390" s="17"/>
      <c r="B390" s="40"/>
      <c r="C390" s="17"/>
      <c r="D390" s="44" t="str">
        <f aca="false">IF(C390="","",IFERROR(INDEX(Inbound!$E$2:$E$501,MATCH(C390,Inbound!$A$2:$A$501,0)),IFERROR(INDEX(Outbound!$D$2:$D$501,MATCH(C390,Outbound!$A$2:$A$501,0)),"Lead ID not found")))</f>
        <v/>
      </c>
      <c r="E390" s="44" t="str">
        <f aca="false">IF(C390="","",IFERROR(INDEX(Inbound!$F$2:$F$501,MATCH(C390,Inbound!$A$2:$A$501,0)),IFERROR(INDEX(Outbound!$E$2:$E$501,MATCH(C390,Outbound!$A$2:$A$501,0)),"Lead ID not found")))</f>
        <v/>
      </c>
      <c r="F390" s="17"/>
      <c r="G390" s="17"/>
      <c r="H390" s="17"/>
      <c r="I390" s="17"/>
      <c r="J390" s="17"/>
      <c r="K390" s="17"/>
      <c r="L390" s="17"/>
      <c r="M390" s="17"/>
      <c r="N390" s="44" t="str">
        <f aca="false">IF(C390="","",COUNTA(H390:M390))</f>
        <v/>
      </c>
      <c r="O390" s="44" t="str">
        <f aca="false">IF(OR(C390="",N(N390)=0),"",SUMIFS(Settings!$AA$2:$AA$21,Settings!$Y$2:$Y$21,"Budget AED 5k+/mo?",Settings!$Z$2:$Z$21,H390)+SUMIFS(Settings!$AA$2:$AA$21,Settings!$Y$2:$Y$21,"Decision-maker?",Settings!$Z$2:$Z$21,I390)+SUMIFS(Settings!$AA$2:$AA$21,Settings!$Y$2:$Y$21,"Someone on camera?",Settings!$Z$2:$Z$21,J390)+SUMIFS(Settings!$AA$2:$AA$21,Settings!$Y$2:$Y$21,"OK with 3-month term?",Settings!$Z$2:$Z$21,K390)+SUMIFS(Settings!$AA$2:$AA$21,Settings!$Y$2:$Y$21,"Start timeline",Settings!$Z$2:$Z$21,L390)+SUMIFS(Settings!$AA$2:$AA$21,Settings!$Y$2:$Y$21,"Social media gap",Settings!$Z$2:$Z$21,M390)+IF(OR(E390="",E390="Lead ID not found"),0,IF(COUNTIF(Settings!$AC$2:$AC$6,E390)&gt;0,Settings!$AA$20,Settings!$AA$21)))</f>
        <v/>
      </c>
      <c r="P390" s="44" t="str">
        <f aca="false">IF(C390="","",IF(N(N390)&lt;6,"Partly scored ("&amp;N390&amp;"/6)",IF(O390&gt;=Settings!$S$8,"Hot",IF(O390&gt;=Settings!$S$9,"Warm","Cold"))))</f>
        <v/>
      </c>
      <c r="Q390" s="44" t="str">
        <f aca="false">IF(C390="","",IF(AND(H390="No",J390="No"),"🚩 Budget  ·  🚩 No one on camera",IF(H390="No","🚩 Budget under AED 5k",IF(J390="No","🚩 No one on camera",""))))</f>
        <v/>
      </c>
      <c r="R390" s="44" t="str">
        <f aca="false">IF(C390="","",IF(N(N390)&lt;6,"Finish the scoresheet before closing",IF(P390="Hot","Close now – send the contract / proposal today",IF(P390="Warm","Send proposal + a relevant result; follow up in 3 days","Rep's call – nurture or close politely")))&amp;IF(Q390&lt;&gt;""," (handle the 🚩 first)",""))</f>
        <v/>
      </c>
      <c r="S390" s="17"/>
      <c r="T390" s="17"/>
      <c r="U390" s="44" t="str">
        <f aca="false">IF(C390="","",IF(COUNTIF(C391:C$501,C390)=0,1,0))</f>
        <v/>
      </c>
    </row>
    <row r="391" customFormat="false" ht="15" hidden="false" customHeight="false" outlineLevel="0" collapsed="false">
      <c r="A391" s="17"/>
      <c r="B391" s="40"/>
      <c r="C391" s="17"/>
      <c r="D391" s="44" t="str">
        <f aca="false">IF(C391="","",IFERROR(INDEX(Inbound!$E$2:$E$501,MATCH(C391,Inbound!$A$2:$A$501,0)),IFERROR(INDEX(Outbound!$D$2:$D$501,MATCH(C391,Outbound!$A$2:$A$501,0)),"Lead ID not found")))</f>
        <v/>
      </c>
      <c r="E391" s="44" t="str">
        <f aca="false">IF(C391="","",IFERROR(INDEX(Inbound!$F$2:$F$501,MATCH(C391,Inbound!$A$2:$A$501,0)),IFERROR(INDEX(Outbound!$E$2:$E$501,MATCH(C391,Outbound!$A$2:$A$501,0)),"Lead ID not found")))</f>
        <v/>
      </c>
      <c r="F391" s="17"/>
      <c r="G391" s="17"/>
      <c r="H391" s="17"/>
      <c r="I391" s="17"/>
      <c r="J391" s="17"/>
      <c r="K391" s="17"/>
      <c r="L391" s="17"/>
      <c r="M391" s="17"/>
      <c r="N391" s="44" t="str">
        <f aca="false">IF(C391="","",COUNTA(H391:M391))</f>
        <v/>
      </c>
      <c r="O391" s="44" t="str">
        <f aca="false">IF(OR(C391="",N(N391)=0),"",SUMIFS(Settings!$AA$2:$AA$21,Settings!$Y$2:$Y$21,"Budget AED 5k+/mo?",Settings!$Z$2:$Z$21,H391)+SUMIFS(Settings!$AA$2:$AA$21,Settings!$Y$2:$Y$21,"Decision-maker?",Settings!$Z$2:$Z$21,I391)+SUMIFS(Settings!$AA$2:$AA$21,Settings!$Y$2:$Y$21,"Someone on camera?",Settings!$Z$2:$Z$21,J391)+SUMIFS(Settings!$AA$2:$AA$21,Settings!$Y$2:$Y$21,"OK with 3-month term?",Settings!$Z$2:$Z$21,K391)+SUMIFS(Settings!$AA$2:$AA$21,Settings!$Y$2:$Y$21,"Start timeline",Settings!$Z$2:$Z$21,L391)+SUMIFS(Settings!$AA$2:$AA$21,Settings!$Y$2:$Y$21,"Social media gap",Settings!$Z$2:$Z$21,M391)+IF(OR(E391="",E391="Lead ID not found"),0,IF(COUNTIF(Settings!$AC$2:$AC$6,E391)&gt;0,Settings!$AA$20,Settings!$AA$21)))</f>
        <v/>
      </c>
      <c r="P391" s="44" t="str">
        <f aca="false">IF(C391="","",IF(N(N391)&lt;6,"Partly scored ("&amp;N391&amp;"/6)",IF(O391&gt;=Settings!$S$8,"Hot",IF(O391&gt;=Settings!$S$9,"Warm","Cold"))))</f>
        <v/>
      </c>
      <c r="Q391" s="44" t="str">
        <f aca="false">IF(C391="","",IF(AND(H391="No",J391="No"),"🚩 Budget  ·  🚩 No one on camera",IF(H391="No","🚩 Budget under AED 5k",IF(J391="No","🚩 No one on camera",""))))</f>
        <v/>
      </c>
      <c r="R391" s="44" t="str">
        <f aca="false">IF(C391="","",IF(N(N391)&lt;6,"Finish the scoresheet before closing",IF(P391="Hot","Close now – send the contract / proposal today",IF(P391="Warm","Send proposal + a relevant result; follow up in 3 days","Rep's call – nurture or close politely")))&amp;IF(Q391&lt;&gt;""," (handle the 🚩 first)",""))</f>
        <v/>
      </c>
      <c r="S391" s="17"/>
      <c r="T391" s="17"/>
      <c r="U391" s="44" t="str">
        <f aca="false">IF(C391="","",IF(COUNTIF(C392:C$501,C391)=0,1,0))</f>
        <v/>
      </c>
    </row>
    <row r="392" customFormat="false" ht="15" hidden="false" customHeight="false" outlineLevel="0" collapsed="false">
      <c r="A392" s="17"/>
      <c r="B392" s="40"/>
      <c r="C392" s="17"/>
      <c r="D392" s="44" t="str">
        <f aca="false">IF(C392="","",IFERROR(INDEX(Inbound!$E$2:$E$501,MATCH(C392,Inbound!$A$2:$A$501,0)),IFERROR(INDEX(Outbound!$D$2:$D$501,MATCH(C392,Outbound!$A$2:$A$501,0)),"Lead ID not found")))</f>
        <v/>
      </c>
      <c r="E392" s="44" t="str">
        <f aca="false">IF(C392="","",IFERROR(INDEX(Inbound!$F$2:$F$501,MATCH(C392,Inbound!$A$2:$A$501,0)),IFERROR(INDEX(Outbound!$E$2:$E$501,MATCH(C392,Outbound!$A$2:$A$501,0)),"Lead ID not found")))</f>
        <v/>
      </c>
      <c r="F392" s="17"/>
      <c r="G392" s="17"/>
      <c r="H392" s="17"/>
      <c r="I392" s="17"/>
      <c r="J392" s="17"/>
      <c r="K392" s="17"/>
      <c r="L392" s="17"/>
      <c r="M392" s="17"/>
      <c r="N392" s="44" t="str">
        <f aca="false">IF(C392="","",COUNTA(H392:M392))</f>
        <v/>
      </c>
      <c r="O392" s="44" t="str">
        <f aca="false">IF(OR(C392="",N(N392)=0),"",SUMIFS(Settings!$AA$2:$AA$21,Settings!$Y$2:$Y$21,"Budget AED 5k+/mo?",Settings!$Z$2:$Z$21,H392)+SUMIFS(Settings!$AA$2:$AA$21,Settings!$Y$2:$Y$21,"Decision-maker?",Settings!$Z$2:$Z$21,I392)+SUMIFS(Settings!$AA$2:$AA$21,Settings!$Y$2:$Y$21,"Someone on camera?",Settings!$Z$2:$Z$21,J392)+SUMIFS(Settings!$AA$2:$AA$21,Settings!$Y$2:$Y$21,"OK with 3-month term?",Settings!$Z$2:$Z$21,K392)+SUMIFS(Settings!$AA$2:$AA$21,Settings!$Y$2:$Y$21,"Start timeline",Settings!$Z$2:$Z$21,L392)+SUMIFS(Settings!$AA$2:$AA$21,Settings!$Y$2:$Y$21,"Social media gap",Settings!$Z$2:$Z$21,M392)+IF(OR(E392="",E392="Lead ID not found"),0,IF(COUNTIF(Settings!$AC$2:$AC$6,E392)&gt;0,Settings!$AA$20,Settings!$AA$21)))</f>
        <v/>
      </c>
      <c r="P392" s="44" t="str">
        <f aca="false">IF(C392="","",IF(N(N392)&lt;6,"Partly scored ("&amp;N392&amp;"/6)",IF(O392&gt;=Settings!$S$8,"Hot",IF(O392&gt;=Settings!$S$9,"Warm","Cold"))))</f>
        <v/>
      </c>
      <c r="Q392" s="44" t="str">
        <f aca="false">IF(C392="","",IF(AND(H392="No",J392="No"),"🚩 Budget  ·  🚩 No one on camera",IF(H392="No","🚩 Budget under AED 5k",IF(J392="No","🚩 No one on camera",""))))</f>
        <v/>
      </c>
      <c r="R392" s="44" t="str">
        <f aca="false">IF(C392="","",IF(N(N392)&lt;6,"Finish the scoresheet before closing",IF(P392="Hot","Close now – send the contract / proposal today",IF(P392="Warm","Send proposal + a relevant result; follow up in 3 days","Rep's call – nurture or close politely")))&amp;IF(Q392&lt;&gt;""," (handle the 🚩 first)",""))</f>
        <v/>
      </c>
      <c r="S392" s="17"/>
      <c r="T392" s="17"/>
      <c r="U392" s="44" t="str">
        <f aca="false">IF(C392="","",IF(COUNTIF(C393:C$501,C392)=0,1,0))</f>
        <v/>
      </c>
    </row>
    <row r="393" customFormat="false" ht="15" hidden="false" customHeight="false" outlineLevel="0" collapsed="false">
      <c r="A393" s="17"/>
      <c r="B393" s="40"/>
      <c r="C393" s="17"/>
      <c r="D393" s="44" t="str">
        <f aca="false">IF(C393="","",IFERROR(INDEX(Inbound!$E$2:$E$501,MATCH(C393,Inbound!$A$2:$A$501,0)),IFERROR(INDEX(Outbound!$D$2:$D$501,MATCH(C393,Outbound!$A$2:$A$501,0)),"Lead ID not found")))</f>
        <v/>
      </c>
      <c r="E393" s="44" t="str">
        <f aca="false">IF(C393="","",IFERROR(INDEX(Inbound!$F$2:$F$501,MATCH(C393,Inbound!$A$2:$A$501,0)),IFERROR(INDEX(Outbound!$E$2:$E$501,MATCH(C393,Outbound!$A$2:$A$501,0)),"Lead ID not found")))</f>
        <v/>
      </c>
      <c r="F393" s="17"/>
      <c r="G393" s="17"/>
      <c r="H393" s="17"/>
      <c r="I393" s="17"/>
      <c r="J393" s="17"/>
      <c r="K393" s="17"/>
      <c r="L393" s="17"/>
      <c r="M393" s="17"/>
      <c r="N393" s="44" t="str">
        <f aca="false">IF(C393="","",COUNTA(H393:M393))</f>
        <v/>
      </c>
      <c r="O393" s="44" t="str">
        <f aca="false">IF(OR(C393="",N(N393)=0),"",SUMIFS(Settings!$AA$2:$AA$21,Settings!$Y$2:$Y$21,"Budget AED 5k+/mo?",Settings!$Z$2:$Z$21,H393)+SUMIFS(Settings!$AA$2:$AA$21,Settings!$Y$2:$Y$21,"Decision-maker?",Settings!$Z$2:$Z$21,I393)+SUMIFS(Settings!$AA$2:$AA$21,Settings!$Y$2:$Y$21,"Someone on camera?",Settings!$Z$2:$Z$21,J393)+SUMIFS(Settings!$AA$2:$AA$21,Settings!$Y$2:$Y$21,"OK with 3-month term?",Settings!$Z$2:$Z$21,K393)+SUMIFS(Settings!$AA$2:$AA$21,Settings!$Y$2:$Y$21,"Start timeline",Settings!$Z$2:$Z$21,L393)+SUMIFS(Settings!$AA$2:$AA$21,Settings!$Y$2:$Y$21,"Social media gap",Settings!$Z$2:$Z$21,M393)+IF(OR(E393="",E393="Lead ID not found"),0,IF(COUNTIF(Settings!$AC$2:$AC$6,E393)&gt;0,Settings!$AA$20,Settings!$AA$21)))</f>
        <v/>
      </c>
      <c r="P393" s="44" t="str">
        <f aca="false">IF(C393="","",IF(N(N393)&lt;6,"Partly scored ("&amp;N393&amp;"/6)",IF(O393&gt;=Settings!$S$8,"Hot",IF(O393&gt;=Settings!$S$9,"Warm","Cold"))))</f>
        <v/>
      </c>
      <c r="Q393" s="44" t="str">
        <f aca="false">IF(C393="","",IF(AND(H393="No",J393="No"),"🚩 Budget  ·  🚩 No one on camera",IF(H393="No","🚩 Budget under AED 5k",IF(J393="No","🚩 No one on camera",""))))</f>
        <v/>
      </c>
      <c r="R393" s="44" t="str">
        <f aca="false">IF(C393="","",IF(N(N393)&lt;6,"Finish the scoresheet before closing",IF(P393="Hot","Close now – send the contract / proposal today",IF(P393="Warm","Send proposal + a relevant result; follow up in 3 days","Rep's call – nurture or close politely")))&amp;IF(Q393&lt;&gt;""," (handle the 🚩 first)",""))</f>
        <v/>
      </c>
      <c r="S393" s="17"/>
      <c r="T393" s="17"/>
      <c r="U393" s="44" t="str">
        <f aca="false">IF(C393="","",IF(COUNTIF(C394:C$501,C393)=0,1,0))</f>
        <v/>
      </c>
    </row>
    <row r="394" customFormat="false" ht="15" hidden="false" customHeight="false" outlineLevel="0" collapsed="false">
      <c r="A394" s="17"/>
      <c r="B394" s="40"/>
      <c r="C394" s="17"/>
      <c r="D394" s="44" t="str">
        <f aca="false">IF(C394="","",IFERROR(INDEX(Inbound!$E$2:$E$501,MATCH(C394,Inbound!$A$2:$A$501,0)),IFERROR(INDEX(Outbound!$D$2:$D$501,MATCH(C394,Outbound!$A$2:$A$501,0)),"Lead ID not found")))</f>
        <v/>
      </c>
      <c r="E394" s="44" t="str">
        <f aca="false">IF(C394="","",IFERROR(INDEX(Inbound!$F$2:$F$501,MATCH(C394,Inbound!$A$2:$A$501,0)),IFERROR(INDEX(Outbound!$E$2:$E$501,MATCH(C394,Outbound!$A$2:$A$501,0)),"Lead ID not found")))</f>
        <v/>
      </c>
      <c r="F394" s="17"/>
      <c r="G394" s="17"/>
      <c r="H394" s="17"/>
      <c r="I394" s="17"/>
      <c r="J394" s="17"/>
      <c r="K394" s="17"/>
      <c r="L394" s="17"/>
      <c r="M394" s="17"/>
      <c r="N394" s="44" t="str">
        <f aca="false">IF(C394="","",COUNTA(H394:M394))</f>
        <v/>
      </c>
      <c r="O394" s="44" t="str">
        <f aca="false">IF(OR(C394="",N(N394)=0),"",SUMIFS(Settings!$AA$2:$AA$21,Settings!$Y$2:$Y$21,"Budget AED 5k+/mo?",Settings!$Z$2:$Z$21,H394)+SUMIFS(Settings!$AA$2:$AA$21,Settings!$Y$2:$Y$21,"Decision-maker?",Settings!$Z$2:$Z$21,I394)+SUMIFS(Settings!$AA$2:$AA$21,Settings!$Y$2:$Y$21,"Someone on camera?",Settings!$Z$2:$Z$21,J394)+SUMIFS(Settings!$AA$2:$AA$21,Settings!$Y$2:$Y$21,"OK with 3-month term?",Settings!$Z$2:$Z$21,K394)+SUMIFS(Settings!$AA$2:$AA$21,Settings!$Y$2:$Y$21,"Start timeline",Settings!$Z$2:$Z$21,L394)+SUMIFS(Settings!$AA$2:$AA$21,Settings!$Y$2:$Y$21,"Social media gap",Settings!$Z$2:$Z$21,M394)+IF(OR(E394="",E394="Lead ID not found"),0,IF(COUNTIF(Settings!$AC$2:$AC$6,E394)&gt;0,Settings!$AA$20,Settings!$AA$21)))</f>
        <v/>
      </c>
      <c r="P394" s="44" t="str">
        <f aca="false">IF(C394="","",IF(N(N394)&lt;6,"Partly scored ("&amp;N394&amp;"/6)",IF(O394&gt;=Settings!$S$8,"Hot",IF(O394&gt;=Settings!$S$9,"Warm","Cold"))))</f>
        <v/>
      </c>
      <c r="Q394" s="44" t="str">
        <f aca="false">IF(C394="","",IF(AND(H394="No",J394="No"),"🚩 Budget  ·  🚩 No one on camera",IF(H394="No","🚩 Budget under AED 5k",IF(J394="No","🚩 No one on camera",""))))</f>
        <v/>
      </c>
      <c r="R394" s="44" t="str">
        <f aca="false">IF(C394="","",IF(N(N394)&lt;6,"Finish the scoresheet before closing",IF(P394="Hot","Close now – send the contract / proposal today",IF(P394="Warm","Send proposal + a relevant result; follow up in 3 days","Rep's call – nurture or close politely")))&amp;IF(Q394&lt;&gt;""," (handle the 🚩 first)",""))</f>
        <v/>
      </c>
      <c r="S394" s="17"/>
      <c r="T394" s="17"/>
      <c r="U394" s="44" t="str">
        <f aca="false">IF(C394="","",IF(COUNTIF(C395:C$501,C394)=0,1,0))</f>
        <v/>
      </c>
    </row>
    <row r="395" customFormat="false" ht="15" hidden="false" customHeight="false" outlineLevel="0" collapsed="false">
      <c r="A395" s="17"/>
      <c r="B395" s="40"/>
      <c r="C395" s="17"/>
      <c r="D395" s="44" t="str">
        <f aca="false">IF(C395="","",IFERROR(INDEX(Inbound!$E$2:$E$501,MATCH(C395,Inbound!$A$2:$A$501,0)),IFERROR(INDEX(Outbound!$D$2:$D$501,MATCH(C395,Outbound!$A$2:$A$501,0)),"Lead ID not found")))</f>
        <v/>
      </c>
      <c r="E395" s="44" t="str">
        <f aca="false">IF(C395="","",IFERROR(INDEX(Inbound!$F$2:$F$501,MATCH(C395,Inbound!$A$2:$A$501,0)),IFERROR(INDEX(Outbound!$E$2:$E$501,MATCH(C395,Outbound!$A$2:$A$501,0)),"Lead ID not found")))</f>
        <v/>
      </c>
      <c r="F395" s="17"/>
      <c r="G395" s="17"/>
      <c r="H395" s="17"/>
      <c r="I395" s="17"/>
      <c r="J395" s="17"/>
      <c r="K395" s="17"/>
      <c r="L395" s="17"/>
      <c r="M395" s="17"/>
      <c r="N395" s="44" t="str">
        <f aca="false">IF(C395="","",COUNTA(H395:M395))</f>
        <v/>
      </c>
      <c r="O395" s="44" t="str">
        <f aca="false">IF(OR(C395="",N(N395)=0),"",SUMIFS(Settings!$AA$2:$AA$21,Settings!$Y$2:$Y$21,"Budget AED 5k+/mo?",Settings!$Z$2:$Z$21,H395)+SUMIFS(Settings!$AA$2:$AA$21,Settings!$Y$2:$Y$21,"Decision-maker?",Settings!$Z$2:$Z$21,I395)+SUMIFS(Settings!$AA$2:$AA$21,Settings!$Y$2:$Y$21,"Someone on camera?",Settings!$Z$2:$Z$21,J395)+SUMIFS(Settings!$AA$2:$AA$21,Settings!$Y$2:$Y$21,"OK with 3-month term?",Settings!$Z$2:$Z$21,K395)+SUMIFS(Settings!$AA$2:$AA$21,Settings!$Y$2:$Y$21,"Start timeline",Settings!$Z$2:$Z$21,L395)+SUMIFS(Settings!$AA$2:$AA$21,Settings!$Y$2:$Y$21,"Social media gap",Settings!$Z$2:$Z$21,M395)+IF(OR(E395="",E395="Lead ID not found"),0,IF(COUNTIF(Settings!$AC$2:$AC$6,E395)&gt;0,Settings!$AA$20,Settings!$AA$21)))</f>
        <v/>
      </c>
      <c r="P395" s="44" t="str">
        <f aca="false">IF(C395="","",IF(N(N395)&lt;6,"Partly scored ("&amp;N395&amp;"/6)",IF(O395&gt;=Settings!$S$8,"Hot",IF(O395&gt;=Settings!$S$9,"Warm","Cold"))))</f>
        <v/>
      </c>
      <c r="Q395" s="44" t="str">
        <f aca="false">IF(C395="","",IF(AND(H395="No",J395="No"),"🚩 Budget  ·  🚩 No one on camera",IF(H395="No","🚩 Budget under AED 5k",IF(J395="No","🚩 No one on camera",""))))</f>
        <v/>
      </c>
      <c r="R395" s="44" t="str">
        <f aca="false">IF(C395="","",IF(N(N395)&lt;6,"Finish the scoresheet before closing",IF(P395="Hot","Close now – send the contract / proposal today",IF(P395="Warm","Send proposal + a relevant result; follow up in 3 days","Rep's call – nurture or close politely")))&amp;IF(Q395&lt;&gt;""," (handle the 🚩 first)",""))</f>
        <v/>
      </c>
      <c r="S395" s="17"/>
      <c r="T395" s="17"/>
      <c r="U395" s="44" t="str">
        <f aca="false">IF(C395="","",IF(COUNTIF(C396:C$501,C395)=0,1,0))</f>
        <v/>
      </c>
    </row>
    <row r="396" customFormat="false" ht="15" hidden="false" customHeight="false" outlineLevel="0" collapsed="false">
      <c r="A396" s="17"/>
      <c r="B396" s="40"/>
      <c r="C396" s="17"/>
      <c r="D396" s="44" t="str">
        <f aca="false">IF(C396="","",IFERROR(INDEX(Inbound!$E$2:$E$501,MATCH(C396,Inbound!$A$2:$A$501,0)),IFERROR(INDEX(Outbound!$D$2:$D$501,MATCH(C396,Outbound!$A$2:$A$501,0)),"Lead ID not found")))</f>
        <v/>
      </c>
      <c r="E396" s="44" t="str">
        <f aca="false">IF(C396="","",IFERROR(INDEX(Inbound!$F$2:$F$501,MATCH(C396,Inbound!$A$2:$A$501,0)),IFERROR(INDEX(Outbound!$E$2:$E$501,MATCH(C396,Outbound!$A$2:$A$501,0)),"Lead ID not found")))</f>
        <v/>
      </c>
      <c r="F396" s="17"/>
      <c r="G396" s="17"/>
      <c r="H396" s="17"/>
      <c r="I396" s="17"/>
      <c r="J396" s="17"/>
      <c r="K396" s="17"/>
      <c r="L396" s="17"/>
      <c r="M396" s="17"/>
      <c r="N396" s="44" t="str">
        <f aca="false">IF(C396="","",COUNTA(H396:M396))</f>
        <v/>
      </c>
      <c r="O396" s="44" t="str">
        <f aca="false">IF(OR(C396="",N(N396)=0),"",SUMIFS(Settings!$AA$2:$AA$21,Settings!$Y$2:$Y$21,"Budget AED 5k+/mo?",Settings!$Z$2:$Z$21,H396)+SUMIFS(Settings!$AA$2:$AA$21,Settings!$Y$2:$Y$21,"Decision-maker?",Settings!$Z$2:$Z$21,I396)+SUMIFS(Settings!$AA$2:$AA$21,Settings!$Y$2:$Y$21,"Someone on camera?",Settings!$Z$2:$Z$21,J396)+SUMIFS(Settings!$AA$2:$AA$21,Settings!$Y$2:$Y$21,"OK with 3-month term?",Settings!$Z$2:$Z$21,K396)+SUMIFS(Settings!$AA$2:$AA$21,Settings!$Y$2:$Y$21,"Start timeline",Settings!$Z$2:$Z$21,L396)+SUMIFS(Settings!$AA$2:$AA$21,Settings!$Y$2:$Y$21,"Social media gap",Settings!$Z$2:$Z$21,M396)+IF(OR(E396="",E396="Lead ID not found"),0,IF(COUNTIF(Settings!$AC$2:$AC$6,E396)&gt;0,Settings!$AA$20,Settings!$AA$21)))</f>
        <v/>
      </c>
      <c r="P396" s="44" t="str">
        <f aca="false">IF(C396="","",IF(N(N396)&lt;6,"Partly scored ("&amp;N396&amp;"/6)",IF(O396&gt;=Settings!$S$8,"Hot",IF(O396&gt;=Settings!$S$9,"Warm","Cold"))))</f>
        <v/>
      </c>
      <c r="Q396" s="44" t="str">
        <f aca="false">IF(C396="","",IF(AND(H396="No",J396="No"),"🚩 Budget  ·  🚩 No one on camera",IF(H396="No","🚩 Budget under AED 5k",IF(J396="No","🚩 No one on camera",""))))</f>
        <v/>
      </c>
      <c r="R396" s="44" t="str">
        <f aca="false">IF(C396="","",IF(N(N396)&lt;6,"Finish the scoresheet before closing",IF(P396="Hot","Close now – send the contract / proposal today",IF(P396="Warm","Send proposal + a relevant result; follow up in 3 days","Rep's call – nurture or close politely")))&amp;IF(Q396&lt;&gt;""," (handle the 🚩 first)",""))</f>
        <v/>
      </c>
      <c r="S396" s="17"/>
      <c r="T396" s="17"/>
      <c r="U396" s="44" t="str">
        <f aca="false">IF(C396="","",IF(COUNTIF(C397:C$501,C396)=0,1,0))</f>
        <v/>
      </c>
    </row>
    <row r="397" customFormat="false" ht="15" hidden="false" customHeight="false" outlineLevel="0" collapsed="false">
      <c r="A397" s="17"/>
      <c r="B397" s="40"/>
      <c r="C397" s="17"/>
      <c r="D397" s="44" t="str">
        <f aca="false">IF(C397="","",IFERROR(INDEX(Inbound!$E$2:$E$501,MATCH(C397,Inbound!$A$2:$A$501,0)),IFERROR(INDEX(Outbound!$D$2:$D$501,MATCH(C397,Outbound!$A$2:$A$501,0)),"Lead ID not found")))</f>
        <v/>
      </c>
      <c r="E397" s="44" t="str">
        <f aca="false">IF(C397="","",IFERROR(INDEX(Inbound!$F$2:$F$501,MATCH(C397,Inbound!$A$2:$A$501,0)),IFERROR(INDEX(Outbound!$E$2:$E$501,MATCH(C397,Outbound!$A$2:$A$501,0)),"Lead ID not found")))</f>
        <v/>
      </c>
      <c r="F397" s="17"/>
      <c r="G397" s="17"/>
      <c r="H397" s="17"/>
      <c r="I397" s="17"/>
      <c r="J397" s="17"/>
      <c r="K397" s="17"/>
      <c r="L397" s="17"/>
      <c r="M397" s="17"/>
      <c r="N397" s="44" t="str">
        <f aca="false">IF(C397="","",COUNTA(H397:M397))</f>
        <v/>
      </c>
      <c r="O397" s="44" t="str">
        <f aca="false">IF(OR(C397="",N(N397)=0),"",SUMIFS(Settings!$AA$2:$AA$21,Settings!$Y$2:$Y$21,"Budget AED 5k+/mo?",Settings!$Z$2:$Z$21,H397)+SUMIFS(Settings!$AA$2:$AA$21,Settings!$Y$2:$Y$21,"Decision-maker?",Settings!$Z$2:$Z$21,I397)+SUMIFS(Settings!$AA$2:$AA$21,Settings!$Y$2:$Y$21,"Someone on camera?",Settings!$Z$2:$Z$21,J397)+SUMIFS(Settings!$AA$2:$AA$21,Settings!$Y$2:$Y$21,"OK with 3-month term?",Settings!$Z$2:$Z$21,K397)+SUMIFS(Settings!$AA$2:$AA$21,Settings!$Y$2:$Y$21,"Start timeline",Settings!$Z$2:$Z$21,L397)+SUMIFS(Settings!$AA$2:$AA$21,Settings!$Y$2:$Y$21,"Social media gap",Settings!$Z$2:$Z$21,M397)+IF(OR(E397="",E397="Lead ID not found"),0,IF(COUNTIF(Settings!$AC$2:$AC$6,E397)&gt;0,Settings!$AA$20,Settings!$AA$21)))</f>
        <v/>
      </c>
      <c r="P397" s="44" t="str">
        <f aca="false">IF(C397="","",IF(N(N397)&lt;6,"Partly scored ("&amp;N397&amp;"/6)",IF(O397&gt;=Settings!$S$8,"Hot",IF(O397&gt;=Settings!$S$9,"Warm","Cold"))))</f>
        <v/>
      </c>
      <c r="Q397" s="44" t="str">
        <f aca="false">IF(C397="","",IF(AND(H397="No",J397="No"),"🚩 Budget  ·  🚩 No one on camera",IF(H397="No","🚩 Budget under AED 5k",IF(J397="No","🚩 No one on camera",""))))</f>
        <v/>
      </c>
      <c r="R397" s="44" t="str">
        <f aca="false">IF(C397="","",IF(N(N397)&lt;6,"Finish the scoresheet before closing",IF(P397="Hot","Close now – send the contract / proposal today",IF(P397="Warm","Send proposal + a relevant result; follow up in 3 days","Rep's call – nurture or close politely")))&amp;IF(Q397&lt;&gt;""," (handle the 🚩 first)",""))</f>
        <v/>
      </c>
      <c r="S397" s="17"/>
      <c r="T397" s="17"/>
      <c r="U397" s="44" t="str">
        <f aca="false">IF(C397="","",IF(COUNTIF(C398:C$501,C397)=0,1,0))</f>
        <v/>
      </c>
    </row>
    <row r="398" customFormat="false" ht="15" hidden="false" customHeight="false" outlineLevel="0" collapsed="false">
      <c r="A398" s="17"/>
      <c r="B398" s="40"/>
      <c r="C398" s="17"/>
      <c r="D398" s="44" t="str">
        <f aca="false">IF(C398="","",IFERROR(INDEX(Inbound!$E$2:$E$501,MATCH(C398,Inbound!$A$2:$A$501,0)),IFERROR(INDEX(Outbound!$D$2:$D$501,MATCH(C398,Outbound!$A$2:$A$501,0)),"Lead ID not found")))</f>
        <v/>
      </c>
      <c r="E398" s="44" t="str">
        <f aca="false">IF(C398="","",IFERROR(INDEX(Inbound!$F$2:$F$501,MATCH(C398,Inbound!$A$2:$A$501,0)),IFERROR(INDEX(Outbound!$E$2:$E$501,MATCH(C398,Outbound!$A$2:$A$501,0)),"Lead ID not found")))</f>
        <v/>
      </c>
      <c r="F398" s="17"/>
      <c r="G398" s="17"/>
      <c r="H398" s="17"/>
      <c r="I398" s="17"/>
      <c r="J398" s="17"/>
      <c r="K398" s="17"/>
      <c r="L398" s="17"/>
      <c r="M398" s="17"/>
      <c r="N398" s="44" t="str">
        <f aca="false">IF(C398="","",COUNTA(H398:M398))</f>
        <v/>
      </c>
      <c r="O398" s="44" t="str">
        <f aca="false">IF(OR(C398="",N(N398)=0),"",SUMIFS(Settings!$AA$2:$AA$21,Settings!$Y$2:$Y$21,"Budget AED 5k+/mo?",Settings!$Z$2:$Z$21,H398)+SUMIFS(Settings!$AA$2:$AA$21,Settings!$Y$2:$Y$21,"Decision-maker?",Settings!$Z$2:$Z$21,I398)+SUMIFS(Settings!$AA$2:$AA$21,Settings!$Y$2:$Y$21,"Someone on camera?",Settings!$Z$2:$Z$21,J398)+SUMIFS(Settings!$AA$2:$AA$21,Settings!$Y$2:$Y$21,"OK with 3-month term?",Settings!$Z$2:$Z$21,K398)+SUMIFS(Settings!$AA$2:$AA$21,Settings!$Y$2:$Y$21,"Start timeline",Settings!$Z$2:$Z$21,L398)+SUMIFS(Settings!$AA$2:$AA$21,Settings!$Y$2:$Y$21,"Social media gap",Settings!$Z$2:$Z$21,M398)+IF(OR(E398="",E398="Lead ID not found"),0,IF(COUNTIF(Settings!$AC$2:$AC$6,E398)&gt;0,Settings!$AA$20,Settings!$AA$21)))</f>
        <v/>
      </c>
      <c r="P398" s="44" t="str">
        <f aca="false">IF(C398="","",IF(N(N398)&lt;6,"Partly scored ("&amp;N398&amp;"/6)",IF(O398&gt;=Settings!$S$8,"Hot",IF(O398&gt;=Settings!$S$9,"Warm","Cold"))))</f>
        <v/>
      </c>
      <c r="Q398" s="44" t="str">
        <f aca="false">IF(C398="","",IF(AND(H398="No",J398="No"),"🚩 Budget  ·  🚩 No one on camera",IF(H398="No","🚩 Budget under AED 5k",IF(J398="No","🚩 No one on camera",""))))</f>
        <v/>
      </c>
      <c r="R398" s="44" t="str">
        <f aca="false">IF(C398="","",IF(N(N398)&lt;6,"Finish the scoresheet before closing",IF(P398="Hot","Close now – send the contract / proposal today",IF(P398="Warm","Send proposal + a relevant result; follow up in 3 days","Rep's call – nurture or close politely")))&amp;IF(Q398&lt;&gt;""," (handle the 🚩 first)",""))</f>
        <v/>
      </c>
      <c r="S398" s="17"/>
      <c r="T398" s="17"/>
      <c r="U398" s="44" t="str">
        <f aca="false">IF(C398="","",IF(COUNTIF(C399:C$501,C398)=0,1,0))</f>
        <v/>
      </c>
    </row>
    <row r="399" customFormat="false" ht="15" hidden="false" customHeight="false" outlineLevel="0" collapsed="false">
      <c r="A399" s="17"/>
      <c r="B399" s="40"/>
      <c r="C399" s="17"/>
      <c r="D399" s="44" t="str">
        <f aca="false">IF(C399="","",IFERROR(INDEX(Inbound!$E$2:$E$501,MATCH(C399,Inbound!$A$2:$A$501,0)),IFERROR(INDEX(Outbound!$D$2:$D$501,MATCH(C399,Outbound!$A$2:$A$501,0)),"Lead ID not found")))</f>
        <v/>
      </c>
      <c r="E399" s="44" t="str">
        <f aca="false">IF(C399="","",IFERROR(INDEX(Inbound!$F$2:$F$501,MATCH(C399,Inbound!$A$2:$A$501,0)),IFERROR(INDEX(Outbound!$E$2:$E$501,MATCH(C399,Outbound!$A$2:$A$501,0)),"Lead ID not found")))</f>
        <v/>
      </c>
      <c r="F399" s="17"/>
      <c r="G399" s="17"/>
      <c r="H399" s="17"/>
      <c r="I399" s="17"/>
      <c r="J399" s="17"/>
      <c r="K399" s="17"/>
      <c r="L399" s="17"/>
      <c r="M399" s="17"/>
      <c r="N399" s="44" t="str">
        <f aca="false">IF(C399="","",COUNTA(H399:M399))</f>
        <v/>
      </c>
      <c r="O399" s="44" t="str">
        <f aca="false">IF(OR(C399="",N(N399)=0),"",SUMIFS(Settings!$AA$2:$AA$21,Settings!$Y$2:$Y$21,"Budget AED 5k+/mo?",Settings!$Z$2:$Z$21,H399)+SUMIFS(Settings!$AA$2:$AA$21,Settings!$Y$2:$Y$21,"Decision-maker?",Settings!$Z$2:$Z$21,I399)+SUMIFS(Settings!$AA$2:$AA$21,Settings!$Y$2:$Y$21,"Someone on camera?",Settings!$Z$2:$Z$21,J399)+SUMIFS(Settings!$AA$2:$AA$21,Settings!$Y$2:$Y$21,"OK with 3-month term?",Settings!$Z$2:$Z$21,K399)+SUMIFS(Settings!$AA$2:$AA$21,Settings!$Y$2:$Y$21,"Start timeline",Settings!$Z$2:$Z$21,L399)+SUMIFS(Settings!$AA$2:$AA$21,Settings!$Y$2:$Y$21,"Social media gap",Settings!$Z$2:$Z$21,M399)+IF(OR(E399="",E399="Lead ID not found"),0,IF(COUNTIF(Settings!$AC$2:$AC$6,E399)&gt;0,Settings!$AA$20,Settings!$AA$21)))</f>
        <v/>
      </c>
      <c r="P399" s="44" t="str">
        <f aca="false">IF(C399="","",IF(N(N399)&lt;6,"Partly scored ("&amp;N399&amp;"/6)",IF(O399&gt;=Settings!$S$8,"Hot",IF(O399&gt;=Settings!$S$9,"Warm","Cold"))))</f>
        <v/>
      </c>
      <c r="Q399" s="44" t="str">
        <f aca="false">IF(C399="","",IF(AND(H399="No",J399="No"),"🚩 Budget  ·  🚩 No one on camera",IF(H399="No","🚩 Budget under AED 5k",IF(J399="No","🚩 No one on camera",""))))</f>
        <v/>
      </c>
      <c r="R399" s="44" t="str">
        <f aca="false">IF(C399="","",IF(N(N399)&lt;6,"Finish the scoresheet before closing",IF(P399="Hot","Close now – send the contract / proposal today",IF(P399="Warm","Send proposal + a relevant result; follow up in 3 days","Rep's call – nurture or close politely")))&amp;IF(Q399&lt;&gt;""," (handle the 🚩 first)",""))</f>
        <v/>
      </c>
      <c r="S399" s="17"/>
      <c r="T399" s="17"/>
      <c r="U399" s="44" t="str">
        <f aca="false">IF(C399="","",IF(COUNTIF(C400:C$501,C399)=0,1,0))</f>
        <v/>
      </c>
    </row>
    <row r="400" customFormat="false" ht="15" hidden="false" customHeight="false" outlineLevel="0" collapsed="false">
      <c r="A400" s="17"/>
      <c r="B400" s="40"/>
      <c r="C400" s="17"/>
      <c r="D400" s="44" t="str">
        <f aca="false">IF(C400="","",IFERROR(INDEX(Inbound!$E$2:$E$501,MATCH(C400,Inbound!$A$2:$A$501,0)),IFERROR(INDEX(Outbound!$D$2:$D$501,MATCH(C400,Outbound!$A$2:$A$501,0)),"Lead ID not found")))</f>
        <v/>
      </c>
      <c r="E400" s="44" t="str">
        <f aca="false">IF(C400="","",IFERROR(INDEX(Inbound!$F$2:$F$501,MATCH(C400,Inbound!$A$2:$A$501,0)),IFERROR(INDEX(Outbound!$E$2:$E$501,MATCH(C400,Outbound!$A$2:$A$501,0)),"Lead ID not found")))</f>
        <v/>
      </c>
      <c r="F400" s="17"/>
      <c r="G400" s="17"/>
      <c r="H400" s="17"/>
      <c r="I400" s="17"/>
      <c r="J400" s="17"/>
      <c r="K400" s="17"/>
      <c r="L400" s="17"/>
      <c r="M400" s="17"/>
      <c r="N400" s="44" t="str">
        <f aca="false">IF(C400="","",COUNTA(H400:M400))</f>
        <v/>
      </c>
      <c r="O400" s="44" t="str">
        <f aca="false">IF(OR(C400="",N(N400)=0),"",SUMIFS(Settings!$AA$2:$AA$21,Settings!$Y$2:$Y$21,"Budget AED 5k+/mo?",Settings!$Z$2:$Z$21,H400)+SUMIFS(Settings!$AA$2:$AA$21,Settings!$Y$2:$Y$21,"Decision-maker?",Settings!$Z$2:$Z$21,I400)+SUMIFS(Settings!$AA$2:$AA$21,Settings!$Y$2:$Y$21,"Someone on camera?",Settings!$Z$2:$Z$21,J400)+SUMIFS(Settings!$AA$2:$AA$21,Settings!$Y$2:$Y$21,"OK with 3-month term?",Settings!$Z$2:$Z$21,K400)+SUMIFS(Settings!$AA$2:$AA$21,Settings!$Y$2:$Y$21,"Start timeline",Settings!$Z$2:$Z$21,L400)+SUMIFS(Settings!$AA$2:$AA$21,Settings!$Y$2:$Y$21,"Social media gap",Settings!$Z$2:$Z$21,M400)+IF(OR(E400="",E400="Lead ID not found"),0,IF(COUNTIF(Settings!$AC$2:$AC$6,E400)&gt;0,Settings!$AA$20,Settings!$AA$21)))</f>
        <v/>
      </c>
      <c r="P400" s="44" t="str">
        <f aca="false">IF(C400="","",IF(N(N400)&lt;6,"Partly scored ("&amp;N400&amp;"/6)",IF(O400&gt;=Settings!$S$8,"Hot",IF(O400&gt;=Settings!$S$9,"Warm","Cold"))))</f>
        <v/>
      </c>
      <c r="Q400" s="44" t="str">
        <f aca="false">IF(C400="","",IF(AND(H400="No",J400="No"),"🚩 Budget  ·  🚩 No one on camera",IF(H400="No","🚩 Budget under AED 5k",IF(J400="No","🚩 No one on camera",""))))</f>
        <v/>
      </c>
      <c r="R400" s="44" t="str">
        <f aca="false">IF(C400="","",IF(N(N400)&lt;6,"Finish the scoresheet before closing",IF(P400="Hot","Close now – send the contract / proposal today",IF(P400="Warm","Send proposal + a relevant result; follow up in 3 days","Rep's call – nurture or close politely")))&amp;IF(Q400&lt;&gt;""," (handle the 🚩 first)",""))</f>
        <v/>
      </c>
      <c r="S400" s="17"/>
      <c r="T400" s="17"/>
      <c r="U400" s="44" t="str">
        <f aca="false">IF(C400="","",IF(COUNTIF(C401:C$501,C400)=0,1,0))</f>
        <v/>
      </c>
    </row>
    <row r="401" customFormat="false" ht="15" hidden="false" customHeight="false" outlineLevel="0" collapsed="false">
      <c r="A401" s="17"/>
      <c r="B401" s="40"/>
      <c r="C401" s="17"/>
      <c r="D401" s="44" t="str">
        <f aca="false">IF(C401="","",IFERROR(INDEX(Inbound!$E$2:$E$501,MATCH(C401,Inbound!$A$2:$A$501,0)),IFERROR(INDEX(Outbound!$D$2:$D$501,MATCH(C401,Outbound!$A$2:$A$501,0)),"Lead ID not found")))</f>
        <v/>
      </c>
      <c r="E401" s="44" t="str">
        <f aca="false">IF(C401="","",IFERROR(INDEX(Inbound!$F$2:$F$501,MATCH(C401,Inbound!$A$2:$A$501,0)),IFERROR(INDEX(Outbound!$E$2:$E$501,MATCH(C401,Outbound!$A$2:$A$501,0)),"Lead ID not found")))</f>
        <v/>
      </c>
      <c r="F401" s="17"/>
      <c r="G401" s="17"/>
      <c r="H401" s="17"/>
      <c r="I401" s="17"/>
      <c r="J401" s="17"/>
      <c r="K401" s="17"/>
      <c r="L401" s="17"/>
      <c r="M401" s="17"/>
      <c r="N401" s="44" t="str">
        <f aca="false">IF(C401="","",COUNTA(H401:M401))</f>
        <v/>
      </c>
      <c r="O401" s="44" t="str">
        <f aca="false">IF(OR(C401="",N(N401)=0),"",SUMIFS(Settings!$AA$2:$AA$21,Settings!$Y$2:$Y$21,"Budget AED 5k+/mo?",Settings!$Z$2:$Z$21,H401)+SUMIFS(Settings!$AA$2:$AA$21,Settings!$Y$2:$Y$21,"Decision-maker?",Settings!$Z$2:$Z$21,I401)+SUMIFS(Settings!$AA$2:$AA$21,Settings!$Y$2:$Y$21,"Someone on camera?",Settings!$Z$2:$Z$21,J401)+SUMIFS(Settings!$AA$2:$AA$21,Settings!$Y$2:$Y$21,"OK with 3-month term?",Settings!$Z$2:$Z$21,K401)+SUMIFS(Settings!$AA$2:$AA$21,Settings!$Y$2:$Y$21,"Start timeline",Settings!$Z$2:$Z$21,L401)+SUMIFS(Settings!$AA$2:$AA$21,Settings!$Y$2:$Y$21,"Social media gap",Settings!$Z$2:$Z$21,M401)+IF(OR(E401="",E401="Lead ID not found"),0,IF(COUNTIF(Settings!$AC$2:$AC$6,E401)&gt;0,Settings!$AA$20,Settings!$AA$21)))</f>
        <v/>
      </c>
      <c r="P401" s="44" t="str">
        <f aca="false">IF(C401="","",IF(N(N401)&lt;6,"Partly scored ("&amp;N401&amp;"/6)",IF(O401&gt;=Settings!$S$8,"Hot",IF(O401&gt;=Settings!$S$9,"Warm","Cold"))))</f>
        <v/>
      </c>
      <c r="Q401" s="44" t="str">
        <f aca="false">IF(C401="","",IF(AND(H401="No",J401="No"),"🚩 Budget  ·  🚩 No one on camera",IF(H401="No","🚩 Budget under AED 5k",IF(J401="No","🚩 No one on camera",""))))</f>
        <v/>
      </c>
      <c r="R401" s="44" t="str">
        <f aca="false">IF(C401="","",IF(N(N401)&lt;6,"Finish the scoresheet before closing",IF(P401="Hot","Close now – send the contract / proposal today",IF(P401="Warm","Send proposal + a relevant result; follow up in 3 days","Rep's call – nurture or close politely")))&amp;IF(Q401&lt;&gt;""," (handle the 🚩 first)",""))</f>
        <v/>
      </c>
      <c r="S401" s="17"/>
      <c r="T401" s="17"/>
      <c r="U401" s="44" t="str">
        <f aca="false">IF(C401="","",IF(COUNTIF(C402:C$501,C401)=0,1,0))</f>
        <v/>
      </c>
    </row>
    <row r="402" customFormat="false" ht="15" hidden="false" customHeight="false" outlineLevel="0" collapsed="false">
      <c r="A402" s="17"/>
      <c r="B402" s="40"/>
      <c r="C402" s="17"/>
      <c r="D402" s="44" t="str">
        <f aca="false">IF(C402="","",IFERROR(INDEX(Inbound!$E$2:$E$501,MATCH(C402,Inbound!$A$2:$A$501,0)),IFERROR(INDEX(Outbound!$D$2:$D$501,MATCH(C402,Outbound!$A$2:$A$501,0)),"Lead ID not found")))</f>
        <v/>
      </c>
      <c r="E402" s="44" t="str">
        <f aca="false">IF(C402="","",IFERROR(INDEX(Inbound!$F$2:$F$501,MATCH(C402,Inbound!$A$2:$A$501,0)),IFERROR(INDEX(Outbound!$E$2:$E$501,MATCH(C402,Outbound!$A$2:$A$501,0)),"Lead ID not found")))</f>
        <v/>
      </c>
      <c r="F402" s="17"/>
      <c r="G402" s="17"/>
      <c r="H402" s="17"/>
      <c r="I402" s="17"/>
      <c r="J402" s="17"/>
      <c r="K402" s="17"/>
      <c r="L402" s="17"/>
      <c r="M402" s="17"/>
      <c r="N402" s="44" t="str">
        <f aca="false">IF(C402="","",COUNTA(H402:M402))</f>
        <v/>
      </c>
      <c r="O402" s="44" t="str">
        <f aca="false">IF(OR(C402="",N(N402)=0),"",SUMIFS(Settings!$AA$2:$AA$21,Settings!$Y$2:$Y$21,"Budget AED 5k+/mo?",Settings!$Z$2:$Z$21,H402)+SUMIFS(Settings!$AA$2:$AA$21,Settings!$Y$2:$Y$21,"Decision-maker?",Settings!$Z$2:$Z$21,I402)+SUMIFS(Settings!$AA$2:$AA$21,Settings!$Y$2:$Y$21,"Someone on camera?",Settings!$Z$2:$Z$21,J402)+SUMIFS(Settings!$AA$2:$AA$21,Settings!$Y$2:$Y$21,"OK with 3-month term?",Settings!$Z$2:$Z$21,K402)+SUMIFS(Settings!$AA$2:$AA$21,Settings!$Y$2:$Y$21,"Start timeline",Settings!$Z$2:$Z$21,L402)+SUMIFS(Settings!$AA$2:$AA$21,Settings!$Y$2:$Y$21,"Social media gap",Settings!$Z$2:$Z$21,M402)+IF(OR(E402="",E402="Lead ID not found"),0,IF(COUNTIF(Settings!$AC$2:$AC$6,E402)&gt;0,Settings!$AA$20,Settings!$AA$21)))</f>
        <v/>
      </c>
      <c r="P402" s="44" t="str">
        <f aca="false">IF(C402="","",IF(N(N402)&lt;6,"Partly scored ("&amp;N402&amp;"/6)",IF(O402&gt;=Settings!$S$8,"Hot",IF(O402&gt;=Settings!$S$9,"Warm","Cold"))))</f>
        <v/>
      </c>
      <c r="Q402" s="44" t="str">
        <f aca="false">IF(C402="","",IF(AND(H402="No",J402="No"),"🚩 Budget  ·  🚩 No one on camera",IF(H402="No","🚩 Budget under AED 5k",IF(J402="No","🚩 No one on camera",""))))</f>
        <v/>
      </c>
      <c r="R402" s="44" t="str">
        <f aca="false">IF(C402="","",IF(N(N402)&lt;6,"Finish the scoresheet before closing",IF(P402="Hot","Close now – send the contract / proposal today",IF(P402="Warm","Send proposal + a relevant result; follow up in 3 days","Rep's call – nurture or close politely")))&amp;IF(Q402&lt;&gt;""," (handle the 🚩 first)",""))</f>
        <v/>
      </c>
      <c r="S402" s="17"/>
      <c r="T402" s="17"/>
      <c r="U402" s="44" t="str">
        <f aca="false">IF(C402="","",IF(COUNTIF(C403:C$501,C402)=0,1,0))</f>
        <v/>
      </c>
    </row>
    <row r="403" customFormat="false" ht="15" hidden="false" customHeight="false" outlineLevel="0" collapsed="false">
      <c r="A403" s="17"/>
      <c r="B403" s="40"/>
      <c r="C403" s="17"/>
      <c r="D403" s="44" t="str">
        <f aca="false">IF(C403="","",IFERROR(INDEX(Inbound!$E$2:$E$501,MATCH(C403,Inbound!$A$2:$A$501,0)),IFERROR(INDEX(Outbound!$D$2:$D$501,MATCH(C403,Outbound!$A$2:$A$501,0)),"Lead ID not found")))</f>
        <v/>
      </c>
      <c r="E403" s="44" t="str">
        <f aca="false">IF(C403="","",IFERROR(INDEX(Inbound!$F$2:$F$501,MATCH(C403,Inbound!$A$2:$A$501,0)),IFERROR(INDEX(Outbound!$E$2:$E$501,MATCH(C403,Outbound!$A$2:$A$501,0)),"Lead ID not found")))</f>
        <v/>
      </c>
      <c r="F403" s="17"/>
      <c r="G403" s="17"/>
      <c r="H403" s="17"/>
      <c r="I403" s="17"/>
      <c r="J403" s="17"/>
      <c r="K403" s="17"/>
      <c r="L403" s="17"/>
      <c r="M403" s="17"/>
      <c r="N403" s="44" t="str">
        <f aca="false">IF(C403="","",COUNTA(H403:M403))</f>
        <v/>
      </c>
      <c r="O403" s="44" t="str">
        <f aca="false">IF(OR(C403="",N(N403)=0),"",SUMIFS(Settings!$AA$2:$AA$21,Settings!$Y$2:$Y$21,"Budget AED 5k+/mo?",Settings!$Z$2:$Z$21,H403)+SUMIFS(Settings!$AA$2:$AA$21,Settings!$Y$2:$Y$21,"Decision-maker?",Settings!$Z$2:$Z$21,I403)+SUMIFS(Settings!$AA$2:$AA$21,Settings!$Y$2:$Y$21,"Someone on camera?",Settings!$Z$2:$Z$21,J403)+SUMIFS(Settings!$AA$2:$AA$21,Settings!$Y$2:$Y$21,"OK with 3-month term?",Settings!$Z$2:$Z$21,K403)+SUMIFS(Settings!$AA$2:$AA$21,Settings!$Y$2:$Y$21,"Start timeline",Settings!$Z$2:$Z$21,L403)+SUMIFS(Settings!$AA$2:$AA$21,Settings!$Y$2:$Y$21,"Social media gap",Settings!$Z$2:$Z$21,M403)+IF(OR(E403="",E403="Lead ID not found"),0,IF(COUNTIF(Settings!$AC$2:$AC$6,E403)&gt;0,Settings!$AA$20,Settings!$AA$21)))</f>
        <v/>
      </c>
      <c r="P403" s="44" t="str">
        <f aca="false">IF(C403="","",IF(N(N403)&lt;6,"Partly scored ("&amp;N403&amp;"/6)",IF(O403&gt;=Settings!$S$8,"Hot",IF(O403&gt;=Settings!$S$9,"Warm","Cold"))))</f>
        <v/>
      </c>
      <c r="Q403" s="44" t="str">
        <f aca="false">IF(C403="","",IF(AND(H403="No",J403="No"),"🚩 Budget  ·  🚩 No one on camera",IF(H403="No","🚩 Budget under AED 5k",IF(J403="No","🚩 No one on camera",""))))</f>
        <v/>
      </c>
      <c r="R403" s="44" t="str">
        <f aca="false">IF(C403="","",IF(N(N403)&lt;6,"Finish the scoresheet before closing",IF(P403="Hot","Close now – send the contract / proposal today",IF(P403="Warm","Send proposal + a relevant result; follow up in 3 days","Rep's call – nurture or close politely")))&amp;IF(Q403&lt;&gt;""," (handle the 🚩 first)",""))</f>
        <v/>
      </c>
      <c r="S403" s="17"/>
      <c r="T403" s="17"/>
      <c r="U403" s="44" t="str">
        <f aca="false">IF(C403="","",IF(COUNTIF(C404:C$501,C403)=0,1,0))</f>
        <v/>
      </c>
    </row>
    <row r="404" customFormat="false" ht="15" hidden="false" customHeight="false" outlineLevel="0" collapsed="false">
      <c r="A404" s="17"/>
      <c r="B404" s="40"/>
      <c r="C404" s="17"/>
      <c r="D404" s="44" t="str">
        <f aca="false">IF(C404="","",IFERROR(INDEX(Inbound!$E$2:$E$501,MATCH(C404,Inbound!$A$2:$A$501,0)),IFERROR(INDEX(Outbound!$D$2:$D$501,MATCH(C404,Outbound!$A$2:$A$501,0)),"Lead ID not found")))</f>
        <v/>
      </c>
      <c r="E404" s="44" t="str">
        <f aca="false">IF(C404="","",IFERROR(INDEX(Inbound!$F$2:$F$501,MATCH(C404,Inbound!$A$2:$A$501,0)),IFERROR(INDEX(Outbound!$E$2:$E$501,MATCH(C404,Outbound!$A$2:$A$501,0)),"Lead ID not found")))</f>
        <v/>
      </c>
      <c r="F404" s="17"/>
      <c r="G404" s="17"/>
      <c r="H404" s="17"/>
      <c r="I404" s="17"/>
      <c r="J404" s="17"/>
      <c r="K404" s="17"/>
      <c r="L404" s="17"/>
      <c r="M404" s="17"/>
      <c r="N404" s="44" t="str">
        <f aca="false">IF(C404="","",COUNTA(H404:M404))</f>
        <v/>
      </c>
      <c r="O404" s="44" t="str">
        <f aca="false">IF(OR(C404="",N(N404)=0),"",SUMIFS(Settings!$AA$2:$AA$21,Settings!$Y$2:$Y$21,"Budget AED 5k+/mo?",Settings!$Z$2:$Z$21,H404)+SUMIFS(Settings!$AA$2:$AA$21,Settings!$Y$2:$Y$21,"Decision-maker?",Settings!$Z$2:$Z$21,I404)+SUMIFS(Settings!$AA$2:$AA$21,Settings!$Y$2:$Y$21,"Someone on camera?",Settings!$Z$2:$Z$21,J404)+SUMIFS(Settings!$AA$2:$AA$21,Settings!$Y$2:$Y$21,"OK with 3-month term?",Settings!$Z$2:$Z$21,K404)+SUMIFS(Settings!$AA$2:$AA$21,Settings!$Y$2:$Y$21,"Start timeline",Settings!$Z$2:$Z$21,L404)+SUMIFS(Settings!$AA$2:$AA$21,Settings!$Y$2:$Y$21,"Social media gap",Settings!$Z$2:$Z$21,M404)+IF(OR(E404="",E404="Lead ID not found"),0,IF(COUNTIF(Settings!$AC$2:$AC$6,E404)&gt;0,Settings!$AA$20,Settings!$AA$21)))</f>
        <v/>
      </c>
      <c r="P404" s="44" t="str">
        <f aca="false">IF(C404="","",IF(N(N404)&lt;6,"Partly scored ("&amp;N404&amp;"/6)",IF(O404&gt;=Settings!$S$8,"Hot",IF(O404&gt;=Settings!$S$9,"Warm","Cold"))))</f>
        <v/>
      </c>
      <c r="Q404" s="44" t="str">
        <f aca="false">IF(C404="","",IF(AND(H404="No",J404="No"),"🚩 Budget  ·  🚩 No one on camera",IF(H404="No","🚩 Budget under AED 5k",IF(J404="No","🚩 No one on camera",""))))</f>
        <v/>
      </c>
      <c r="R404" s="44" t="str">
        <f aca="false">IF(C404="","",IF(N(N404)&lt;6,"Finish the scoresheet before closing",IF(P404="Hot","Close now – send the contract / proposal today",IF(P404="Warm","Send proposal + a relevant result; follow up in 3 days","Rep's call – nurture or close politely")))&amp;IF(Q404&lt;&gt;""," (handle the 🚩 first)",""))</f>
        <v/>
      </c>
      <c r="S404" s="17"/>
      <c r="T404" s="17"/>
      <c r="U404" s="44" t="str">
        <f aca="false">IF(C404="","",IF(COUNTIF(C405:C$501,C404)=0,1,0))</f>
        <v/>
      </c>
    </row>
    <row r="405" customFormat="false" ht="15" hidden="false" customHeight="false" outlineLevel="0" collapsed="false">
      <c r="A405" s="17"/>
      <c r="B405" s="40"/>
      <c r="C405" s="17"/>
      <c r="D405" s="44" t="str">
        <f aca="false">IF(C405="","",IFERROR(INDEX(Inbound!$E$2:$E$501,MATCH(C405,Inbound!$A$2:$A$501,0)),IFERROR(INDEX(Outbound!$D$2:$D$501,MATCH(C405,Outbound!$A$2:$A$501,0)),"Lead ID not found")))</f>
        <v/>
      </c>
      <c r="E405" s="44" t="str">
        <f aca="false">IF(C405="","",IFERROR(INDEX(Inbound!$F$2:$F$501,MATCH(C405,Inbound!$A$2:$A$501,0)),IFERROR(INDEX(Outbound!$E$2:$E$501,MATCH(C405,Outbound!$A$2:$A$501,0)),"Lead ID not found")))</f>
        <v/>
      </c>
      <c r="F405" s="17"/>
      <c r="G405" s="17"/>
      <c r="H405" s="17"/>
      <c r="I405" s="17"/>
      <c r="J405" s="17"/>
      <c r="K405" s="17"/>
      <c r="L405" s="17"/>
      <c r="M405" s="17"/>
      <c r="N405" s="44" t="str">
        <f aca="false">IF(C405="","",COUNTA(H405:M405))</f>
        <v/>
      </c>
      <c r="O405" s="44" t="str">
        <f aca="false">IF(OR(C405="",N(N405)=0),"",SUMIFS(Settings!$AA$2:$AA$21,Settings!$Y$2:$Y$21,"Budget AED 5k+/mo?",Settings!$Z$2:$Z$21,H405)+SUMIFS(Settings!$AA$2:$AA$21,Settings!$Y$2:$Y$21,"Decision-maker?",Settings!$Z$2:$Z$21,I405)+SUMIFS(Settings!$AA$2:$AA$21,Settings!$Y$2:$Y$21,"Someone on camera?",Settings!$Z$2:$Z$21,J405)+SUMIFS(Settings!$AA$2:$AA$21,Settings!$Y$2:$Y$21,"OK with 3-month term?",Settings!$Z$2:$Z$21,K405)+SUMIFS(Settings!$AA$2:$AA$21,Settings!$Y$2:$Y$21,"Start timeline",Settings!$Z$2:$Z$21,L405)+SUMIFS(Settings!$AA$2:$AA$21,Settings!$Y$2:$Y$21,"Social media gap",Settings!$Z$2:$Z$21,M405)+IF(OR(E405="",E405="Lead ID not found"),0,IF(COUNTIF(Settings!$AC$2:$AC$6,E405)&gt;0,Settings!$AA$20,Settings!$AA$21)))</f>
        <v/>
      </c>
      <c r="P405" s="44" t="str">
        <f aca="false">IF(C405="","",IF(N(N405)&lt;6,"Partly scored ("&amp;N405&amp;"/6)",IF(O405&gt;=Settings!$S$8,"Hot",IF(O405&gt;=Settings!$S$9,"Warm","Cold"))))</f>
        <v/>
      </c>
      <c r="Q405" s="44" t="str">
        <f aca="false">IF(C405="","",IF(AND(H405="No",J405="No"),"🚩 Budget  ·  🚩 No one on camera",IF(H405="No","🚩 Budget under AED 5k",IF(J405="No","🚩 No one on camera",""))))</f>
        <v/>
      </c>
      <c r="R405" s="44" t="str">
        <f aca="false">IF(C405="","",IF(N(N405)&lt;6,"Finish the scoresheet before closing",IF(P405="Hot","Close now – send the contract / proposal today",IF(P405="Warm","Send proposal + a relevant result; follow up in 3 days","Rep's call – nurture or close politely")))&amp;IF(Q405&lt;&gt;""," (handle the 🚩 first)",""))</f>
        <v/>
      </c>
      <c r="S405" s="17"/>
      <c r="T405" s="17"/>
      <c r="U405" s="44" t="str">
        <f aca="false">IF(C405="","",IF(COUNTIF(C406:C$501,C405)=0,1,0))</f>
        <v/>
      </c>
    </row>
    <row r="406" customFormat="false" ht="15" hidden="false" customHeight="false" outlineLevel="0" collapsed="false">
      <c r="A406" s="17"/>
      <c r="B406" s="40"/>
      <c r="C406" s="17"/>
      <c r="D406" s="44" t="str">
        <f aca="false">IF(C406="","",IFERROR(INDEX(Inbound!$E$2:$E$501,MATCH(C406,Inbound!$A$2:$A$501,0)),IFERROR(INDEX(Outbound!$D$2:$D$501,MATCH(C406,Outbound!$A$2:$A$501,0)),"Lead ID not found")))</f>
        <v/>
      </c>
      <c r="E406" s="44" t="str">
        <f aca="false">IF(C406="","",IFERROR(INDEX(Inbound!$F$2:$F$501,MATCH(C406,Inbound!$A$2:$A$501,0)),IFERROR(INDEX(Outbound!$E$2:$E$501,MATCH(C406,Outbound!$A$2:$A$501,0)),"Lead ID not found")))</f>
        <v/>
      </c>
      <c r="F406" s="17"/>
      <c r="G406" s="17"/>
      <c r="H406" s="17"/>
      <c r="I406" s="17"/>
      <c r="J406" s="17"/>
      <c r="K406" s="17"/>
      <c r="L406" s="17"/>
      <c r="M406" s="17"/>
      <c r="N406" s="44" t="str">
        <f aca="false">IF(C406="","",COUNTA(H406:M406))</f>
        <v/>
      </c>
      <c r="O406" s="44" t="str">
        <f aca="false">IF(OR(C406="",N(N406)=0),"",SUMIFS(Settings!$AA$2:$AA$21,Settings!$Y$2:$Y$21,"Budget AED 5k+/mo?",Settings!$Z$2:$Z$21,H406)+SUMIFS(Settings!$AA$2:$AA$21,Settings!$Y$2:$Y$21,"Decision-maker?",Settings!$Z$2:$Z$21,I406)+SUMIFS(Settings!$AA$2:$AA$21,Settings!$Y$2:$Y$21,"Someone on camera?",Settings!$Z$2:$Z$21,J406)+SUMIFS(Settings!$AA$2:$AA$21,Settings!$Y$2:$Y$21,"OK with 3-month term?",Settings!$Z$2:$Z$21,K406)+SUMIFS(Settings!$AA$2:$AA$21,Settings!$Y$2:$Y$21,"Start timeline",Settings!$Z$2:$Z$21,L406)+SUMIFS(Settings!$AA$2:$AA$21,Settings!$Y$2:$Y$21,"Social media gap",Settings!$Z$2:$Z$21,M406)+IF(OR(E406="",E406="Lead ID not found"),0,IF(COUNTIF(Settings!$AC$2:$AC$6,E406)&gt;0,Settings!$AA$20,Settings!$AA$21)))</f>
        <v/>
      </c>
      <c r="P406" s="44" t="str">
        <f aca="false">IF(C406="","",IF(N(N406)&lt;6,"Partly scored ("&amp;N406&amp;"/6)",IF(O406&gt;=Settings!$S$8,"Hot",IF(O406&gt;=Settings!$S$9,"Warm","Cold"))))</f>
        <v/>
      </c>
      <c r="Q406" s="44" t="str">
        <f aca="false">IF(C406="","",IF(AND(H406="No",J406="No"),"🚩 Budget  ·  🚩 No one on camera",IF(H406="No","🚩 Budget under AED 5k",IF(J406="No","🚩 No one on camera",""))))</f>
        <v/>
      </c>
      <c r="R406" s="44" t="str">
        <f aca="false">IF(C406="","",IF(N(N406)&lt;6,"Finish the scoresheet before closing",IF(P406="Hot","Close now – send the contract / proposal today",IF(P406="Warm","Send proposal + a relevant result; follow up in 3 days","Rep's call – nurture or close politely")))&amp;IF(Q406&lt;&gt;""," (handle the 🚩 first)",""))</f>
        <v/>
      </c>
      <c r="S406" s="17"/>
      <c r="T406" s="17"/>
      <c r="U406" s="44" t="str">
        <f aca="false">IF(C406="","",IF(COUNTIF(C407:C$501,C406)=0,1,0))</f>
        <v/>
      </c>
    </row>
    <row r="407" customFormat="false" ht="15" hidden="false" customHeight="false" outlineLevel="0" collapsed="false">
      <c r="A407" s="17"/>
      <c r="B407" s="40"/>
      <c r="C407" s="17"/>
      <c r="D407" s="44" t="str">
        <f aca="false">IF(C407="","",IFERROR(INDEX(Inbound!$E$2:$E$501,MATCH(C407,Inbound!$A$2:$A$501,0)),IFERROR(INDEX(Outbound!$D$2:$D$501,MATCH(C407,Outbound!$A$2:$A$501,0)),"Lead ID not found")))</f>
        <v/>
      </c>
      <c r="E407" s="44" t="str">
        <f aca="false">IF(C407="","",IFERROR(INDEX(Inbound!$F$2:$F$501,MATCH(C407,Inbound!$A$2:$A$501,0)),IFERROR(INDEX(Outbound!$E$2:$E$501,MATCH(C407,Outbound!$A$2:$A$501,0)),"Lead ID not found")))</f>
        <v/>
      </c>
      <c r="F407" s="17"/>
      <c r="G407" s="17"/>
      <c r="H407" s="17"/>
      <c r="I407" s="17"/>
      <c r="J407" s="17"/>
      <c r="K407" s="17"/>
      <c r="L407" s="17"/>
      <c r="M407" s="17"/>
      <c r="N407" s="44" t="str">
        <f aca="false">IF(C407="","",COUNTA(H407:M407))</f>
        <v/>
      </c>
      <c r="O407" s="44" t="str">
        <f aca="false">IF(OR(C407="",N(N407)=0),"",SUMIFS(Settings!$AA$2:$AA$21,Settings!$Y$2:$Y$21,"Budget AED 5k+/mo?",Settings!$Z$2:$Z$21,H407)+SUMIFS(Settings!$AA$2:$AA$21,Settings!$Y$2:$Y$21,"Decision-maker?",Settings!$Z$2:$Z$21,I407)+SUMIFS(Settings!$AA$2:$AA$21,Settings!$Y$2:$Y$21,"Someone on camera?",Settings!$Z$2:$Z$21,J407)+SUMIFS(Settings!$AA$2:$AA$21,Settings!$Y$2:$Y$21,"OK with 3-month term?",Settings!$Z$2:$Z$21,K407)+SUMIFS(Settings!$AA$2:$AA$21,Settings!$Y$2:$Y$21,"Start timeline",Settings!$Z$2:$Z$21,L407)+SUMIFS(Settings!$AA$2:$AA$21,Settings!$Y$2:$Y$21,"Social media gap",Settings!$Z$2:$Z$21,M407)+IF(OR(E407="",E407="Lead ID not found"),0,IF(COUNTIF(Settings!$AC$2:$AC$6,E407)&gt;0,Settings!$AA$20,Settings!$AA$21)))</f>
        <v/>
      </c>
      <c r="P407" s="44" t="str">
        <f aca="false">IF(C407="","",IF(N(N407)&lt;6,"Partly scored ("&amp;N407&amp;"/6)",IF(O407&gt;=Settings!$S$8,"Hot",IF(O407&gt;=Settings!$S$9,"Warm","Cold"))))</f>
        <v/>
      </c>
      <c r="Q407" s="44" t="str">
        <f aca="false">IF(C407="","",IF(AND(H407="No",J407="No"),"🚩 Budget  ·  🚩 No one on camera",IF(H407="No","🚩 Budget under AED 5k",IF(J407="No","🚩 No one on camera",""))))</f>
        <v/>
      </c>
      <c r="R407" s="44" t="str">
        <f aca="false">IF(C407="","",IF(N(N407)&lt;6,"Finish the scoresheet before closing",IF(P407="Hot","Close now – send the contract / proposal today",IF(P407="Warm","Send proposal + a relevant result; follow up in 3 days","Rep's call – nurture or close politely")))&amp;IF(Q407&lt;&gt;""," (handle the 🚩 first)",""))</f>
        <v/>
      </c>
      <c r="S407" s="17"/>
      <c r="T407" s="17"/>
      <c r="U407" s="44" t="str">
        <f aca="false">IF(C407="","",IF(COUNTIF(C408:C$501,C407)=0,1,0))</f>
        <v/>
      </c>
    </row>
    <row r="408" customFormat="false" ht="15" hidden="false" customHeight="false" outlineLevel="0" collapsed="false">
      <c r="A408" s="17"/>
      <c r="B408" s="40"/>
      <c r="C408" s="17"/>
      <c r="D408" s="44" t="str">
        <f aca="false">IF(C408="","",IFERROR(INDEX(Inbound!$E$2:$E$501,MATCH(C408,Inbound!$A$2:$A$501,0)),IFERROR(INDEX(Outbound!$D$2:$D$501,MATCH(C408,Outbound!$A$2:$A$501,0)),"Lead ID not found")))</f>
        <v/>
      </c>
      <c r="E408" s="44" t="str">
        <f aca="false">IF(C408="","",IFERROR(INDEX(Inbound!$F$2:$F$501,MATCH(C408,Inbound!$A$2:$A$501,0)),IFERROR(INDEX(Outbound!$E$2:$E$501,MATCH(C408,Outbound!$A$2:$A$501,0)),"Lead ID not found")))</f>
        <v/>
      </c>
      <c r="F408" s="17"/>
      <c r="G408" s="17"/>
      <c r="H408" s="17"/>
      <c r="I408" s="17"/>
      <c r="J408" s="17"/>
      <c r="K408" s="17"/>
      <c r="L408" s="17"/>
      <c r="M408" s="17"/>
      <c r="N408" s="44" t="str">
        <f aca="false">IF(C408="","",COUNTA(H408:M408))</f>
        <v/>
      </c>
      <c r="O408" s="44" t="str">
        <f aca="false">IF(OR(C408="",N(N408)=0),"",SUMIFS(Settings!$AA$2:$AA$21,Settings!$Y$2:$Y$21,"Budget AED 5k+/mo?",Settings!$Z$2:$Z$21,H408)+SUMIFS(Settings!$AA$2:$AA$21,Settings!$Y$2:$Y$21,"Decision-maker?",Settings!$Z$2:$Z$21,I408)+SUMIFS(Settings!$AA$2:$AA$21,Settings!$Y$2:$Y$21,"Someone on camera?",Settings!$Z$2:$Z$21,J408)+SUMIFS(Settings!$AA$2:$AA$21,Settings!$Y$2:$Y$21,"OK with 3-month term?",Settings!$Z$2:$Z$21,K408)+SUMIFS(Settings!$AA$2:$AA$21,Settings!$Y$2:$Y$21,"Start timeline",Settings!$Z$2:$Z$21,L408)+SUMIFS(Settings!$AA$2:$AA$21,Settings!$Y$2:$Y$21,"Social media gap",Settings!$Z$2:$Z$21,M408)+IF(OR(E408="",E408="Lead ID not found"),0,IF(COUNTIF(Settings!$AC$2:$AC$6,E408)&gt;0,Settings!$AA$20,Settings!$AA$21)))</f>
        <v/>
      </c>
      <c r="P408" s="44" t="str">
        <f aca="false">IF(C408="","",IF(N(N408)&lt;6,"Partly scored ("&amp;N408&amp;"/6)",IF(O408&gt;=Settings!$S$8,"Hot",IF(O408&gt;=Settings!$S$9,"Warm","Cold"))))</f>
        <v/>
      </c>
      <c r="Q408" s="44" t="str">
        <f aca="false">IF(C408="","",IF(AND(H408="No",J408="No"),"🚩 Budget  ·  🚩 No one on camera",IF(H408="No","🚩 Budget under AED 5k",IF(J408="No","🚩 No one on camera",""))))</f>
        <v/>
      </c>
      <c r="R408" s="44" t="str">
        <f aca="false">IF(C408="","",IF(N(N408)&lt;6,"Finish the scoresheet before closing",IF(P408="Hot","Close now – send the contract / proposal today",IF(P408="Warm","Send proposal + a relevant result; follow up in 3 days","Rep's call – nurture or close politely")))&amp;IF(Q408&lt;&gt;""," (handle the 🚩 first)",""))</f>
        <v/>
      </c>
      <c r="S408" s="17"/>
      <c r="T408" s="17"/>
      <c r="U408" s="44" t="str">
        <f aca="false">IF(C408="","",IF(COUNTIF(C409:C$501,C408)=0,1,0))</f>
        <v/>
      </c>
    </row>
    <row r="409" customFormat="false" ht="15" hidden="false" customHeight="false" outlineLevel="0" collapsed="false">
      <c r="A409" s="17"/>
      <c r="B409" s="40"/>
      <c r="C409" s="17"/>
      <c r="D409" s="44" t="str">
        <f aca="false">IF(C409="","",IFERROR(INDEX(Inbound!$E$2:$E$501,MATCH(C409,Inbound!$A$2:$A$501,0)),IFERROR(INDEX(Outbound!$D$2:$D$501,MATCH(C409,Outbound!$A$2:$A$501,0)),"Lead ID not found")))</f>
        <v/>
      </c>
      <c r="E409" s="44" t="str">
        <f aca="false">IF(C409="","",IFERROR(INDEX(Inbound!$F$2:$F$501,MATCH(C409,Inbound!$A$2:$A$501,0)),IFERROR(INDEX(Outbound!$E$2:$E$501,MATCH(C409,Outbound!$A$2:$A$501,0)),"Lead ID not found")))</f>
        <v/>
      </c>
      <c r="F409" s="17"/>
      <c r="G409" s="17"/>
      <c r="H409" s="17"/>
      <c r="I409" s="17"/>
      <c r="J409" s="17"/>
      <c r="K409" s="17"/>
      <c r="L409" s="17"/>
      <c r="M409" s="17"/>
      <c r="N409" s="44" t="str">
        <f aca="false">IF(C409="","",COUNTA(H409:M409))</f>
        <v/>
      </c>
      <c r="O409" s="44" t="str">
        <f aca="false">IF(OR(C409="",N(N409)=0),"",SUMIFS(Settings!$AA$2:$AA$21,Settings!$Y$2:$Y$21,"Budget AED 5k+/mo?",Settings!$Z$2:$Z$21,H409)+SUMIFS(Settings!$AA$2:$AA$21,Settings!$Y$2:$Y$21,"Decision-maker?",Settings!$Z$2:$Z$21,I409)+SUMIFS(Settings!$AA$2:$AA$21,Settings!$Y$2:$Y$21,"Someone on camera?",Settings!$Z$2:$Z$21,J409)+SUMIFS(Settings!$AA$2:$AA$21,Settings!$Y$2:$Y$21,"OK with 3-month term?",Settings!$Z$2:$Z$21,K409)+SUMIFS(Settings!$AA$2:$AA$21,Settings!$Y$2:$Y$21,"Start timeline",Settings!$Z$2:$Z$21,L409)+SUMIFS(Settings!$AA$2:$AA$21,Settings!$Y$2:$Y$21,"Social media gap",Settings!$Z$2:$Z$21,M409)+IF(OR(E409="",E409="Lead ID not found"),0,IF(COUNTIF(Settings!$AC$2:$AC$6,E409)&gt;0,Settings!$AA$20,Settings!$AA$21)))</f>
        <v/>
      </c>
      <c r="P409" s="44" t="str">
        <f aca="false">IF(C409="","",IF(N(N409)&lt;6,"Partly scored ("&amp;N409&amp;"/6)",IF(O409&gt;=Settings!$S$8,"Hot",IF(O409&gt;=Settings!$S$9,"Warm","Cold"))))</f>
        <v/>
      </c>
      <c r="Q409" s="44" t="str">
        <f aca="false">IF(C409="","",IF(AND(H409="No",J409="No"),"🚩 Budget  ·  🚩 No one on camera",IF(H409="No","🚩 Budget under AED 5k",IF(J409="No","🚩 No one on camera",""))))</f>
        <v/>
      </c>
      <c r="R409" s="44" t="str">
        <f aca="false">IF(C409="","",IF(N(N409)&lt;6,"Finish the scoresheet before closing",IF(P409="Hot","Close now – send the contract / proposal today",IF(P409="Warm","Send proposal + a relevant result; follow up in 3 days","Rep's call – nurture or close politely")))&amp;IF(Q409&lt;&gt;""," (handle the 🚩 first)",""))</f>
        <v/>
      </c>
      <c r="S409" s="17"/>
      <c r="T409" s="17"/>
      <c r="U409" s="44" t="str">
        <f aca="false">IF(C409="","",IF(COUNTIF(C410:C$501,C409)=0,1,0))</f>
        <v/>
      </c>
    </row>
    <row r="410" customFormat="false" ht="15" hidden="false" customHeight="false" outlineLevel="0" collapsed="false">
      <c r="A410" s="17"/>
      <c r="B410" s="40"/>
      <c r="C410" s="17"/>
      <c r="D410" s="44" t="str">
        <f aca="false">IF(C410="","",IFERROR(INDEX(Inbound!$E$2:$E$501,MATCH(C410,Inbound!$A$2:$A$501,0)),IFERROR(INDEX(Outbound!$D$2:$D$501,MATCH(C410,Outbound!$A$2:$A$501,0)),"Lead ID not found")))</f>
        <v/>
      </c>
      <c r="E410" s="44" t="str">
        <f aca="false">IF(C410="","",IFERROR(INDEX(Inbound!$F$2:$F$501,MATCH(C410,Inbound!$A$2:$A$501,0)),IFERROR(INDEX(Outbound!$E$2:$E$501,MATCH(C410,Outbound!$A$2:$A$501,0)),"Lead ID not found")))</f>
        <v/>
      </c>
      <c r="F410" s="17"/>
      <c r="G410" s="17"/>
      <c r="H410" s="17"/>
      <c r="I410" s="17"/>
      <c r="J410" s="17"/>
      <c r="K410" s="17"/>
      <c r="L410" s="17"/>
      <c r="M410" s="17"/>
      <c r="N410" s="44" t="str">
        <f aca="false">IF(C410="","",COUNTA(H410:M410))</f>
        <v/>
      </c>
      <c r="O410" s="44" t="str">
        <f aca="false">IF(OR(C410="",N(N410)=0),"",SUMIFS(Settings!$AA$2:$AA$21,Settings!$Y$2:$Y$21,"Budget AED 5k+/mo?",Settings!$Z$2:$Z$21,H410)+SUMIFS(Settings!$AA$2:$AA$21,Settings!$Y$2:$Y$21,"Decision-maker?",Settings!$Z$2:$Z$21,I410)+SUMIFS(Settings!$AA$2:$AA$21,Settings!$Y$2:$Y$21,"Someone on camera?",Settings!$Z$2:$Z$21,J410)+SUMIFS(Settings!$AA$2:$AA$21,Settings!$Y$2:$Y$21,"OK with 3-month term?",Settings!$Z$2:$Z$21,K410)+SUMIFS(Settings!$AA$2:$AA$21,Settings!$Y$2:$Y$21,"Start timeline",Settings!$Z$2:$Z$21,L410)+SUMIFS(Settings!$AA$2:$AA$21,Settings!$Y$2:$Y$21,"Social media gap",Settings!$Z$2:$Z$21,M410)+IF(OR(E410="",E410="Lead ID not found"),0,IF(COUNTIF(Settings!$AC$2:$AC$6,E410)&gt;0,Settings!$AA$20,Settings!$AA$21)))</f>
        <v/>
      </c>
      <c r="P410" s="44" t="str">
        <f aca="false">IF(C410="","",IF(N(N410)&lt;6,"Partly scored ("&amp;N410&amp;"/6)",IF(O410&gt;=Settings!$S$8,"Hot",IF(O410&gt;=Settings!$S$9,"Warm","Cold"))))</f>
        <v/>
      </c>
      <c r="Q410" s="44" t="str">
        <f aca="false">IF(C410="","",IF(AND(H410="No",J410="No"),"🚩 Budget  ·  🚩 No one on camera",IF(H410="No","🚩 Budget under AED 5k",IF(J410="No","🚩 No one on camera",""))))</f>
        <v/>
      </c>
      <c r="R410" s="44" t="str">
        <f aca="false">IF(C410="","",IF(N(N410)&lt;6,"Finish the scoresheet before closing",IF(P410="Hot","Close now – send the contract / proposal today",IF(P410="Warm","Send proposal + a relevant result; follow up in 3 days","Rep's call – nurture or close politely")))&amp;IF(Q410&lt;&gt;""," (handle the 🚩 first)",""))</f>
        <v/>
      </c>
      <c r="S410" s="17"/>
      <c r="T410" s="17"/>
      <c r="U410" s="44" t="str">
        <f aca="false">IF(C410="","",IF(COUNTIF(C411:C$501,C410)=0,1,0))</f>
        <v/>
      </c>
    </row>
    <row r="411" customFormat="false" ht="15" hidden="false" customHeight="false" outlineLevel="0" collapsed="false">
      <c r="A411" s="17"/>
      <c r="B411" s="40"/>
      <c r="C411" s="17"/>
      <c r="D411" s="44" t="str">
        <f aca="false">IF(C411="","",IFERROR(INDEX(Inbound!$E$2:$E$501,MATCH(C411,Inbound!$A$2:$A$501,0)),IFERROR(INDEX(Outbound!$D$2:$D$501,MATCH(C411,Outbound!$A$2:$A$501,0)),"Lead ID not found")))</f>
        <v/>
      </c>
      <c r="E411" s="44" t="str">
        <f aca="false">IF(C411="","",IFERROR(INDEX(Inbound!$F$2:$F$501,MATCH(C411,Inbound!$A$2:$A$501,0)),IFERROR(INDEX(Outbound!$E$2:$E$501,MATCH(C411,Outbound!$A$2:$A$501,0)),"Lead ID not found")))</f>
        <v/>
      </c>
      <c r="F411" s="17"/>
      <c r="G411" s="17"/>
      <c r="H411" s="17"/>
      <c r="I411" s="17"/>
      <c r="J411" s="17"/>
      <c r="K411" s="17"/>
      <c r="L411" s="17"/>
      <c r="M411" s="17"/>
      <c r="N411" s="44" t="str">
        <f aca="false">IF(C411="","",COUNTA(H411:M411))</f>
        <v/>
      </c>
      <c r="O411" s="44" t="str">
        <f aca="false">IF(OR(C411="",N(N411)=0),"",SUMIFS(Settings!$AA$2:$AA$21,Settings!$Y$2:$Y$21,"Budget AED 5k+/mo?",Settings!$Z$2:$Z$21,H411)+SUMIFS(Settings!$AA$2:$AA$21,Settings!$Y$2:$Y$21,"Decision-maker?",Settings!$Z$2:$Z$21,I411)+SUMIFS(Settings!$AA$2:$AA$21,Settings!$Y$2:$Y$21,"Someone on camera?",Settings!$Z$2:$Z$21,J411)+SUMIFS(Settings!$AA$2:$AA$21,Settings!$Y$2:$Y$21,"OK with 3-month term?",Settings!$Z$2:$Z$21,K411)+SUMIFS(Settings!$AA$2:$AA$21,Settings!$Y$2:$Y$21,"Start timeline",Settings!$Z$2:$Z$21,L411)+SUMIFS(Settings!$AA$2:$AA$21,Settings!$Y$2:$Y$21,"Social media gap",Settings!$Z$2:$Z$21,M411)+IF(OR(E411="",E411="Lead ID not found"),0,IF(COUNTIF(Settings!$AC$2:$AC$6,E411)&gt;0,Settings!$AA$20,Settings!$AA$21)))</f>
        <v/>
      </c>
      <c r="P411" s="44" t="str">
        <f aca="false">IF(C411="","",IF(N(N411)&lt;6,"Partly scored ("&amp;N411&amp;"/6)",IF(O411&gt;=Settings!$S$8,"Hot",IF(O411&gt;=Settings!$S$9,"Warm","Cold"))))</f>
        <v/>
      </c>
      <c r="Q411" s="44" t="str">
        <f aca="false">IF(C411="","",IF(AND(H411="No",J411="No"),"🚩 Budget  ·  🚩 No one on camera",IF(H411="No","🚩 Budget under AED 5k",IF(J411="No","🚩 No one on camera",""))))</f>
        <v/>
      </c>
      <c r="R411" s="44" t="str">
        <f aca="false">IF(C411="","",IF(N(N411)&lt;6,"Finish the scoresheet before closing",IF(P411="Hot","Close now – send the contract / proposal today",IF(P411="Warm","Send proposal + a relevant result; follow up in 3 days","Rep's call – nurture or close politely")))&amp;IF(Q411&lt;&gt;""," (handle the 🚩 first)",""))</f>
        <v/>
      </c>
      <c r="S411" s="17"/>
      <c r="T411" s="17"/>
      <c r="U411" s="44" t="str">
        <f aca="false">IF(C411="","",IF(COUNTIF(C412:C$501,C411)=0,1,0))</f>
        <v/>
      </c>
    </row>
    <row r="412" customFormat="false" ht="15" hidden="false" customHeight="false" outlineLevel="0" collapsed="false">
      <c r="A412" s="17"/>
      <c r="B412" s="40"/>
      <c r="C412" s="17"/>
      <c r="D412" s="44" t="str">
        <f aca="false">IF(C412="","",IFERROR(INDEX(Inbound!$E$2:$E$501,MATCH(C412,Inbound!$A$2:$A$501,0)),IFERROR(INDEX(Outbound!$D$2:$D$501,MATCH(C412,Outbound!$A$2:$A$501,0)),"Lead ID not found")))</f>
        <v/>
      </c>
      <c r="E412" s="44" t="str">
        <f aca="false">IF(C412="","",IFERROR(INDEX(Inbound!$F$2:$F$501,MATCH(C412,Inbound!$A$2:$A$501,0)),IFERROR(INDEX(Outbound!$E$2:$E$501,MATCH(C412,Outbound!$A$2:$A$501,0)),"Lead ID not found")))</f>
        <v/>
      </c>
      <c r="F412" s="17"/>
      <c r="G412" s="17"/>
      <c r="H412" s="17"/>
      <c r="I412" s="17"/>
      <c r="J412" s="17"/>
      <c r="K412" s="17"/>
      <c r="L412" s="17"/>
      <c r="M412" s="17"/>
      <c r="N412" s="44" t="str">
        <f aca="false">IF(C412="","",COUNTA(H412:M412))</f>
        <v/>
      </c>
      <c r="O412" s="44" t="str">
        <f aca="false">IF(OR(C412="",N(N412)=0),"",SUMIFS(Settings!$AA$2:$AA$21,Settings!$Y$2:$Y$21,"Budget AED 5k+/mo?",Settings!$Z$2:$Z$21,H412)+SUMIFS(Settings!$AA$2:$AA$21,Settings!$Y$2:$Y$21,"Decision-maker?",Settings!$Z$2:$Z$21,I412)+SUMIFS(Settings!$AA$2:$AA$21,Settings!$Y$2:$Y$21,"Someone on camera?",Settings!$Z$2:$Z$21,J412)+SUMIFS(Settings!$AA$2:$AA$21,Settings!$Y$2:$Y$21,"OK with 3-month term?",Settings!$Z$2:$Z$21,K412)+SUMIFS(Settings!$AA$2:$AA$21,Settings!$Y$2:$Y$21,"Start timeline",Settings!$Z$2:$Z$21,L412)+SUMIFS(Settings!$AA$2:$AA$21,Settings!$Y$2:$Y$21,"Social media gap",Settings!$Z$2:$Z$21,M412)+IF(OR(E412="",E412="Lead ID not found"),0,IF(COUNTIF(Settings!$AC$2:$AC$6,E412)&gt;0,Settings!$AA$20,Settings!$AA$21)))</f>
        <v/>
      </c>
      <c r="P412" s="44" t="str">
        <f aca="false">IF(C412="","",IF(N(N412)&lt;6,"Partly scored ("&amp;N412&amp;"/6)",IF(O412&gt;=Settings!$S$8,"Hot",IF(O412&gt;=Settings!$S$9,"Warm","Cold"))))</f>
        <v/>
      </c>
      <c r="Q412" s="44" t="str">
        <f aca="false">IF(C412="","",IF(AND(H412="No",J412="No"),"🚩 Budget  ·  🚩 No one on camera",IF(H412="No","🚩 Budget under AED 5k",IF(J412="No","🚩 No one on camera",""))))</f>
        <v/>
      </c>
      <c r="R412" s="44" t="str">
        <f aca="false">IF(C412="","",IF(N(N412)&lt;6,"Finish the scoresheet before closing",IF(P412="Hot","Close now – send the contract / proposal today",IF(P412="Warm","Send proposal + a relevant result; follow up in 3 days","Rep's call – nurture or close politely")))&amp;IF(Q412&lt;&gt;""," (handle the 🚩 first)",""))</f>
        <v/>
      </c>
      <c r="S412" s="17"/>
      <c r="T412" s="17"/>
      <c r="U412" s="44" t="str">
        <f aca="false">IF(C412="","",IF(COUNTIF(C413:C$501,C412)=0,1,0))</f>
        <v/>
      </c>
    </row>
    <row r="413" customFormat="false" ht="15" hidden="false" customHeight="false" outlineLevel="0" collapsed="false">
      <c r="A413" s="17"/>
      <c r="B413" s="40"/>
      <c r="C413" s="17"/>
      <c r="D413" s="44" t="str">
        <f aca="false">IF(C413="","",IFERROR(INDEX(Inbound!$E$2:$E$501,MATCH(C413,Inbound!$A$2:$A$501,0)),IFERROR(INDEX(Outbound!$D$2:$D$501,MATCH(C413,Outbound!$A$2:$A$501,0)),"Lead ID not found")))</f>
        <v/>
      </c>
      <c r="E413" s="44" t="str">
        <f aca="false">IF(C413="","",IFERROR(INDEX(Inbound!$F$2:$F$501,MATCH(C413,Inbound!$A$2:$A$501,0)),IFERROR(INDEX(Outbound!$E$2:$E$501,MATCH(C413,Outbound!$A$2:$A$501,0)),"Lead ID not found")))</f>
        <v/>
      </c>
      <c r="F413" s="17"/>
      <c r="G413" s="17"/>
      <c r="H413" s="17"/>
      <c r="I413" s="17"/>
      <c r="J413" s="17"/>
      <c r="K413" s="17"/>
      <c r="L413" s="17"/>
      <c r="M413" s="17"/>
      <c r="N413" s="44" t="str">
        <f aca="false">IF(C413="","",COUNTA(H413:M413))</f>
        <v/>
      </c>
      <c r="O413" s="44" t="str">
        <f aca="false">IF(OR(C413="",N(N413)=0),"",SUMIFS(Settings!$AA$2:$AA$21,Settings!$Y$2:$Y$21,"Budget AED 5k+/mo?",Settings!$Z$2:$Z$21,H413)+SUMIFS(Settings!$AA$2:$AA$21,Settings!$Y$2:$Y$21,"Decision-maker?",Settings!$Z$2:$Z$21,I413)+SUMIFS(Settings!$AA$2:$AA$21,Settings!$Y$2:$Y$21,"Someone on camera?",Settings!$Z$2:$Z$21,J413)+SUMIFS(Settings!$AA$2:$AA$21,Settings!$Y$2:$Y$21,"OK with 3-month term?",Settings!$Z$2:$Z$21,K413)+SUMIFS(Settings!$AA$2:$AA$21,Settings!$Y$2:$Y$21,"Start timeline",Settings!$Z$2:$Z$21,L413)+SUMIFS(Settings!$AA$2:$AA$21,Settings!$Y$2:$Y$21,"Social media gap",Settings!$Z$2:$Z$21,M413)+IF(OR(E413="",E413="Lead ID not found"),0,IF(COUNTIF(Settings!$AC$2:$AC$6,E413)&gt;0,Settings!$AA$20,Settings!$AA$21)))</f>
        <v/>
      </c>
      <c r="P413" s="44" t="str">
        <f aca="false">IF(C413="","",IF(N(N413)&lt;6,"Partly scored ("&amp;N413&amp;"/6)",IF(O413&gt;=Settings!$S$8,"Hot",IF(O413&gt;=Settings!$S$9,"Warm","Cold"))))</f>
        <v/>
      </c>
      <c r="Q413" s="44" t="str">
        <f aca="false">IF(C413="","",IF(AND(H413="No",J413="No"),"🚩 Budget  ·  🚩 No one on camera",IF(H413="No","🚩 Budget under AED 5k",IF(J413="No","🚩 No one on camera",""))))</f>
        <v/>
      </c>
      <c r="R413" s="44" t="str">
        <f aca="false">IF(C413="","",IF(N(N413)&lt;6,"Finish the scoresheet before closing",IF(P413="Hot","Close now – send the contract / proposal today",IF(P413="Warm","Send proposal + a relevant result; follow up in 3 days","Rep's call – nurture or close politely")))&amp;IF(Q413&lt;&gt;""," (handle the 🚩 first)",""))</f>
        <v/>
      </c>
      <c r="S413" s="17"/>
      <c r="T413" s="17"/>
      <c r="U413" s="44" t="str">
        <f aca="false">IF(C413="","",IF(COUNTIF(C414:C$501,C413)=0,1,0))</f>
        <v/>
      </c>
    </row>
    <row r="414" customFormat="false" ht="15" hidden="false" customHeight="false" outlineLevel="0" collapsed="false">
      <c r="A414" s="17"/>
      <c r="B414" s="40"/>
      <c r="C414" s="17"/>
      <c r="D414" s="44" t="str">
        <f aca="false">IF(C414="","",IFERROR(INDEX(Inbound!$E$2:$E$501,MATCH(C414,Inbound!$A$2:$A$501,0)),IFERROR(INDEX(Outbound!$D$2:$D$501,MATCH(C414,Outbound!$A$2:$A$501,0)),"Lead ID not found")))</f>
        <v/>
      </c>
      <c r="E414" s="44" t="str">
        <f aca="false">IF(C414="","",IFERROR(INDEX(Inbound!$F$2:$F$501,MATCH(C414,Inbound!$A$2:$A$501,0)),IFERROR(INDEX(Outbound!$E$2:$E$501,MATCH(C414,Outbound!$A$2:$A$501,0)),"Lead ID not found")))</f>
        <v/>
      </c>
      <c r="F414" s="17"/>
      <c r="G414" s="17"/>
      <c r="H414" s="17"/>
      <c r="I414" s="17"/>
      <c r="J414" s="17"/>
      <c r="K414" s="17"/>
      <c r="L414" s="17"/>
      <c r="M414" s="17"/>
      <c r="N414" s="44" t="str">
        <f aca="false">IF(C414="","",COUNTA(H414:M414))</f>
        <v/>
      </c>
      <c r="O414" s="44" t="str">
        <f aca="false">IF(OR(C414="",N(N414)=0),"",SUMIFS(Settings!$AA$2:$AA$21,Settings!$Y$2:$Y$21,"Budget AED 5k+/mo?",Settings!$Z$2:$Z$21,H414)+SUMIFS(Settings!$AA$2:$AA$21,Settings!$Y$2:$Y$21,"Decision-maker?",Settings!$Z$2:$Z$21,I414)+SUMIFS(Settings!$AA$2:$AA$21,Settings!$Y$2:$Y$21,"Someone on camera?",Settings!$Z$2:$Z$21,J414)+SUMIFS(Settings!$AA$2:$AA$21,Settings!$Y$2:$Y$21,"OK with 3-month term?",Settings!$Z$2:$Z$21,K414)+SUMIFS(Settings!$AA$2:$AA$21,Settings!$Y$2:$Y$21,"Start timeline",Settings!$Z$2:$Z$21,L414)+SUMIFS(Settings!$AA$2:$AA$21,Settings!$Y$2:$Y$21,"Social media gap",Settings!$Z$2:$Z$21,M414)+IF(OR(E414="",E414="Lead ID not found"),0,IF(COUNTIF(Settings!$AC$2:$AC$6,E414)&gt;0,Settings!$AA$20,Settings!$AA$21)))</f>
        <v/>
      </c>
      <c r="P414" s="44" t="str">
        <f aca="false">IF(C414="","",IF(N(N414)&lt;6,"Partly scored ("&amp;N414&amp;"/6)",IF(O414&gt;=Settings!$S$8,"Hot",IF(O414&gt;=Settings!$S$9,"Warm","Cold"))))</f>
        <v/>
      </c>
      <c r="Q414" s="44" t="str">
        <f aca="false">IF(C414="","",IF(AND(H414="No",J414="No"),"🚩 Budget  ·  🚩 No one on camera",IF(H414="No","🚩 Budget under AED 5k",IF(J414="No","🚩 No one on camera",""))))</f>
        <v/>
      </c>
      <c r="R414" s="44" t="str">
        <f aca="false">IF(C414="","",IF(N(N414)&lt;6,"Finish the scoresheet before closing",IF(P414="Hot","Close now – send the contract / proposal today",IF(P414="Warm","Send proposal + a relevant result; follow up in 3 days","Rep's call – nurture or close politely")))&amp;IF(Q414&lt;&gt;""," (handle the 🚩 first)",""))</f>
        <v/>
      </c>
      <c r="S414" s="17"/>
      <c r="T414" s="17"/>
      <c r="U414" s="44" t="str">
        <f aca="false">IF(C414="","",IF(COUNTIF(C415:C$501,C414)=0,1,0))</f>
        <v/>
      </c>
    </row>
    <row r="415" customFormat="false" ht="15" hidden="false" customHeight="false" outlineLevel="0" collapsed="false">
      <c r="A415" s="17"/>
      <c r="B415" s="40"/>
      <c r="C415" s="17"/>
      <c r="D415" s="44" t="str">
        <f aca="false">IF(C415="","",IFERROR(INDEX(Inbound!$E$2:$E$501,MATCH(C415,Inbound!$A$2:$A$501,0)),IFERROR(INDEX(Outbound!$D$2:$D$501,MATCH(C415,Outbound!$A$2:$A$501,0)),"Lead ID not found")))</f>
        <v/>
      </c>
      <c r="E415" s="44" t="str">
        <f aca="false">IF(C415="","",IFERROR(INDEX(Inbound!$F$2:$F$501,MATCH(C415,Inbound!$A$2:$A$501,0)),IFERROR(INDEX(Outbound!$E$2:$E$501,MATCH(C415,Outbound!$A$2:$A$501,0)),"Lead ID not found")))</f>
        <v/>
      </c>
      <c r="F415" s="17"/>
      <c r="G415" s="17"/>
      <c r="H415" s="17"/>
      <c r="I415" s="17"/>
      <c r="J415" s="17"/>
      <c r="K415" s="17"/>
      <c r="L415" s="17"/>
      <c r="M415" s="17"/>
      <c r="N415" s="44" t="str">
        <f aca="false">IF(C415="","",COUNTA(H415:M415))</f>
        <v/>
      </c>
      <c r="O415" s="44" t="str">
        <f aca="false">IF(OR(C415="",N(N415)=0),"",SUMIFS(Settings!$AA$2:$AA$21,Settings!$Y$2:$Y$21,"Budget AED 5k+/mo?",Settings!$Z$2:$Z$21,H415)+SUMIFS(Settings!$AA$2:$AA$21,Settings!$Y$2:$Y$21,"Decision-maker?",Settings!$Z$2:$Z$21,I415)+SUMIFS(Settings!$AA$2:$AA$21,Settings!$Y$2:$Y$21,"Someone on camera?",Settings!$Z$2:$Z$21,J415)+SUMIFS(Settings!$AA$2:$AA$21,Settings!$Y$2:$Y$21,"OK with 3-month term?",Settings!$Z$2:$Z$21,K415)+SUMIFS(Settings!$AA$2:$AA$21,Settings!$Y$2:$Y$21,"Start timeline",Settings!$Z$2:$Z$21,L415)+SUMIFS(Settings!$AA$2:$AA$21,Settings!$Y$2:$Y$21,"Social media gap",Settings!$Z$2:$Z$21,M415)+IF(OR(E415="",E415="Lead ID not found"),0,IF(COUNTIF(Settings!$AC$2:$AC$6,E415)&gt;0,Settings!$AA$20,Settings!$AA$21)))</f>
        <v/>
      </c>
      <c r="P415" s="44" t="str">
        <f aca="false">IF(C415="","",IF(N(N415)&lt;6,"Partly scored ("&amp;N415&amp;"/6)",IF(O415&gt;=Settings!$S$8,"Hot",IF(O415&gt;=Settings!$S$9,"Warm","Cold"))))</f>
        <v/>
      </c>
      <c r="Q415" s="44" t="str">
        <f aca="false">IF(C415="","",IF(AND(H415="No",J415="No"),"🚩 Budget  ·  🚩 No one on camera",IF(H415="No","🚩 Budget under AED 5k",IF(J415="No","🚩 No one on camera",""))))</f>
        <v/>
      </c>
      <c r="R415" s="44" t="str">
        <f aca="false">IF(C415="","",IF(N(N415)&lt;6,"Finish the scoresheet before closing",IF(P415="Hot","Close now – send the contract / proposal today",IF(P415="Warm","Send proposal + a relevant result; follow up in 3 days","Rep's call – nurture or close politely")))&amp;IF(Q415&lt;&gt;""," (handle the 🚩 first)",""))</f>
        <v/>
      </c>
      <c r="S415" s="17"/>
      <c r="T415" s="17"/>
      <c r="U415" s="44" t="str">
        <f aca="false">IF(C415="","",IF(COUNTIF(C416:C$501,C415)=0,1,0))</f>
        <v/>
      </c>
    </row>
    <row r="416" customFormat="false" ht="15" hidden="false" customHeight="false" outlineLevel="0" collapsed="false">
      <c r="A416" s="17"/>
      <c r="B416" s="40"/>
      <c r="C416" s="17"/>
      <c r="D416" s="44" t="str">
        <f aca="false">IF(C416="","",IFERROR(INDEX(Inbound!$E$2:$E$501,MATCH(C416,Inbound!$A$2:$A$501,0)),IFERROR(INDEX(Outbound!$D$2:$D$501,MATCH(C416,Outbound!$A$2:$A$501,0)),"Lead ID not found")))</f>
        <v/>
      </c>
      <c r="E416" s="44" t="str">
        <f aca="false">IF(C416="","",IFERROR(INDEX(Inbound!$F$2:$F$501,MATCH(C416,Inbound!$A$2:$A$501,0)),IFERROR(INDEX(Outbound!$E$2:$E$501,MATCH(C416,Outbound!$A$2:$A$501,0)),"Lead ID not found")))</f>
        <v/>
      </c>
      <c r="F416" s="17"/>
      <c r="G416" s="17"/>
      <c r="H416" s="17"/>
      <c r="I416" s="17"/>
      <c r="J416" s="17"/>
      <c r="K416" s="17"/>
      <c r="L416" s="17"/>
      <c r="M416" s="17"/>
      <c r="N416" s="44" t="str">
        <f aca="false">IF(C416="","",COUNTA(H416:M416))</f>
        <v/>
      </c>
      <c r="O416" s="44" t="str">
        <f aca="false">IF(OR(C416="",N(N416)=0),"",SUMIFS(Settings!$AA$2:$AA$21,Settings!$Y$2:$Y$21,"Budget AED 5k+/mo?",Settings!$Z$2:$Z$21,H416)+SUMIFS(Settings!$AA$2:$AA$21,Settings!$Y$2:$Y$21,"Decision-maker?",Settings!$Z$2:$Z$21,I416)+SUMIFS(Settings!$AA$2:$AA$21,Settings!$Y$2:$Y$21,"Someone on camera?",Settings!$Z$2:$Z$21,J416)+SUMIFS(Settings!$AA$2:$AA$21,Settings!$Y$2:$Y$21,"OK with 3-month term?",Settings!$Z$2:$Z$21,K416)+SUMIFS(Settings!$AA$2:$AA$21,Settings!$Y$2:$Y$21,"Start timeline",Settings!$Z$2:$Z$21,L416)+SUMIFS(Settings!$AA$2:$AA$21,Settings!$Y$2:$Y$21,"Social media gap",Settings!$Z$2:$Z$21,M416)+IF(OR(E416="",E416="Lead ID not found"),0,IF(COUNTIF(Settings!$AC$2:$AC$6,E416)&gt;0,Settings!$AA$20,Settings!$AA$21)))</f>
        <v/>
      </c>
      <c r="P416" s="44" t="str">
        <f aca="false">IF(C416="","",IF(N(N416)&lt;6,"Partly scored ("&amp;N416&amp;"/6)",IF(O416&gt;=Settings!$S$8,"Hot",IF(O416&gt;=Settings!$S$9,"Warm","Cold"))))</f>
        <v/>
      </c>
      <c r="Q416" s="44" t="str">
        <f aca="false">IF(C416="","",IF(AND(H416="No",J416="No"),"🚩 Budget  ·  🚩 No one on camera",IF(H416="No","🚩 Budget under AED 5k",IF(J416="No","🚩 No one on camera",""))))</f>
        <v/>
      </c>
      <c r="R416" s="44" t="str">
        <f aca="false">IF(C416="","",IF(N(N416)&lt;6,"Finish the scoresheet before closing",IF(P416="Hot","Close now – send the contract / proposal today",IF(P416="Warm","Send proposal + a relevant result; follow up in 3 days","Rep's call – nurture or close politely")))&amp;IF(Q416&lt;&gt;""," (handle the 🚩 first)",""))</f>
        <v/>
      </c>
      <c r="S416" s="17"/>
      <c r="T416" s="17"/>
      <c r="U416" s="44" t="str">
        <f aca="false">IF(C416="","",IF(COUNTIF(C417:C$501,C416)=0,1,0))</f>
        <v/>
      </c>
    </row>
    <row r="417" customFormat="false" ht="15" hidden="false" customHeight="false" outlineLevel="0" collapsed="false">
      <c r="A417" s="17"/>
      <c r="B417" s="40"/>
      <c r="C417" s="17"/>
      <c r="D417" s="44" t="str">
        <f aca="false">IF(C417="","",IFERROR(INDEX(Inbound!$E$2:$E$501,MATCH(C417,Inbound!$A$2:$A$501,0)),IFERROR(INDEX(Outbound!$D$2:$D$501,MATCH(C417,Outbound!$A$2:$A$501,0)),"Lead ID not found")))</f>
        <v/>
      </c>
      <c r="E417" s="44" t="str">
        <f aca="false">IF(C417="","",IFERROR(INDEX(Inbound!$F$2:$F$501,MATCH(C417,Inbound!$A$2:$A$501,0)),IFERROR(INDEX(Outbound!$E$2:$E$501,MATCH(C417,Outbound!$A$2:$A$501,0)),"Lead ID not found")))</f>
        <v/>
      </c>
      <c r="F417" s="17"/>
      <c r="G417" s="17"/>
      <c r="H417" s="17"/>
      <c r="I417" s="17"/>
      <c r="J417" s="17"/>
      <c r="K417" s="17"/>
      <c r="L417" s="17"/>
      <c r="M417" s="17"/>
      <c r="N417" s="44" t="str">
        <f aca="false">IF(C417="","",COUNTA(H417:M417))</f>
        <v/>
      </c>
      <c r="O417" s="44" t="str">
        <f aca="false">IF(OR(C417="",N(N417)=0),"",SUMIFS(Settings!$AA$2:$AA$21,Settings!$Y$2:$Y$21,"Budget AED 5k+/mo?",Settings!$Z$2:$Z$21,H417)+SUMIFS(Settings!$AA$2:$AA$21,Settings!$Y$2:$Y$21,"Decision-maker?",Settings!$Z$2:$Z$21,I417)+SUMIFS(Settings!$AA$2:$AA$21,Settings!$Y$2:$Y$21,"Someone on camera?",Settings!$Z$2:$Z$21,J417)+SUMIFS(Settings!$AA$2:$AA$21,Settings!$Y$2:$Y$21,"OK with 3-month term?",Settings!$Z$2:$Z$21,K417)+SUMIFS(Settings!$AA$2:$AA$21,Settings!$Y$2:$Y$21,"Start timeline",Settings!$Z$2:$Z$21,L417)+SUMIFS(Settings!$AA$2:$AA$21,Settings!$Y$2:$Y$21,"Social media gap",Settings!$Z$2:$Z$21,M417)+IF(OR(E417="",E417="Lead ID not found"),0,IF(COUNTIF(Settings!$AC$2:$AC$6,E417)&gt;0,Settings!$AA$20,Settings!$AA$21)))</f>
        <v/>
      </c>
      <c r="P417" s="44" t="str">
        <f aca="false">IF(C417="","",IF(N(N417)&lt;6,"Partly scored ("&amp;N417&amp;"/6)",IF(O417&gt;=Settings!$S$8,"Hot",IF(O417&gt;=Settings!$S$9,"Warm","Cold"))))</f>
        <v/>
      </c>
      <c r="Q417" s="44" t="str">
        <f aca="false">IF(C417="","",IF(AND(H417="No",J417="No"),"🚩 Budget  ·  🚩 No one on camera",IF(H417="No","🚩 Budget under AED 5k",IF(J417="No","🚩 No one on camera",""))))</f>
        <v/>
      </c>
      <c r="R417" s="44" t="str">
        <f aca="false">IF(C417="","",IF(N(N417)&lt;6,"Finish the scoresheet before closing",IF(P417="Hot","Close now – send the contract / proposal today",IF(P417="Warm","Send proposal + a relevant result; follow up in 3 days","Rep's call – nurture or close politely")))&amp;IF(Q417&lt;&gt;""," (handle the 🚩 first)",""))</f>
        <v/>
      </c>
      <c r="S417" s="17"/>
      <c r="T417" s="17"/>
      <c r="U417" s="44" t="str">
        <f aca="false">IF(C417="","",IF(COUNTIF(C418:C$501,C417)=0,1,0))</f>
        <v/>
      </c>
    </row>
    <row r="418" customFormat="false" ht="15" hidden="false" customHeight="false" outlineLevel="0" collapsed="false">
      <c r="A418" s="17"/>
      <c r="B418" s="40"/>
      <c r="C418" s="17"/>
      <c r="D418" s="44" t="str">
        <f aca="false">IF(C418="","",IFERROR(INDEX(Inbound!$E$2:$E$501,MATCH(C418,Inbound!$A$2:$A$501,0)),IFERROR(INDEX(Outbound!$D$2:$D$501,MATCH(C418,Outbound!$A$2:$A$501,0)),"Lead ID not found")))</f>
        <v/>
      </c>
      <c r="E418" s="44" t="str">
        <f aca="false">IF(C418="","",IFERROR(INDEX(Inbound!$F$2:$F$501,MATCH(C418,Inbound!$A$2:$A$501,0)),IFERROR(INDEX(Outbound!$E$2:$E$501,MATCH(C418,Outbound!$A$2:$A$501,0)),"Lead ID not found")))</f>
        <v/>
      </c>
      <c r="F418" s="17"/>
      <c r="G418" s="17"/>
      <c r="H418" s="17"/>
      <c r="I418" s="17"/>
      <c r="J418" s="17"/>
      <c r="K418" s="17"/>
      <c r="L418" s="17"/>
      <c r="M418" s="17"/>
      <c r="N418" s="44" t="str">
        <f aca="false">IF(C418="","",COUNTA(H418:M418))</f>
        <v/>
      </c>
      <c r="O418" s="44" t="str">
        <f aca="false">IF(OR(C418="",N(N418)=0),"",SUMIFS(Settings!$AA$2:$AA$21,Settings!$Y$2:$Y$21,"Budget AED 5k+/mo?",Settings!$Z$2:$Z$21,H418)+SUMIFS(Settings!$AA$2:$AA$21,Settings!$Y$2:$Y$21,"Decision-maker?",Settings!$Z$2:$Z$21,I418)+SUMIFS(Settings!$AA$2:$AA$21,Settings!$Y$2:$Y$21,"Someone on camera?",Settings!$Z$2:$Z$21,J418)+SUMIFS(Settings!$AA$2:$AA$21,Settings!$Y$2:$Y$21,"OK with 3-month term?",Settings!$Z$2:$Z$21,K418)+SUMIFS(Settings!$AA$2:$AA$21,Settings!$Y$2:$Y$21,"Start timeline",Settings!$Z$2:$Z$21,L418)+SUMIFS(Settings!$AA$2:$AA$21,Settings!$Y$2:$Y$21,"Social media gap",Settings!$Z$2:$Z$21,M418)+IF(OR(E418="",E418="Lead ID not found"),0,IF(COUNTIF(Settings!$AC$2:$AC$6,E418)&gt;0,Settings!$AA$20,Settings!$AA$21)))</f>
        <v/>
      </c>
      <c r="P418" s="44" t="str">
        <f aca="false">IF(C418="","",IF(N(N418)&lt;6,"Partly scored ("&amp;N418&amp;"/6)",IF(O418&gt;=Settings!$S$8,"Hot",IF(O418&gt;=Settings!$S$9,"Warm","Cold"))))</f>
        <v/>
      </c>
      <c r="Q418" s="44" t="str">
        <f aca="false">IF(C418="","",IF(AND(H418="No",J418="No"),"🚩 Budget  ·  🚩 No one on camera",IF(H418="No","🚩 Budget under AED 5k",IF(J418="No","🚩 No one on camera",""))))</f>
        <v/>
      </c>
      <c r="R418" s="44" t="str">
        <f aca="false">IF(C418="","",IF(N(N418)&lt;6,"Finish the scoresheet before closing",IF(P418="Hot","Close now – send the contract / proposal today",IF(P418="Warm","Send proposal + a relevant result; follow up in 3 days","Rep's call – nurture or close politely")))&amp;IF(Q418&lt;&gt;""," (handle the 🚩 first)",""))</f>
        <v/>
      </c>
      <c r="S418" s="17"/>
      <c r="T418" s="17"/>
      <c r="U418" s="44" t="str">
        <f aca="false">IF(C418="","",IF(COUNTIF(C419:C$501,C418)=0,1,0))</f>
        <v/>
      </c>
    </row>
    <row r="419" customFormat="false" ht="15" hidden="false" customHeight="false" outlineLevel="0" collapsed="false">
      <c r="A419" s="17"/>
      <c r="B419" s="40"/>
      <c r="C419" s="17"/>
      <c r="D419" s="44" t="str">
        <f aca="false">IF(C419="","",IFERROR(INDEX(Inbound!$E$2:$E$501,MATCH(C419,Inbound!$A$2:$A$501,0)),IFERROR(INDEX(Outbound!$D$2:$D$501,MATCH(C419,Outbound!$A$2:$A$501,0)),"Lead ID not found")))</f>
        <v/>
      </c>
      <c r="E419" s="44" t="str">
        <f aca="false">IF(C419="","",IFERROR(INDEX(Inbound!$F$2:$F$501,MATCH(C419,Inbound!$A$2:$A$501,0)),IFERROR(INDEX(Outbound!$E$2:$E$501,MATCH(C419,Outbound!$A$2:$A$501,0)),"Lead ID not found")))</f>
        <v/>
      </c>
      <c r="F419" s="17"/>
      <c r="G419" s="17"/>
      <c r="H419" s="17"/>
      <c r="I419" s="17"/>
      <c r="J419" s="17"/>
      <c r="K419" s="17"/>
      <c r="L419" s="17"/>
      <c r="M419" s="17"/>
      <c r="N419" s="44" t="str">
        <f aca="false">IF(C419="","",COUNTA(H419:M419))</f>
        <v/>
      </c>
      <c r="O419" s="44" t="str">
        <f aca="false">IF(OR(C419="",N(N419)=0),"",SUMIFS(Settings!$AA$2:$AA$21,Settings!$Y$2:$Y$21,"Budget AED 5k+/mo?",Settings!$Z$2:$Z$21,H419)+SUMIFS(Settings!$AA$2:$AA$21,Settings!$Y$2:$Y$21,"Decision-maker?",Settings!$Z$2:$Z$21,I419)+SUMIFS(Settings!$AA$2:$AA$21,Settings!$Y$2:$Y$21,"Someone on camera?",Settings!$Z$2:$Z$21,J419)+SUMIFS(Settings!$AA$2:$AA$21,Settings!$Y$2:$Y$21,"OK with 3-month term?",Settings!$Z$2:$Z$21,K419)+SUMIFS(Settings!$AA$2:$AA$21,Settings!$Y$2:$Y$21,"Start timeline",Settings!$Z$2:$Z$21,L419)+SUMIFS(Settings!$AA$2:$AA$21,Settings!$Y$2:$Y$21,"Social media gap",Settings!$Z$2:$Z$21,M419)+IF(OR(E419="",E419="Lead ID not found"),0,IF(COUNTIF(Settings!$AC$2:$AC$6,E419)&gt;0,Settings!$AA$20,Settings!$AA$21)))</f>
        <v/>
      </c>
      <c r="P419" s="44" t="str">
        <f aca="false">IF(C419="","",IF(N(N419)&lt;6,"Partly scored ("&amp;N419&amp;"/6)",IF(O419&gt;=Settings!$S$8,"Hot",IF(O419&gt;=Settings!$S$9,"Warm","Cold"))))</f>
        <v/>
      </c>
      <c r="Q419" s="44" t="str">
        <f aca="false">IF(C419="","",IF(AND(H419="No",J419="No"),"🚩 Budget  ·  🚩 No one on camera",IF(H419="No","🚩 Budget under AED 5k",IF(J419="No","🚩 No one on camera",""))))</f>
        <v/>
      </c>
      <c r="R419" s="44" t="str">
        <f aca="false">IF(C419="","",IF(N(N419)&lt;6,"Finish the scoresheet before closing",IF(P419="Hot","Close now – send the contract / proposal today",IF(P419="Warm","Send proposal + a relevant result; follow up in 3 days","Rep's call – nurture or close politely")))&amp;IF(Q419&lt;&gt;""," (handle the 🚩 first)",""))</f>
        <v/>
      </c>
      <c r="S419" s="17"/>
      <c r="T419" s="17"/>
      <c r="U419" s="44" t="str">
        <f aca="false">IF(C419="","",IF(COUNTIF(C420:C$501,C419)=0,1,0))</f>
        <v/>
      </c>
    </row>
    <row r="420" customFormat="false" ht="15" hidden="false" customHeight="false" outlineLevel="0" collapsed="false">
      <c r="A420" s="17"/>
      <c r="B420" s="40"/>
      <c r="C420" s="17"/>
      <c r="D420" s="44" t="str">
        <f aca="false">IF(C420="","",IFERROR(INDEX(Inbound!$E$2:$E$501,MATCH(C420,Inbound!$A$2:$A$501,0)),IFERROR(INDEX(Outbound!$D$2:$D$501,MATCH(C420,Outbound!$A$2:$A$501,0)),"Lead ID not found")))</f>
        <v/>
      </c>
      <c r="E420" s="44" t="str">
        <f aca="false">IF(C420="","",IFERROR(INDEX(Inbound!$F$2:$F$501,MATCH(C420,Inbound!$A$2:$A$501,0)),IFERROR(INDEX(Outbound!$E$2:$E$501,MATCH(C420,Outbound!$A$2:$A$501,0)),"Lead ID not found")))</f>
        <v/>
      </c>
      <c r="F420" s="17"/>
      <c r="G420" s="17"/>
      <c r="H420" s="17"/>
      <c r="I420" s="17"/>
      <c r="J420" s="17"/>
      <c r="K420" s="17"/>
      <c r="L420" s="17"/>
      <c r="M420" s="17"/>
      <c r="N420" s="44" t="str">
        <f aca="false">IF(C420="","",COUNTA(H420:M420))</f>
        <v/>
      </c>
      <c r="O420" s="44" t="str">
        <f aca="false">IF(OR(C420="",N(N420)=0),"",SUMIFS(Settings!$AA$2:$AA$21,Settings!$Y$2:$Y$21,"Budget AED 5k+/mo?",Settings!$Z$2:$Z$21,H420)+SUMIFS(Settings!$AA$2:$AA$21,Settings!$Y$2:$Y$21,"Decision-maker?",Settings!$Z$2:$Z$21,I420)+SUMIFS(Settings!$AA$2:$AA$21,Settings!$Y$2:$Y$21,"Someone on camera?",Settings!$Z$2:$Z$21,J420)+SUMIFS(Settings!$AA$2:$AA$21,Settings!$Y$2:$Y$21,"OK with 3-month term?",Settings!$Z$2:$Z$21,K420)+SUMIFS(Settings!$AA$2:$AA$21,Settings!$Y$2:$Y$21,"Start timeline",Settings!$Z$2:$Z$21,L420)+SUMIFS(Settings!$AA$2:$AA$21,Settings!$Y$2:$Y$21,"Social media gap",Settings!$Z$2:$Z$21,M420)+IF(OR(E420="",E420="Lead ID not found"),0,IF(COUNTIF(Settings!$AC$2:$AC$6,E420)&gt;0,Settings!$AA$20,Settings!$AA$21)))</f>
        <v/>
      </c>
      <c r="P420" s="44" t="str">
        <f aca="false">IF(C420="","",IF(N(N420)&lt;6,"Partly scored ("&amp;N420&amp;"/6)",IF(O420&gt;=Settings!$S$8,"Hot",IF(O420&gt;=Settings!$S$9,"Warm","Cold"))))</f>
        <v/>
      </c>
      <c r="Q420" s="44" t="str">
        <f aca="false">IF(C420="","",IF(AND(H420="No",J420="No"),"🚩 Budget  ·  🚩 No one on camera",IF(H420="No","🚩 Budget under AED 5k",IF(J420="No","🚩 No one on camera",""))))</f>
        <v/>
      </c>
      <c r="R420" s="44" t="str">
        <f aca="false">IF(C420="","",IF(N(N420)&lt;6,"Finish the scoresheet before closing",IF(P420="Hot","Close now – send the contract / proposal today",IF(P420="Warm","Send proposal + a relevant result; follow up in 3 days","Rep's call – nurture or close politely")))&amp;IF(Q420&lt;&gt;""," (handle the 🚩 first)",""))</f>
        <v/>
      </c>
      <c r="S420" s="17"/>
      <c r="T420" s="17"/>
      <c r="U420" s="44" t="str">
        <f aca="false">IF(C420="","",IF(COUNTIF(C421:C$501,C420)=0,1,0))</f>
        <v/>
      </c>
    </row>
    <row r="421" customFormat="false" ht="15" hidden="false" customHeight="false" outlineLevel="0" collapsed="false">
      <c r="A421" s="17"/>
      <c r="B421" s="40"/>
      <c r="C421" s="17"/>
      <c r="D421" s="44" t="str">
        <f aca="false">IF(C421="","",IFERROR(INDEX(Inbound!$E$2:$E$501,MATCH(C421,Inbound!$A$2:$A$501,0)),IFERROR(INDEX(Outbound!$D$2:$D$501,MATCH(C421,Outbound!$A$2:$A$501,0)),"Lead ID not found")))</f>
        <v/>
      </c>
      <c r="E421" s="44" t="str">
        <f aca="false">IF(C421="","",IFERROR(INDEX(Inbound!$F$2:$F$501,MATCH(C421,Inbound!$A$2:$A$501,0)),IFERROR(INDEX(Outbound!$E$2:$E$501,MATCH(C421,Outbound!$A$2:$A$501,0)),"Lead ID not found")))</f>
        <v/>
      </c>
      <c r="F421" s="17"/>
      <c r="G421" s="17"/>
      <c r="H421" s="17"/>
      <c r="I421" s="17"/>
      <c r="J421" s="17"/>
      <c r="K421" s="17"/>
      <c r="L421" s="17"/>
      <c r="M421" s="17"/>
      <c r="N421" s="44" t="str">
        <f aca="false">IF(C421="","",COUNTA(H421:M421))</f>
        <v/>
      </c>
      <c r="O421" s="44" t="str">
        <f aca="false">IF(OR(C421="",N(N421)=0),"",SUMIFS(Settings!$AA$2:$AA$21,Settings!$Y$2:$Y$21,"Budget AED 5k+/mo?",Settings!$Z$2:$Z$21,H421)+SUMIFS(Settings!$AA$2:$AA$21,Settings!$Y$2:$Y$21,"Decision-maker?",Settings!$Z$2:$Z$21,I421)+SUMIFS(Settings!$AA$2:$AA$21,Settings!$Y$2:$Y$21,"Someone on camera?",Settings!$Z$2:$Z$21,J421)+SUMIFS(Settings!$AA$2:$AA$21,Settings!$Y$2:$Y$21,"OK with 3-month term?",Settings!$Z$2:$Z$21,K421)+SUMIFS(Settings!$AA$2:$AA$21,Settings!$Y$2:$Y$21,"Start timeline",Settings!$Z$2:$Z$21,L421)+SUMIFS(Settings!$AA$2:$AA$21,Settings!$Y$2:$Y$21,"Social media gap",Settings!$Z$2:$Z$21,M421)+IF(OR(E421="",E421="Lead ID not found"),0,IF(COUNTIF(Settings!$AC$2:$AC$6,E421)&gt;0,Settings!$AA$20,Settings!$AA$21)))</f>
        <v/>
      </c>
      <c r="P421" s="44" t="str">
        <f aca="false">IF(C421="","",IF(N(N421)&lt;6,"Partly scored ("&amp;N421&amp;"/6)",IF(O421&gt;=Settings!$S$8,"Hot",IF(O421&gt;=Settings!$S$9,"Warm","Cold"))))</f>
        <v/>
      </c>
      <c r="Q421" s="44" t="str">
        <f aca="false">IF(C421="","",IF(AND(H421="No",J421="No"),"🚩 Budget  ·  🚩 No one on camera",IF(H421="No","🚩 Budget under AED 5k",IF(J421="No","🚩 No one on camera",""))))</f>
        <v/>
      </c>
      <c r="R421" s="44" t="str">
        <f aca="false">IF(C421="","",IF(N(N421)&lt;6,"Finish the scoresheet before closing",IF(P421="Hot","Close now – send the contract / proposal today",IF(P421="Warm","Send proposal + a relevant result; follow up in 3 days","Rep's call – nurture or close politely")))&amp;IF(Q421&lt;&gt;""," (handle the 🚩 first)",""))</f>
        <v/>
      </c>
      <c r="S421" s="17"/>
      <c r="T421" s="17"/>
      <c r="U421" s="44" t="str">
        <f aca="false">IF(C421="","",IF(COUNTIF(C422:C$501,C421)=0,1,0))</f>
        <v/>
      </c>
    </row>
    <row r="422" customFormat="false" ht="15" hidden="false" customHeight="false" outlineLevel="0" collapsed="false">
      <c r="A422" s="17"/>
      <c r="B422" s="40"/>
      <c r="C422" s="17"/>
      <c r="D422" s="44" t="str">
        <f aca="false">IF(C422="","",IFERROR(INDEX(Inbound!$E$2:$E$501,MATCH(C422,Inbound!$A$2:$A$501,0)),IFERROR(INDEX(Outbound!$D$2:$D$501,MATCH(C422,Outbound!$A$2:$A$501,0)),"Lead ID not found")))</f>
        <v/>
      </c>
      <c r="E422" s="44" t="str">
        <f aca="false">IF(C422="","",IFERROR(INDEX(Inbound!$F$2:$F$501,MATCH(C422,Inbound!$A$2:$A$501,0)),IFERROR(INDEX(Outbound!$E$2:$E$501,MATCH(C422,Outbound!$A$2:$A$501,0)),"Lead ID not found")))</f>
        <v/>
      </c>
      <c r="F422" s="17"/>
      <c r="G422" s="17"/>
      <c r="H422" s="17"/>
      <c r="I422" s="17"/>
      <c r="J422" s="17"/>
      <c r="K422" s="17"/>
      <c r="L422" s="17"/>
      <c r="M422" s="17"/>
      <c r="N422" s="44" t="str">
        <f aca="false">IF(C422="","",COUNTA(H422:M422))</f>
        <v/>
      </c>
      <c r="O422" s="44" t="str">
        <f aca="false">IF(OR(C422="",N(N422)=0),"",SUMIFS(Settings!$AA$2:$AA$21,Settings!$Y$2:$Y$21,"Budget AED 5k+/mo?",Settings!$Z$2:$Z$21,H422)+SUMIFS(Settings!$AA$2:$AA$21,Settings!$Y$2:$Y$21,"Decision-maker?",Settings!$Z$2:$Z$21,I422)+SUMIFS(Settings!$AA$2:$AA$21,Settings!$Y$2:$Y$21,"Someone on camera?",Settings!$Z$2:$Z$21,J422)+SUMIFS(Settings!$AA$2:$AA$21,Settings!$Y$2:$Y$21,"OK with 3-month term?",Settings!$Z$2:$Z$21,K422)+SUMIFS(Settings!$AA$2:$AA$21,Settings!$Y$2:$Y$21,"Start timeline",Settings!$Z$2:$Z$21,L422)+SUMIFS(Settings!$AA$2:$AA$21,Settings!$Y$2:$Y$21,"Social media gap",Settings!$Z$2:$Z$21,M422)+IF(OR(E422="",E422="Lead ID not found"),0,IF(COUNTIF(Settings!$AC$2:$AC$6,E422)&gt;0,Settings!$AA$20,Settings!$AA$21)))</f>
        <v/>
      </c>
      <c r="P422" s="44" t="str">
        <f aca="false">IF(C422="","",IF(N(N422)&lt;6,"Partly scored ("&amp;N422&amp;"/6)",IF(O422&gt;=Settings!$S$8,"Hot",IF(O422&gt;=Settings!$S$9,"Warm","Cold"))))</f>
        <v/>
      </c>
      <c r="Q422" s="44" t="str">
        <f aca="false">IF(C422="","",IF(AND(H422="No",J422="No"),"🚩 Budget  ·  🚩 No one on camera",IF(H422="No","🚩 Budget under AED 5k",IF(J422="No","🚩 No one on camera",""))))</f>
        <v/>
      </c>
      <c r="R422" s="44" t="str">
        <f aca="false">IF(C422="","",IF(N(N422)&lt;6,"Finish the scoresheet before closing",IF(P422="Hot","Close now – send the contract / proposal today",IF(P422="Warm","Send proposal + a relevant result; follow up in 3 days","Rep's call – nurture or close politely")))&amp;IF(Q422&lt;&gt;""," (handle the 🚩 first)",""))</f>
        <v/>
      </c>
      <c r="S422" s="17"/>
      <c r="T422" s="17"/>
      <c r="U422" s="44" t="str">
        <f aca="false">IF(C422="","",IF(COUNTIF(C423:C$501,C422)=0,1,0))</f>
        <v/>
      </c>
    </row>
    <row r="423" customFormat="false" ht="15" hidden="false" customHeight="false" outlineLevel="0" collapsed="false">
      <c r="A423" s="17"/>
      <c r="B423" s="40"/>
      <c r="C423" s="17"/>
      <c r="D423" s="44" t="str">
        <f aca="false">IF(C423="","",IFERROR(INDEX(Inbound!$E$2:$E$501,MATCH(C423,Inbound!$A$2:$A$501,0)),IFERROR(INDEX(Outbound!$D$2:$D$501,MATCH(C423,Outbound!$A$2:$A$501,0)),"Lead ID not found")))</f>
        <v/>
      </c>
      <c r="E423" s="44" t="str">
        <f aca="false">IF(C423="","",IFERROR(INDEX(Inbound!$F$2:$F$501,MATCH(C423,Inbound!$A$2:$A$501,0)),IFERROR(INDEX(Outbound!$E$2:$E$501,MATCH(C423,Outbound!$A$2:$A$501,0)),"Lead ID not found")))</f>
        <v/>
      </c>
      <c r="F423" s="17"/>
      <c r="G423" s="17"/>
      <c r="H423" s="17"/>
      <c r="I423" s="17"/>
      <c r="J423" s="17"/>
      <c r="K423" s="17"/>
      <c r="L423" s="17"/>
      <c r="M423" s="17"/>
      <c r="N423" s="44" t="str">
        <f aca="false">IF(C423="","",COUNTA(H423:M423))</f>
        <v/>
      </c>
      <c r="O423" s="44" t="str">
        <f aca="false">IF(OR(C423="",N(N423)=0),"",SUMIFS(Settings!$AA$2:$AA$21,Settings!$Y$2:$Y$21,"Budget AED 5k+/mo?",Settings!$Z$2:$Z$21,H423)+SUMIFS(Settings!$AA$2:$AA$21,Settings!$Y$2:$Y$21,"Decision-maker?",Settings!$Z$2:$Z$21,I423)+SUMIFS(Settings!$AA$2:$AA$21,Settings!$Y$2:$Y$21,"Someone on camera?",Settings!$Z$2:$Z$21,J423)+SUMIFS(Settings!$AA$2:$AA$21,Settings!$Y$2:$Y$21,"OK with 3-month term?",Settings!$Z$2:$Z$21,K423)+SUMIFS(Settings!$AA$2:$AA$21,Settings!$Y$2:$Y$21,"Start timeline",Settings!$Z$2:$Z$21,L423)+SUMIFS(Settings!$AA$2:$AA$21,Settings!$Y$2:$Y$21,"Social media gap",Settings!$Z$2:$Z$21,M423)+IF(OR(E423="",E423="Lead ID not found"),0,IF(COUNTIF(Settings!$AC$2:$AC$6,E423)&gt;0,Settings!$AA$20,Settings!$AA$21)))</f>
        <v/>
      </c>
      <c r="P423" s="44" t="str">
        <f aca="false">IF(C423="","",IF(N(N423)&lt;6,"Partly scored ("&amp;N423&amp;"/6)",IF(O423&gt;=Settings!$S$8,"Hot",IF(O423&gt;=Settings!$S$9,"Warm","Cold"))))</f>
        <v/>
      </c>
      <c r="Q423" s="44" t="str">
        <f aca="false">IF(C423="","",IF(AND(H423="No",J423="No"),"🚩 Budget  ·  🚩 No one on camera",IF(H423="No","🚩 Budget under AED 5k",IF(J423="No","🚩 No one on camera",""))))</f>
        <v/>
      </c>
      <c r="R423" s="44" t="str">
        <f aca="false">IF(C423="","",IF(N(N423)&lt;6,"Finish the scoresheet before closing",IF(P423="Hot","Close now – send the contract / proposal today",IF(P423="Warm","Send proposal + a relevant result; follow up in 3 days","Rep's call – nurture or close politely")))&amp;IF(Q423&lt;&gt;""," (handle the 🚩 first)",""))</f>
        <v/>
      </c>
      <c r="S423" s="17"/>
      <c r="T423" s="17"/>
      <c r="U423" s="44" t="str">
        <f aca="false">IF(C423="","",IF(COUNTIF(C424:C$501,C423)=0,1,0))</f>
        <v/>
      </c>
    </row>
    <row r="424" customFormat="false" ht="15" hidden="false" customHeight="false" outlineLevel="0" collapsed="false">
      <c r="A424" s="17"/>
      <c r="B424" s="40"/>
      <c r="C424" s="17"/>
      <c r="D424" s="44" t="str">
        <f aca="false">IF(C424="","",IFERROR(INDEX(Inbound!$E$2:$E$501,MATCH(C424,Inbound!$A$2:$A$501,0)),IFERROR(INDEX(Outbound!$D$2:$D$501,MATCH(C424,Outbound!$A$2:$A$501,0)),"Lead ID not found")))</f>
        <v/>
      </c>
      <c r="E424" s="44" t="str">
        <f aca="false">IF(C424="","",IFERROR(INDEX(Inbound!$F$2:$F$501,MATCH(C424,Inbound!$A$2:$A$501,0)),IFERROR(INDEX(Outbound!$E$2:$E$501,MATCH(C424,Outbound!$A$2:$A$501,0)),"Lead ID not found")))</f>
        <v/>
      </c>
      <c r="F424" s="17"/>
      <c r="G424" s="17"/>
      <c r="H424" s="17"/>
      <c r="I424" s="17"/>
      <c r="J424" s="17"/>
      <c r="K424" s="17"/>
      <c r="L424" s="17"/>
      <c r="M424" s="17"/>
      <c r="N424" s="44" t="str">
        <f aca="false">IF(C424="","",COUNTA(H424:M424))</f>
        <v/>
      </c>
      <c r="O424" s="44" t="str">
        <f aca="false">IF(OR(C424="",N(N424)=0),"",SUMIFS(Settings!$AA$2:$AA$21,Settings!$Y$2:$Y$21,"Budget AED 5k+/mo?",Settings!$Z$2:$Z$21,H424)+SUMIFS(Settings!$AA$2:$AA$21,Settings!$Y$2:$Y$21,"Decision-maker?",Settings!$Z$2:$Z$21,I424)+SUMIFS(Settings!$AA$2:$AA$21,Settings!$Y$2:$Y$21,"Someone on camera?",Settings!$Z$2:$Z$21,J424)+SUMIFS(Settings!$AA$2:$AA$21,Settings!$Y$2:$Y$21,"OK with 3-month term?",Settings!$Z$2:$Z$21,K424)+SUMIFS(Settings!$AA$2:$AA$21,Settings!$Y$2:$Y$21,"Start timeline",Settings!$Z$2:$Z$21,L424)+SUMIFS(Settings!$AA$2:$AA$21,Settings!$Y$2:$Y$21,"Social media gap",Settings!$Z$2:$Z$21,M424)+IF(OR(E424="",E424="Lead ID not found"),0,IF(COUNTIF(Settings!$AC$2:$AC$6,E424)&gt;0,Settings!$AA$20,Settings!$AA$21)))</f>
        <v/>
      </c>
      <c r="P424" s="44" t="str">
        <f aca="false">IF(C424="","",IF(N(N424)&lt;6,"Partly scored ("&amp;N424&amp;"/6)",IF(O424&gt;=Settings!$S$8,"Hot",IF(O424&gt;=Settings!$S$9,"Warm","Cold"))))</f>
        <v/>
      </c>
      <c r="Q424" s="44" t="str">
        <f aca="false">IF(C424="","",IF(AND(H424="No",J424="No"),"🚩 Budget  ·  🚩 No one on camera",IF(H424="No","🚩 Budget under AED 5k",IF(J424="No","🚩 No one on camera",""))))</f>
        <v/>
      </c>
      <c r="R424" s="44" t="str">
        <f aca="false">IF(C424="","",IF(N(N424)&lt;6,"Finish the scoresheet before closing",IF(P424="Hot","Close now – send the contract / proposal today",IF(P424="Warm","Send proposal + a relevant result; follow up in 3 days","Rep's call – nurture or close politely")))&amp;IF(Q424&lt;&gt;""," (handle the 🚩 first)",""))</f>
        <v/>
      </c>
      <c r="S424" s="17"/>
      <c r="T424" s="17"/>
      <c r="U424" s="44" t="str">
        <f aca="false">IF(C424="","",IF(COUNTIF(C425:C$501,C424)=0,1,0))</f>
        <v/>
      </c>
    </row>
    <row r="425" customFormat="false" ht="15" hidden="false" customHeight="false" outlineLevel="0" collapsed="false">
      <c r="A425" s="17"/>
      <c r="B425" s="40"/>
      <c r="C425" s="17"/>
      <c r="D425" s="44" t="str">
        <f aca="false">IF(C425="","",IFERROR(INDEX(Inbound!$E$2:$E$501,MATCH(C425,Inbound!$A$2:$A$501,0)),IFERROR(INDEX(Outbound!$D$2:$D$501,MATCH(C425,Outbound!$A$2:$A$501,0)),"Lead ID not found")))</f>
        <v/>
      </c>
      <c r="E425" s="44" t="str">
        <f aca="false">IF(C425="","",IFERROR(INDEX(Inbound!$F$2:$F$501,MATCH(C425,Inbound!$A$2:$A$501,0)),IFERROR(INDEX(Outbound!$E$2:$E$501,MATCH(C425,Outbound!$A$2:$A$501,0)),"Lead ID not found")))</f>
        <v/>
      </c>
      <c r="F425" s="17"/>
      <c r="G425" s="17"/>
      <c r="H425" s="17"/>
      <c r="I425" s="17"/>
      <c r="J425" s="17"/>
      <c r="K425" s="17"/>
      <c r="L425" s="17"/>
      <c r="M425" s="17"/>
      <c r="N425" s="44" t="str">
        <f aca="false">IF(C425="","",COUNTA(H425:M425))</f>
        <v/>
      </c>
      <c r="O425" s="44" t="str">
        <f aca="false">IF(OR(C425="",N(N425)=0),"",SUMIFS(Settings!$AA$2:$AA$21,Settings!$Y$2:$Y$21,"Budget AED 5k+/mo?",Settings!$Z$2:$Z$21,H425)+SUMIFS(Settings!$AA$2:$AA$21,Settings!$Y$2:$Y$21,"Decision-maker?",Settings!$Z$2:$Z$21,I425)+SUMIFS(Settings!$AA$2:$AA$21,Settings!$Y$2:$Y$21,"Someone on camera?",Settings!$Z$2:$Z$21,J425)+SUMIFS(Settings!$AA$2:$AA$21,Settings!$Y$2:$Y$21,"OK with 3-month term?",Settings!$Z$2:$Z$21,K425)+SUMIFS(Settings!$AA$2:$AA$21,Settings!$Y$2:$Y$21,"Start timeline",Settings!$Z$2:$Z$21,L425)+SUMIFS(Settings!$AA$2:$AA$21,Settings!$Y$2:$Y$21,"Social media gap",Settings!$Z$2:$Z$21,M425)+IF(OR(E425="",E425="Lead ID not found"),0,IF(COUNTIF(Settings!$AC$2:$AC$6,E425)&gt;0,Settings!$AA$20,Settings!$AA$21)))</f>
        <v/>
      </c>
      <c r="P425" s="44" t="str">
        <f aca="false">IF(C425="","",IF(N(N425)&lt;6,"Partly scored ("&amp;N425&amp;"/6)",IF(O425&gt;=Settings!$S$8,"Hot",IF(O425&gt;=Settings!$S$9,"Warm","Cold"))))</f>
        <v/>
      </c>
      <c r="Q425" s="44" t="str">
        <f aca="false">IF(C425="","",IF(AND(H425="No",J425="No"),"🚩 Budget  ·  🚩 No one on camera",IF(H425="No","🚩 Budget under AED 5k",IF(J425="No","🚩 No one on camera",""))))</f>
        <v/>
      </c>
      <c r="R425" s="44" t="str">
        <f aca="false">IF(C425="","",IF(N(N425)&lt;6,"Finish the scoresheet before closing",IF(P425="Hot","Close now – send the contract / proposal today",IF(P425="Warm","Send proposal + a relevant result; follow up in 3 days","Rep's call – nurture or close politely")))&amp;IF(Q425&lt;&gt;""," (handle the 🚩 first)",""))</f>
        <v/>
      </c>
      <c r="S425" s="17"/>
      <c r="T425" s="17"/>
      <c r="U425" s="44" t="str">
        <f aca="false">IF(C425="","",IF(COUNTIF(C426:C$501,C425)=0,1,0))</f>
        <v/>
      </c>
    </row>
    <row r="426" customFormat="false" ht="15" hidden="false" customHeight="false" outlineLevel="0" collapsed="false">
      <c r="A426" s="17"/>
      <c r="B426" s="40"/>
      <c r="C426" s="17"/>
      <c r="D426" s="44" t="str">
        <f aca="false">IF(C426="","",IFERROR(INDEX(Inbound!$E$2:$E$501,MATCH(C426,Inbound!$A$2:$A$501,0)),IFERROR(INDEX(Outbound!$D$2:$D$501,MATCH(C426,Outbound!$A$2:$A$501,0)),"Lead ID not found")))</f>
        <v/>
      </c>
      <c r="E426" s="44" t="str">
        <f aca="false">IF(C426="","",IFERROR(INDEX(Inbound!$F$2:$F$501,MATCH(C426,Inbound!$A$2:$A$501,0)),IFERROR(INDEX(Outbound!$E$2:$E$501,MATCH(C426,Outbound!$A$2:$A$501,0)),"Lead ID not found")))</f>
        <v/>
      </c>
      <c r="F426" s="17"/>
      <c r="G426" s="17"/>
      <c r="H426" s="17"/>
      <c r="I426" s="17"/>
      <c r="J426" s="17"/>
      <c r="K426" s="17"/>
      <c r="L426" s="17"/>
      <c r="M426" s="17"/>
      <c r="N426" s="44" t="str">
        <f aca="false">IF(C426="","",COUNTA(H426:M426))</f>
        <v/>
      </c>
      <c r="O426" s="44" t="str">
        <f aca="false">IF(OR(C426="",N(N426)=0),"",SUMIFS(Settings!$AA$2:$AA$21,Settings!$Y$2:$Y$21,"Budget AED 5k+/mo?",Settings!$Z$2:$Z$21,H426)+SUMIFS(Settings!$AA$2:$AA$21,Settings!$Y$2:$Y$21,"Decision-maker?",Settings!$Z$2:$Z$21,I426)+SUMIFS(Settings!$AA$2:$AA$21,Settings!$Y$2:$Y$21,"Someone on camera?",Settings!$Z$2:$Z$21,J426)+SUMIFS(Settings!$AA$2:$AA$21,Settings!$Y$2:$Y$21,"OK with 3-month term?",Settings!$Z$2:$Z$21,K426)+SUMIFS(Settings!$AA$2:$AA$21,Settings!$Y$2:$Y$21,"Start timeline",Settings!$Z$2:$Z$21,L426)+SUMIFS(Settings!$AA$2:$AA$21,Settings!$Y$2:$Y$21,"Social media gap",Settings!$Z$2:$Z$21,M426)+IF(OR(E426="",E426="Lead ID not found"),0,IF(COUNTIF(Settings!$AC$2:$AC$6,E426)&gt;0,Settings!$AA$20,Settings!$AA$21)))</f>
        <v/>
      </c>
      <c r="P426" s="44" t="str">
        <f aca="false">IF(C426="","",IF(N(N426)&lt;6,"Partly scored ("&amp;N426&amp;"/6)",IF(O426&gt;=Settings!$S$8,"Hot",IF(O426&gt;=Settings!$S$9,"Warm","Cold"))))</f>
        <v/>
      </c>
      <c r="Q426" s="44" t="str">
        <f aca="false">IF(C426="","",IF(AND(H426="No",J426="No"),"🚩 Budget  ·  🚩 No one on camera",IF(H426="No","🚩 Budget under AED 5k",IF(J426="No","🚩 No one on camera",""))))</f>
        <v/>
      </c>
      <c r="R426" s="44" t="str">
        <f aca="false">IF(C426="","",IF(N(N426)&lt;6,"Finish the scoresheet before closing",IF(P426="Hot","Close now – send the contract / proposal today",IF(P426="Warm","Send proposal + a relevant result; follow up in 3 days","Rep's call – nurture or close politely")))&amp;IF(Q426&lt;&gt;""," (handle the 🚩 first)",""))</f>
        <v/>
      </c>
      <c r="S426" s="17"/>
      <c r="T426" s="17"/>
      <c r="U426" s="44" t="str">
        <f aca="false">IF(C426="","",IF(COUNTIF(C427:C$501,C426)=0,1,0))</f>
        <v/>
      </c>
    </row>
    <row r="427" customFormat="false" ht="15" hidden="false" customHeight="false" outlineLevel="0" collapsed="false">
      <c r="A427" s="17"/>
      <c r="B427" s="40"/>
      <c r="C427" s="17"/>
      <c r="D427" s="44" t="str">
        <f aca="false">IF(C427="","",IFERROR(INDEX(Inbound!$E$2:$E$501,MATCH(C427,Inbound!$A$2:$A$501,0)),IFERROR(INDEX(Outbound!$D$2:$D$501,MATCH(C427,Outbound!$A$2:$A$501,0)),"Lead ID not found")))</f>
        <v/>
      </c>
      <c r="E427" s="44" t="str">
        <f aca="false">IF(C427="","",IFERROR(INDEX(Inbound!$F$2:$F$501,MATCH(C427,Inbound!$A$2:$A$501,0)),IFERROR(INDEX(Outbound!$E$2:$E$501,MATCH(C427,Outbound!$A$2:$A$501,0)),"Lead ID not found")))</f>
        <v/>
      </c>
      <c r="F427" s="17"/>
      <c r="G427" s="17"/>
      <c r="H427" s="17"/>
      <c r="I427" s="17"/>
      <c r="J427" s="17"/>
      <c r="K427" s="17"/>
      <c r="L427" s="17"/>
      <c r="M427" s="17"/>
      <c r="N427" s="44" t="str">
        <f aca="false">IF(C427="","",COUNTA(H427:M427))</f>
        <v/>
      </c>
      <c r="O427" s="44" t="str">
        <f aca="false">IF(OR(C427="",N(N427)=0),"",SUMIFS(Settings!$AA$2:$AA$21,Settings!$Y$2:$Y$21,"Budget AED 5k+/mo?",Settings!$Z$2:$Z$21,H427)+SUMIFS(Settings!$AA$2:$AA$21,Settings!$Y$2:$Y$21,"Decision-maker?",Settings!$Z$2:$Z$21,I427)+SUMIFS(Settings!$AA$2:$AA$21,Settings!$Y$2:$Y$21,"Someone on camera?",Settings!$Z$2:$Z$21,J427)+SUMIFS(Settings!$AA$2:$AA$21,Settings!$Y$2:$Y$21,"OK with 3-month term?",Settings!$Z$2:$Z$21,K427)+SUMIFS(Settings!$AA$2:$AA$21,Settings!$Y$2:$Y$21,"Start timeline",Settings!$Z$2:$Z$21,L427)+SUMIFS(Settings!$AA$2:$AA$21,Settings!$Y$2:$Y$21,"Social media gap",Settings!$Z$2:$Z$21,M427)+IF(OR(E427="",E427="Lead ID not found"),0,IF(COUNTIF(Settings!$AC$2:$AC$6,E427)&gt;0,Settings!$AA$20,Settings!$AA$21)))</f>
        <v/>
      </c>
      <c r="P427" s="44" t="str">
        <f aca="false">IF(C427="","",IF(N(N427)&lt;6,"Partly scored ("&amp;N427&amp;"/6)",IF(O427&gt;=Settings!$S$8,"Hot",IF(O427&gt;=Settings!$S$9,"Warm","Cold"))))</f>
        <v/>
      </c>
      <c r="Q427" s="44" t="str">
        <f aca="false">IF(C427="","",IF(AND(H427="No",J427="No"),"🚩 Budget  ·  🚩 No one on camera",IF(H427="No","🚩 Budget under AED 5k",IF(J427="No","🚩 No one on camera",""))))</f>
        <v/>
      </c>
      <c r="R427" s="44" t="str">
        <f aca="false">IF(C427="","",IF(N(N427)&lt;6,"Finish the scoresheet before closing",IF(P427="Hot","Close now – send the contract / proposal today",IF(P427="Warm","Send proposal + a relevant result; follow up in 3 days","Rep's call – nurture or close politely")))&amp;IF(Q427&lt;&gt;""," (handle the 🚩 first)",""))</f>
        <v/>
      </c>
      <c r="S427" s="17"/>
      <c r="T427" s="17"/>
      <c r="U427" s="44" t="str">
        <f aca="false">IF(C427="","",IF(COUNTIF(C428:C$501,C427)=0,1,0))</f>
        <v/>
      </c>
    </row>
    <row r="428" customFormat="false" ht="15" hidden="false" customHeight="false" outlineLevel="0" collapsed="false">
      <c r="A428" s="17"/>
      <c r="B428" s="40"/>
      <c r="C428" s="17"/>
      <c r="D428" s="44" t="str">
        <f aca="false">IF(C428="","",IFERROR(INDEX(Inbound!$E$2:$E$501,MATCH(C428,Inbound!$A$2:$A$501,0)),IFERROR(INDEX(Outbound!$D$2:$D$501,MATCH(C428,Outbound!$A$2:$A$501,0)),"Lead ID not found")))</f>
        <v/>
      </c>
      <c r="E428" s="44" t="str">
        <f aca="false">IF(C428="","",IFERROR(INDEX(Inbound!$F$2:$F$501,MATCH(C428,Inbound!$A$2:$A$501,0)),IFERROR(INDEX(Outbound!$E$2:$E$501,MATCH(C428,Outbound!$A$2:$A$501,0)),"Lead ID not found")))</f>
        <v/>
      </c>
      <c r="F428" s="17"/>
      <c r="G428" s="17"/>
      <c r="H428" s="17"/>
      <c r="I428" s="17"/>
      <c r="J428" s="17"/>
      <c r="K428" s="17"/>
      <c r="L428" s="17"/>
      <c r="M428" s="17"/>
      <c r="N428" s="44" t="str">
        <f aca="false">IF(C428="","",COUNTA(H428:M428))</f>
        <v/>
      </c>
      <c r="O428" s="44" t="str">
        <f aca="false">IF(OR(C428="",N(N428)=0),"",SUMIFS(Settings!$AA$2:$AA$21,Settings!$Y$2:$Y$21,"Budget AED 5k+/mo?",Settings!$Z$2:$Z$21,H428)+SUMIFS(Settings!$AA$2:$AA$21,Settings!$Y$2:$Y$21,"Decision-maker?",Settings!$Z$2:$Z$21,I428)+SUMIFS(Settings!$AA$2:$AA$21,Settings!$Y$2:$Y$21,"Someone on camera?",Settings!$Z$2:$Z$21,J428)+SUMIFS(Settings!$AA$2:$AA$21,Settings!$Y$2:$Y$21,"OK with 3-month term?",Settings!$Z$2:$Z$21,K428)+SUMIFS(Settings!$AA$2:$AA$21,Settings!$Y$2:$Y$21,"Start timeline",Settings!$Z$2:$Z$21,L428)+SUMIFS(Settings!$AA$2:$AA$21,Settings!$Y$2:$Y$21,"Social media gap",Settings!$Z$2:$Z$21,M428)+IF(OR(E428="",E428="Lead ID not found"),0,IF(COUNTIF(Settings!$AC$2:$AC$6,E428)&gt;0,Settings!$AA$20,Settings!$AA$21)))</f>
        <v/>
      </c>
      <c r="P428" s="44" t="str">
        <f aca="false">IF(C428="","",IF(N(N428)&lt;6,"Partly scored ("&amp;N428&amp;"/6)",IF(O428&gt;=Settings!$S$8,"Hot",IF(O428&gt;=Settings!$S$9,"Warm","Cold"))))</f>
        <v/>
      </c>
      <c r="Q428" s="44" t="str">
        <f aca="false">IF(C428="","",IF(AND(H428="No",J428="No"),"🚩 Budget  ·  🚩 No one on camera",IF(H428="No","🚩 Budget under AED 5k",IF(J428="No","🚩 No one on camera",""))))</f>
        <v/>
      </c>
      <c r="R428" s="44" t="str">
        <f aca="false">IF(C428="","",IF(N(N428)&lt;6,"Finish the scoresheet before closing",IF(P428="Hot","Close now – send the contract / proposal today",IF(P428="Warm","Send proposal + a relevant result; follow up in 3 days","Rep's call – nurture or close politely")))&amp;IF(Q428&lt;&gt;""," (handle the 🚩 first)",""))</f>
        <v/>
      </c>
      <c r="S428" s="17"/>
      <c r="T428" s="17"/>
      <c r="U428" s="44" t="str">
        <f aca="false">IF(C428="","",IF(COUNTIF(C429:C$501,C428)=0,1,0))</f>
        <v/>
      </c>
    </row>
    <row r="429" customFormat="false" ht="15" hidden="false" customHeight="false" outlineLevel="0" collapsed="false">
      <c r="A429" s="17"/>
      <c r="B429" s="40"/>
      <c r="C429" s="17"/>
      <c r="D429" s="44" t="str">
        <f aca="false">IF(C429="","",IFERROR(INDEX(Inbound!$E$2:$E$501,MATCH(C429,Inbound!$A$2:$A$501,0)),IFERROR(INDEX(Outbound!$D$2:$D$501,MATCH(C429,Outbound!$A$2:$A$501,0)),"Lead ID not found")))</f>
        <v/>
      </c>
      <c r="E429" s="44" t="str">
        <f aca="false">IF(C429="","",IFERROR(INDEX(Inbound!$F$2:$F$501,MATCH(C429,Inbound!$A$2:$A$501,0)),IFERROR(INDEX(Outbound!$E$2:$E$501,MATCH(C429,Outbound!$A$2:$A$501,0)),"Lead ID not found")))</f>
        <v/>
      </c>
      <c r="F429" s="17"/>
      <c r="G429" s="17"/>
      <c r="H429" s="17"/>
      <c r="I429" s="17"/>
      <c r="J429" s="17"/>
      <c r="K429" s="17"/>
      <c r="L429" s="17"/>
      <c r="M429" s="17"/>
      <c r="N429" s="44" t="str">
        <f aca="false">IF(C429="","",COUNTA(H429:M429))</f>
        <v/>
      </c>
      <c r="O429" s="44" t="str">
        <f aca="false">IF(OR(C429="",N(N429)=0),"",SUMIFS(Settings!$AA$2:$AA$21,Settings!$Y$2:$Y$21,"Budget AED 5k+/mo?",Settings!$Z$2:$Z$21,H429)+SUMIFS(Settings!$AA$2:$AA$21,Settings!$Y$2:$Y$21,"Decision-maker?",Settings!$Z$2:$Z$21,I429)+SUMIFS(Settings!$AA$2:$AA$21,Settings!$Y$2:$Y$21,"Someone on camera?",Settings!$Z$2:$Z$21,J429)+SUMIFS(Settings!$AA$2:$AA$21,Settings!$Y$2:$Y$21,"OK with 3-month term?",Settings!$Z$2:$Z$21,K429)+SUMIFS(Settings!$AA$2:$AA$21,Settings!$Y$2:$Y$21,"Start timeline",Settings!$Z$2:$Z$21,L429)+SUMIFS(Settings!$AA$2:$AA$21,Settings!$Y$2:$Y$21,"Social media gap",Settings!$Z$2:$Z$21,M429)+IF(OR(E429="",E429="Lead ID not found"),0,IF(COUNTIF(Settings!$AC$2:$AC$6,E429)&gt;0,Settings!$AA$20,Settings!$AA$21)))</f>
        <v/>
      </c>
      <c r="P429" s="44" t="str">
        <f aca="false">IF(C429="","",IF(N(N429)&lt;6,"Partly scored ("&amp;N429&amp;"/6)",IF(O429&gt;=Settings!$S$8,"Hot",IF(O429&gt;=Settings!$S$9,"Warm","Cold"))))</f>
        <v/>
      </c>
      <c r="Q429" s="44" t="str">
        <f aca="false">IF(C429="","",IF(AND(H429="No",J429="No"),"🚩 Budget  ·  🚩 No one on camera",IF(H429="No","🚩 Budget under AED 5k",IF(J429="No","🚩 No one on camera",""))))</f>
        <v/>
      </c>
      <c r="R429" s="44" t="str">
        <f aca="false">IF(C429="","",IF(N(N429)&lt;6,"Finish the scoresheet before closing",IF(P429="Hot","Close now – send the contract / proposal today",IF(P429="Warm","Send proposal + a relevant result; follow up in 3 days","Rep's call – nurture or close politely")))&amp;IF(Q429&lt;&gt;""," (handle the 🚩 first)",""))</f>
        <v/>
      </c>
      <c r="S429" s="17"/>
      <c r="T429" s="17"/>
      <c r="U429" s="44" t="str">
        <f aca="false">IF(C429="","",IF(COUNTIF(C430:C$501,C429)=0,1,0))</f>
        <v/>
      </c>
    </row>
    <row r="430" customFormat="false" ht="15" hidden="false" customHeight="false" outlineLevel="0" collapsed="false">
      <c r="A430" s="17"/>
      <c r="B430" s="40"/>
      <c r="C430" s="17"/>
      <c r="D430" s="44" t="str">
        <f aca="false">IF(C430="","",IFERROR(INDEX(Inbound!$E$2:$E$501,MATCH(C430,Inbound!$A$2:$A$501,0)),IFERROR(INDEX(Outbound!$D$2:$D$501,MATCH(C430,Outbound!$A$2:$A$501,0)),"Lead ID not found")))</f>
        <v/>
      </c>
      <c r="E430" s="44" t="str">
        <f aca="false">IF(C430="","",IFERROR(INDEX(Inbound!$F$2:$F$501,MATCH(C430,Inbound!$A$2:$A$501,0)),IFERROR(INDEX(Outbound!$E$2:$E$501,MATCH(C430,Outbound!$A$2:$A$501,0)),"Lead ID not found")))</f>
        <v/>
      </c>
      <c r="F430" s="17"/>
      <c r="G430" s="17"/>
      <c r="H430" s="17"/>
      <c r="I430" s="17"/>
      <c r="J430" s="17"/>
      <c r="K430" s="17"/>
      <c r="L430" s="17"/>
      <c r="M430" s="17"/>
      <c r="N430" s="44" t="str">
        <f aca="false">IF(C430="","",COUNTA(H430:M430))</f>
        <v/>
      </c>
      <c r="O430" s="44" t="str">
        <f aca="false">IF(OR(C430="",N(N430)=0),"",SUMIFS(Settings!$AA$2:$AA$21,Settings!$Y$2:$Y$21,"Budget AED 5k+/mo?",Settings!$Z$2:$Z$21,H430)+SUMIFS(Settings!$AA$2:$AA$21,Settings!$Y$2:$Y$21,"Decision-maker?",Settings!$Z$2:$Z$21,I430)+SUMIFS(Settings!$AA$2:$AA$21,Settings!$Y$2:$Y$21,"Someone on camera?",Settings!$Z$2:$Z$21,J430)+SUMIFS(Settings!$AA$2:$AA$21,Settings!$Y$2:$Y$21,"OK with 3-month term?",Settings!$Z$2:$Z$21,K430)+SUMIFS(Settings!$AA$2:$AA$21,Settings!$Y$2:$Y$21,"Start timeline",Settings!$Z$2:$Z$21,L430)+SUMIFS(Settings!$AA$2:$AA$21,Settings!$Y$2:$Y$21,"Social media gap",Settings!$Z$2:$Z$21,M430)+IF(OR(E430="",E430="Lead ID not found"),0,IF(COUNTIF(Settings!$AC$2:$AC$6,E430)&gt;0,Settings!$AA$20,Settings!$AA$21)))</f>
        <v/>
      </c>
      <c r="P430" s="44" t="str">
        <f aca="false">IF(C430="","",IF(N(N430)&lt;6,"Partly scored ("&amp;N430&amp;"/6)",IF(O430&gt;=Settings!$S$8,"Hot",IF(O430&gt;=Settings!$S$9,"Warm","Cold"))))</f>
        <v/>
      </c>
      <c r="Q430" s="44" t="str">
        <f aca="false">IF(C430="","",IF(AND(H430="No",J430="No"),"🚩 Budget  ·  🚩 No one on camera",IF(H430="No","🚩 Budget under AED 5k",IF(J430="No","🚩 No one on camera",""))))</f>
        <v/>
      </c>
      <c r="R430" s="44" t="str">
        <f aca="false">IF(C430="","",IF(N(N430)&lt;6,"Finish the scoresheet before closing",IF(P430="Hot","Close now – send the contract / proposal today",IF(P430="Warm","Send proposal + a relevant result; follow up in 3 days","Rep's call – nurture or close politely")))&amp;IF(Q430&lt;&gt;""," (handle the 🚩 first)",""))</f>
        <v/>
      </c>
      <c r="S430" s="17"/>
      <c r="T430" s="17"/>
      <c r="U430" s="44" t="str">
        <f aca="false">IF(C430="","",IF(COUNTIF(C431:C$501,C430)=0,1,0))</f>
        <v/>
      </c>
    </row>
    <row r="431" customFormat="false" ht="15" hidden="false" customHeight="false" outlineLevel="0" collapsed="false">
      <c r="A431" s="17"/>
      <c r="B431" s="40"/>
      <c r="C431" s="17"/>
      <c r="D431" s="44" t="str">
        <f aca="false">IF(C431="","",IFERROR(INDEX(Inbound!$E$2:$E$501,MATCH(C431,Inbound!$A$2:$A$501,0)),IFERROR(INDEX(Outbound!$D$2:$D$501,MATCH(C431,Outbound!$A$2:$A$501,0)),"Lead ID not found")))</f>
        <v/>
      </c>
      <c r="E431" s="44" t="str">
        <f aca="false">IF(C431="","",IFERROR(INDEX(Inbound!$F$2:$F$501,MATCH(C431,Inbound!$A$2:$A$501,0)),IFERROR(INDEX(Outbound!$E$2:$E$501,MATCH(C431,Outbound!$A$2:$A$501,0)),"Lead ID not found")))</f>
        <v/>
      </c>
      <c r="F431" s="17"/>
      <c r="G431" s="17"/>
      <c r="H431" s="17"/>
      <c r="I431" s="17"/>
      <c r="J431" s="17"/>
      <c r="K431" s="17"/>
      <c r="L431" s="17"/>
      <c r="M431" s="17"/>
      <c r="N431" s="44" t="str">
        <f aca="false">IF(C431="","",COUNTA(H431:M431))</f>
        <v/>
      </c>
      <c r="O431" s="44" t="str">
        <f aca="false">IF(OR(C431="",N(N431)=0),"",SUMIFS(Settings!$AA$2:$AA$21,Settings!$Y$2:$Y$21,"Budget AED 5k+/mo?",Settings!$Z$2:$Z$21,H431)+SUMIFS(Settings!$AA$2:$AA$21,Settings!$Y$2:$Y$21,"Decision-maker?",Settings!$Z$2:$Z$21,I431)+SUMIFS(Settings!$AA$2:$AA$21,Settings!$Y$2:$Y$21,"Someone on camera?",Settings!$Z$2:$Z$21,J431)+SUMIFS(Settings!$AA$2:$AA$21,Settings!$Y$2:$Y$21,"OK with 3-month term?",Settings!$Z$2:$Z$21,K431)+SUMIFS(Settings!$AA$2:$AA$21,Settings!$Y$2:$Y$21,"Start timeline",Settings!$Z$2:$Z$21,L431)+SUMIFS(Settings!$AA$2:$AA$21,Settings!$Y$2:$Y$21,"Social media gap",Settings!$Z$2:$Z$21,M431)+IF(OR(E431="",E431="Lead ID not found"),0,IF(COUNTIF(Settings!$AC$2:$AC$6,E431)&gt;0,Settings!$AA$20,Settings!$AA$21)))</f>
        <v/>
      </c>
      <c r="P431" s="44" t="str">
        <f aca="false">IF(C431="","",IF(N(N431)&lt;6,"Partly scored ("&amp;N431&amp;"/6)",IF(O431&gt;=Settings!$S$8,"Hot",IF(O431&gt;=Settings!$S$9,"Warm","Cold"))))</f>
        <v/>
      </c>
      <c r="Q431" s="44" t="str">
        <f aca="false">IF(C431="","",IF(AND(H431="No",J431="No"),"🚩 Budget  ·  🚩 No one on camera",IF(H431="No","🚩 Budget under AED 5k",IF(J431="No","🚩 No one on camera",""))))</f>
        <v/>
      </c>
      <c r="R431" s="44" t="str">
        <f aca="false">IF(C431="","",IF(N(N431)&lt;6,"Finish the scoresheet before closing",IF(P431="Hot","Close now – send the contract / proposal today",IF(P431="Warm","Send proposal + a relevant result; follow up in 3 days","Rep's call – nurture or close politely")))&amp;IF(Q431&lt;&gt;""," (handle the 🚩 first)",""))</f>
        <v/>
      </c>
      <c r="S431" s="17"/>
      <c r="T431" s="17"/>
      <c r="U431" s="44" t="str">
        <f aca="false">IF(C431="","",IF(COUNTIF(C432:C$501,C431)=0,1,0))</f>
        <v/>
      </c>
    </row>
    <row r="432" customFormat="false" ht="15" hidden="false" customHeight="false" outlineLevel="0" collapsed="false">
      <c r="A432" s="17"/>
      <c r="B432" s="40"/>
      <c r="C432" s="17"/>
      <c r="D432" s="44" t="str">
        <f aca="false">IF(C432="","",IFERROR(INDEX(Inbound!$E$2:$E$501,MATCH(C432,Inbound!$A$2:$A$501,0)),IFERROR(INDEX(Outbound!$D$2:$D$501,MATCH(C432,Outbound!$A$2:$A$501,0)),"Lead ID not found")))</f>
        <v/>
      </c>
      <c r="E432" s="44" t="str">
        <f aca="false">IF(C432="","",IFERROR(INDEX(Inbound!$F$2:$F$501,MATCH(C432,Inbound!$A$2:$A$501,0)),IFERROR(INDEX(Outbound!$E$2:$E$501,MATCH(C432,Outbound!$A$2:$A$501,0)),"Lead ID not found")))</f>
        <v/>
      </c>
      <c r="F432" s="17"/>
      <c r="G432" s="17"/>
      <c r="H432" s="17"/>
      <c r="I432" s="17"/>
      <c r="J432" s="17"/>
      <c r="K432" s="17"/>
      <c r="L432" s="17"/>
      <c r="M432" s="17"/>
      <c r="N432" s="44" t="str">
        <f aca="false">IF(C432="","",COUNTA(H432:M432))</f>
        <v/>
      </c>
      <c r="O432" s="44" t="str">
        <f aca="false">IF(OR(C432="",N(N432)=0),"",SUMIFS(Settings!$AA$2:$AA$21,Settings!$Y$2:$Y$21,"Budget AED 5k+/mo?",Settings!$Z$2:$Z$21,H432)+SUMIFS(Settings!$AA$2:$AA$21,Settings!$Y$2:$Y$21,"Decision-maker?",Settings!$Z$2:$Z$21,I432)+SUMIFS(Settings!$AA$2:$AA$21,Settings!$Y$2:$Y$21,"Someone on camera?",Settings!$Z$2:$Z$21,J432)+SUMIFS(Settings!$AA$2:$AA$21,Settings!$Y$2:$Y$21,"OK with 3-month term?",Settings!$Z$2:$Z$21,K432)+SUMIFS(Settings!$AA$2:$AA$21,Settings!$Y$2:$Y$21,"Start timeline",Settings!$Z$2:$Z$21,L432)+SUMIFS(Settings!$AA$2:$AA$21,Settings!$Y$2:$Y$21,"Social media gap",Settings!$Z$2:$Z$21,M432)+IF(OR(E432="",E432="Lead ID not found"),0,IF(COUNTIF(Settings!$AC$2:$AC$6,E432)&gt;0,Settings!$AA$20,Settings!$AA$21)))</f>
        <v/>
      </c>
      <c r="P432" s="44" t="str">
        <f aca="false">IF(C432="","",IF(N(N432)&lt;6,"Partly scored ("&amp;N432&amp;"/6)",IF(O432&gt;=Settings!$S$8,"Hot",IF(O432&gt;=Settings!$S$9,"Warm","Cold"))))</f>
        <v/>
      </c>
      <c r="Q432" s="44" t="str">
        <f aca="false">IF(C432="","",IF(AND(H432="No",J432="No"),"🚩 Budget  ·  🚩 No one on camera",IF(H432="No","🚩 Budget under AED 5k",IF(J432="No","🚩 No one on camera",""))))</f>
        <v/>
      </c>
      <c r="R432" s="44" t="str">
        <f aca="false">IF(C432="","",IF(N(N432)&lt;6,"Finish the scoresheet before closing",IF(P432="Hot","Close now – send the contract / proposal today",IF(P432="Warm","Send proposal + a relevant result; follow up in 3 days","Rep's call – nurture or close politely")))&amp;IF(Q432&lt;&gt;""," (handle the 🚩 first)",""))</f>
        <v/>
      </c>
      <c r="S432" s="17"/>
      <c r="T432" s="17"/>
      <c r="U432" s="44" t="str">
        <f aca="false">IF(C432="","",IF(COUNTIF(C433:C$501,C432)=0,1,0))</f>
        <v/>
      </c>
    </row>
    <row r="433" customFormat="false" ht="15" hidden="false" customHeight="false" outlineLevel="0" collapsed="false">
      <c r="A433" s="17"/>
      <c r="B433" s="40"/>
      <c r="C433" s="17"/>
      <c r="D433" s="44" t="str">
        <f aca="false">IF(C433="","",IFERROR(INDEX(Inbound!$E$2:$E$501,MATCH(C433,Inbound!$A$2:$A$501,0)),IFERROR(INDEX(Outbound!$D$2:$D$501,MATCH(C433,Outbound!$A$2:$A$501,0)),"Lead ID not found")))</f>
        <v/>
      </c>
      <c r="E433" s="44" t="str">
        <f aca="false">IF(C433="","",IFERROR(INDEX(Inbound!$F$2:$F$501,MATCH(C433,Inbound!$A$2:$A$501,0)),IFERROR(INDEX(Outbound!$E$2:$E$501,MATCH(C433,Outbound!$A$2:$A$501,0)),"Lead ID not found")))</f>
        <v/>
      </c>
      <c r="F433" s="17"/>
      <c r="G433" s="17"/>
      <c r="H433" s="17"/>
      <c r="I433" s="17"/>
      <c r="J433" s="17"/>
      <c r="K433" s="17"/>
      <c r="L433" s="17"/>
      <c r="M433" s="17"/>
      <c r="N433" s="44" t="str">
        <f aca="false">IF(C433="","",COUNTA(H433:M433))</f>
        <v/>
      </c>
      <c r="O433" s="44" t="str">
        <f aca="false">IF(OR(C433="",N(N433)=0),"",SUMIFS(Settings!$AA$2:$AA$21,Settings!$Y$2:$Y$21,"Budget AED 5k+/mo?",Settings!$Z$2:$Z$21,H433)+SUMIFS(Settings!$AA$2:$AA$21,Settings!$Y$2:$Y$21,"Decision-maker?",Settings!$Z$2:$Z$21,I433)+SUMIFS(Settings!$AA$2:$AA$21,Settings!$Y$2:$Y$21,"Someone on camera?",Settings!$Z$2:$Z$21,J433)+SUMIFS(Settings!$AA$2:$AA$21,Settings!$Y$2:$Y$21,"OK with 3-month term?",Settings!$Z$2:$Z$21,K433)+SUMIFS(Settings!$AA$2:$AA$21,Settings!$Y$2:$Y$21,"Start timeline",Settings!$Z$2:$Z$21,L433)+SUMIFS(Settings!$AA$2:$AA$21,Settings!$Y$2:$Y$21,"Social media gap",Settings!$Z$2:$Z$21,M433)+IF(OR(E433="",E433="Lead ID not found"),0,IF(COUNTIF(Settings!$AC$2:$AC$6,E433)&gt;0,Settings!$AA$20,Settings!$AA$21)))</f>
        <v/>
      </c>
      <c r="P433" s="44" t="str">
        <f aca="false">IF(C433="","",IF(N(N433)&lt;6,"Partly scored ("&amp;N433&amp;"/6)",IF(O433&gt;=Settings!$S$8,"Hot",IF(O433&gt;=Settings!$S$9,"Warm","Cold"))))</f>
        <v/>
      </c>
      <c r="Q433" s="44" t="str">
        <f aca="false">IF(C433="","",IF(AND(H433="No",J433="No"),"🚩 Budget  ·  🚩 No one on camera",IF(H433="No","🚩 Budget under AED 5k",IF(J433="No","🚩 No one on camera",""))))</f>
        <v/>
      </c>
      <c r="R433" s="44" t="str">
        <f aca="false">IF(C433="","",IF(N(N433)&lt;6,"Finish the scoresheet before closing",IF(P433="Hot","Close now – send the contract / proposal today",IF(P433="Warm","Send proposal + a relevant result; follow up in 3 days","Rep's call – nurture or close politely")))&amp;IF(Q433&lt;&gt;""," (handle the 🚩 first)",""))</f>
        <v/>
      </c>
      <c r="S433" s="17"/>
      <c r="T433" s="17"/>
      <c r="U433" s="44" t="str">
        <f aca="false">IF(C433="","",IF(COUNTIF(C434:C$501,C433)=0,1,0))</f>
        <v/>
      </c>
    </row>
    <row r="434" customFormat="false" ht="15" hidden="false" customHeight="false" outlineLevel="0" collapsed="false">
      <c r="A434" s="17"/>
      <c r="B434" s="40"/>
      <c r="C434" s="17"/>
      <c r="D434" s="44" t="str">
        <f aca="false">IF(C434="","",IFERROR(INDEX(Inbound!$E$2:$E$501,MATCH(C434,Inbound!$A$2:$A$501,0)),IFERROR(INDEX(Outbound!$D$2:$D$501,MATCH(C434,Outbound!$A$2:$A$501,0)),"Lead ID not found")))</f>
        <v/>
      </c>
      <c r="E434" s="44" t="str">
        <f aca="false">IF(C434="","",IFERROR(INDEX(Inbound!$F$2:$F$501,MATCH(C434,Inbound!$A$2:$A$501,0)),IFERROR(INDEX(Outbound!$E$2:$E$501,MATCH(C434,Outbound!$A$2:$A$501,0)),"Lead ID not found")))</f>
        <v/>
      </c>
      <c r="F434" s="17"/>
      <c r="G434" s="17"/>
      <c r="H434" s="17"/>
      <c r="I434" s="17"/>
      <c r="J434" s="17"/>
      <c r="K434" s="17"/>
      <c r="L434" s="17"/>
      <c r="M434" s="17"/>
      <c r="N434" s="44" t="str">
        <f aca="false">IF(C434="","",COUNTA(H434:M434))</f>
        <v/>
      </c>
      <c r="O434" s="44" t="str">
        <f aca="false">IF(OR(C434="",N(N434)=0),"",SUMIFS(Settings!$AA$2:$AA$21,Settings!$Y$2:$Y$21,"Budget AED 5k+/mo?",Settings!$Z$2:$Z$21,H434)+SUMIFS(Settings!$AA$2:$AA$21,Settings!$Y$2:$Y$21,"Decision-maker?",Settings!$Z$2:$Z$21,I434)+SUMIFS(Settings!$AA$2:$AA$21,Settings!$Y$2:$Y$21,"Someone on camera?",Settings!$Z$2:$Z$21,J434)+SUMIFS(Settings!$AA$2:$AA$21,Settings!$Y$2:$Y$21,"OK with 3-month term?",Settings!$Z$2:$Z$21,K434)+SUMIFS(Settings!$AA$2:$AA$21,Settings!$Y$2:$Y$21,"Start timeline",Settings!$Z$2:$Z$21,L434)+SUMIFS(Settings!$AA$2:$AA$21,Settings!$Y$2:$Y$21,"Social media gap",Settings!$Z$2:$Z$21,M434)+IF(OR(E434="",E434="Lead ID not found"),0,IF(COUNTIF(Settings!$AC$2:$AC$6,E434)&gt;0,Settings!$AA$20,Settings!$AA$21)))</f>
        <v/>
      </c>
      <c r="P434" s="44" t="str">
        <f aca="false">IF(C434="","",IF(N(N434)&lt;6,"Partly scored ("&amp;N434&amp;"/6)",IF(O434&gt;=Settings!$S$8,"Hot",IF(O434&gt;=Settings!$S$9,"Warm","Cold"))))</f>
        <v/>
      </c>
      <c r="Q434" s="44" t="str">
        <f aca="false">IF(C434="","",IF(AND(H434="No",J434="No"),"🚩 Budget  ·  🚩 No one on camera",IF(H434="No","🚩 Budget under AED 5k",IF(J434="No","🚩 No one on camera",""))))</f>
        <v/>
      </c>
      <c r="R434" s="44" t="str">
        <f aca="false">IF(C434="","",IF(N(N434)&lt;6,"Finish the scoresheet before closing",IF(P434="Hot","Close now – send the contract / proposal today",IF(P434="Warm","Send proposal + a relevant result; follow up in 3 days","Rep's call – nurture or close politely")))&amp;IF(Q434&lt;&gt;""," (handle the 🚩 first)",""))</f>
        <v/>
      </c>
      <c r="S434" s="17"/>
      <c r="T434" s="17"/>
      <c r="U434" s="44" t="str">
        <f aca="false">IF(C434="","",IF(COUNTIF(C435:C$501,C434)=0,1,0))</f>
        <v/>
      </c>
    </row>
    <row r="435" customFormat="false" ht="15" hidden="false" customHeight="false" outlineLevel="0" collapsed="false">
      <c r="A435" s="17"/>
      <c r="B435" s="40"/>
      <c r="C435" s="17"/>
      <c r="D435" s="44" t="str">
        <f aca="false">IF(C435="","",IFERROR(INDEX(Inbound!$E$2:$E$501,MATCH(C435,Inbound!$A$2:$A$501,0)),IFERROR(INDEX(Outbound!$D$2:$D$501,MATCH(C435,Outbound!$A$2:$A$501,0)),"Lead ID not found")))</f>
        <v/>
      </c>
      <c r="E435" s="44" t="str">
        <f aca="false">IF(C435="","",IFERROR(INDEX(Inbound!$F$2:$F$501,MATCH(C435,Inbound!$A$2:$A$501,0)),IFERROR(INDEX(Outbound!$E$2:$E$501,MATCH(C435,Outbound!$A$2:$A$501,0)),"Lead ID not found")))</f>
        <v/>
      </c>
      <c r="F435" s="17"/>
      <c r="G435" s="17"/>
      <c r="H435" s="17"/>
      <c r="I435" s="17"/>
      <c r="J435" s="17"/>
      <c r="K435" s="17"/>
      <c r="L435" s="17"/>
      <c r="M435" s="17"/>
      <c r="N435" s="44" t="str">
        <f aca="false">IF(C435="","",COUNTA(H435:M435))</f>
        <v/>
      </c>
      <c r="O435" s="44" t="str">
        <f aca="false">IF(OR(C435="",N(N435)=0),"",SUMIFS(Settings!$AA$2:$AA$21,Settings!$Y$2:$Y$21,"Budget AED 5k+/mo?",Settings!$Z$2:$Z$21,H435)+SUMIFS(Settings!$AA$2:$AA$21,Settings!$Y$2:$Y$21,"Decision-maker?",Settings!$Z$2:$Z$21,I435)+SUMIFS(Settings!$AA$2:$AA$21,Settings!$Y$2:$Y$21,"Someone on camera?",Settings!$Z$2:$Z$21,J435)+SUMIFS(Settings!$AA$2:$AA$21,Settings!$Y$2:$Y$21,"OK with 3-month term?",Settings!$Z$2:$Z$21,K435)+SUMIFS(Settings!$AA$2:$AA$21,Settings!$Y$2:$Y$21,"Start timeline",Settings!$Z$2:$Z$21,L435)+SUMIFS(Settings!$AA$2:$AA$21,Settings!$Y$2:$Y$21,"Social media gap",Settings!$Z$2:$Z$21,M435)+IF(OR(E435="",E435="Lead ID not found"),0,IF(COUNTIF(Settings!$AC$2:$AC$6,E435)&gt;0,Settings!$AA$20,Settings!$AA$21)))</f>
        <v/>
      </c>
      <c r="P435" s="44" t="str">
        <f aca="false">IF(C435="","",IF(N(N435)&lt;6,"Partly scored ("&amp;N435&amp;"/6)",IF(O435&gt;=Settings!$S$8,"Hot",IF(O435&gt;=Settings!$S$9,"Warm","Cold"))))</f>
        <v/>
      </c>
      <c r="Q435" s="44" t="str">
        <f aca="false">IF(C435="","",IF(AND(H435="No",J435="No"),"🚩 Budget  ·  🚩 No one on camera",IF(H435="No","🚩 Budget under AED 5k",IF(J435="No","🚩 No one on camera",""))))</f>
        <v/>
      </c>
      <c r="R435" s="44" t="str">
        <f aca="false">IF(C435="","",IF(N(N435)&lt;6,"Finish the scoresheet before closing",IF(P435="Hot","Close now – send the contract / proposal today",IF(P435="Warm","Send proposal + a relevant result; follow up in 3 days","Rep's call – nurture or close politely")))&amp;IF(Q435&lt;&gt;""," (handle the 🚩 first)",""))</f>
        <v/>
      </c>
      <c r="S435" s="17"/>
      <c r="T435" s="17"/>
      <c r="U435" s="44" t="str">
        <f aca="false">IF(C435="","",IF(COUNTIF(C436:C$501,C435)=0,1,0))</f>
        <v/>
      </c>
    </row>
    <row r="436" customFormat="false" ht="15" hidden="false" customHeight="false" outlineLevel="0" collapsed="false">
      <c r="A436" s="17"/>
      <c r="B436" s="40"/>
      <c r="C436" s="17"/>
      <c r="D436" s="44" t="str">
        <f aca="false">IF(C436="","",IFERROR(INDEX(Inbound!$E$2:$E$501,MATCH(C436,Inbound!$A$2:$A$501,0)),IFERROR(INDEX(Outbound!$D$2:$D$501,MATCH(C436,Outbound!$A$2:$A$501,0)),"Lead ID not found")))</f>
        <v/>
      </c>
      <c r="E436" s="44" t="str">
        <f aca="false">IF(C436="","",IFERROR(INDEX(Inbound!$F$2:$F$501,MATCH(C436,Inbound!$A$2:$A$501,0)),IFERROR(INDEX(Outbound!$E$2:$E$501,MATCH(C436,Outbound!$A$2:$A$501,0)),"Lead ID not found")))</f>
        <v/>
      </c>
      <c r="F436" s="17"/>
      <c r="G436" s="17"/>
      <c r="H436" s="17"/>
      <c r="I436" s="17"/>
      <c r="J436" s="17"/>
      <c r="K436" s="17"/>
      <c r="L436" s="17"/>
      <c r="M436" s="17"/>
      <c r="N436" s="44" t="str">
        <f aca="false">IF(C436="","",COUNTA(H436:M436))</f>
        <v/>
      </c>
      <c r="O436" s="44" t="str">
        <f aca="false">IF(OR(C436="",N(N436)=0),"",SUMIFS(Settings!$AA$2:$AA$21,Settings!$Y$2:$Y$21,"Budget AED 5k+/mo?",Settings!$Z$2:$Z$21,H436)+SUMIFS(Settings!$AA$2:$AA$21,Settings!$Y$2:$Y$21,"Decision-maker?",Settings!$Z$2:$Z$21,I436)+SUMIFS(Settings!$AA$2:$AA$21,Settings!$Y$2:$Y$21,"Someone on camera?",Settings!$Z$2:$Z$21,J436)+SUMIFS(Settings!$AA$2:$AA$21,Settings!$Y$2:$Y$21,"OK with 3-month term?",Settings!$Z$2:$Z$21,K436)+SUMIFS(Settings!$AA$2:$AA$21,Settings!$Y$2:$Y$21,"Start timeline",Settings!$Z$2:$Z$21,L436)+SUMIFS(Settings!$AA$2:$AA$21,Settings!$Y$2:$Y$21,"Social media gap",Settings!$Z$2:$Z$21,M436)+IF(OR(E436="",E436="Lead ID not found"),0,IF(COUNTIF(Settings!$AC$2:$AC$6,E436)&gt;0,Settings!$AA$20,Settings!$AA$21)))</f>
        <v/>
      </c>
      <c r="P436" s="44" t="str">
        <f aca="false">IF(C436="","",IF(N(N436)&lt;6,"Partly scored ("&amp;N436&amp;"/6)",IF(O436&gt;=Settings!$S$8,"Hot",IF(O436&gt;=Settings!$S$9,"Warm","Cold"))))</f>
        <v/>
      </c>
      <c r="Q436" s="44" t="str">
        <f aca="false">IF(C436="","",IF(AND(H436="No",J436="No"),"🚩 Budget  ·  🚩 No one on camera",IF(H436="No","🚩 Budget under AED 5k",IF(J436="No","🚩 No one on camera",""))))</f>
        <v/>
      </c>
      <c r="R436" s="44" t="str">
        <f aca="false">IF(C436="","",IF(N(N436)&lt;6,"Finish the scoresheet before closing",IF(P436="Hot","Close now – send the contract / proposal today",IF(P436="Warm","Send proposal + a relevant result; follow up in 3 days","Rep's call – nurture or close politely")))&amp;IF(Q436&lt;&gt;""," (handle the 🚩 first)",""))</f>
        <v/>
      </c>
      <c r="S436" s="17"/>
      <c r="T436" s="17"/>
      <c r="U436" s="44" t="str">
        <f aca="false">IF(C436="","",IF(COUNTIF(C437:C$501,C436)=0,1,0))</f>
        <v/>
      </c>
    </row>
    <row r="437" customFormat="false" ht="15" hidden="false" customHeight="false" outlineLevel="0" collapsed="false">
      <c r="A437" s="17"/>
      <c r="B437" s="40"/>
      <c r="C437" s="17"/>
      <c r="D437" s="44" t="str">
        <f aca="false">IF(C437="","",IFERROR(INDEX(Inbound!$E$2:$E$501,MATCH(C437,Inbound!$A$2:$A$501,0)),IFERROR(INDEX(Outbound!$D$2:$D$501,MATCH(C437,Outbound!$A$2:$A$501,0)),"Lead ID not found")))</f>
        <v/>
      </c>
      <c r="E437" s="44" t="str">
        <f aca="false">IF(C437="","",IFERROR(INDEX(Inbound!$F$2:$F$501,MATCH(C437,Inbound!$A$2:$A$501,0)),IFERROR(INDEX(Outbound!$E$2:$E$501,MATCH(C437,Outbound!$A$2:$A$501,0)),"Lead ID not found")))</f>
        <v/>
      </c>
      <c r="F437" s="17"/>
      <c r="G437" s="17"/>
      <c r="H437" s="17"/>
      <c r="I437" s="17"/>
      <c r="J437" s="17"/>
      <c r="K437" s="17"/>
      <c r="L437" s="17"/>
      <c r="M437" s="17"/>
      <c r="N437" s="44" t="str">
        <f aca="false">IF(C437="","",COUNTA(H437:M437))</f>
        <v/>
      </c>
      <c r="O437" s="44" t="str">
        <f aca="false">IF(OR(C437="",N(N437)=0),"",SUMIFS(Settings!$AA$2:$AA$21,Settings!$Y$2:$Y$21,"Budget AED 5k+/mo?",Settings!$Z$2:$Z$21,H437)+SUMIFS(Settings!$AA$2:$AA$21,Settings!$Y$2:$Y$21,"Decision-maker?",Settings!$Z$2:$Z$21,I437)+SUMIFS(Settings!$AA$2:$AA$21,Settings!$Y$2:$Y$21,"Someone on camera?",Settings!$Z$2:$Z$21,J437)+SUMIFS(Settings!$AA$2:$AA$21,Settings!$Y$2:$Y$21,"OK with 3-month term?",Settings!$Z$2:$Z$21,K437)+SUMIFS(Settings!$AA$2:$AA$21,Settings!$Y$2:$Y$21,"Start timeline",Settings!$Z$2:$Z$21,L437)+SUMIFS(Settings!$AA$2:$AA$21,Settings!$Y$2:$Y$21,"Social media gap",Settings!$Z$2:$Z$21,M437)+IF(OR(E437="",E437="Lead ID not found"),0,IF(COUNTIF(Settings!$AC$2:$AC$6,E437)&gt;0,Settings!$AA$20,Settings!$AA$21)))</f>
        <v/>
      </c>
      <c r="P437" s="44" t="str">
        <f aca="false">IF(C437="","",IF(N(N437)&lt;6,"Partly scored ("&amp;N437&amp;"/6)",IF(O437&gt;=Settings!$S$8,"Hot",IF(O437&gt;=Settings!$S$9,"Warm","Cold"))))</f>
        <v/>
      </c>
      <c r="Q437" s="44" t="str">
        <f aca="false">IF(C437="","",IF(AND(H437="No",J437="No"),"🚩 Budget  ·  🚩 No one on camera",IF(H437="No","🚩 Budget under AED 5k",IF(J437="No","🚩 No one on camera",""))))</f>
        <v/>
      </c>
      <c r="R437" s="44" t="str">
        <f aca="false">IF(C437="","",IF(N(N437)&lt;6,"Finish the scoresheet before closing",IF(P437="Hot","Close now – send the contract / proposal today",IF(P437="Warm","Send proposal + a relevant result; follow up in 3 days","Rep's call – nurture or close politely")))&amp;IF(Q437&lt;&gt;""," (handle the 🚩 first)",""))</f>
        <v/>
      </c>
      <c r="S437" s="17"/>
      <c r="T437" s="17"/>
      <c r="U437" s="44" t="str">
        <f aca="false">IF(C437="","",IF(COUNTIF(C438:C$501,C437)=0,1,0))</f>
        <v/>
      </c>
    </row>
    <row r="438" customFormat="false" ht="15" hidden="false" customHeight="false" outlineLevel="0" collapsed="false">
      <c r="A438" s="17"/>
      <c r="B438" s="40"/>
      <c r="C438" s="17"/>
      <c r="D438" s="44" t="str">
        <f aca="false">IF(C438="","",IFERROR(INDEX(Inbound!$E$2:$E$501,MATCH(C438,Inbound!$A$2:$A$501,0)),IFERROR(INDEX(Outbound!$D$2:$D$501,MATCH(C438,Outbound!$A$2:$A$501,0)),"Lead ID not found")))</f>
        <v/>
      </c>
      <c r="E438" s="44" t="str">
        <f aca="false">IF(C438="","",IFERROR(INDEX(Inbound!$F$2:$F$501,MATCH(C438,Inbound!$A$2:$A$501,0)),IFERROR(INDEX(Outbound!$E$2:$E$501,MATCH(C438,Outbound!$A$2:$A$501,0)),"Lead ID not found")))</f>
        <v/>
      </c>
      <c r="F438" s="17"/>
      <c r="G438" s="17"/>
      <c r="H438" s="17"/>
      <c r="I438" s="17"/>
      <c r="J438" s="17"/>
      <c r="K438" s="17"/>
      <c r="L438" s="17"/>
      <c r="M438" s="17"/>
      <c r="N438" s="44" t="str">
        <f aca="false">IF(C438="","",COUNTA(H438:M438))</f>
        <v/>
      </c>
      <c r="O438" s="44" t="str">
        <f aca="false">IF(OR(C438="",N(N438)=0),"",SUMIFS(Settings!$AA$2:$AA$21,Settings!$Y$2:$Y$21,"Budget AED 5k+/mo?",Settings!$Z$2:$Z$21,H438)+SUMIFS(Settings!$AA$2:$AA$21,Settings!$Y$2:$Y$21,"Decision-maker?",Settings!$Z$2:$Z$21,I438)+SUMIFS(Settings!$AA$2:$AA$21,Settings!$Y$2:$Y$21,"Someone on camera?",Settings!$Z$2:$Z$21,J438)+SUMIFS(Settings!$AA$2:$AA$21,Settings!$Y$2:$Y$21,"OK with 3-month term?",Settings!$Z$2:$Z$21,K438)+SUMIFS(Settings!$AA$2:$AA$21,Settings!$Y$2:$Y$21,"Start timeline",Settings!$Z$2:$Z$21,L438)+SUMIFS(Settings!$AA$2:$AA$21,Settings!$Y$2:$Y$21,"Social media gap",Settings!$Z$2:$Z$21,M438)+IF(OR(E438="",E438="Lead ID not found"),0,IF(COUNTIF(Settings!$AC$2:$AC$6,E438)&gt;0,Settings!$AA$20,Settings!$AA$21)))</f>
        <v/>
      </c>
      <c r="P438" s="44" t="str">
        <f aca="false">IF(C438="","",IF(N(N438)&lt;6,"Partly scored ("&amp;N438&amp;"/6)",IF(O438&gt;=Settings!$S$8,"Hot",IF(O438&gt;=Settings!$S$9,"Warm","Cold"))))</f>
        <v/>
      </c>
      <c r="Q438" s="44" t="str">
        <f aca="false">IF(C438="","",IF(AND(H438="No",J438="No"),"🚩 Budget  ·  🚩 No one on camera",IF(H438="No","🚩 Budget under AED 5k",IF(J438="No","🚩 No one on camera",""))))</f>
        <v/>
      </c>
      <c r="R438" s="44" t="str">
        <f aca="false">IF(C438="","",IF(N(N438)&lt;6,"Finish the scoresheet before closing",IF(P438="Hot","Close now – send the contract / proposal today",IF(P438="Warm","Send proposal + a relevant result; follow up in 3 days","Rep's call – nurture or close politely")))&amp;IF(Q438&lt;&gt;""," (handle the 🚩 first)",""))</f>
        <v/>
      </c>
      <c r="S438" s="17"/>
      <c r="T438" s="17"/>
      <c r="U438" s="44" t="str">
        <f aca="false">IF(C438="","",IF(COUNTIF(C439:C$501,C438)=0,1,0))</f>
        <v/>
      </c>
    </row>
    <row r="439" customFormat="false" ht="15" hidden="false" customHeight="false" outlineLevel="0" collapsed="false">
      <c r="A439" s="17"/>
      <c r="B439" s="40"/>
      <c r="C439" s="17"/>
      <c r="D439" s="44" t="str">
        <f aca="false">IF(C439="","",IFERROR(INDEX(Inbound!$E$2:$E$501,MATCH(C439,Inbound!$A$2:$A$501,0)),IFERROR(INDEX(Outbound!$D$2:$D$501,MATCH(C439,Outbound!$A$2:$A$501,0)),"Lead ID not found")))</f>
        <v/>
      </c>
      <c r="E439" s="44" t="str">
        <f aca="false">IF(C439="","",IFERROR(INDEX(Inbound!$F$2:$F$501,MATCH(C439,Inbound!$A$2:$A$501,0)),IFERROR(INDEX(Outbound!$E$2:$E$501,MATCH(C439,Outbound!$A$2:$A$501,0)),"Lead ID not found")))</f>
        <v/>
      </c>
      <c r="F439" s="17"/>
      <c r="G439" s="17"/>
      <c r="H439" s="17"/>
      <c r="I439" s="17"/>
      <c r="J439" s="17"/>
      <c r="K439" s="17"/>
      <c r="L439" s="17"/>
      <c r="M439" s="17"/>
      <c r="N439" s="44" t="str">
        <f aca="false">IF(C439="","",COUNTA(H439:M439))</f>
        <v/>
      </c>
      <c r="O439" s="44" t="str">
        <f aca="false">IF(OR(C439="",N(N439)=0),"",SUMIFS(Settings!$AA$2:$AA$21,Settings!$Y$2:$Y$21,"Budget AED 5k+/mo?",Settings!$Z$2:$Z$21,H439)+SUMIFS(Settings!$AA$2:$AA$21,Settings!$Y$2:$Y$21,"Decision-maker?",Settings!$Z$2:$Z$21,I439)+SUMIFS(Settings!$AA$2:$AA$21,Settings!$Y$2:$Y$21,"Someone on camera?",Settings!$Z$2:$Z$21,J439)+SUMIFS(Settings!$AA$2:$AA$21,Settings!$Y$2:$Y$21,"OK with 3-month term?",Settings!$Z$2:$Z$21,K439)+SUMIFS(Settings!$AA$2:$AA$21,Settings!$Y$2:$Y$21,"Start timeline",Settings!$Z$2:$Z$21,L439)+SUMIFS(Settings!$AA$2:$AA$21,Settings!$Y$2:$Y$21,"Social media gap",Settings!$Z$2:$Z$21,M439)+IF(OR(E439="",E439="Lead ID not found"),0,IF(COUNTIF(Settings!$AC$2:$AC$6,E439)&gt;0,Settings!$AA$20,Settings!$AA$21)))</f>
        <v/>
      </c>
      <c r="P439" s="44" t="str">
        <f aca="false">IF(C439="","",IF(N(N439)&lt;6,"Partly scored ("&amp;N439&amp;"/6)",IF(O439&gt;=Settings!$S$8,"Hot",IF(O439&gt;=Settings!$S$9,"Warm","Cold"))))</f>
        <v/>
      </c>
      <c r="Q439" s="44" t="str">
        <f aca="false">IF(C439="","",IF(AND(H439="No",J439="No"),"🚩 Budget  ·  🚩 No one on camera",IF(H439="No","🚩 Budget under AED 5k",IF(J439="No","🚩 No one on camera",""))))</f>
        <v/>
      </c>
      <c r="R439" s="44" t="str">
        <f aca="false">IF(C439="","",IF(N(N439)&lt;6,"Finish the scoresheet before closing",IF(P439="Hot","Close now – send the contract / proposal today",IF(P439="Warm","Send proposal + a relevant result; follow up in 3 days","Rep's call – nurture or close politely")))&amp;IF(Q439&lt;&gt;""," (handle the 🚩 first)",""))</f>
        <v/>
      </c>
      <c r="S439" s="17"/>
      <c r="T439" s="17"/>
      <c r="U439" s="44" t="str">
        <f aca="false">IF(C439="","",IF(COUNTIF(C440:C$501,C439)=0,1,0))</f>
        <v/>
      </c>
    </row>
    <row r="440" customFormat="false" ht="15" hidden="false" customHeight="false" outlineLevel="0" collapsed="false">
      <c r="A440" s="17"/>
      <c r="B440" s="40"/>
      <c r="C440" s="17"/>
      <c r="D440" s="44" t="str">
        <f aca="false">IF(C440="","",IFERROR(INDEX(Inbound!$E$2:$E$501,MATCH(C440,Inbound!$A$2:$A$501,0)),IFERROR(INDEX(Outbound!$D$2:$D$501,MATCH(C440,Outbound!$A$2:$A$501,0)),"Lead ID not found")))</f>
        <v/>
      </c>
      <c r="E440" s="44" t="str">
        <f aca="false">IF(C440="","",IFERROR(INDEX(Inbound!$F$2:$F$501,MATCH(C440,Inbound!$A$2:$A$501,0)),IFERROR(INDEX(Outbound!$E$2:$E$501,MATCH(C440,Outbound!$A$2:$A$501,0)),"Lead ID not found")))</f>
        <v/>
      </c>
      <c r="F440" s="17"/>
      <c r="G440" s="17"/>
      <c r="H440" s="17"/>
      <c r="I440" s="17"/>
      <c r="J440" s="17"/>
      <c r="K440" s="17"/>
      <c r="L440" s="17"/>
      <c r="M440" s="17"/>
      <c r="N440" s="44" t="str">
        <f aca="false">IF(C440="","",COUNTA(H440:M440))</f>
        <v/>
      </c>
      <c r="O440" s="44" t="str">
        <f aca="false">IF(OR(C440="",N(N440)=0),"",SUMIFS(Settings!$AA$2:$AA$21,Settings!$Y$2:$Y$21,"Budget AED 5k+/mo?",Settings!$Z$2:$Z$21,H440)+SUMIFS(Settings!$AA$2:$AA$21,Settings!$Y$2:$Y$21,"Decision-maker?",Settings!$Z$2:$Z$21,I440)+SUMIFS(Settings!$AA$2:$AA$21,Settings!$Y$2:$Y$21,"Someone on camera?",Settings!$Z$2:$Z$21,J440)+SUMIFS(Settings!$AA$2:$AA$21,Settings!$Y$2:$Y$21,"OK with 3-month term?",Settings!$Z$2:$Z$21,K440)+SUMIFS(Settings!$AA$2:$AA$21,Settings!$Y$2:$Y$21,"Start timeline",Settings!$Z$2:$Z$21,L440)+SUMIFS(Settings!$AA$2:$AA$21,Settings!$Y$2:$Y$21,"Social media gap",Settings!$Z$2:$Z$21,M440)+IF(OR(E440="",E440="Lead ID not found"),0,IF(COUNTIF(Settings!$AC$2:$AC$6,E440)&gt;0,Settings!$AA$20,Settings!$AA$21)))</f>
        <v/>
      </c>
      <c r="P440" s="44" t="str">
        <f aca="false">IF(C440="","",IF(N(N440)&lt;6,"Partly scored ("&amp;N440&amp;"/6)",IF(O440&gt;=Settings!$S$8,"Hot",IF(O440&gt;=Settings!$S$9,"Warm","Cold"))))</f>
        <v/>
      </c>
      <c r="Q440" s="44" t="str">
        <f aca="false">IF(C440="","",IF(AND(H440="No",J440="No"),"🚩 Budget  ·  🚩 No one on camera",IF(H440="No","🚩 Budget under AED 5k",IF(J440="No","🚩 No one on camera",""))))</f>
        <v/>
      </c>
      <c r="R440" s="44" t="str">
        <f aca="false">IF(C440="","",IF(N(N440)&lt;6,"Finish the scoresheet before closing",IF(P440="Hot","Close now – send the contract / proposal today",IF(P440="Warm","Send proposal + a relevant result; follow up in 3 days","Rep's call – nurture or close politely")))&amp;IF(Q440&lt;&gt;""," (handle the 🚩 first)",""))</f>
        <v/>
      </c>
      <c r="S440" s="17"/>
      <c r="T440" s="17"/>
      <c r="U440" s="44" t="str">
        <f aca="false">IF(C440="","",IF(COUNTIF(C441:C$501,C440)=0,1,0))</f>
        <v/>
      </c>
    </row>
    <row r="441" customFormat="false" ht="15" hidden="false" customHeight="false" outlineLevel="0" collapsed="false">
      <c r="A441" s="17"/>
      <c r="B441" s="40"/>
      <c r="C441" s="17"/>
      <c r="D441" s="44" t="str">
        <f aca="false">IF(C441="","",IFERROR(INDEX(Inbound!$E$2:$E$501,MATCH(C441,Inbound!$A$2:$A$501,0)),IFERROR(INDEX(Outbound!$D$2:$D$501,MATCH(C441,Outbound!$A$2:$A$501,0)),"Lead ID not found")))</f>
        <v/>
      </c>
      <c r="E441" s="44" t="str">
        <f aca="false">IF(C441="","",IFERROR(INDEX(Inbound!$F$2:$F$501,MATCH(C441,Inbound!$A$2:$A$501,0)),IFERROR(INDEX(Outbound!$E$2:$E$501,MATCH(C441,Outbound!$A$2:$A$501,0)),"Lead ID not found")))</f>
        <v/>
      </c>
      <c r="F441" s="17"/>
      <c r="G441" s="17"/>
      <c r="H441" s="17"/>
      <c r="I441" s="17"/>
      <c r="J441" s="17"/>
      <c r="K441" s="17"/>
      <c r="L441" s="17"/>
      <c r="M441" s="17"/>
      <c r="N441" s="44" t="str">
        <f aca="false">IF(C441="","",COUNTA(H441:M441))</f>
        <v/>
      </c>
      <c r="O441" s="44" t="str">
        <f aca="false">IF(OR(C441="",N(N441)=0),"",SUMIFS(Settings!$AA$2:$AA$21,Settings!$Y$2:$Y$21,"Budget AED 5k+/mo?",Settings!$Z$2:$Z$21,H441)+SUMIFS(Settings!$AA$2:$AA$21,Settings!$Y$2:$Y$21,"Decision-maker?",Settings!$Z$2:$Z$21,I441)+SUMIFS(Settings!$AA$2:$AA$21,Settings!$Y$2:$Y$21,"Someone on camera?",Settings!$Z$2:$Z$21,J441)+SUMIFS(Settings!$AA$2:$AA$21,Settings!$Y$2:$Y$21,"OK with 3-month term?",Settings!$Z$2:$Z$21,K441)+SUMIFS(Settings!$AA$2:$AA$21,Settings!$Y$2:$Y$21,"Start timeline",Settings!$Z$2:$Z$21,L441)+SUMIFS(Settings!$AA$2:$AA$21,Settings!$Y$2:$Y$21,"Social media gap",Settings!$Z$2:$Z$21,M441)+IF(OR(E441="",E441="Lead ID not found"),0,IF(COUNTIF(Settings!$AC$2:$AC$6,E441)&gt;0,Settings!$AA$20,Settings!$AA$21)))</f>
        <v/>
      </c>
      <c r="P441" s="44" t="str">
        <f aca="false">IF(C441="","",IF(N(N441)&lt;6,"Partly scored ("&amp;N441&amp;"/6)",IF(O441&gt;=Settings!$S$8,"Hot",IF(O441&gt;=Settings!$S$9,"Warm","Cold"))))</f>
        <v/>
      </c>
      <c r="Q441" s="44" t="str">
        <f aca="false">IF(C441="","",IF(AND(H441="No",J441="No"),"🚩 Budget  ·  🚩 No one on camera",IF(H441="No","🚩 Budget under AED 5k",IF(J441="No","🚩 No one on camera",""))))</f>
        <v/>
      </c>
      <c r="R441" s="44" t="str">
        <f aca="false">IF(C441="","",IF(N(N441)&lt;6,"Finish the scoresheet before closing",IF(P441="Hot","Close now – send the contract / proposal today",IF(P441="Warm","Send proposal + a relevant result; follow up in 3 days","Rep's call – nurture or close politely")))&amp;IF(Q441&lt;&gt;""," (handle the 🚩 first)",""))</f>
        <v/>
      </c>
      <c r="S441" s="17"/>
      <c r="T441" s="17"/>
      <c r="U441" s="44" t="str">
        <f aca="false">IF(C441="","",IF(COUNTIF(C442:C$501,C441)=0,1,0))</f>
        <v/>
      </c>
    </row>
    <row r="442" customFormat="false" ht="15" hidden="false" customHeight="false" outlineLevel="0" collapsed="false">
      <c r="A442" s="17"/>
      <c r="B442" s="40"/>
      <c r="C442" s="17"/>
      <c r="D442" s="44" t="str">
        <f aca="false">IF(C442="","",IFERROR(INDEX(Inbound!$E$2:$E$501,MATCH(C442,Inbound!$A$2:$A$501,0)),IFERROR(INDEX(Outbound!$D$2:$D$501,MATCH(C442,Outbound!$A$2:$A$501,0)),"Lead ID not found")))</f>
        <v/>
      </c>
      <c r="E442" s="44" t="str">
        <f aca="false">IF(C442="","",IFERROR(INDEX(Inbound!$F$2:$F$501,MATCH(C442,Inbound!$A$2:$A$501,0)),IFERROR(INDEX(Outbound!$E$2:$E$501,MATCH(C442,Outbound!$A$2:$A$501,0)),"Lead ID not found")))</f>
        <v/>
      </c>
      <c r="F442" s="17"/>
      <c r="G442" s="17"/>
      <c r="H442" s="17"/>
      <c r="I442" s="17"/>
      <c r="J442" s="17"/>
      <c r="K442" s="17"/>
      <c r="L442" s="17"/>
      <c r="M442" s="17"/>
      <c r="N442" s="44" t="str">
        <f aca="false">IF(C442="","",COUNTA(H442:M442))</f>
        <v/>
      </c>
      <c r="O442" s="44" t="str">
        <f aca="false">IF(OR(C442="",N(N442)=0),"",SUMIFS(Settings!$AA$2:$AA$21,Settings!$Y$2:$Y$21,"Budget AED 5k+/mo?",Settings!$Z$2:$Z$21,H442)+SUMIFS(Settings!$AA$2:$AA$21,Settings!$Y$2:$Y$21,"Decision-maker?",Settings!$Z$2:$Z$21,I442)+SUMIFS(Settings!$AA$2:$AA$21,Settings!$Y$2:$Y$21,"Someone on camera?",Settings!$Z$2:$Z$21,J442)+SUMIFS(Settings!$AA$2:$AA$21,Settings!$Y$2:$Y$21,"OK with 3-month term?",Settings!$Z$2:$Z$21,K442)+SUMIFS(Settings!$AA$2:$AA$21,Settings!$Y$2:$Y$21,"Start timeline",Settings!$Z$2:$Z$21,L442)+SUMIFS(Settings!$AA$2:$AA$21,Settings!$Y$2:$Y$21,"Social media gap",Settings!$Z$2:$Z$21,M442)+IF(OR(E442="",E442="Lead ID not found"),0,IF(COUNTIF(Settings!$AC$2:$AC$6,E442)&gt;0,Settings!$AA$20,Settings!$AA$21)))</f>
        <v/>
      </c>
      <c r="P442" s="44" t="str">
        <f aca="false">IF(C442="","",IF(N(N442)&lt;6,"Partly scored ("&amp;N442&amp;"/6)",IF(O442&gt;=Settings!$S$8,"Hot",IF(O442&gt;=Settings!$S$9,"Warm","Cold"))))</f>
        <v/>
      </c>
      <c r="Q442" s="44" t="str">
        <f aca="false">IF(C442="","",IF(AND(H442="No",J442="No"),"🚩 Budget  ·  🚩 No one on camera",IF(H442="No","🚩 Budget under AED 5k",IF(J442="No","🚩 No one on camera",""))))</f>
        <v/>
      </c>
      <c r="R442" s="44" t="str">
        <f aca="false">IF(C442="","",IF(N(N442)&lt;6,"Finish the scoresheet before closing",IF(P442="Hot","Close now – send the contract / proposal today",IF(P442="Warm","Send proposal + a relevant result; follow up in 3 days","Rep's call – nurture or close politely")))&amp;IF(Q442&lt;&gt;""," (handle the 🚩 first)",""))</f>
        <v/>
      </c>
      <c r="S442" s="17"/>
      <c r="T442" s="17"/>
      <c r="U442" s="44" t="str">
        <f aca="false">IF(C442="","",IF(COUNTIF(C443:C$501,C442)=0,1,0))</f>
        <v/>
      </c>
    </row>
    <row r="443" customFormat="false" ht="15" hidden="false" customHeight="false" outlineLevel="0" collapsed="false">
      <c r="A443" s="17"/>
      <c r="B443" s="40"/>
      <c r="C443" s="17"/>
      <c r="D443" s="44" t="str">
        <f aca="false">IF(C443="","",IFERROR(INDEX(Inbound!$E$2:$E$501,MATCH(C443,Inbound!$A$2:$A$501,0)),IFERROR(INDEX(Outbound!$D$2:$D$501,MATCH(C443,Outbound!$A$2:$A$501,0)),"Lead ID not found")))</f>
        <v/>
      </c>
      <c r="E443" s="44" t="str">
        <f aca="false">IF(C443="","",IFERROR(INDEX(Inbound!$F$2:$F$501,MATCH(C443,Inbound!$A$2:$A$501,0)),IFERROR(INDEX(Outbound!$E$2:$E$501,MATCH(C443,Outbound!$A$2:$A$501,0)),"Lead ID not found")))</f>
        <v/>
      </c>
      <c r="F443" s="17"/>
      <c r="G443" s="17"/>
      <c r="H443" s="17"/>
      <c r="I443" s="17"/>
      <c r="J443" s="17"/>
      <c r="K443" s="17"/>
      <c r="L443" s="17"/>
      <c r="M443" s="17"/>
      <c r="N443" s="44" t="str">
        <f aca="false">IF(C443="","",COUNTA(H443:M443))</f>
        <v/>
      </c>
      <c r="O443" s="44" t="str">
        <f aca="false">IF(OR(C443="",N(N443)=0),"",SUMIFS(Settings!$AA$2:$AA$21,Settings!$Y$2:$Y$21,"Budget AED 5k+/mo?",Settings!$Z$2:$Z$21,H443)+SUMIFS(Settings!$AA$2:$AA$21,Settings!$Y$2:$Y$21,"Decision-maker?",Settings!$Z$2:$Z$21,I443)+SUMIFS(Settings!$AA$2:$AA$21,Settings!$Y$2:$Y$21,"Someone on camera?",Settings!$Z$2:$Z$21,J443)+SUMIFS(Settings!$AA$2:$AA$21,Settings!$Y$2:$Y$21,"OK with 3-month term?",Settings!$Z$2:$Z$21,K443)+SUMIFS(Settings!$AA$2:$AA$21,Settings!$Y$2:$Y$21,"Start timeline",Settings!$Z$2:$Z$21,L443)+SUMIFS(Settings!$AA$2:$AA$21,Settings!$Y$2:$Y$21,"Social media gap",Settings!$Z$2:$Z$21,M443)+IF(OR(E443="",E443="Lead ID not found"),0,IF(COUNTIF(Settings!$AC$2:$AC$6,E443)&gt;0,Settings!$AA$20,Settings!$AA$21)))</f>
        <v/>
      </c>
      <c r="P443" s="44" t="str">
        <f aca="false">IF(C443="","",IF(N(N443)&lt;6,"Partly scored ("&amp;N443&amp;"/6)",IF(O443&gt;=Settings!$S$8,"Hot",IF(O443&gt;=Settings!$S$9,"Warm","Cold"))))</f>
        <v/>
      </c>
      <c r="Q443" s="44" t="str">
        <f aca="false">IF(C443="","",IF(AND(H443="No",J443="No"),"🚩 Budget  ·  🚩 No one on camera",IF(H443="No","🚩 Budget under AED 5k",IF(J443="No","🚩 No one on camera",""))))</f>
        <v/>
      </c>
      <c r="R443" s="44" t="str">
        <f aca="false">IF(C443="","",IF(N(N443)&lt;6,"Finish the scoresheet before closing",IF(P443="Hot","Close now – send the contract / proposal today",IF(P443="Warm","Send proposal + a relevant result; follow up in 3 days","Rep's call – nurture or close politely")))&amp;IF(Q443&lt;&gt;""," (handle the 🚩 first)",""))</f>
        <v/>
      </c>
      <c r="S443" s="17"/>
      <c r="T443" s="17"/>
      <c r="U443" s="44" t="str">
        <f aca="false">IF(C443="","",IF(COUNTIF(C444:C$501,C443)=0,1,0))</f>
        <v/>
      </c>
    </row>
    <row r="444" customFormat="false" ht="15" hidden="false" customHeight="false" outlineLevel="0" collapsed="false">
      <c r="A444" s="17"/>
      <c r="B444" s="40"/>
      <c r="C444" s="17"/>
      <c r="D444" s="44" t="str">
        <f aca="false">IF(C444="","",IFERROR(INDEX(Inbound!$E$2:$E$501,MATCH(C444,Inbound!$A$2:$A$501,0)),IFERROR(INDEX(Outbound!$D$2:$D$501,MATCH(C444,Outbound!$A$2:$A$501,0)),"Lead ID not found")))</f>
        <v/>
      </c>
      <c r="E444" s="44" t="str">
        <f aca="false">IF(C444="","",IFERROR(INDEX(Inbound!$F$2:$F$501,MATCH(C444,Inbound!$A$2:$A$501,0)),IFERROR(INDEX(Outbound!$E$2:$E$501,MATCH(C444,Outbound!$A$2:$A$501,0)),"Lead ID not found")))</f>
        <v/>
      </c>
      <c r="F444" s="17"/>
      <c r="G444" s="17"/>
      <c r="H444" s="17"/>
      <c r="I444" s="17"/>
      <c r="J444" s="17"/>
      <c r="K444" s="17"/>
      <c r="L444" s="17"/>
      <c r="M444" s="17"/>
      <c r="N444" s="44" t="str">
        <f aca="false">IF(C444="","",COUNTA(H444:M444))</f>
        <v/>
      </c>
      <c r="O444" s="44" t="str">
        <f aca="false">IF(OR(C444="",N(N444)=0),"",SUMIFS(Settings!$AA$2:$AA$21,Settings!$Y$2:$Y$21,"Budget AED 5k+/mo?",Settings!$Z$2:$Z$21,H444)+SUMIFS(Settings!$AA$2:$AA$21,Settings!$Y$2:$Y$21,"Decision-maker?",Settings!$Z$2:$Z$21,I444)+SUMIFS(Settings!$AA$2:$AA$21,Settings!$Y$2:$Y$21,"Someone on camera?",Settings!$Z$2:$Z$21,J444)+SUMIFS(Settings!$AA$2:$AA$21,Settings!$Y$2:$Y$21,"OK with 3-month term?",Settings!$Z$2:$Z$21,K444)+SUMIFS(Settings!$AA$2:$AA$21,Settings!$Y$2:$Y$21,"Start timeline",Settings!$Z$2:$Z$21,L444)+SUMIFS(Settings!$AA$2:$AA$21,Settings!$Y$2:$Y$21,"Social media gap",Settings!$Z$2:$Z$21,M444)+IF(OR(E444="",E444="Lead ID not found"),0,IF(COUNTIF(Settings!$AC$2:$AC$6,E444)&gt;0,Settings!$AA$20,Settings!$AA$21)))</f>
        <v/>
      </c>
      <c r="P444" s="44" t="str">
        <f aca="false">IF(C444="","",IF(N(N444)&lt;6,"Partly scored ("&amp;N444&amp;"/6)",IF(O444&gt;=Settings!$S$8,"Hot",IF(O444&gt;=Settings!$S$9,"Warm","Cold"))))</f>
        <v/>
      </c>
      <c r="Q444" s="44" t="str">
        <f aca="false">IF(C444="","",IF(AND(H444="No",J444="No"),"🚩 Budget  ·  🚩 No one on camera",IF(H444="No","🚩 Budget under AED 5k",IF(J444="No","🚩 No one on camera",""))))</f>
        <v/>
      </c>
      <c r="R444" s="44" t="str">
        <f aca="false">IF(C444="","",IF(N(N444)&lt;6,"Finish the scoresheet before closing",IF(P444="Hot","Close now – send the contract / proposal today",IF(P444="Warm","Send proposal + a relevant result; follow up in 3 days","Rep's call – nurture or close politely")))&amp;IF(Q444&lt;&gt;""," (handle the 🚩 first)",""))</f>
        <v/>
      </c>
      <c r="S444" s="17"/>
      <c r="T444" s="17"/>
      <c r="U444" s="44" t="str">
        <f aca="false">IF(C444="","",IF(COUNTIF(C445:C$501,C444)=0,1,0))</f>
        <v/>
      </c>
    </row>
    <row r="445" customFormat="false" ht="15" hidden="false" customHeight="false" outlineLevel="0" collapsed="false">
      <c r="A445" s="17"/>
      <c r="B445" s="40"/>
      <c r="C445" s="17"/>
      <c r="D445" s="44" t="str">
        <f aca="false">IF(C445="","",IFERROR(INDEX(Inbound!$E$2:$E$501,MATCH(C445,Inbound!$A$2:$A$501,0)),IFERROR(INDEX(Outbound!$D$2:$D$501,MATCH(C445,Outbound!$A$2:$A$501,0)),"Lead ID not found")))</f>
        <v/>
      </c>
      <c r="E445" s="44" t="str">
        <f aca="false">IF(C445="","",IFERROR(INDEX(Inbound!$F$2:$F$501,MATCH(C445,Inbound!$A$2:$A$501,0)),IFERROR(INDEX(Outbound!$E$2:$E$501,MATCH(C445,Outbound!$A$2:$A$501,0)),"Lead ID not found")))</f>
        <v/>
      </c>
      <c r="F445" s="17"/>
      <c r="G445" s="17"/>
      <c r="H445" s="17"/>
      <c r="I445" s="17"/>
      <c r="J445" s="17"/>
      <c r="K445" s="17"/>
      <c r="L445" s="17"/>
      <c r="M445" s="17"/>
      <c r="N445" s="44" t="str">
        <f aca="false">IF(C445="","",COUNTA(H445:M445))</f>
        <v/>
      </c>
      <c r="O445" s="44" t="str">
        <f aca="false">IF(OR(C445="",N(N445)=0),"",SUMIFS(Settings!$AA$2:$AA$21,Settings!$Y$2:$Y$21,"Budget AED 5k+/mo?",Settings!$Z$2:$Z$21,H445)+SUMIFS(Settings!$AA$2:$AA$21,Settings!$Y$2:$Y$21,"Decision-maker?",Settings!$Z$2:$Z$21,I445)+SUMIFS(Settings!$AA$2:$AA$21,Settings!$Y$2:$Y$21,"Someone on camera?",Settings!$Z$2:$Z$21,J445)+SUMIFS(Settings!$AA$2:$AA$21,Settings!$Y$2:$Y$21,"OK with 3-month term?",Settings!$Z$2:$Z$21,K445)+SUMIFS(Settings!$AA$2:$AA$21,Settings!$Y$2:$Y$21,"Start timeline",Settings!$Z$2:$Z$21,L445)+SUMIFS(Settings!$AA$2:$AA$21,Settings!$Y$2:$Y$21,"Social media gap",Settings!$Z$2:$Z$21,M445)+IF(OR(E445="",E445="Lead ID not found"),0,IF(COUNTIF(Settings!$AC$2:$AC$6,E445)&gt;0,Settings!$AA$20,Settings!$AA$21)))</f>
        <v/>
      </c>
      <c r="P445" s="44" t="str">
        <f aca="false">IF(C445="","",IF(N(N445)&lt;6,"Partly scored ("&amp;N445&amp;"/6)",IF(O445&gt;=Settings!$S$8,"Hot",IF(O445&gt;=Settings!$S$9,"Warm","Cold"))))</f>
        <v/>
      </c>
      <c r="Q445" s="44" t="str">
        <f aca="false">IF(C445="","",IF(AND(H445="No",J445="No"),"🚩 Budget  ·  🚩 No one on camera",IF(H445="No","🚩 Budget under AED 5k",IF(J445="No","🚩 No one on camera",""))))</f>
        <v/>
      </c>
      <c r="R445" s="44" t="str">
        <f aca="false">IF(C445="","",IF(N(N445)&lt;6,"Finish the scoresheet before closing",IF(P445="Hot","Close now – send the contract / proposal today",IF(P445="Warm","Send proposal + a relevant result; follow up in 3 days","Rep's call – nurture or close politely")))&amp;IF(Q445&lt;&gt;""," (handle the 🚩 first)",""))</f>
        <v/>
      </c>
      <c r="S445" s="17"/>
      <c r="T445" s="17"/>
      <c r="U445" s="44" t="str">
        <f aca="false">IF(C445="","",IF(COUNTIF(C446:C$501,C445)=0,1,0))</f>
        <v/>
      </c>
    </row>
    <row r="446" customFormat="false" ht="15" hidden="false" customHeight="false" outlineLevel="0" collapsed="false">
      <c r="A446" s="17"/>
      <c r="B446" s="40"/>
      <c r="C446" s="17"/>
      <c r="D446" s="44" t="str">
        <f aca="false">IF(C446="","",IFERROR(INDEX(Inbound!$E$2:$E$501,MATCH(C446,Inbound!$A$2:$A$501,0)),IFERROR(INDEX(Outbound!$D$2:$D$501,MATCH(C446,Outbound!$A$2:$A$501,0)),"Lead ID not found")))</f>
        <v/>
      </c>
      <c r="E446" s="44" t="str">
        <f aca="false">IF(C446="","",IFERROR(INDEX(Inbound!$F$2:$F$501,MATCH(C446,Inbound!$A$2:$A$501,0)),IFERROR(INDEX(Outbound!$E$2:$E$501,MATCH(C446,Outbound!$A$2:$A$501,0)),"Lead ID not found")))</f>
        <v/>
      </c>
      <c r="F446" s="17"/>
      <c r="G446" s="17"/>
      <c r="H446" s="17"/>
      <c r="I446" s="17"/>
      <c r="J446" s="17"/>
      <c r="K446" s="17"/>
      <c r="L446" s="17"/>
      <c r="M446" s="17"/>
      <c r="N446" s="44" t="str">
        <f aca="false">IF(C446="","",COUNTA(H446:M446))</f>
        <v/>
      </c>
      <c r="O446" s="44" t="str">
        <f aca="false">IF(OR(C446="",N(N446)=0),"",SUMIFS(Settings!$AA$2:$AA$21,Settings!$Y$2:$Y$21,"Budget AED 5k+/mo?",Settings!$Z$2:$Z$21,H446)+SUMIFS(Settings!$AA$2:$AA$21,Settings!$Y$2:$Y$21,"Decision-maker?",Settings!$Z$2:$Z$21,I446)+SUMIFS(Settings!$AA$2:$AA$21,Settings!$Y$2:$Y$21,"Someone on camera?",Settings!$Z$2:$Z$21,J446)+SUMIFS(Settings!$AA$2:$AA$21,Settings!$Y$2:$Y$21,"OK with 3-month term?",Settings!$Z$2:$Z$21,K446)+SUMIFS(Settings!$AA$2:$AA$21,Settings!$Y$2:$Y$21,"Start timeline",Settings!$Z$2:$Z$21,L446)+SUMIFS(Settings!$AA$2:$AA$21,Settings!$Y$2:$Y$21,"Social media gap",Settings!$Z$2:$Z$21,M446)+IF(OR(E446="",E446="Lead ID not found"),0,IF(COUNTIF(Settings!$AC$2:$AC$6,E446)&gt;0,Settings!$AA$20,Settings!$AA$21)))</f>
        <v/>
      </c>
      <c r="P446" s="44" t="str">
        <f aca="false">IF(C446="","",IF(N(N446)&lt;6,"Partly scored ("&amp;N446&amp;"/6)",IF(O446&gt;=Settings!$S$8,"Hot",IF(O446&gt;=Settings!$S$9,"Warm","Cold"))))</f>
        <v/>
      </c>
      <c r="Q446" s="44" t="str">
        <f aca="false">IF(C446="","",IF(AND(H446="No",J446="No"),"🚩 Budget  ·  🚩 No one on camera",IF(H446="No","🚩 Budget under AED 5k",IF(J446="No","🚩 No one on camera",""))))</f>
        <v/>
      </c>
      <c r="R446" s="44" t="str">
        <f aca="false">IF(C446="","",IF(N(N446)&lt;6,"Finish the scoresheet before closing",IF(P446="Hot","Close now – send the contract / proposal today",IF(P446="Warm","Send proposal + a relevant result; follow up in 3 days","Rep's call – nurture or close politely")))&amp;IF(Q446&lt;&gt;""," (handle the 🚩 first)",""))</f>
        <v/>
      </c>
      <c r="S446" s="17"/>
      <c r="T446" s="17"/>
      <c r="U446" s="44" t="str">
        <f aca="false">IF(C446="","",IF(COUNTIF(C447:C$501,C446)=0,1,0))</f>
        <v/>
      </c>
    </row>
    <row r="447" customFormat="false" ht="15" hidden="false" customHeight="false" outlineLevel="0" collapsed="false">
      <c r="A447" s="17"/>
      <c r="B447" s="40"/>
      <c r="C447" s="17"/>
      <c r="D447" s="44" t="str">
        <f aca="false">IF(C447="","",IFERROR(INDEX(Inbound!$E$2:$E$501,MATCH(C447,Inbound!$A$2:$A$501,0)),IFERROR(INDEX(Outbound!$D$2:$D$501,MATCH(C447,Outbound!$A$2:$A$501,0)),"Lead ID not found")))</f>
        <v/>
      </c>
      <c r="E447" s="44" t="str">
        <f aca="false">IF(C447="","",IFERROR(INDEX(Inbound!$F$2:$F$501,MATCH(C447,Inbound!$A$2:$A$501,0)),IFERROR(INDEX(Outbound!$E$2:$E$501,MATCH(C447,Outbound!$A$2:$A$501,0)),"Lead ID not found")))</f>
        <v/>
      </c>
      <c r="F447" s="17"/>
      <c r="G447" s="17"/>
      <c r="H447" s="17"/>
      <c r="I447" s="17"/>
      <c r="J447" s="17"/>
      <c r="K447" s="17"/>
      <c r="L447" s="17"/>
      <c r="M447" s="17"/>
      <c r="N447" s="44" t="str">
        <f aca="false">IF(C447="","",COUNTA(H447:M447))</f>
        <v/>
      </c>
      <c r="O447" s="44" t="str">
        <f aca="false">IF(OR(C447="",N(N447)=0),"",SUMIFS(Settings!$AA$2:$AA$21,Settings!$Y$2:$Y$21,"Budget AED 5k+/mo?",Settings!$Z$2:$Z$21,H447)+SUMIFS(Settings!$AA$2:$AA$21,Settings!$Y$2:$Y$21,"Decision-maker?",Settings!$Z$2:$Z$21,I447)+SUMIFS(Settings!$AA$2:$AA$21,Settings!$Y$2:$Y$21,"Someone on camera?",Settings!$Z$2:$Z$21,J447)+SUMIFS(Settings!$AA$2:$AA$21,Settings!$Y$2:$Y$21,"OK with 3-month term?",Settings!$Z$2:$Z$21,K447)+SUMIFS(Settings!$AA$2:$AA$21,Settings!$Y$2:$Y$21,"Start timeline",Settings!$Z$2:$Z$21,L447)+SUMIFS(Settings!$AA$2:$AA$21,Settings!$Y$2:$Y$21,"Social media gap",Settings!$Z$2:$Z$21,M447)+IF(OR(E447="",E447="Lead ID not found"),0,IF(COUNTIF(Settings!$AC$2:$AC$6,E447)&gt;0,Settings!$AA$20,Settings!$AA$21)))</f>
        <v/>
      </c>
      <c r="P447" s="44" t="str">
        <f aca="false">IF(C447="","",IF(N(N447)&lt;6,"Partly scored ("&amp;N447&amp;"/6)",IF(O447&gt;=Settings!$S$8,"Hot",IF(O447&gt;=Settings!$S$9,"Warm","Cold"))))</f>
        <v/>
      </c>
      <c r="Q447" s="44" t="str">
        <f aca="false">IF(C447="","",IF(AND(H447="No",J447="No"),"🚩 Budget  ·  🚩 No one on camera",IF(H447="No","🚩 Budget under AED 5k",IF(J447="No","🚩 No one on camera",""))))</f>
        <v/>
      </c>
      <c r="R447" s="44" t="str">
        <f aca="false">IF(C447="","",IF(N(N447)&lt;6,"Finish the scoresheet before closing",IF(P447="Hot","Close now – send the contract / proposal today",IF(P447="Warm","Send proposal + a relevant result; follow up in 3 days","Rep's call – nurture or close politely")))&amp;IF(Q447&lt;&gt;""," (handle the 🚩 first)",""))</f>
        <v/>
      </c>
      <c r="S447" s="17"/>
      <c r="T447" s="17"/>
      <c r="U447" s="44" t="str">
        <f aca="false">IF(C447="","",IF(COUNTIF(C448:C$501,C447)=0,1,0))</f>
        <v/>
      </c>
    </row>
    <row r="448" customFormat="false" ht="15" hidden="false" customHeight="false" outlineLevel="0" collapsed="false">
      <c r="A448" s="17"/>
      <c r="B448" s="40"/>
      <c r="C448" s="17"/>
      <c r="D448" s="44" t="str">
        <f aca="false">IF(C448="","",IFERROR(INDEX(Inbound!$E$2:$E$501,MATCH(C448,Inbound!$A$2:$A$501,0)),IFERROR(INDEX(Outbound!$D$2:$D$501,MATCH(C448,Outbound!$A$2:$A$501,0)),"Lead ID not found")))</f>
        <v/>
      </c>
      <c r="E448" s="44" t="str">
        <f aca="false">IF(C448="","",IFERROR(INDEX(Inbound!$F$2:$F$501,MATCH(C448,Inbound!$A$2:$A$501,0)),IFERROR(INDEX(Outbound!$E$2:$E$501,MATCH(C448,Outbound!$A$2:$A$501,0)),"Lead ID not found")))</f>
        <v/>
      </c>
      <c r="F448" s="17"/>
      <c r="G448" s="17"/>
      <c r="H448" s="17"/>
      <c r="I448" s="17"/>
      <c r="J448" s="17"/>
      <c r="K448" s="17"/>
      <c r="L448" s="17"/>
      <c r="M448" s="17"/>
      <c r="N448" s="44" t="str">
        <f aca="false">IF(C448="","",COUNTA(H448:M448))</f>
        <v/>
      </c>
      <c r="O448" s="44" t="str">
        <f aca="false">IF(OR(C448="",N(N448)=0),"",SUMIFS(Settings!$AA$2:$AA$21,Settings!$Y$2:$Y$21,"Budget AED 5k+/mo?",Settings!$Z$2:$Z$21,H448)+SUMIFS(Settings!$AA$2:$AA$21,Settings!$Y$2:$Y$21,"Decision-maker?",Settings!$Z$2:$Z$21,I448)+SUMIFS(Settings!$AA$2:$AA$21,Settings!$Y$2:$Y$21,"Someone on camera?",Settings!$Z$2:$Z$21,J448)+SUMIFS(Settings!$AA$2:$AA$21,Settings!$Y$2:$Y$21,"OK with 3-month term?",Settings!$Z$2:$Z$21,K448)+SUMIFS(Settings!$AA$2:$AA$21,Settings!$Y$2:$Y$21,"Start timeline",Settings!$Z$2:$Z$21,L448)+SUMIFS(Settings!$AA$2:$AA$21,Settings!$Y$2:$Y$21,"Social media gap",Settings!$Z$2:$Z$21,M448)+IF(OR(E448="",E448="Lead ID not found"),0,IF(COUNTIF(Settings!$AC$2:$AC$6,E448)&gt;0,Settings!$AA$20,Settings!$AA$21)))</f>
        <v/>
      </c>
      <c r="P448" s="44" t="str">
        <f aca="false">IF(C448="","",IF(N(N448)&lt;6,"Partly scored ("&amp;N448&amp;"/6)",IF(O448&gt;=Settings!$S$8,"Hot",IF(O448&gt;=Settings!$S$9,"Warm","Cold"))))</f>
        <v/>
      </c>
      <c r="Q448" s="44" t="str">
        <f aca="false">IF(C448="","",IF(AND(H448="No",J448="No"),"🚩 Budget  ·  🚩 No one on camera",IF(H448="No","🚩 Budget under AED 5k",IF(J448="No","🚩 No one on camera",""))))</f>
        <v/>
      </c>
      <c r="R448" s="44" t="str">
        <f aca="false">IF(C448="","",IF(N(N448)&lt;6,"Finish the scoresheet before closing",IF(P448="Hot","Close now – send the contract / proposal today",IF(P448="Warm","Send proposal + a relevant result; follow up in 3 days","Rep's call – nurture or close politely")))&amp;IF(Q448&lt;&gt;""," (handle the 🚩 first)",""))</f>
        <v/>
      </c>
      <c r="S448" s="17"/>
      <c r="T448" s="17"/>
      <c r="U448" s="44" t="str">
        <f aca="false">IF(C448="","",IF(COUNTIF(C449:C$501,C448)=0,1,0))</f>
        <v/>
      </c>
    </row>
    <row r="449" customFormat="false" ht="15" hidden="false" customHeight="false" outlineLevel="0" collapsed="false">
      <c r="A449" s="17"/>
      <c r="B449" s="40"/>
      <c r="C449" s="17"/>
      <c r="D449" s="44" t="str">
        <f aca="false">IF(C449="","",IFERROR(INDEX(Inbound!$E$2:$E$501,MATCH(C449,Inbound!$A$2:$A$501,0)),IFERROR(INDEX(Outbound!$D$2:$D$501,MATCH(C449,Outbound!$A$2:$A$501,0)),"Lead ID not found")))</f>
        <v/>
      </c>
      <c r="E449" s="44" t="str">
        <f aca="false">IF(C449="","",IFERROR(INDEX(Inbound!$F$2:$F$501,MATCH(C449,Inbound!$A$2:$A$501,0)),IFERROR(INDEX(Outbound!$E$2:$E$501,MATCH(C449,Outbound!$A$2:$A$501,0)),"Lead ID not found")))</f>
        <v/>
      </c>
      <c r="F449" s="17"/>
      <c r="G449" s="17"/>
      <c r="H449" s="17"/>
      <c r="I449" s="17"/>
      <c r="J449" s="17"/>
      <c r="K449" s="17"/>
      <c r="L449" s="17"/>
      <c r="M449" s="17"/>
      <c r="N449" s="44" t="str">
        <f aca="false">IF(C449="","",COUNTA(H449:M449))</f>
        <v/>
      </c>
      <c r="O449" s="44" t="str">
        <f aca="false">IF(OR(C449="",N(N449)=0),"",SUMIFS(Settings!$AA$2:$AA$21,Settings!$Y$2:$Y$21,"Budget AED 5k+/mo?",Settings!$Z$2:$Z$21,H449)+SUMIFS(Settings!$AA$2:$AA$21,Settings!$Y$2:$Y$21,"Decision-maker?",Settings!$Z$2:$Z$21,I449)+SUMIFS(Settings!$AA$2:$AA$21,Settings!$Y$2:$Y$21,"Someone on camera?",Settings!$Z$2:$Z$21,J449)+SUMIFS(Settings!$AA$2:$AA$21,Settings!$Y$2:$Y$21,"OK with 3-month term?",Settings!$Z$2:$Z$21,K449)+SUMIFS(Settings!$AA$2:$AA$21,Settings!$Y$2:$Y$21,"Start timeline",Settings!$Z$2:$Z$21,L449)+SUMIFS(Settings!$AA$2:$AA$21,Settings!$Y$2:$Y$21,"Social media gap",Settings!$Z$2:$Z$21,M449)+IF(OR(E449="",E449="Lead ID not found"),0,IF(COUNTIF(Settings!$AC$2:$AC$6,E449)&gt;0,Settings!$AA$20,Settings!$AA$21)))</f>
        <v/>
      </c>
      <c r="P449" s="44" t="str">
        <f aca="false">IF(C449="","",IF(N(N449)&lt;6,"Partly scored ("&amp;N449&amp;"/6)",IF(O449&gt;=Settings!$S$8,"Hot",IF(O449&gt;=Settings!$S$9,"Warm","Cold"))))</f>
        <v/>
      </c>
      <c r="Q449" s="44" t="str">
        <f aca="false">IF(C449="","",IF(AND(H449="No",J449="No"),"🚩 Budget  ·  🚩 No one on camera",IF(H449="No","🚩 Budget under AED 5k",IF(J449="No","🚩 No one on camera",""))))</f>
        <v/>
      </c>
      <c r="R449" s="44" t="str">
        <f aca="false">IF(C449="","",IF(N(N449)&lt;6,"Finish the scoresheet before closing",IF(P449="Hot","Close now – send the contract / proposal today",IF(P449="Warm","Send proposal + a relevant result; follow up in 3 days","Rep's call – nurture or close politely")))&amp;IF(Q449&lt;&gt;""," (handle the 🚩 first)",""))</f>
        <v/>
      </c>
      <c r="S449" s="17"/>
      <c r="T449" s="17"/>
      <c r="U449" s="44" t="str">
        <f aca="false">IF(C449="","",IF(COUNTIF(C450:C$501,C449)=0,1,0))</f>
        <v/>
      </c>
    </row>
    <row r="450" customFormat="false" ht="15" hidden="false" customHeight="false" outlineLevel="0" collapsed="false">
      <c r="A450" s="17"/>
      <c r="B450" s="40"/>
      <c r="C450" s="17"/>
      <c r="D450" s="44" t="str">
        <f aca="false">IF(C450="","",IFERROR(INDEX(Inbound!$E$2:$E$501,MATCH(C450,Inbound!$A$2:$A$501,0)),IFERROR(INDEX(Outbound!$D$2:$D$501,MATCH(C450,Outbound!$A$2:$A$501,0)),"Lead ID not found")))</f>
        <v/>
      </c>
      <c r="E450" s="44" t="str">
        <f aca="false">IF(C450="","",IFERROR(INDEX(Inbound!$F$2:$F$501,MATCH(C450,Inbound!$A$2:$A$501,0)),IFERROR(INDEX(Outbound!$E$2:$E$501,MATCH(C450,Outbound!$A$2:$A$501,0)),"Lead ID not found")))</f>
        <v/>
      </c>
      <c r="F450" s="17"/>
      <c r="G450" s="17"/>
      <c r="H450" s="17"/>
      <c r="I450" s="17"/>
      <c r="J450" s="17"/>
      <c r="K450" s="17"/>
      <c r="L450" s="17"/>
      <c r="M450" s="17"/>
      <c r="N450" s="44" t="str">
        <f aca="false">IF(C450="","",COUNTA(H450:M450))</f>
        <v/>
      </c>
      <c r="O450" s="44" t="str">
        <f aca="false">IF(OR(C450="",N(N450)=0),"",SUMIFS(Settings!$AA$2:$AA$21,Settings!$Y$2:$Y$21,"Budget AED 5k+/mo?",Settings!$Z$2:$Z$21,H450)+SUMIFS(Settings!$AA$2:$AA$21,Settings!$Y$2:$Y$21,"Decision-maker?",Settings!$Z$2:$Z$21,I450)+SUMIFS(Settings!$AA$2:$AA$21,Settings!$Y$2:$Y$21,"Someone on camera?",Settings!$Z$2:$Z$21,J450)+SUMIFS(Settings!$AA$2:$AA$21,Settings!$Y$2:$Y$21,"OK with 3-month term?",Settings!$Z$2:$Z$21,K450)+SUMIFS(Settings!$AA$2:$AA$21,Settings!$Y$2:$Y$21,"Start timeline",Settings!$Z$2:$Z$21,L450)+SUMIFS(Settings!$AA$2:$AA$21,Settings!$Y$2:$Y$21,"Social media gap",Settings!$Z$2:$Z$21,M450)+IF(OR(E450="",E450="Lead ID not found"),0,IF(COUNTIF(Settings!$AC$2:$AC$6,E450)&gt;0,Settings!$AA$20,Settings!$AA$21)))</f>
        <v/>
      </c>
      <c r="P450" s="44" t="str">
        <f aca="false">IF(C450="","",IF(N(N450)&lt;6,"Partly scored ("&amp;N450&amp;"/6)",IF(O450&gt;=Settings!$S$8,"Hot",IF(O450&gt;=Settings!$S$9,"Warm","Cold"))))</f>
        <v/>
      </c>
      <c r="Q450" s="44" t="str">
        <f aca="false">IF(C450="","",IF(AND(H450="No",J450="No"),"🚩 Budget  ·  🚩 No one on camera",IF(H450="No","🚩 Budget under AED 5k",IF(J450="No","🚩 No one on camera",""))))</f>
        <v/>
      </c>
      <c r="R450" s="44" t="str">
        <f aca="false">IF(C450="","",IF(N(N450)&lt;6,"Finish the scoresheet before closing",IF(P450="Hot","Close now – send the contract / proposal today",IF(P450="Warm","Send proposal + a relevant result; follow up in 3 days","Rep's call – nurture or close politely")))&amp;IF(Q450&lt;&gt;""," (handle the 🚩 first)",""))</f>
        <v/>
      </c>
      <c r="S450" s="17"/>
      <c r="T450" s="17"/>
      <c r="U450" s="44" t="str">
        <f aca="false">IF(C450="","",IF(COUNTIF(C451:C$501,C450)=0,1,0))</f>
        <v/>
      </c>
    </row>
    <row r="451" customFormat="false" ht="15" hidden="false" customHeight="false" outlineLevel="0" collapsed="false">
      <c r="A451" s="17"/>
      <c r="B451" s="40"/>
      <c r="C451" s="17"/>
      <c r="D451" s="44" t="str">
        <f aca="false">IF(C451="","",IFERROR(INDEX(Inbound!$E$2:$E$501,MATCH(C451,Inbound!$A$2:$A$501,0)),IFERROR(INDEX(Outbound!$D$2:$D$501,MATCH(C451,Outbound!$A$2:$A$501,0)),"Lead ID not found")))</f>
        <v/>
      </c>
      <c r="E451" s="44" t="str">
        <f aca="false">IF(C451="","",IFERROR(INDEX(Inbound!$F$2:$F$501,MATCH(C451,Inbound!$A$2:$A$501,0)),IFERROR(INDEX(Outbound!$E$2:$E$501,MATCH(C451,Outbound!$A$2:$A$501,0)),"Lead ID not found")))</f>
        <v/>
      </c>
      <c r="F451" s="17"/>
      <c r="G451" s="17"/>
      <c r="H451" s="17"/>
      <c r="I451" s="17"/>
      <c r="J451" s="17"/>
      <c r="K451" s="17"/>
      <c r="L451" s="17"/>
      <c r="M451" s="17"/>
      <c r="N451" s="44" t="str">
        <f aca="false">IF(C451="","",COUNTA(H451:M451))</f>
        <v/>
      </c>
      <c r="O451" s="44" t="str">
        <f aca="false">IF(OR(C451="",N(N451)=0),"",SUMIFS(Settings!$AA$2:$AA$21,Settings!$Y$2:$Y$21,"Budget AED 5k+/mo?",Settings!$Z$2:$Z$21,H451)+SUMIFS(Settings!$AA$2:$AA$21,Settings!$Y$2:$Y$21,"Decision-maker?",Settings!$Z$2:$Z$21,I451)+SUMIFS(Settings!$AA$2:$AA$21,Settings!$Y$2:$Y$21,"Someone on camera?",Settings!$Z$2:$Z$21,J451)+SUMIFS(Settings!$AA$2:$AA$21,Settings!$Y$2:$Y$21,"OK with 3-month term?",Settings!$Z$2:$Z$21,K451)+SUMIFS(Settings!$AA$2:$AA$21,Settings!$Y$2:$Y$21,"Start timeline",Settings!$Z$2:$Z$21,L451)+SUMIFS(Settings!$AA$2:$AA$21,Settings!$Y$2:$Y$21,"Social media gap",Settings!$Z$2:$Z$21,M451)+IF(OR(E451="",E451="Lead ID not found"),0,IF(COUNTIF(Settings!$AC$2:$AC$6,E451)&gt;0,Settings!$AA$20,Settings!$AA$21)))</f>
        <v/>
      </c>
      <c r="P451" s="44" t="str">
        <f aca="false">IF(C451="","",IF(N(N451)&lt;6,"Partly scored ("&amp;N451&amp;"/6)",IF(O451&gt;=Settings!$S$8,"Hot",IF(O451&gt;=Settings!$S$9,"Warm","Cold"))))</f>
        <v/>
      </c>
      <c r="Q451" s="44" t="str">
        <f aca="false">IF(C451="","",IF(AND(H451="No",J451="No"),"🚩 Budget  ·  🚩 No one on camera",IF(H451="No","🚩 Budget under AED 5k",IF(J451="No","🚩 No one on camera",""))))</f>
        <v/>
      </c>
      <c r="R451" s="44" t="str">
        <f aca="false">IF(C451="","",IF(N(N451)&lt;6,"Finish the scoresheet before closing",IF(P451="Hot","Close now – send the contract / proposal today",IF(P451="Warm","Send proposal + a relevant result; follow up in 3 days","Rep's call – nurture or close politely")))&amp;IF(Q451&lt;&gt;""," (handle the 🚩 first)",""))</f>
        <v/>
      </c>
      <c r="S451" s="17"/>
      <c r="T451" s="17"/>
      <c r="U451" s="44" t="str">
        <f aca="false">IF(C451="","",IF(COUNTIF(C452:C$501,C451)=0,1,0))</f>
        <v/>
      </c>
    </row>
    <row r="452" customFormat="false" ht="15" hidden="false" customHeight="false" outlineLevel="0" collapsed="false">
      <c r="A452" s="17"/>
      <c r="B452" s="40"/>
      <c r="C452" s="17"/>
      <c r="D452" s="44" t="str">
        <f aca="false">IF(C452="","",IFERROR(INDEX(Inbound!$E$2:$E$501,MATCH(C452,Inbound!$A$2:$A$501,0)),IFERROR(INDEX(Outbound!$D$2:$D$501,MATCH(C452,Outbound!$A$2:$A$501,0)),"Lead ID not found")))</f>
        <v/>
      </c>
      <c r="E452" s="44" t="str">
        <f aca="false">IF(C452="","",IFERROR(INDEX(Inbound!$F$2:$F$501,MATCH(C452,Inbound!$A$2:$A$501,0)),IFERROR(INDEX(Outbound!$E$2:$E$501,MATCH(C452,Outbound!$A$2:$A$501,0)),"Lead ID not found")))</f>
        <v/>
      </c>
      <c r="F452" s="17"/>
      <c r="G452" s="17"/>
      <c r="H452" s="17"/>
      <c r="I452" s="17"/>
      <c r="J452" s="17"/>
      <c r="K452" s="17"/>
      <c r="L452" s="17"/>
      <c r="M452" s="17"/>
      <c r="N452" s="44" t="str">
        <f aca="false">IF(C452="","",COUNTA(H452:M452))</f>
        <v/>
      </c>
      <c r="O452" s="44" t="str">
        <f aca="false">IF(OR(C452="",N(N452)=0),"",SUMIFS(Settings!$AA$2:$AA$21,Settings!$Y$2:$Y$21,"Budget AED 5k+/mo?",Settings!$Z$2:$Z$21,H452)+SUMIFS(Settings!$AA$2:$AA$21,Settings!$Y$2:$Y$21,"Decision-maker?",Settings!$Z$2:$Z$21,I452)+SUMIFS(Settings!$AA$2:$AA$21,Settings!$Y$2:$Y$21,"Someone on camera?",Settings!$Z$2:$Z$21,J452)+SUMIFS(Settings!$AA$2:$AA$21,Settings!$Y$2:$Y$21,"OK with 3-month term?",Settings!$Z$2:$Z$21,K452)+SUMIFS(Settings!$AA$2:$AA$21,Settings!$Y$2:$Y$21,"Start timeline",Settings!$Z$2:$Z$21,L452)+SUMIFS(Settings!$AA$2:$AA$21,Settings!$Y$2:$Y$21,"Social media gap",Settings!$Z$2:$Z$21,M452)+IF(OR(E452="",E452="Lead ID not found"),0,IF(COUNTIF(Settings!$AC$2:$AC$6,E452)&gt;0,Settings!$AA$20,Settings!$AA$21)))</f>
        <v/>
      </c>
      <c r="P452" s="44" t="str">
        <f aca="false">IF(C452="","",IF(N(N452)&lt;6,"Partly scored ("&amp;N452&amp;"/6)",IF(O452&gt;=Settings!$S$8,"Hot",IF(O452&gt;=Settings!$S$9,"Warm","Cold"))))</f>
        <v/>
      </c>
      <c r="Q452" s="44" t="str">
        <f aca="false">IF(C452="","",IF(AND(H452="No",J452="No"),"🚩 Budget  ·  🚩 No one on camera",IF(H452="No","🚩 Budget under AED 5k",IF(J452="No","🚩 No one on camera",""))))</f>
        <v/>
      </c>
      <c r="R452" s="44" t="str">
        <f aca="false">IF(C452="","",IF(N(N452)&lt;6,"Finish the scoresheet before closing",IF(P452="Hot","Close now – send the contract / proposal today",IF(P452="Warm","Send proposal + a relevant result; follow up in 3 days","Rep's call – nurture or close politely")))&amp;IF(Q452&lt;&gt;""," (handle the 🚩 first)",""))</f>
        <v/>
      </c>
      <c r="S452" s="17"/>
      <c r="T452" s="17"/>
      <c r="U452" s="44" t="str">
        <f aca="false">IF(C452="","",IF(COUNTIF(C453:C$501,C452)=0,1,0))</f>
        <v/>
      </c>
    </row>
    <row r="453" customFormat="false" ht="15" hidden="false" customHeight="false" outlineLevel="0" collapsed="false">
      <c r="A453" s="17"/>
      <c r="B453" s="40"/>
      <c r="C453" s="17"/>
      <c r="D453" s="44" t="str">
        <f aca="false">IF(C453="","",IFERROR(INDEX(Inbound!$E$2:$E$501,MATCH(C453,Inbound!$A$2:$A$501,0)),IFERROR(INDEX(Outbound!$D$2:$D$501,MATCH(C453,Outbound!$A$2:$A$501,0)),"Lead ID not found")))</f>
        <v/>
      </c>
      <c r="E453" s="44" t="str">
        <f aca="false">IF(C453="","",IFERROR(INDEX(Inbound!$F$2:$F$501,MATCH(C453,Inbound!$A$2:$A$501,0)),IFERROR(INDEX(Outbound!$E$2:$E$501,MATCH(C453,Outbound!$A$2:$A$501,0)),"Lead ID not found")))</f>
        <v/>
      </c>
      <c r="F453" s="17"/>
      <c r="G453" s="17"/>
      <c r="H453" s="17"/>
      <c r="I453" s="17"/>
      <c r="J453" s="17"/>
      <c r="K453" s="17"/>
      <c r="L453" s="17"/>
      <c r="M453" s="17"/>
      <c r="N453" s="44" t="str">
        <f aca="false">IF(C453="","",COUNTA(H453:M453))</f>
        <v/>
      </c>
      <c r="O453" s="44" t="str">
        <f aca="false">IF(OR(C453="",N(N453)=0),"",SUMIFS(Settings!$AA$2:$AA$21,Settings!$Y$2:$Y$21,"Budget AED 5k+/mo?",Settings!$Z$2:$Z$21,H453)+SUMIFS(Settings!$AA$2:$AA$21,Settings!$Y$2:$Y$21,"Decision-maker?",Settings!$Z$2:$Z$21,I453)+SUMIFS(Settings!$AA$2:$AA$21,Settings!$Y$2:$Y$21,"Someone on camera?",Settings!$Z$2:$Z$21,J453)+SUMIFS(Settings!$AA$2:$AA$21,Settings!$Y$2:$Y$21,"OK with 3-month term?",Settings!$Z$2:$Z$21,K453)+SUMIFS(Settings!$AA$2:$AA$21,Settings!$Y$2:$Y$21,"Start timeline",Settings!$Z$2:$Z$21,L453)+SUMIFS(Settings!$AA$2:$AA$21,Settings!$Y$2:$Y$21,"Social media gap",Settings!$Z$2:$Z$21,M453)+IF(OR(E453="",E453="Lead ID not found"),0,IF(COUNTIF(Settings!$AC$2:$AC$6,E453)&gt;0,Settings!$AA$20,Settings!$AA$21)))</f>
        <v/>
      </c>
      <c r="P453" s="44" t="str">
        <f aca="false">IF(C453="","",IF(N(N453)&lt;6,"Partly scored ("&amp;N453&amp;"/6)",IF(O453&gt;=Settings!$S$8,"Hot",IF(O453&gt;=Settings!$S$9,"Warm","Cold"))))</f>
        <v/>
      </c>
      <c r="Q453" s="44" t="str">
        <f aca="false">IF(C453="","",IF(AND(H453="No",J453="No"),"🚩 Budget  ·  🚩 No one on camera",IF(H453="No","🚩 Budget under AED 5k",IF(J453="No","🚩 No one on camera",""))))</f>
        <v/>
      </c>
      <c r="R453" s="44" t="str">
        <f aca="false">IF(C453="","",IF(N(N453)&lt;6,"Finish the scoresheet before closing",IF(P453="Hot","Close now – send the contract / proposal today",IF(P453="Warm","Send proposal + a relevant result; follow up in 3 days","Rep's call – nurture or close politely")))&amp;IF(Q453&lt;&gt;""," (handle the 🚩 first)",""))</f>
        <v/>
      </c>
      <c r="S453" s="17"/>
      <c r="T453" s="17"/>
      <c r="U453" s="44" t="str">
        <f aca="false">IF(C453="","",IF(COUNTIF(C454:C$501,C453)=0,1,0))</f>
        <v/>
      </c>
    </row>
    <row r="454" customFormat="false" ht="15" hidden="false" customHeight="false" outlineLevel="0" collapsed="false">
      <c r="A454" s="17"/>
      <c r="B454" s="40"/>
      <c r="C454" s="17"/>
      <c r="D454" s="44" t="str">
        <f aca="false">IF(C454="","",IFERROR(INDEX(Inbound!$E$2:$E$501,MATCH(C454,Inbound!$A$2:$A$501,0)),IFERROR(INDEX(Outbound!$D$2:$D$501,MATCH(C454,Outbound!$A$2:$A$501,0)),"Lead ID not found")))</f>
        <v/>
      </c>
      <c r="E454" s="44" t="str">
        <f aca="false">IF(C454="","",IFERROR(INDEX(Inbound!$F$2:$F$501,MATCH(C454,Inbound!$A$2:$A$501,0)),IFERROR(INDEX(Outbound!$E$2:$E$501,MATCH(C454,Outbound!$A$2:$A$501,0)),"Lead ID not found")))</f>
        <v/>
      </c>
      <c r="F454" s="17"/>
      <c r="G454" s="17"/>
      <c r="H454" s="17"/>
      <c r="I454" s="17"/>
      <c r="J454" s="17"/>
      <c r="K454" s="17"/>
      <c r="L454" s="17"/>
      <c r="M454" s="17"/>
      <c r="N454" s="44" t="str">
        <f aca="false">IF(C454="","",COUNTA(H454:M454))</f>
        <v/>
      </c>
      <c r="O454" s="44" t="str">
        <f aca="false">IF(OR(C454="",N(N454)=0),"",SUMIFS(Settings!$AA$2:$AA$21,Settings!$Y$2:$Y$21,"Budget AED 5k+/mo?",Settings!$Z$2:$Z$21,H454)+SUMIFS(Settings!$AA$2:$AA$21,Settings!$Y$2:$Y$21,"Decision-maker?",Settings!$Z$2:$Z$21,I454)+SUMIFS(Settings!$AA$2:$AA$21,Settings!$Y$2:$Y$21,"Someone on camera?",Settings!$Z$2:$Z$21,J454)+SUMIFS(Settings!$AA$2:$AA$21,Settings!$Y$2:$Y$21,"OK with 3-month term?",Settings!$Z$2:$Z$21,K454)+SUMIFS(Settings!$AA$2:$AA$21,Settings!$Y$2:$Y$21,"Start timeline",Settings!$Z$2:$Z$21,L454)+SUMIFS(Settings!$AA$2:$AA$21,Settings!$Y$2:$Y$21,"Social media gap",Settings!$Z$2:$Z$21,M454)+IF(OR(E454="",E454="Lead ID not found"),0,IF(COUNTIF(Settings!$AC$2:$AC$6,E454)&gt;0,Settings!$AA$20,Settings!$AA$21)))</f>
        <v/>
      </c>
      <c r="P454" s="44" t="str">
        <f aca="false">IF(C454="","",IF(N(N454)&lt;6,"Partly scored ("&amp;N454&amp;"/6)",IF(O454&gt;=Settings!$S$8,"Hot",IF(O454&gt;=Settings!$S$9,"Warm","Cold"))))</f>
        <v/>
      </c>
      <c r="Q454" s="44" t="str">
        <f aca="false">IF(C454="","",IF(AND(H454="No",J454="No"),"🚩 Budget  ·  🚩 No one on camera",IF(H454="No","🚩 Budget under AED 5k",IF(J454="No","🚩 No one on camera",""))))</f>
        <v/>
      </c>
      <c r="R454" s="44" t="str">
        <f aca="false">IF(C454="","",IF(N(N454)&lt;6,"Finish the scoresheet before closing",IF(P454="Hot","Close now – send the contract / proposal today",IF(P454="Warm","Send proposal + a relevant result; follow up in 3 days","Rep's call – nurture or close politely")))&amp;IF(Q454&lt;&gt;""," (handle the 🚩 first)",""))</f>
        <v/>
      </c>
      <c r="S454" s="17"/>
      <c r="T454" s="17"/>
      <c r="U454" s="44" t="str">
        <f aca="false">IF(C454="","",IF(COUNTIF(C455:C$501,C454)=0,1,0))</f>
        <v/>
      </c>
    </row>
    <row r="455" customFormat="false" ht="15" hidden="false" customHeight="false" outlineLevel="0" collapsed="false">
      <c r="A455" s="17"/>
      <c r="B455" s="40"/>
      <c r="C455" s="17"/>
      <c r="D455" s="44" t="str">
        <f aca="false">IF(C455="","",IFERROR(INDEX(Inbound!$E$2:$E$501,MATCH(C455,Inbound!$A$2:$A$501,0)),IFERROR(INDEX(Outbound!$D$2:$D$501,MATCH(C455,Outbound!$A$2:$A$501,0)),"Lead ID not found")))</f>
        <v/>
      </c>
      <c r="E455" s="44" t="str">
        <f aca="false">IF(C455="","",IFERROR(INDEX(Inbound!$F$2:$F$501,MATCH(C455,Inbound!$A$2:$A$501,0)),IFERROR(INDEX(Outbound!$E$2:$E$501,MATCH(C455,Outbound!$A$2:$A$501,0)),"Lead ID not found")))</f>
        <v/>
      </c>
      <c r="F455" s="17"/>
      <c r="G455" s="17"/>
      <c r="H455" s="17"/>
      <c r="I455" s="17"/>
      <c r="J455" s="17"/>
      <c r="K455" s="17"/>
      <c r="L455" s="17"/>
      <c r="M455" s="17"/>
      <c r="N455" s="44" t="str">
        <f aca="false">IF(C455="","",COUNTA(H455:M455))</f>
        <v/>
      </c>
      <c r="O455" s="44" t="str">
        <f aca="false">IF(OR(C455="",N(N455)=0),"",SUMIFS(Settings!$AA$2:$AA$21,Settings!$Y$2:$Y$21,"Budget AED 5k+/mo?",Settings!$Z$2:$Z$21,H455)+SUMIFS(Settings!$AA$2:$AA$21,Settings!$Y$2:$Y$21,"Decision-maker?",Settings!$Z$2:$Z$21,I455)+SUMIFS(Settings!$AA$2:$AA$21,Settings!$Y$2:$Y$21,"Someone on camera?",Settings!$Z$2:$Z$21,J455)+SUMIFS(Settings!$AA$2:$AA$21,Settings!$Y$2:$Y$21,"OK with 3-month term?",Settings!$Z$2:$Z$21,K455)+SUMIFS(Settings!$AA$2:$AA$21,Settings!$Y$2:$Y$21,"Start timeline",Settings!$Z$2:$Z$21,L455)+SUMIFS(Settings!$AA$2:$AA$21,Settings!$Y$2:$Y$21,"Social media gap",Settings!$Z$2:$Z$21,M455)+IF(OR(E455="",E455="Lead ID not found"),0,IF(COUNTIF(Settings!$AC$2:$AC$6,E455)&gt;0,Settings!$AA$20,Settings!$AA$21)))</f>
        <v/>
      </c>
      <c r="P455" s="44" t="str">
        <f aca="false">IF(C455="","",IF(N(N455)&lt;6,"Partly scored ("&amp;N455&amp;"/6)",IF(O455&gt;=Settings!$S$8,"Hot",IF(O455&gt;=Settings!$S$9,"Warm","Cold"))))</f>
        <v/>
      </c>
      <c r="Q455" s="44" t="str">
        <f aca="false">IF(C455="","",IF(AND(H455="No",J455="No"),"🚩 Budget  ·  🚩 No one on camera",IF(H455="No","🚩 Budget under AED 5k",IF(J455="No","🚩 No one on camera",""))))</f>
        <v/>
      </c>
      <c r="R455" s="44" t="str">
        <f aca="false">IF(C455="","",IF(N(N455)&lt;6,"Finish the scoresheet before closing",IF(P455="Hot","Close now – send the contract / proposal today",IF(P455="Warm","Send proposal + a relevant result; follow up in 3 days","Rep's call – nurture or close politely")))&amp;IF(Q455&lt;&gt;""," (handle the 🚩 first)",""))</f>
        <v/>
      </c>
      <c r="S455" s="17"/>
      <c r="T455" s="17"/>
      <c r="U455" s="44" t="str">
        <f aca="false">IF(C455="","",IF(COUNTIF(C456:C$501,C455)=0,1,0))</f>
        <v/>
      </c>
    </row>
    <row r="456" customFormat="false" ht="15" hidden="false" customHeight="false" outlineLevel="0" collapsed="false">
      <c r="A456" s="17"/>
      <c r="B456" s="40"/>
      <c r="C456" s="17"/>
      <c r="D456" s="44" t="str">
        <f aca="false">IF(C456="","",IFERROR(INDEX(Inbound!$E$2:$E$501,MATCH(C456,Inbound!$A$2:$A$501,0)),IFERROR(INDEX(Outbound!$D$2:$D$501,MATCH(C456,Outbound!$A$2:$A$501,0)),"Lead ID not found")))</f>
        <v/>
      </c>
      <c r="E456" s="44" t="str">
        <f aca="false">IF(C456="","",IFERROR(INDEX(Inbound!$F$2:$F$501,MATCH(C456,Inbound!$A$2:$A$501,0)),IFERROR(INDEX(Outbound!$E$2:$E$501,MATCH(C456,Outbound!$A$2:$A$501,0)),"Lead ID not found")))</f>
        <v/>
      </c>
      <c r="F456" s="17"/>
      <c r="G456" s="17"/>
      <c r="H456" s="17"/>
      <c r="I456" s="17"/>
      <c r="J456" s="17"/>
      <c r="K456" s="17"/>
      <c r="L456" s="17"/>
      <c r="M456" s="17"/>
      <c r="N456" s="44" t="str">
        <f aca="false">IF(C456="","",COUNTA(H456:M456))</f>
        <v/>
      </c>
      <c r="O456" s="44" t="str">
        <f aca="false">IF(OR(C456="",N(N456)=0),"",SUMIFS(Settings!$AA$2:$AA$21,Settings!$Y$2:$Y$21,"Budget AED 5k+/mo?",Settings!$Z$2:$Z$21,H456)+SUMIFS(Settings!$AA$2:$AA$21,Settings!$Y$2:$Y$21,"Decision-maker?",Settings!$Z$2:$Z$21,I456)+SUMIFS(Settings!$AA$2:$AA$21,Settings!$Y$2:$Y$21,"Someone on camera?",Settings!$Z$2:$Z$21,J456)+SUMIFS(Settings!$AA$2:$AA$21,Settings!$Y$2:$Y$21,"OK with 3-month term?",Settings!$Z$2:$Z$21,K456)+SUMIFS(Settings!$AA$2:$AA$21,Settings!$Y$2:$Y$21,"Start timeline",Settings!$Z$2:$Z$21,L456)+SUMIFS(Settings!$AA$2:$AA$21,Settings!$Y$2:$Y$21,"Social media gap",Settings!$Z$2:$Z$21,M456)+IF(OR(E456="",E456="Lead ID not found"),0,IF(COUNTIF(Settings!$AC$2:$AC$6,E456)&gt;0,Settings!$AA$20,Settings!$AA$21)))</f>
        <v/>
      </c>
      <c r="P456" s="44" t="str">
        <f aca="false">IF(C456="","",IF(N(N456)&lt;6,"Partly scored ("&amp;N456&amp;"/6)",IF(O456&gt;=Settings!$S$8,"Hot",IF(O456&gt;=Settings!$S$9,"Warm","Cold"))))</f>
        <v/>
      </c>
      <c r="Q456" s="44" t="str">
        <f aca="false">IF(C456="","",IF(AND(H456="No",J456="No"),"🚩 Budget  ·  🚩 No one on camera",IF(H456="No","🚩 Budget under AED 5k",IF(J456="No","🚩 No one on camera",""))))</f>
        <v/>
      </c>
      <c r="R456" s="44" t="str">
        <f aca="false">IF(C456="","",IF(N(N456)&lt;6,"Finish the scoresheet before closing",IF(P456="Hot","Close now – send the contract / proposal today",IF(P456="Warm","Send proposal + a relevant result; follow up in 3 days","Rep's call – nurture or close politely")))&amp;IF(Q456&lt;&gt;""," (handle the 🚩 first)",""))</f>
        <v/>
      </c>
      <c r="S456" s="17"/>
      <c r="T456" s="17"/>
      <c r="U456" s="44" t="str">
        <f aca="false">IF(C456="","",IF(COUNTIF(C457:C$501,C456)=0,1,0))</f>
        <v/>
      </c>
    </row>
    <row r="457" customFormat="false" ht="15" hidden="false" customHeight="false" outlineLevel="0" collapsed="false">
      <c r="A457" s="17"/>
      <c r="B457" s="40"/>
      <c r="C457" s="17"/>
      <c r="D457" s="44" t="str">
        <f aca="false">IF(C457="","",IFERROR(INDEX(Inbound!$E$2:$E$501,MATCH(C457,Inbound!$A$2:$A$501,0)),IFERROR(INDEX(Outbound!$D$2:$D$501,MATCH(C457,Outbound!$A$2:$A$501,0)),"Lead ID not found")))</f>
        <v/>
      </c>
      <c r="E457" s="44" t="str">
        <f aca="false">IF(C457="","",IFERROR(INDEX(Inbound!$F$2:$F$501,MATCH(C457,Inbound!$A$2:$A$501,0)),IFERROR(INDEX(Outbound!$E$2:$E$501,MATCH(C457,Outbound!$A$2:$A$501,0)),"Lead ID not found")))</f>
        <v/>
      </c>
      <c r="F457" s="17"/>
      <c r="G457" s="17"/>
      <c r="H457" s="17"/>
      <c r="I457" s="17"/>
      <c r="J457" s="17"/>
      <c r="K457" s="17"/>
      <c r="L457" s="17"/>
      <c r="M457" s="17"/>
      <c r="N457" s="44" t="str">
        <f aca="false">IF(C457="","",COUNTA(H457:M457))</f>
        <v/>
      </c>
      <c r="O457" s="44" t="str">
        <f aca="false">IF(OR(C457="",N(N457)=0),"",SUMIFS(Settings!$AA$2:$AA$21,Settings!$Y$2:$Y$21,"Budget AED 5k+/mo?",Settings!$Z$2:$Z$21,H457)+SUMIFS(Settings!$AA$2:$AA$21,Settings!$Y$2:$Y$21,"Decision-maker?",Settings!$Z$2:$Z$21,I457)+SUMIFS(Settings!$AA$2:$AA$21,Settings!$Y$2:$Y$21,"Someone on camera?",Settings!$Z$2:$Z$21,J457)+SUMIFS(Settings!$AA$2:$AA$21,Settings!$Y$2:$Y$21,"OK with 3-month term?",Settings!$Z$2:$Z$21,K457)+SUMIFS(Settings!$AA$2:$AA$21,Settings!$Y$2:$Y$21,"Start timeline",Settings!$Z$2:$Z$21,L457)+SUMIFS(Settings!$AA$2:$AA$21,Settings!$Y$2:$Y$21,"Social media gap",Settings!$Z$2:$Z$21,M457)+IF(OR(E457="",E457="Lead ID not found"),0,IF(COUNTIF(Settings!$AC$2:$AC$6,E457)&gt;0,Settings!$AA$20,Settings!$AA$21)))</f>
        <v/>
      </c>
      <c r="P457" s="44" t="str">
        <f aca="false">IF(C457="","",IF(N(N457)&lt;6,"Partly scored ("&amp;N457&amp;"/6)",IF(O457&gt;=Settings!$S$8,"Hot",IF(O457&gt;=Settings!$S$9,"Warm","Cold"))))</f>
        <v/>
      </c>
      <c r="Q457" s="44" t="str">
        <f aca="false">IF(C457="","",IF(AND(H457="No",J457="No"),"🚩 Budget  ·  🚩 No one on camera",IF(H457="No","🚩 Budget under AED 5k",IF(J457="No","🚩 No one on camera",""))))</f>
        <v/>
      </c>
      <c r="R457" s="44" t="str">
        <f aca="false">IF(C457="","",IF(N(N457)&lt;6,"Finish the scoresheet before closing",IF(P457="Hot","Close now – send the contract / proposal today",IF(P457="Warm","Send proposal + a relevant result; follow up in 3 days","Rep's call – nurture or close politely")))&amp;IF(Q457&lt;&gt;""," (handle the 🚩 first)",""))</f>
        <v/>
      </c>
      <c r="S457" s="17"/>
      <c r="T457" s="17"/>
      <c r="U457" s="44" t="str">
        <f aca="false">IF(C457="","",IF(COUNTIF(C458:C$501,C457)=0,1,0))</f>
        <v/>
      </c>
    </row>
    <row r="458" customFormat="false" ht="15" hidden="false" customHeight="false" outlineLevel="0" collapsed="false">
      <c r="A458" s="17"/>
      <c r="B458" s="40"/>
      <c r="C458" s="17"/>
      <c r="D458" s="44" t="str">
        <f aca="false">IF(C458="","",IFERROR(INDEX(Inbound!$E$2:$E$501,MATCH(C458,Inbound!$A$2:$A$501,0)),IFERROR(INDEX(Outbound!$D$2:$D$501,MATCH(C458,Outbound!$A$2:$A$501,0)),"Lead ID not found")))</f>
        <v/>
      </c>
      <c r="E458" s="44" t="str">
        <f aca="false">IF(C458="","",IFERROR(INDEX(Inbound!$F$2:$F$501,MATCH(C458,Inbound!$A$2:$A$501,0)),IFERROR(INDEX(Outbound!$E$2:$E$501,MATCH(C458,Outbound!$A$2:$A$501,0)),"Lead ID not found")))</f>
        <v/>
      </c>
      <c r="F458" s="17"/>
      <c r="G458" s="17"/>
      <c r="H458" s="17"/>
      <c r="I458" s="17"/>
      <c r="J458" s="17"/>
      <c r="K458" s="17"/>
      <c r="L458" s="17"/>
      <c r="M458" s="17"/>
      <c r="N458" s="44" t="str">
        <f aca="false">IF(C458="","",COUNTA(H458:M458))</f>
        <v/>
      </c>
      <c r="O458" s="44" t="str">
        <f aca="false">IF(OR(C458="",N(N458)=0),"",SUMIFS(Settings!$AA$2:$AA$21,Settings!$Y$2:$Y$21,"Budget AED 5k+/mo?",Settings!$Z$2:$Z$21,H458)+SUMIFS(Settings!$AA$2:$AA$21,Settings!$Y$2:$Y$21,"Decision-maker?",Settings!$Z$2:$Z$21,I458)+SUMIFS(Settings!$AA$2:$AA$21,Settings!$Y$2:$Y$21,"Someone on camera?",Settings!$Z$2:$Z$21,J458)+SUMIFS(Settings!$AA$2:$AA$21,Settings!$Y$2:$Y$21,"OK with 3-month term?",Settings!$Z$2:$Z$21,K458)+SUMIFS(Settings!$AA$2:$AA$21,Settings!$Y$2:$Y$21,"Start timeline",Settings!$Z$2:$Z$21,L458)+SUMIFS(Settings!$AA$2:$AA$21,Settings!$Y$2:$Y$21,"Social media gap",Settings!$Z$2:$Z$21,M458)+IF(OR(E458="",E458="Lead ID not found"),0,IF(COUNTIF(Settings!$AC$2:$AC$6,E458)&gt;0,Settings!$AA$20,Settings!$AA$21)))</f>
        <v/>
      </c>
      <c r="P458" s="44" t="str">
        <f aca="false">IF(C458="","",IF(N(N458)&lt;6,"Partly scored ("&amp;N458&amp;"/6)",IF(O458&gt;=Settings!$S$8,"Hot",IF(O458&gt;=Settings!$S$9,"Warm","Cold"))))</f>
        <v/>
      </c>
      <c r="Q458" s="44" t="str">
        <f aca="false">IF(C458="","",IF(AND(H458="No",J458="No"),"🚩 Budget  ·  🚩 No one on camera",IF(H458="No","🚩 Budget under AED 5k",IF(J458="No","🚩 No one on camera",""))))</f>
        <v/>
      </c>
      <c r="R458" s="44" t="str">
        <f aca="false">IF(C458="","",IF(N(N458)&lt;6,"Finish the scoresheet before closing",IF(P458="Hot","Close now – send the contract / proposal today",IF(P458="Warm","Send proposal + a relevant result; follow up in 3 days","Rep's call – nurture or close politely")))&amp;IF(Q458&lt;&gt;""," (handle the 🚩 first)",""))</f>
        <v/>
      </c>
      <c r="S458" s="17"/>
      <c r="T458" s="17"/>
      <c r="U458" s="44" t="str">
        <f aca="false">IF(C458="","",IF(COUNTIF(C459:C$501,C458)=0,1,0))</f>
        <v/>
      </c>
    </row>
    <row r="459" customFormat="false" ht="15" hidden="false" customHeight="false" outlineLevel="0" collapsed="false">
      <c r="A459" s="17"/>
      <c r="B459" s="40"/>
      <c r="C459" s="17"/>
      <c r="D459" s="44" t="str">
        <f aca="false">IF(C459="","",IFERROR(INDEX(Inbound!$E$2:$E$501,MATCH(C459,Inbound!$A$2:$A$501,0)),IFERROR(INDEX(Outbound!$D$2:$D$501,MATCH(C459,Outbound!$A$2:$A$501,0)),"Lead ID not found")))</f>
        <v/>
      </c>
      <c r="E459" s="44" t="str">
        <f aca="false">IF(C459="","",IFERROR(INDEX(Inbound!$F$2:$F$501,MATCH(C459,Inbound!$A$2:$A$501,0)),IFERROR(INDEX(Outbound!$E$2:$E$501,MATCH(C459,Outbound!$A$2:$A$501,0)),"Lead ID not found")))</f>
        <v/>
      </c>
      <c r="F459" s="17"/>
      <c r="G459" s="17"/>
      <c r="H459" s="17"/>
      <c r="I459" s="17"/>
      <c r="J459" s="17"/>
      <c r="K459" s="17"/>
      <c r="L459" s="17"/>
      <c r="M459" s="17"/>
      <c r="N459" s="44" t="str">
        <f aca="false">IF(C459="","",COUNTA(H459:M459))</f>
        <v/>
      </c>
      <c r="O459" s="44" t="str">
        <f aca="false">IF(OR(C459="",N(N459)=0),"",SUMIFS(Settings!$AA$2:$AA$21,Settings!$Y$2:$Y$21,"Budget AED 5k+/mo?",Settings!$Z$2:$Z$21,H459)+SUMIFS(Settings!$AA$2:$AA$21,Settings!$Y$2:$Y$21,"Decision-maker?",Settings!$Z$2:$Z$21,I459)+SUMIFS(Settings!$AA$2:$AA$21,Settings!$Y$2:$Y$21,"Someone on camera?",Settings!$Z$2:$Z$21,J459)+SUMIFS(Settings!$AA$2:$AA$21,Settings!$Y$2:$Y$21,"OK with 3-month term?",Settings!$Z$2:$Z$21,K459)+SUMIFS(Settings!$AA$2:$AA$21,Settings!$Y$2:$Y$21,"Start timeline",Settings!$Z$2:$Z$21,L459)+SUMIFS(Settings!$AA$2:$AA$21,Settings!$Y$2:$Y$21,"Social media gap",Settings!$Z$2:$Z$21,M459)+IF(OR(E459="",E459="Lead ID not found"),0,IF(COUNTIF(Settings!$AC$2:$AC$6,E459)&gt;0,Settings!$AA$20,Settings!$AA$21)))</f>
        <v/>
      </c>
      <c r="P459" s="44" t="str">
        <f aca="false">IF(C459="","",IF(N(N459)&lt;6,"Partly scored ("&amp;N459&amp;"/6)",IF(O459&gt;=Settings!$S$8,"Hot",IF(O459&gt;=Settings!$S$9,"Warm","Cold"))))</f>
        <v/>
      </c>
      <c r="Q459" s="44" t="str">
        <f aca="false">IF(C459="","",IF(AND(H459="No",J459="No"),"🚩 Budget  ·  🚩 No one on camera",IF(H459="No","🚩 Budget under AED 5k",IF(J459="No","🚩 No one on camera",""))))</f>
        <v/>
      </c>
      <c r="R459" s="44" t="str">
        <f aca="false">IF(C459="","",IF(N(N459)&lt;6,"Finish the scoresheet before closing",IF(P459="Hot","Close now – send the contract / proposal today",IF(P459="Warm","Send proposal + a relevant result; follow up in 3 days","Rep's call – nurture or close politely")))&amp;IF(Q459&lt;&gt;""," (handle the 🚩 first)",""))</f>
        <v/>
      </c>
      <c r="S459" s="17"/>
      <c r="T459" s="17"/>
      <c r="U459" s="44" t="str">
        <f aca="false">IF(C459="","",IF(COUNTIF(C460:C$501,C459)=0,1,0))</f>
        <v/>
      </c>
    </row>
    <row r="460" customFormat="false" ht="15" hidden="false" customHeight="false" outlineLevel="0" collapsed="false">
      <c r="A460" s="17"/>
      <c r="B460" s="40"/>
      <c r="C460" s="17"/>
      <c r="D460" s="44" t="str">
        <f aca="false">IF(C460="","",IFERROR(INDEX(Inbound!$E$2:$E$501,MATCH(C460,Inbound!$A$2:$A$501,0)),IFERROR(INDEX(Outbound!$D$2:$D$501,MATCH(C460,Outbound!$A$2:$A$501,0)),"Lead ID not found")))</f>
        <v/>
      </c>
      <c r="E460" s="44" t="str">
        <f aca="false">IF(C460="","",IFERROR(INDEX(Inbound!$F$2:$F$501,MATCH(C460,Inbound!$A$2:$A$501,0)),IFERROR(INDEX(Outbound!$E$2:$E$501,MATCH(C460,Outbound!$A$2:$A$501,0)),"Lead ID not found")))</f>
        <v/>
      </c>
      <c r="F460" s="17"/>
      <c r="G460" s="17"/>
      <c r="H460" s="17"/>
      <c r="I460" s="17"/>
      <c r="J460" s="17"/>
      <c r="K460" s="17"/>
      <c r="L460" s="17"/>
      <c r="M460" s="17"/>
      <c r="N460" s="44" t="str">
        <f aca="false">IF(C460="","",COUNTA(H460:M460))</f>
        <v/>
      </c>
      <c r="O460" s="44" t="str">
        <f aca="false">IF(OR(C460="",N(N460)=0),"",SUMIFS(Settings!$AA$2:$AA$21,Settings!$Y$2:$Y$21,"Budget AED 5k+/mo?",Settings!$Z$2:$Z$21,H460)+SUMIFS(Settings!$AA$2:$AA$21,Settings!$Y$2:$Y$21,"Decision-maker?",Settings!$Z$2:$Z$21,I460)+SUMIFS(Settings!$AA$2:$AA$21,Settings!$Y$2:$Y$21,"Someone on camera?",Settings!$Z$2:$Z$21,J460)+SUMIFS(Settings!$AA$2:$AA$21,Settings!$Y$2:$Y$21,"OK with 3-month term?",Settings!$Z$2:$Z$21,K460)+SUMIFS(Settings!$AA$2:$AA$21,Settings!$Y$2:$Y$21,"Start timeline",Settings!$Z$2:$Z$21,L460)+SUMIFS(Settings!$AA$2:$AA$21,Settings!$Y$2:$Y$21,"Social media gap",Settings!$Z$2:$Z$21,M460)+IF(OR(E460="",E460="Lead ID not found"),0,IF(COUNTIF(Settings!$AC$2:$AC$6,E460)&gt;0,Settings!$AA$20,Settings!$AA$21)))</f>
        <v/>
      </c>
      <c r="P460" s="44" t="str">
        <f aca="false">IF(C460="","",IF(N(N460)&lt;6,"Partly scored ("&amp;N460&amp;"/6)",IF(O460&gt;=Settings!$S$8,"Hot",IF(O460&gt;=Settings!$S$9,"Warm","Cold"))))</f>
        <v/>
      </c>
      <c r="Q460" s="44" t="str">
        <f aca="false">IF(C460="","",IF(AND(H460="No",J460="No"),"🚩 Budget  ·  🚩 No one on camera",IF(H460="No","🚩 Budget under AED 5k",IF(J460="No","🚩 No one on camera",""))))</f>
        <v/>
      </c>
      <c r="R460" s="44" t="str">
        <f aca="false">IF(C460="","",IF(N(N460)&lt;6,"Finish the scoresheet before closing",IF(P460="Hot","Close now – send the contract / proposal today",IF(P460="Warm","Send proposal + a relevant result; follow up in 3 days","Rep's call – nurture or close politely")))&amp;IF(Q460&lt;&gt;""," (handle the 🚩 first)",""))</f>
        <v/>
      </c>
      <c r="S460" s="17"/>
      <c r="T460" s="17"/>
      <c r="U460" s="44" t="str">
        <f aca="false">IF(C460="","",IF(COUNTIF(C461:C$501,C460)=0,1,0))</f>
        <v/>
      </c>
    </row>
    <row r="461" customFormat="false" ht="15" hidden="false" customHeight="false" outlineLevel="0" collapsed="false">
      <c r="A461" s="17"/>
      <c r="B461" s="40"/>
      <c r="C461" s="17"/>
      <c r="D461" s="44" t="str">
        <f aca="false">IF(C461="","",IFERROR(INDEX(Inbound!$E$2:$E$501,MATCH(C461,Inbound!$A$2:$A$501,0)),IFERROR(INDEX(Outbound!$D$2:$D$501,MATCH(C461,Outbound!$A$2:$A$501,0)),"Lead ID not found")))</f>
        <v/>
      </c>
      <c r="E461" s="44" t="str">
        <f aca="false">IF(C461="","",IFERROR(INDEX(Inbound!$F$2:$F$501,MATCH(C461,Inbound!$A$2:$A$501,0)),IFERROR(INDEX(Outbound!$E$2:$E$501,MATCH(C461,Outbound!$A$2:$A$501,0)),"Lead ID not found")))</f>
        <v/>
      </c>
      <c r="F461" s="17"/>
      <c r="G461" s="17"/>
      <c r="H461" s="17"/>
      <c r="I461" s="17"/>
      <c r="J461" s="17"/>
      <c r="K461" s="17"/>
      <c r="L461" s="17"/>
      <c r="M461" s="17"/>
      <c r="N461" s="44" t="str">
        <f aca="false">IF(C461="","",COUNTA(H461:M461))</f>
        <v/>
      </c>
      <c r="O461" s="44" t="str">
        <f aca="false">IF(OR(C461="",N(N461)=0),"",SUMIFS(Settings!$AA$2:$AA$21,Settings!$Y$2:$Y$21,"Budget AED 5k+/mo?",Settings!$Z$2:$Z$21,H461)+SUMIFS(Settings!$AA$2:$AA$21,Settings!$Y$2:$Y$21,"Decision-maker?",Settings!$Z$2:$Z$21,I461)+SUMIFS(Settings!$AA$2:$AA$21,Settings!$Y$2:$Y$21,"Someone on camera?",Settings!$Z$2:$Z$21,J461)+SUMIFS(Settings!$AA$2:$AA$21,Settings!$Y$2:$Y$21,"OK with 3-month term?",Settings!$Z$2:$Z$21,K461)+SUMIFS(Settings!$AA$2:$AA$21,Settings!$Y$2:$Y$21,"Start timeline",Settings!$Z$2:$Z$21,L461)+SUMIFS(Settings!$AA$2:$AA$21,Settings!$Y$2:$Y$21,"Social media gap",Settings!$Z$2:$Z$21,M461)+IF(OR(E461="",E461="Lead ID not found"),0,IF(COUNTIF(Settings!$AC$2:$AC$6,E461)&gt;0,Settings!$AA$20,Settings!$AA$21)))</f>
        <v/>
      </c>
      <c r="P461" s="44" t="str">
        <f aca="false">IF(C461="","",IF(N(N461)&lt;6,"Partly scored ("&amp;N461&amp;"/6)",IF(O461&gt;=Settings!$S$8,"Hot",IF(O461&gt;=Settings!$S$9,"Warm","Cold"))))</f>
        <v/>
      </c>
      <c r="Q461" s="44" t="str">
        <f aca="false">IF(C461="","",IF(AND(H461="No",J461="No"),"🚩 Budget  ·  🚩 No one on camera",IF(H461="No","🚩 Budget under AED 5k",IF(J461="No","🚩 No one on camera",""))))</f>
        <v/>
      </c>
      <c r="R461" s="44" t="str">
        <f aca="false">IF(C461="","",IF(N(N461)&lt;6,"Finish the scoresheet before closing",IF(P461="Hot","Close now – send the contract / proposal today",IF(P461="Warm","Send proposal + a relevant result; follow up in 3 days","Rep's call – nurture or close politely")))&amp;IF(Q461&lt;&gt;""," (handle the 🚩 first)",""))</f>
        <v/>
      </c>
      <c r="S461" s="17"/>
      <c r="T461" s="17"/>
      <c r="U461" s="44" t="str">
        <f aca="false">IF(C461="","",IF(COUNTIF(C462:C$501,C461)=0,1,0))</f>
        <v/>
      </c>
    </row>
    <row r="462" customFormat="false" ht="15" hidden="false" customHeight="false" outlineLevel="0" collapsed="false">
      <c r="A462" s="17"/>
      <c r="B462" s="40"/>
      <c r="C462" s="17"/>
      <c r="D462" s="44" t="str">
        <f aca="false">IF(C462="","",IFERROR(INDEX(Inbound!$E$2:$E$501,MATCH(C462,Inbound!$A$2:$A$501,0)),IFERROR(INDEX(Outbound!$D$2:$D$501,MATCH(C462,Outbound!$A$2:$A$501,0)),"Lead ID not found")))</f>
        <v/>
      </c>
      <c r="E462" s="44" t="str">
        <f aca="false">IF(C462="","",IFERROR(INDEX(Inbound!$F$2:$F$501,MATCH(C462,Inbound!$A$2:$A$501,0)),IFERROR(INDEX(Outbound!$E$2:$E$501,MATCH(C462,Outbound!$A$2:$A$501,0)),"Lead ID not found")))</f>
        <v/>
      </c>
      <c r="F462" s="17"/>
      <c r="G462" s="17"/>
      <c r="H462" s="17"/>
      <c r="I462" s="17"/>
      <c r="J462" s="17"/>
      <c r="K462" s="17"/>
      <c r="L462" s="17"/>
      <c r="M462" s="17"/>
      <c r="N462" s="44" t="str">
        <f aca="false">IF(C462="","",COUNTA(H462:M462))</f>
        <v/>
      </c>
      <c r="O462" s="44" t="str">
        <f aca="false">IF(OR(C462="",N(N462)=0),"",SUMIFS(Settings!$AA$2:$AA$21,Settings!$Y$2:$Y$21,"Budget AED 5k+/mo?",Settings!$Z$2:$Z$21,H462)+SUMIFS(Settings!$AA$2:$AA$21,Settings!$Y$2:$Y$21,"Decision-maker?",Settings!$Z$2:$Z$21,I462)+SUMIFS(Settings!$AA$2:$AA$21,Settings!$Y$2:$Y$21,"Someone on camera?",Settings!$Z$2:$Z$21,J462)+SUMIFS(Settings!$AA$2:$AA$21,Settings!$Y$2:$Y$21,"OK with 3-month term?",Settings!$Z$2:$Z$21,K462)+SUMIFS(Settings!$AA$2:$AA$21,Settings!$Y$2:$Y$21,"Start timeline",Settings!$Z$2:$Z$21,L462)+SUMIFS(Settings!$AA$2:$AA$21,Settings!$Y$2:$Y$21,"Social media gap",Settings!$Z$2:$Z$21,M462)+IF(OR(E462="",E462="Lead ID not found"),0,IF(COUNTIF(Settings!$AC$2:$AC$6,E462)&gt;0,Settings!$AA$20,Settings!$AA$21)))</f>
        <v/>
      </c>
      <c r="P462" s="44" t="str">
        <f aca="false">IF(C462="","",IF(N(N462)&lt;6,"Partly scored ("&amp;N462&amp;"/6)",IF(O462&gt;=Settings!$S$8,"Hot",IF(O462&gt;=Settings!$S$9,"Warm","Cold"))))</f>
        <v/>
      </c>
      <c r="Q462" s="44" t="str">
        <f aca="false">IF(C462="","",IF(AND(H462="No",J462="No"),"🚩 Budget  ·  🚩 No one on camera",IF(H462="No","🚩 Budget under AED 5k",IF(J462="No","🚩 No one on camera",""))))</f>
        <v/>
      </c>
      <c r="R462" s="44" t="str">
        <f aca="false">IF(C462="","",IF(N(N462)&lt;6,"Finish the scoresheet before closing",IF(P462="Hot","Close now – send the contract / proposal today",IF(P462="Warm","Send proposal + a relevant result; follow up in 3 days","Rep's call – nurture or close politely")))&amp;IF(Q462&lt;&gt;""," (handle the 🚩 first)",""))</f>
        <v/>
      </c>
      <c r="S462" s="17"/>
      <c r="T462" s="17"/>
      <c r="U462" s="44" t="str">
        <f aca="false">IF(C462="","",IF(COUNTIF(C463:C$501,C462)=0,1,0))</f>
        <v/>
      </c>
    </row>
    <row r="463" customFormat="false" ht="15" hidden="false" customHeight="false" outlineLevel="0" collapsed="false">
      <c r="A463" s="17"/>
      <c r="B463" s="40"/>
      <c r="C463" s="17"/>
      <c r="D463" s="44" t="str">
        <f aca="false">IF(C463="","",IFERROR(INDEX(Inbound!$E$2:$E$501,MATCH(C463,Inbound!$A$2:$A$501,0)),IFERROR(INDEX(Outbound!$D$2:$D$501,MATCH(C463,Outbound!$A$2:$A$501,0)),"Lead ID not found")))</f>
        <v/>
      </c>
      <c r="E463" s="44" t="str">
        <f aca="false">IF(C463="","",IFERROR(INDEX(Inbound!$F$2:$F$501,MATCH(C463,Inbound!$A$2:$A$501,0)),IFERROR(INDEX(Outbound!$E$2:$E$501,MATCH(C463,Outbound!$A$2:$A$501,0)),"Lead ID not found")))</f>
        <v/>
      </c>
      <c r="F463" s="17"/>
      <c r="G463" s="17"/>
      <c r="H463" s="17"/>
      <c r="I463" s="17"/>
      <c r="J463" s="17"/>
      <c r="K463" s="17"/>
      <c r="L463" s="17"/>
      <c r="M463" s="17"/>
      <c r="N463" s="44" t="str">
        <f aca="false">IF(C463="","",COUNTA(H463:M463))</f>
        <v/>
      </c>
      <c r="O463" s="44" t="str">
        <f aca="false">IF(OR(C463="",N(N463)=0),"",SUMIFS(Settings!$AA$2:$AA$21,Settings!$Y$2:$Y$21,"Budget AED 5k+/mo?",Settings!$Z$2:$Z$21,H463)+SUMIFS(Settings!$AA$2:$AA$21,Settings!$Y$2:$Y$21,"Decision-maker?",Settings!$Z$2:$Z$21,I463)+SUMIFS(Settings!$AA$2:$AA$21,Settings!$Y$2:$Y$21,"Someone on camera?",Settings!$Z$2:$Z$21,J463)+SUMIFS(Settings!$AA$2:$AA$21,Settings!$Y$2:$Y$21,"OK with 3-month term?",Settings!$Z$2:$Z$21,K463)+SUMIFS(Settings!$AA$2:$AA$21,Settings!$Y$2:$Y$21,"Start timeline",Settings!$Z$2:$Z$21,L463)+SUMIFS(Settings!$AA$2:$AA$21,Settings!$Y$2:$Y$21,"Social media gap",Settings!$Z$2:$Z$21,M463)+IF(OR(E463="",E463="Lead ID not found"),0,IF(COUNTIF(Settings!$AC$2:$AC$6,E463)&gt;0,Settings!$AA$20,Settings!$AA$21)))</f>
        <v/>
      </c>
      <c r="P463" s="44" t="str">
        <f aca="false">IF(C463="","",IF(N(N463)&lt;6,"Partly scored ("&amp;N463&amp;"/6)",IF(O463&gt;=Settings!$S$8,"Hot",IF(O463&gt;=Settings!$S$9,"Warm","Cold"))))</f>
        <v/>
      </c>
      <c r="Q463" s="44" t="str">
        <f aca="false">IF(C463="","",IF(AND(H463="No",J463="No"),"🚩 Budget  ·  🚩 No one on camera",IF(H463="No","🚩 Budget under AED 5k",IF(J463="No","🚩 No one on camera",""))))</f>
        <v/>
      </c>
      <c r="R463" s="44" t="str">
        <f aca="false">IF(C463="","",IF(N(N463)&lt;6,"Finish the scoresheet before closing",IF(P463="Hot","Close now – send the contract / proposal today",IF(P463="Warm","Send proposal + a relevant result; follow up in 3 days","Rep's call – nurture or close politely")))&amp;IF(Q463&lt;&gt;""," (handle the 🚩 first)",""))</f>
        <v/>
      </c>
      <c r="S463" s="17"/>
      <c r="T463" s="17"/>
      <c r="U463" s="44" t="str">
        <f aca="false">IF(C463="","",IF(COUNTIF(C464:C$501,C463)=0,1,0))</f>
        <v/>
      </c>
    </row>
    <row r="464" customFormat="false" ht="15" hidden="false" customHeight="false" outlineLevel="0" collapsed="false">
      <c r="A464" s="17"/>
      <c r="B464" s="40"/>
      <c r="C464" s="17"/>
      <c r="D464" s="44" t="str">
        <f aca="false">IF(C464="","",IFERROR(INDEX(Inbound!$E$2:$E$501,MATCH(C464,Inbound!$A$2:$A$501,0)),IFERROR(INDEX(Outbound!$D$2:$D$501,MATCH(C464,Outbound!$A$2:$A$501,0)),"Lead ID not found")))</f>
        <v/>
      </c>
      <c r="E464" s="44" t="str">
        <f aca="false">IF(C464="","",IFERROR(INDEX(Inbound!$F$2:$F$501,MATCH(C464,Inbound!$A$2:$A$501,0)),IFERROR(INDEX(Outbound!$E$2:$E$501,MATCH(C464,Outbound!$A$2:$A$501,0)),"Lead ID not found")))</f>
        <v/>
      </c>
      <c r="F464" s="17"/>
      <c r="G464" s="17"/>
      <c r="H464" s="17"/>
      <c r="I464" s="17"/>
      <c r="J464" s="17"/>
      <c r="K464" s="17"/>
      <c r="L464" s="17"/>
      <c r="M464" s="17"/>
      <c r="N464" s="44" t="str">
        <f aca="false">IF(C464="","",COUNTA(H464:M464))</f>
        <v/>
      </c>
      <c r="O464" s="44" t="str">
        <f aca="false">IF(OR(C464="",N(N464)=0),"",SUMIFS(Settings!$AA$2:$AA$21,Settings!$Y$2:$Y$21,"Budget AED 5k+/mo?",Settings!$Z$2:$Z$21,H464)+SUMIFS(Settings!$AA$2:$AA$21,Settings!$Y$2:$Y$21,"Decision-maker?",Settings!$Z$2:$Z$21,I464)+SUMIFS(Settings!$AA$2:$AA$21,Settings!$Y$2:$Y$21,"Someone on camera?",Settings!$Z$2:$Z$21,J464)+SUMIFS(Settings!$AA$2:$AA$21,Settings!$Y$2:$Y$21,"OK with 3-month term?",Settings!$Z$2:$Z$21,K464)+SUMIFS(Settings!$AA$2:$AA$21,Settings!$Y$2:$Y$21,"Start timeline",Settings!$Z$2:$Z$21,L464)+SUMIFS(Settings!$AA$2:$AA$21,Settings!$Y$2:$Y$21,"Social media gap",Settings!$Z$2:$Z$21,M464)+IF(OR(E464="",E464="Lead ID not found"),0,IF(COUNTIF(Settings!$AC$2:$AC$6,E464)&gt;0,Settings!$AA$20,Settings!$AA$21)))</f>
        <v/>
      </c>
      <c r="P464" s="44" t="str">
        <f aca="false">IF(C464="","",IF(N(N464)&lt;6,"Partly scored ("&amp;N464&amp;"/6)",IF(O464&gt;=Settings!$S$8,"Hot",IF(O464&gt;=Settings!$S$9,"Warm","Cold"))))</f>
        <v/>
      </c>
      <c r="Q464" s="44" t="str">
        <f aca="false">IF(C464="","",IF(AND(H464="No",J464="No"),"🚩 Budget  ·  🚩 No one on camera",IF(H464="No","🚩 Budget under AED 5k",IF(J464="No","🚩 No one on camera",""))))</f>
        <v/>
      </c>
      <c r="R464" s="44" t="str">
        <f aca="false">IF(C464="","",IF(N(N464)&lt;6,"Finish the scoresheet before closing",IF(P464="Hot","Close now – send the contract / proposal today",IF(P464="Warm","Send proposal + a relevant result; follow up in 3 days","Rep's call – nurture or close politely")))&amp;IF(Q464&lt;&gt;""," (handle the 🚩 first)",""))</f>
        <v/>
      </c>
      <c r="S464" s="17"/>
      <c r="T464" s="17"/>
      <c r="U464" s="44" t="str">
        <f aca="false">IF(C464="","",IF(COUNTIF(C465:C$501,C464)=0,1,0))</f>
        <v/>
      </c>
    </row>
    <row r="465" customFormat="false" ht="15" hidden="false" customHeight="false" outlineLevel="0" collapsed="false">
      <c r="A465" s="17"/>
      <c r="B465" s="40"/>
      <c r="C465" s="17"/>
      <c r="D465" s="44" t="str">
        <f aca="false">IF(C465="","",IFERROR(INDEX(Inbound!$E$2:$E$501,MATCH(C465,Inbound!$A$2:$A$501,0)),IFERROR(INDEX(Outbound!$D$2:$D$501,MATCH(C465,Outbound!$A$2:$A$501,0)),"Lead ID not found")))</f>
        <v/>
      </c>
      <c r="E465" s="44" t="str">
        <f aca="false">IF(C465="","",IFERROR(INDEX(Inbound!$F$2:$F$501,MATCH(C465,Inbound!$A$2:$A$501,0)),IFERROR(INDEX(Outbound!$E$2:$E$501,MATCH(C465,Outbound!$A$2:$A$501,0)),"Lead ID not found")))</f>
        <v/>
      </c>
      <c r="F465" s="17"/>
      <c r="G465" s="17"/>
      <c r="H465" s="17"/>
      <c r="I465" s="17"/>
      <c r="J465" s="17"/>
      <c r="K465" s="17"/>
      <c r="L465" s="17"/>
      <c r="M465" s="17"/>
      <c r="N465" s="44" t="str">
        <f aca="false">IF(C465="","",COUNTA(H465:M465))</f>
        <v/>
      </c>
      <c r="O465" s="44" t="str">
        <f aca="false">IF(OR(C465="",N(N465)=0),"",SUMIFS(Settings!$AA$2:$AA$21,Settings!$Y$2:$Y$21,"Budget AED 5k+/mo?",Settings!$Z$2:$Z$21,H465)+SUMIFS(Settings!$AA$2:$AA$21,Settings!$Y$2:$Y$21,"Decision-maker?",Settings!$Z$2:$Z$21,I465)+SUMIFS(Settings!$AA$2:$AA$21,Settings!$Y$2:$Y$21,"Someone on camera?",Settings!$Z$2:$Z$21,J465)+SUMIFS(Settings!$AA$2:$AA$21,Settings!$Y$2:$Y$21,"OK with 3-month term?",Settings!$Z$2:$Z$21,K465)+SUMIFS(Settings!$AA$2:$AA$21,Settings!$Y$2:$Y$21,"Start timeline",Settings!$Z$2:$Z$21,L465)+SUMIFS(Settings!$AA$2:$AA$21,Settings!$Y$2:$Y$21,"Social media gap",Settings!$Z$2:$Z$21,M465)+IF(OR(E465="",E465="Lead ID not found"),0,IF(COUNTIF(Settings!$AC$2:$AC$6,E465)&gt;0,Settings!$AA$20,Settings!$AA$21)))</f>
        <v/>
      </c>
      <c r="P465" s="44" t="str">
        <f aca="false">IF(C465="","",IF(N(N465)&lt;6,"Partly scored ("&amp;N465&amp;"/6)",IF(O465&gt;=Settings!$S$8,"Hot",IF(O465&gt;=Settings!$S$9,"Warm","Cold"))))</f>
        <v/>
      </c>
      <c r="Q465" s="44" t="str">
        <f aca="false">IF(C465="","",IF(AND(H465="No",J465="No"),"🚩 Budget  ·  🚩 No one on camera",IF(H465="No","🚩 Budget under AED 5k",IF(J465="No","🚩 No one on camera",""))))</f>
        <v/>
      </c>
      <c r="R465" s="44" t="str">
        <f aca="false">IF(C465="","",IF(N(N465)&lt;6,"Finish the scoresheet before closing",IF(P465="Hot","Close now – send the contract / proposal today",IF(P465="Warm","Send proposal + a relevant result; follow up in 3 days","Rep's call – nurture or close politely")))&amp;IF(Q465&lt;&gt;""," (handle the 🚩 first)",""))</f>
        <v/>
      </c>
      <c r="S465" s="17"/>
      <c r="T465" s="17"/>
      <c r="U465" s="44" t="str">
        <f aca="false">IF(C465="","",IF(COUNTIF(C466:C$501,C465)=0,1,0))</f>
        <v/>
      </c>
    </row>
    <row r="466" customFormat="false" ht="15" hidden="false" customHeight="false" outlineLevel="0" collapsed="false">
      <c r="A466" s="17"/>
      <c r="B466" s="40"/>
      <c r="C466" s="17"/>
      <c r="D466" s="44" t="str">
        <f aca="false">IF(C466="","",IFERROR(INDEX(Inbound!$E$2:$E$501,MATCH(C466,Inbound!$A$2:$A$501,0)),IFERROR(INDEX(Outbound!$D$2:$D$501,MATCH(C466,Outbound!$A$2:$A$501,0)),"Lead ID not found")))</f>
        <v/>
      </c>
      <c r="E466" s="44" t="str">
        <f aca="false">IF(C466="","",IFERROR(INDEX(Inbound!$F$2:$F$501,MATCH(C466,Inbound!$A$2:$A$501,0)),IFERROR(INDEX(Outbound!$E$2:$E$501,MATCH(C466,Outbound!$A$2:$A$501,0)),"Lead ID not found")))</f>
        <v/>
      </c>
      <c r="F466" s="17"/>
      <c r="G466" s="17"/>
      <c r="H466" s="17"/>
      <c r="I466" s="17"/>
      <c r="J466" s="17"/>
      <c r="K466" s="17"/>
      <c r="L466" s="17"/>
      <c r="M466" s="17"/>
      <c r="N466" s="44" t="str">
        <f aca="false">IF(C466="","",COUNTA(H466:M466))</f>
        <v/>
      </c>
      <c r="O466" s="44" t="str">
        <f aca="false">IF(OR(C466="",N(N466)=0),"",SUMIFS(Settings!$AA$2:$AA$21,Settings!$Y$2:$Y$21,"Budget AED 5k+/mo?",Settings!$Z$2:$Z$21,H466)+SUMIFS(Settings!$AA$2:$AA$21,Settings!$Y$2:$Y$21,"Decision-maker?",Settings!$Z$2:$Z$21,I466)+SUMIFS(Settings!$AA$2:$AA$21,Settings!$Y$2:$Y$21,"Someone on camera?",Settings!$Z$2:$Z$21,J466)+SUMIFS(Settings!$AA$2:$AA$21,Settings!$Y$2:$Y$21,"OK with 3-month term?",Settings!$Z$2:$Z$21,K466)+SUMIFS(Settings!$AA$2:$AA$21,Settings!$Y$2:$Y$21,"Start timeline",Settings!$Z$2:$Z$21,L466)+SUMIFS(Settings!$AA$2:$AA$21,Settings!$Y$2:$Y$21,"Social media gap",Settings!$Z$2:$Z$21,M466)+IF(OR(E466="",E466="Lead ID not found"),0,IF(COUNTIF(Settings!$AC$2:$AC$6,E466)&gt;0,Settings!$AA$20,Settings!$AA$21)))</f>
        <v/>
      </c>
      <c r="P466" s="44" t="str">
        <f aca="false">IF(C466="","",IF(N(N466)&lt;6,"Partly scored ("&amp;N466&amp;"/6)",IF(O466&gt;=Settings!$S$8,"Hot",IF(O466&gt;=Settings!$S$9,"Warm","Cold"))))</f>
        <v/>
      </c>
      <c r="Q466" s="44" t="str">
        <f aca="false">IF(C466="","",IF(AND(H466="No",J466="No"),"🚩 Budget  ·  🚩 No one on camera",IF(H466="No","🚩 Budget under AED 5k",IF(J466="No","🚩 No one on camera",""))))</f>
        <v/>
      </c>
      <c r="R466" s="44" t="str">
        <f aca="false">IF(C466="","",IF(N(N466)&lt;6,"Finish the scoresheet before closing",IF(P466="Hot","Close now – send the contract / proposal today",IF(P466="Warm","Send proposal + a relevant result; follow up in 3 days","Rep's call – nurture or close politely")))&amp;IF(Q466&lt;&gt;""," (handle the 🚩 first)",""))</f>
        <v/>
      </c>
      <c r="S466" s="17"/>
      <c r="T466" s="17"/>
      <c r="U466" s="44" t="str">
        <f aca="false">IF(C466="","",IF(COUNTIF(C467:C$501,C466)=0,1,0))</f>
        <v/>
      </c>
    </row>
    <row r="467" customFormat="false" ht="15" hidden="false" customHeight="false" outlineLevel="0" collapsed="false">
      <c r="A467" s="17"/>
      <c r="B467" s="40"/>
      <c r="C467" s="17"/>
      <c r="D467" s="44" t="str">
        <f aca="false">IF(C467="","",IFERROR(INDEX(Inbound!$E$2:$E$501,MATCH(C467,Inbound!$A$2:$A$501,0)),IFERROR(INDEX(Outbound!$D$2:$D$501,MATCH(C467,Outbound!$A$2:$A$501,0)),"Lead ID not found")))</f>
        <v/>
      </c>
      <c r="E467" s="44" t="str">
        <f aca="false">IF(C467="","",IFERROR(INDEX(Inbound!$F$2:$F$501,MATCH(C467,Inbound!$A$2:$A$501,0)),IFERROR(INDEX(Outbound!$E$2:$E$501,MATCH(C467,Outbound!$A$2:$A$501,0)),"Lead ID not found")))</f>
        <v/>
      </c>
      <c r="F467" s="17"/>
      <c r="G467" s="17"/>
      <c r="H467" s="17"/>
      <c r="I467" s="17"/>
      <c r="J467" s="17"/>
      <c r="K467" s="17"/>
      <c r="L467" s="17"/>
      <c r="M467" s="17"/>
      <c r="N467" s="44" t="str">
        <f aca="false">IF(C467="","",COUNTA(H467:M467))</f>
        <v/>
      </c>
      <c r="O467" s="44" t="str">
        <f aca="false">IF(OR(C467="",N(N467)=0),"",SUMIFS(Settings!$AA$2:$AA$21,Settings!$Y$2:$Y$21,"Budget AED 5k+/mo?",Settings!$Z$2:$Z$21,H467)+SUMIFS(Settings!$AA$2:$AA$21,Settings!$Y$2:$Y$21,"Decision-maker?",Settings!$Z$2:$Z$21,I467)+SUMIFS(Settings!$AA$2:$AA$21,Settings!$Y$2:$Y$21,"Someone on camera?",Settings!$Z$2:$Z$21,J467)+SUMIFS(Settings!$AA$2:$AA$21,Settings!$Y$2:$Y$21,"OK with 3-month term?",Settings!$Z$2:$Z$21,K467)+SUMIFS(Settings!$AA$2:$AA$21,Settings!$Y$2:$Y$21,"Start timeline",Settings!$Z$2:$Z$21,L467)+SUMIFS(Settings!$AA$2:$AA$21,Settings!$Y$2:$Y$21,"Social media gap",Settings!$Z$2:$Z$21,M467)+IF(OR(E467="",E467="Lead ID not found"),0,IF(COUNTIF(Settings!$AC$2:$AC$6,E467)&gt;0,Settings!$AA$20,Settings!$AA$21)))</f>
        <v/>
      </c>
      <c r="P467" s="44" t="str">
        <f aca="false">IF(C467="","",IF(N(N467)&lt;6,"Partly scored ("&amp;N467&amp;"/6)",IF(O467&gt;=Settings!$S$8,"Hot",IF(O467&gt;=Settings!$S$9,"Warm","Cold"))))</f>
        <v/>
      </c>
      <c r="Q467" s="44" t="str">
        <f aca="false">IF(C467="","",IF(AND(H467="No",J467="No"),"🚩 Budget  ·  🚩 No one on camera",IF(H467="No","🚩 Budget under AED 5k",IF(J467="No","🚩 No one on camera",""))))</f>
        <v/>
      </c>
      <c r="R467" s="44" t="str">
        <f aca="false">IF(C467="","",IF(N(N467)&lt;6,"Finish the scoresheet before closing",IF(P467="Hot","Close now – send the contract / proposal today",IF(P467="Warm","Send proposal + a relevant result; follow up in 3 days","Rep's call – nurture or close politely")))&amp;IF(Q467&lt;&gt;""," (handle the 🚩 first)",""))</f>
        <v/>
      </c>
      <c r="S467" s="17"/>
      <c r="T467" s="17"/>
      <c r="U467" s="44" t="str">
        <f aca="false">IF(C467="","",IF(COUNTIF(C468:C$501,C467)=0,1,0))</f>
        <v/>
      </c>
    </row>
    <row r="468" customFormat="false" ht="15" hidden="false" customHeight="false" outlineLevel="0" collapsed="false">
      <c r="A468" s="17"/>
      <c r="B468" s="40"/>
      <c r="C468" s="17"/>
      <c r="D468" s="44" t="str">
        <f aca="false">IF(C468="","",IFERROR(INDEX(Inbound!$E$2:$E$501,MATCH(C468,Inbound!$A$2:$A$501,0)),IFERROR(INDEX(Outbound!$D$2:$D$501,MATCH(C468,Outbound!$A$2:$A$501,0)),"Lead ID not found")))</f>
        <v/>
      </c>
      <c r="E468" s="44" t="str">
        <f aca="false">IF(C468="","",IFERROR(INDEX(Inbound!$F$2:$F$501,MATCH(C468,Inbound!$A$2:$A$501,0)),IFERROR(INDEX(Outbound!$E$2:$E$501,MATCH(C468,Outbound!$A$2:$A$501,0)),"Lead ID not found")))</f>
        <v/>
      </c>
      <c r="F468" s="17"/>
      <c r="G468" s="17"/>
      <c r="H468" s="17"/>
      <c r="I468" s="17"/>
      <c r="J468" s="17"/>
      <c r="K468" s="17"/>
      <c r="L468" s="17"/>
      <c r="M468" s="17"/>
      <c r="N468" s="44" t="str">
        <f aca="false">IF(C468="","",COUNTA(H468:M468))</f>
        <v/>
      </c>
      <c r="O468" s="44" t="str">
        <f aca="false">IF(OR(C468="",N(N468)=0),"",SUMIFS(Settings!$AA$2:$AA$21,Settings!$Y$2:$Y$21,"Budget AED 5k+/mo?",Settings!$Z$2:$Z$21,H468)+SUMIFS(Settings!$AA$2:$AA$21,Settings!$Y$2:$Y$21,"Decision-maker?",Settings!$Z$2:$Z$21,I468)+SUMIFS(Settings!$AA$2:$AA$21,Settings!$Y$2:$Y$21,"Someone on camera?",Settings!$Z$2:$Z$21,J468)+SUMIFS(Settings!$AA$2:$AA$21,Settings!$Y$2:$Y$21,"OK with 3-month term?",Settings!$Z$2:$Z$21,K468)+SUMIFS(Settings!$AA$2:$AA$21,Settings!$Y$2:$Y$21,"Start timeline",Settings!$Z$2:$Z$21,L468)+SUMIFS(Settings!$AA$2:$AA$21,Settings!$Y$2:$Y$21,"Social media gap",Settings!$Z$2:$Z$21,M468)+IF(OR(E468="",E468="Lead ID not found"),0,IF(COUNTIF(Settings!$AC$2:$AC$6,E468)&gt;0,Settings!$AA$20,Settings!$AA$21)))</f>
        <v/>
      </c>
      <c r="P468" s="44" t="str">
        <f aca="false">IF(C468="","",IF(N(N468)&lt;6,"Partly scored ("&amp;N468&amp;"/6)",IF(O468&gt;=Settings!$S$8,"Hot",IF(O468&gt;=Settings!$S$9,"Warm","Cold"))))</f>
        <v/>
      </c>
      <c r="Q468" s="44" t="str">
        <f aca="false">IF(C468="","",IF(AND(H468="No",J468="No"),"🚩 Budget  ·  🚩 No one on camera",IF(H468="No","🚩 Budget under AED 5k",IF(J468="No","🚩 No one on camera",""))))</f>
        <v/>
      </c>
      <c r="R468" s="44" t="str">
        <f aca="false">IF(C468="","",IF(N(N468)&lt;6,"Finish the scoresheet before closing",IF(P468="Hot","Close now – send the contract / proposal today",IF(P468="Warm","Send proposal + a relevant result; follow up in 3 days","Rep's call – nurture or close politely")))&amp;IF(Q468&lt;&gt;""," (handle the 🚩 first)",""))</f>
        <v/>
      </c>
      <c r="S468" s="17"/>
      <c r="T468" s="17"/>
      <c r="U468" s="44" t="str">
        <f aca="false">IF(C468="","",IF(COUNTIF(C469:C$501,C468)=0,1,0))</f>
        <v/>
      </c>
    </row>
    <row r="469" customFormat="false" ht="15" hidden="false" customHeight="false" outlineLevel="0" collapsed="false">
      <c r="A469" s="17"/>
      <c r="B469" s="40"/>
      <c r="C469" s="17"/>
      <c r="D469" s="44" t="str">
        <f aca="false">IF(C469="","",IFERROR(INDEX(Inbound!$E$2:$E$501,MATCH(C469,Inbound!$A$2:$A$501,0)),IFERROR(INDEX(Outbound!$D$2:$D$501,MATCH(C469,Outbound!$A$2:$A$501,0)),"Lead ID not found")))</f>
        <v/>
      </c>
      <c r="E469" s="44" t="str">
        <f aca="false">IF(C469="","",IFERROR(INDEX(Inbound!$F$2:$F$501,MATCH(C469,Inbound!$A$2:$A$501,0)),IFERROR(INDEX(Outbound!$E$2:$E$501,MATCH(C469,Outbound!$A$2:$A$501,0)),"Lead ID not found")))</f>
        <v/>
      </c>
      <c r="F469" s="17"/>
      <c r="G469" s="17"/>
      <c r="H469" s="17"/>
      <c r="I469" s="17"/>
      <c r="J469" s="17"/>
      <c r="K469" s="17"/>
      <c r="L469" s="17"/>
      <c r="M469" s="17"/>
      <c r="N469" s="44" t="str">
        <f aca="false">IF(C469="","",COUNTA(H469:M469))</f>
        <v/>
      </c>
      <c r="O469" s="44" t="str">
        <f aca="false">IF(OR(C469="",N(N469)=0),"",SUMIFS(Settings!$AA$2:$AA$21,Settings!$Y$2:$Y$21,"Budget AED 5k+/mo?",Settings!$Z$2:$Z$21,H469)+SUMIFS(Settings!$AA$2:$AA$21,Settings!$Y$2:$Y$21,"Decision-maker?",Settings!$Z$2:$Z$21,I469)+SUMIFS(Settings!$AA$2:$AA$21,Settings!$Y$2:$Y$21,"Someone on camera?",Settings!$Z$2:$Z$21,J469)+SUMIFS(Settings!$AA$2:$AA$21,Settings!$Y$2:$Y$21,"OK with 3-month term?",Settings!$Z$2:$Z$21,K469)+SUMIFS(Settings!$AA$2:$AA$21,Settings!$Y$2:$Y$21,"Start timeline",Settings!$Z$2:$Z$21,L469)+SUMIFS(Settings!$AA$2:$AA$21,Settings!$Y$2:$Y$21,"Social media gap",Settings!$Z$2:$Z$21,M469)+IF(OR(E469="",E469="Lead ID not found"),0,IF(COUNTIF(Settings!$AC$2:$AC$6,E469)&gt;0,Settings!$AA$20,Settings!$AA$21)))</f>
        <v/>
      </c>
      <c r="P469" s="44" t="str">
        <f aca="false">IF(C469="","",IF(N(N469)&lt;6,"Partly scored ("&amp;N469&amp;"/6)",IF(O469&gt;=Settings!$S$8,"Hot",IF(O469&gt;=Settings!$S$9,"Warm","Cold"))))</f>
        <v/>
      </c>
      <c r="Q469" s="44" t="str">
        <f aca="false">IF(C469="","",IF(AND(H469="No",J469="No"),"🚩 Budget  ·  🚩 No one on camera",IF(H469="No","🚩 Budget under AED 5k",IF(J469="No","🚩 No one on camera",""))))</f>
        <v/>
      </c>
      <c r="R469" s="44" t="str">
        <f aca="false">IF(C469="","",IF(N(N469)&lt;6,"Finish the scoresheet before closing",IF(P469="Hot","Close now – send the contract / proposal today",IF(P469="Warm","Send proposal + a relevant result; follow up in 3 days","Rep's call – nurture or close politely")))&amp;IF(Q469&lt;&gt;""," (handle the 🚩 first)",""))</f>
        <v/>
      </c>
      <c r="S469" s="17"/>
      <c r="T469" s="17"/>
      <c r="U469" s="44" t="str">
        <f aca="false">IF(C469="","",IF(COUNTIF(C470:C$501,C469)=0,1,0))</f>
        <v/>
      </c>
    </row>
    <row r="470" customFormat="false" ht="15" hidden="false" customHeight="false" outlineLevel="0" collapsed="false">
      <c r="A470" s="17"/>
      <c r="B470" s="40"/>
      <c r="C470" s="17"/>
      <c r="D470" s="44" t="str">
        <f aca="false">IF(C470="","",IFERROR(INDEX(Inbound!$E$2:$E$501,MATCH(C470,Inbound!$A$2:$A$501,0)),IFERROR(INDEX(Outbound!$D$2:$D$501,MATCH(C470,Outbound!$A$2:$A$501,0)),"Lead ID not found")))</f>
        <v/>
      </c>
      <c r="E470" s="44" t="str">
        <f aca="false">IF(C470="","",IFERROR(INDEX(Inbound!$F$2:$F$501,MATCH(C470,Inbound!$A$2:$A$501,0)),IFERROR(INDEX(Outbound!$E$2:$E$501,MATCH(C470,Outbound!$A$2:$A$501,0)),"Lead ID not found")))</f>
        <v/>
      </c>
      <c r="F470" s="17"/>
      <c r="G470" s="17"/>
      <c r="H470" s="17"/>
      <c r="I470" s="17"/>
      <c r="J470" s="17"/>
      <c r="K470" s="17"/>
      <c r="L470" s="17"/>
      <c r="M470" s="17"/>
      <c r="N470" s="44" t="str">
        <f aca="false">IF(C470="","",COUNTA(H470:M470))</f>
        <v/>
      </c>
      <c r="O470" s="44" t="str">
        <f aca="false">IF(OR(C470="",N(N470)=0),"",SUMIFS(Settings!$AA$2:$AA$21,Settings!$Y$2:$Y$21,"Budget AED 5k+/mo?",Settings!$Z$2:$Z$21,H470)+SUMIFS(Settings!$AA$2:$AA$21,Settings!$Y$2:$Y$21,"Decision-maker?",Settings!$Z$2:$Z$21,I470)+SUMIFS(Settings!$AA$2:$AA$21,Settings!$Y$2:$Y$21,"Someone on camera?",Settings!$Z$2:$Z$21,J470)+SUMIFS(Settings!$AA$2:$AA$21,Settings!$Y$2:$Y$21,"OK with 3-month term?",Settings!$Z$2:$Z$21,K470)+SUMIFS(Settings!$AA$2:$AA$21,Settings!$Y$2:$Y$21,"Start timeline",Settings!$Z$2:$Z$21,L470)+SUMIFS(Settings!$AA$2:$AA$21,Settings!$Y$2:$Y$21,"Social media gap",Settings!$Z$2:$Z$21,M470)+IF(OR(E470="",E470="Lead ID not found"),0,IF(COUNTIF(Settings!$AC$2:$AC$6,E470)&gt;0,Settings!$AA$20,Settings!$AA$21)))</f>
        <v/>
      </c>
      <c r="P470" s="44" t="str">
        <f aca="false">IF(C470="","",IF(N(N470)&lt;6,"Partly scored ("&amp;N470&amp;"/6)",IF(O470&gt;=Settings!$S$8,"Hot",IF(O470&gt;=Settings!$S$9,"Warm","Cold"))))</f>
        <v/>
      </c>
      <c r="Q470" s="44" t="str">
        <f aca="false">IF(C470="","",IF(AND(H470="No",J470="No"),"🚩 Budget  ·  🚩 No one on camera",IF(H470="No","🚩 Budget under AED 5k",IF(J470="No","🚩 No one on camera",""))))</f>
        <v/>
      </c>
      <c r="R470" s="44" t="str">
        <f aca="false">IF(C470="","",IF(N(N470)&lt;6,"Finish the scoresheet before closing",IF(P470="Hot","Close now – send the contract / proposal today",IF(P470="Warm","Send proposal + a relevant result; follow up in 3 days","Rep's call – nurture or close politely")))&amp;IF(Q470&lt;&gt;""," (handle the 🚩 first)",""))</f>
        <v/>
      </c>
      <c r="S470" s="17"/>
      <c r="T470" s="17"/>
      <c r="U470" s="44" t="str">
        <f aca="false">IF(C470="","",IF(COUNTIF(C471:C$501,C470)=0,1,0))</f>
        <v/>
      </c>
    </row>
    <row r="471" customFormat="false" ht="15" hidden="false" customHeight="false" outlineLevel="0" collapsed="false">
      <c r="A471" s="17"/>
      <c r="B471" s="40"/>
      <c r="C471" s="17"/>
      <c r="D471" s="44" t="str">
        <f aca="false">IF(C471="","",IFERROR(INDEX(Inbound!$E$2:$E$501,MATCH(C471,Inbound!$A$2:$A$501,0)),IFERROR(INDEX(Outbound!$D$2:$D$501,MATCH(C471,Outbound!$A$2:$A$501,0)),"Lead ID not found")))</f>
        <v/>
      </c>
      <c r="E471" s="44" t="str">
        <f aca="false">IF(C471="","",IFERROR(INDEX(Inbound!$F$2:$F$501,MATCH(C471,Inbound!$A$2:$A$501,0)),IFERROR(INDEX(Outbound!$E$2:$E$501,MATCH(C471,Outbound!$A$2:$A$501,0)),"Lead ID not found")))</f>
        <v/>
      </c>
      <c r="F471" s="17"/>
      <c r="G471" s="17"/>
      <c r="H471" s="17"/>
      <c r="I471" s="17"/>
      <c r="J471" s="17"/>
      <c r="K471" s="17"/>
      <c r="L471" s="17"/>
      <c r="M471" s="17"/>
      <c r="N471" s="44" t="str">
        <f aca="false">IF(C471="","",COUNTA(H471:M471))</f>
        <v/>
      </c>
      <c r="O471" s="44" t="str">
        <f aca="false">IF(OR(C471="",N(N471)=0),"",SUMIFS(Settings!$AA$2:$AA$21,Settings!$Y$2:$Y$21,"Budget AED 5k+/mo?",Settings!$Z$2:$Z$21,H471)+SUMIFS(Settings!$AA$2:$AA$21,Settings!$Y$2:$Y$21,"Decision-maker?",Settings!$Z$2:$Z$21,I471)+SUMIFS(Settings!$AA$2:$AA$21,Settings!$Y$2:$Y$21,"Someone on camera?",Settings!$Z$2:$Z$21,J471)+SUMIFS(Settings!$AA$2:$AA$21,Settings!$Y$2:$Y$21,"OK with 3-month term?",Settings!$Z$2:$Z$21,K471)+SUMIFS(Settings!$AA$2:$AA$21,Settings!$Y$2:$Y$21,"Start timeline",Settings!$Z$2:$Z$21,L471)+SUMIFS(Settings!$AA$2:$AA$21,Settings!$Y$2:$Y$21,"Social media gap",Settings!$Z$2:$Z$21,M471)+IF(OR(E471="",E471="Lead ID not found"),0,IF(COUNTIF(Settings!$AC$2:$AC$6,E471)&gt;0,Settings!$AA$20,Settings!$AA$21)))</f>
        <v/>
      </c>
      <c r="P471" s="44" t="str">
        <f aca="false">IF(C471="","",IF(N(N471)&lt;6,"Partly scored ("&amp;N471&amp;"/6)",IF(O471&gt;=Settings!$S$8,"Hot",IF(O471&gt;=Settings!$S$9,"Warm","Cold"))))</f>
        <v/>
      </c>
      <c r="Q471" s="44" t="str">
        <f aca="false">IF(C471="","",IF(AND(H471="No",J471="No"),"🚩 Budget  ·  🚩 No one on camera",IF(H471="No","🚩 Budget under AED 5k",IF(J471="No","🚩 No one on camera",""))))</f>
        <v/>
      </c>
      <c r="R471" s="44" t="str">
        <f aca="false">IF(C471="","",IF(N(N471)&lt;6,"Finish the scoresheet before closing",IF(P471="Hot","Close now – send the contract / proposal today",IF(P471="Warm","Send proposal + a relevant result; follow up in 3 days","Rep's call – nurture or close politely")))&amp;IF(Q471&lt;&gt;""," (handle the 🚩 first)",""))</f>
        <v/>
      </c>
      <c r="S471" s="17"/>
      <c r="T471" s="17"/>
      <c r="U471" s="44" t="str">
        <f aca="false">IF(C471="","",IF(COUNTIF(C472:C$501,C471)=0,1,0))</f>
        <v/>
      </c>
    </row>
    <row r="472" customFormat="false" ht="15" hidden="false" customHeight="false" outlineLevel="0" collapsed="false">
      <c r="A472" s="17"/>
      <c r="B472" s="40"/>
      <c r="C472" s="17"/>
      <c r="D472" s="44" t="str">
        <f aca="false">IF(C472="","",IFERROR(INDEX(Inbound!$E$2:$E$501,MATCH(C472,Inbound!$A$2:$A$501,0)),IFERROR(INDEX(Outbound!$D$2:$D$501,MATCH(C472,Outbound!$A$2:$A$501,0)),"Lead ID not found")))</f>
        <v/>
      </c>
      <c r="E472" s="44" t="str">
        <f aca="false">IF(C472="","",IFERROR(INDEX(Inbound!$F$2:$F$501,MATCH(C472,Inbound!$A$2:$A$501,0)),IFERROR(INDEX(Outbound!$E$2:$E$501,MATCH(C472,Outbound!$A$2:$A$501,0)),"Lead ID not found")))</f>
        <v/>
      </c>
      <c r="F472" s="17"/>
      <c r="G472" s="17"/>
      <c r="H472" s="17"/>
      <c r="I472" s="17"/>
      <c r="J472" s="17"/>
      <c r="K472" s="17"/>
      <c r="L472" s="17"/>
      <c r="M472" s="17"/>
      <c r="N472" s="44" t="str">
        <f aca="false">IF(C472="","",COUNTA(H472:M472))</f>
        <v/>
      </c>
      <c r="O472" s="44" t="str">
        <f aca="false">IF(OR(C472="",N(N472)=0),"",SUMIFS(Settings!$AA$2:$AA$21,Settings!$Y$2:$Y$21,"Budget AED 5k+/mo?",Settings!$Z$2:$Z$21,H472)+SUMIFS(Settings!$AA$2:$AA$21,Settings!$Y$2:$Y$21,"Decision-maker?",Settings!$Z$2:$Z$21,I472)+SUMIFS(Settings!$AA$2:$AA$21,Settings!$Y$2:$Y$21,"Someone on camera?",Settings!$Z$2:$Z$21,J472)+SUMIFS(Settings!$AA$2:$AA$21,Settings!$Y$2:$Y$21,"OK with 3-month term?",Settings!$Z$2:$Z$21,K472)+SUMIFS(Settings!$AA$2:$AA$21,Settings!$Y$2:$Y$21,"Start timeline",Settings!$Z$2:$Z$21,L472)+SUMIFS(Settings!$AA$2:$AA$21,Settings!$Y$2:$Y$21,"Social media gap",Settings!$Z$2:$Z$21,M472)+IF(OR(E472="",E472="Lead ID not found"),0,IF(COUNTIF(Settings!$AC$2:$AC$6,E472)&gt;0,Settings!$AA$20,Settings!$AA$21)))</f>
        <v/>
      </c>
      <c r="P472" s="44" t="str">
        <f aca="false">IF(C472="","",IF(N(N472)&lt;6,"Partly scored ("&amp;N472&amp;"/6)",IF(O472&gt;=Settings!$S$8,"Hot",IF(O472&gt;=Settings!$S$9,"Warm","Cold"))))</f>
        <v/>
      </c>
      <c r="Q472" s="44" t="str">
        <f aca="false">IF(C472="","",IF(AND(H472="No",J472="No"),"🚩 Budget  ·  🚩 No one on camera",IF(H472="No","🚩 Budget under AED 5k",IF(J472="No","🚩 No one on camera",""))))</f>
        <v/>
      </c>
      <c r="R472" s="44" t="str">
        <f aca="false">IF(C472="","",IF(N(N472)&lt;6,"Finish the scoresheet before closing",IF(P472="Hot","Close now – send the contract / proposal today",IF(P472="Warm","Send proposal + a relevant result; follow up in 3 days","Rep's call – nurture or close politely")))&amp;IF(Q472&lt;&gt;""," (handle the 🚩 first)",""))</f>
        <v/>
      </c>
      <c r="S472" s="17"/>
      <c r="T472" s="17"/>
      <c r="U472" s="44" t="str">
        <f aca="false">IF(C472="","",IF(COUNTIF(C473:C$501,C472)=0,1,0))</f>
        <v/>
      </c>
    </row>
    <row r="473" customFormat="false" ht="15" hidden="false" customHeight="false" outlineLevel="0" collapsed="false">
      <c r="A473" s="17"/>
      <c r="B473" s="40"/>
      <c r="C473" s="17"/>
      <c r="D473" s="44" t="str">
        <f aca="false">IF(C473="","",IFERROR(INDEX(Inbound!$E$2:$E$501,MATCH(C473,Inbound!$A$2:$A$501,0)),IFERROR(INDEX(Outbound!$D$2:$D$501,MATCH(C473,Outbound!$A$2:$A$501,0)),"Lead ID not found")))</f>
        <v/>
      </c>
      <c r="E473" s="44" t="str">
        <f aca="false">IF(C473="","",IFERROR(INDEX(Inbound!$F$2:$F$501,MATCH(C473,Inbound!$A$2:$A$501,0)),IFERROR(INDEX(Outbound!$E$2:$E$501,MATCH(C473,Outbound!$A$2:$A$501,0)),"Lead ID not found")))</f>
        <v/>
      </c>
      <c r="F473" s="17"/>
      <c r="G473" s="17"/>
      <c r="H473" s="17"/>
      <c r="I473" s="17"/>
      <c r="J473" s="17"/>
      <c r="K473" s="17"/>
      <c r="L473" s="17"/>
      <c r="M473" s="17"/>
      <c r="N473" s="44" t="str">
        <f aca="false">IF(C473="","",COUNTA(H473:M473))</f>
        <v/>
      </c>
      <c r="O473" s="44" t="str">
        <f aca="false">IF(OR(C473="",N(N473)=0),"",SUMIFS(Settings!$AA$2:$AA$21,Settings!$Y$2:$Y$21,"Budget AED 5k+/mo?",Settings!$Z$2:$Z$21,H473)+SUMIFS(Settings!$AA$2:$AA$21,Settings!$Y$2:$Y$21,"Decision-maker?",Settings!$Z$2:$Z$21,I473)+SUMIFS(Settings!$AA$2:$AA$21,Settings!$Y$2:$Y$21,"Someone on camera?",Settings!$Z$2:$Z$21,J473)+SUMIFS(Settings!$AA$2:$AA$21,Settings!$Y$2:$Y$21,"OK with 3-month term?",Settings!$Z$2:$Z$21,K473)+SUMIFS(Settings!$AA$2:$AA$21,Settings!$Y$2:$Y$21,"Start timeline",Settings!$Z$2:$Z$21,L473)+SUMIFS(Settings!$AA$2:$AA$21,Settings!$Y$2:$Y$21,"Social media gap",Settings!$Z$2:$Z$21,M473)+IF(OR(E473="",E473="Lead ID not found"),0,IF(COUNTIF(Settings!$AC$2:$AC$6,E473)&gt;0,Settings!$AA$20,Settings!$AA$21)))</f>
        <v/>
      </c>
      <c r="P473" s="44" t="str">
        <f aca="false">IF(C473="","",IF(N(N473)&lt;6,"Partly scored ("&amp;N473&amp;"/6)",IF(O473&gt;=Settings!$S$8,"Hot",IF(O473&gt;=Settings!$S$9,"Warm","Cold"))))</f>
        <v/>
      </c>
      <c r="Q473" s="44" t="str">
        <f aca="false">IF(C473="","",IF(AND(H473="No",J473="No"),"🚩 Budget  ·  🚩 No one on camera",IF(H473="No","🚩 Budget under AED 5k",IF(J473="No","🚩 No one on camera",""))))</f>
        <v/>
      </c>
      <c r="R473" s="44" t="str">
        <f aca="false">IF(C473="","",IF(N(N473)&lt;6,"Finish the scoresheet before closing",IF(P473="Hot","Close now – send the contract / proposal today",IF(P473="Warm","Send proposal + a relevant result; follow up in 3 days","Rep's call – nurture or close politely")))&amp;IF(Q473&lt;&gt;""," (handle the 🚩 first)",""))</f>
        <v/>
      </c>
      <c r="S473" s="17"/>
      <c r="T473" s="17"/>
      <c r="U473" s="44" t="str">
        <f aca="false">IF(C473="","",IF(COUNTIF(C474:C$501,C473)=0,1,0))</f>
        <v/>
      </c>
    </row>
    <row r="474" customFormat="false" ht="15" hidden="false" customHeight="false" outlineLevel="0" collapsed="false">
      <c r="A474" s="17"/>
      <c r="B474" s="40"/>
      <c r="C474" s="17"/>
      <c r="D474" s="44" t="str">
        <f aca="false">IF(C474="","",IFERROR(INDEX(Inbound!$E$2:$E$501,MATCH(C474,Inbound!$A$2:$A$501,0)),IFERROR(INDEX(Outbound!$D$2:$D$501,MATCH(C474,Outbound!$A$2:$A$501,0)),"Lead ID not found")))</f>
        <v/>
      </c>
      <c r="E474" s="44" t="str">
        <f aca="false">IF(C474="","",IFERROR(INDEX(Inbound!$F$2:$F$501,MATCH(C474,Inbound!$A$2:$A$501,0)),IFERROR(INDEX(Outbound!$E$2:$E$501,MATCH(C474,Outbound!$A$2:$A$501,0)),"Lead ID not found")))</f>
        <v/>
      </c>
      <c r="F474" s="17"/>
      <c r="G474" s="17"/>
      <c r="H474" s="17"/>
      <c r="I474" s="17"/>
      <c r="J474" s="17"/>
      <c r="K474" s="17"/>
      <c r="L474" s="17"/>
      <c r="M474" s="17"/>
      <c r="N474" s="44" t="str">
        <f aca="false">IF(C474="","",COUNTA(H474:M474))</f>
        <v/>
      </c>
      <c r="O474" s="44" t="str">
        <f aca="false">IF(OR(C474="",N(N474)=0),"",SUMIFS(Settings!$AA$2:$AA$21,Settings!$Y$2:$Y$21,"Budget AED 5k+/mo?",Settings!$Z$2:$Z$21,H474)+SUMIFS(Settings!$AA$2:$AA$21,Settings!$Y$2:$Y$21,"Decision-maker?",Settings!$Z$2:$Z$21,I474)+SUMIFS(Settings!$AA$2:$AA$21,Settings!$Y$2:$Y$21,"Someone on camera?",Settings!$Z$2:$Z$21,J474)+SUMIFS(Settings!$AA$2:$AA$21,Settings!$Y$2:$Y$21,"OK with 3-month term?",Settings!$Z$2:$Z$21,K474)+SUMIFS(Settings!$AA$2:$AA$21,Settings!$Y$2:$Y$21,"Start timeline",Settings!$Z$2:$Z$21,L474)+SUMIFS(Settings!$AA$2:$AA$21,Settings!$Y$2:$Y$21,"Social media gap",Settings!$Z$2:$Z$21,M474)+IF(OR(E474="",E474="Lead ID not found"),0,IF(COUNTIF(Settings!$AC$2:$AC$6,E474)&gt;0,Settings!$AA$20,Settings!$AA$21)))</f>
        <v/>
      </c>
      <c r="P474" s="44" t="str">
        <f aca="false">IF(C474="","",IF(N(N474)&lt;6,"Partly scored ("&amp;N474&amp;"/6)",IF(O474&gt;=Settings!$S$8,"Hot",IF(O474&gt;=Settings!$S$9,"Warm","Cold"))))</f>
        <v/>
      </c>
      <c r="Q474" s="44" t="str">
        <f aca="false">IF(C474="","",IF(AND(H474="No",J474="No"),"🚩 Budget  ·  🚩 No one on camera",IF(H474="No","🚩 Budget under AED 5k",IF(J474="No","🚩 No one on camera",""))))</f>
        <v/>
      </c>
      <c r="R474" s="44" t="str">
        <f aca="false">IF(C474="","",IF(N(N474)&lt;6,"Finish the scoresheet before closing",IF(P474="Hot","Close now – send the contract / proposal today",IF(P474="Warm","Send proposal + a relevant result; follow up in 3 days","Rep's call – nurture or close politely")))&amp;IF(Q474&lt;&gt;""," (handle the 🚩 first)",""))</f>
        <v/>
      </c>
      <c r="S474" s="17"/>
      <c r="T474" s="17"/>
      <c r="U474" s="44" t="str">
        <f aca="false">IF(C474="","",IF(COUNTIF(C475:C$501,C474)=0,1,0))</f>
        <v/>
      </c>
    </row>
    <row r="475" customFormat="false" ht="15" hidden="false" customHeight="false" outlineLevel="0" collapsed="false">
      <c r="A475" s="17"/>
      <c r="B475" s="40"/>
      <c r="C475" s="17"/>
      <c r="D475" s="44" t="str">
        <f aca="false">IF(C475="","",IFERROR(INDEX(Inbound!$E$2:$E$501,MATCH(C475,Inbound!$A$2:$A$501,0)),IFERROR(INDEX(Outbound!$D$2:$D$501,MATCH(C475,Outbound!$A$2:$A$501,0)),"Lead ID not found")))</f>
        <v/>
      </c>
      <c r="E475" s="44" t="str">
        <f aca="false">IF(C475="","",IFERROR(INDEX(Inbound!$F$2:$F$501,MATCH(C475,Inbound!$A$2:$A$501,0)),IFERROR(INDEX(Outbound!$E$2:$E$501,MATCH(C475,Outbound!$A$2:$A$501,0)),"Lead ID not found")))</f>
        <v/>
      </c>
      <c r="F475" s="17"/>
      <c r="G475" s="17"/>
      <c r="H475" s="17"/>
      <c r="I475" s="17"/>
      <c r="J475" s="17"/>
      <c r="K475" s="17"/>
      <c r="L475" s="17"/>
      <c r="M475" s="17"/>
      <c r="N475" s="44" t="str">
        <f aca="false">IF(C475="","",COUNTA(H475:M475))</f>
        <v/>
      </c>
      <c r="O475" s="44" t="str">
        <f aca="false">IF(OR(C475="",N(N475)=0),"",SUMIFS(Settings!$AA$2:$AA$21,Settings!$Y$2:$Y$21,"Budget AED 5k+/mo?",Settings!$Z$2:$Z$21,H475)+SUMIFS(Settings!$AA$2:$AA$21,Settings!$Y$2:$Y$21,"Decision-maker?",Settings!$Z$2:$Z$21,I475)+SUMIFS(Settings!$AA$2:$AA$21,Settings!$Y$2:$Y$21,"Someone on camera?",Settings!$Z$2:$Z$21,J475)+SUMIFS(Settings!$AA$2:$AA$21,Settings!$Y$2:$Y$21,"OK with 3-month term?",Settings!$Z$2:$Z$21,K475)+SUMIFS(Settings!$AA$2:$AA$21,Settings!$Y$2:$Y$21,"Start timeline",Settings!$Z$2:$Z$21,L475)+SUMIFS(Settings!$AA$2:$AA$21,Settings!$Y$2:$Y$21,"Social media gap",Settings!$Z$2:$Z$21,M475)+IF(OR(E475="",E475="Lead ID not found"),0,IF(COUNTIF(Settings!$AC$2:$AC$6,E475)&gt;0,Settings!$AA$20,Settings!$AA$21)))</f>
        <v/>
      </c>
      <c r="P475" s="44" t="str">
        <f aca="false">IF(C475="","",IF(N(N475)&lt;6,"Partly scored ("&amp;N475&amp;"/6)",IF(O475&gt;=Settings!$S$8,"Hot",IF(O475&gt;=Settings!$S$9,"Warm","Cold"))))</f>
        <v/>
      </c>
      <c r="Q475" s="44" t="str">
        <f aca="false">IF(C475="","",IF(AND(H475="No",J475="No"),"🚩 Budget  ·  🚩 No one on camera",IF(H475="No","🚩 Budget under AED 5k",IF(J475="No","🚩 No one on camera",""))))</f>
        <v/>
      </c>
      <c r="R475" s="44" t="str">
        <f aca="false">IF(C475="","",IF(N(N475)&lt;6,"Finish the scoresheet before closing",IF(P475="Hot","Close now – send the contract / proposal today",IF(P475="Warm","Send proposal + a relevant result; follow up in 3 days","Rep's call – nurture or close politely")))&amp;IF(Q475&lt;&gt;""," (handle the 🚩 first)",""))</f>
        <v/>
      </c>
      <c r="S475" s="17"/>
      <c r="T475" s="17"/>
      <c r="U475" s="44" t="str">
        <f aca="false">IF(C475="","",IF(COUNTIF(C476:C$501,C475)=0,1,0))</f>
        <v/>
      </c>
    </row>
    <row r="476" customFormat="false" ht="15" hidden="false" customHeight="false" outlineLevel="0" collapsed="false">
      <c r="A476" s="17"/>
      <c r="B476" s="40"/>
      <c r="C476" s="17"/>
      <c r="D476" s="44" t="str">
        <f aca="false">IF(C476="","",IFERROR(INDEX(Inbound!$E$2:$E$501,MATCH(C476,Inbound!$A$2:$A$501,0)),IFERROR(INDEX(Outbound!$D$2:$D$501,MATCH(C476,Outbound!$A$2:$A$501,0)),"Lead ID not found")))</f>
        <v/>
      </c>
      <c r="E476" s="44" t="str">
        <f aca="false">IF(C476="","",IFERROR(INDEX(Inbound!$F$2:$F$501,MATCH(C476,Inbound!$A$2:$A$501,0)),IFERROR(INDEX(Outbound!$E$2:$E$501,MATCH(C476,Outbound!$A$2:$A$501,0)),"Lead ID not found")))</f>
        <v/>
      </c>
      <c r="F476" s="17"/>
      <c r="G476" s="17"/>
      <c r="H476" s="17"/>
      <c r="I476" s="17"/>
      <c r="J476" s="17"/>
      <c r="K476" s="17"/>
      <c r="L476" s="17"/>
      <c r="M476" s="17"/>
      <c r="N476" s="44" t="str">
        <f aca="false">IF(C476="","",COUNTA(H476:M476))</f>
        <v/>
      </c>
      <c r="O476" s="44" t="str">
        <f aca="false">IF(OR(C476="",N(N476)=0),"",SUMIFS(Settings!$AA$2:$AA$21,Settings!$Y$2:$Y$21,"Budget AED 5k+/mo?",Settings!$Z$2:$Z$21,H476)+SUMIFS(Settings!$AA$2:$AA$21,Settings!$Y$2:$Y$21,"Decision-maker?",Settings!$Z$2:$Z$21,I476)+SUMIFS(Settings!$AA$2:$AA$21,Settings!$Y$2:$Y$21,"Someone on camera?",Settings!$Z$2:$Z$21,J476)+SUMIFS(Settings!$AA$2:$AA$21,Settings!$Y$2:$Y$21,"OK with 3-month term?",Settings!$Z$2:$Z$21,K476)+SUMIFS(Settings!$AA$2:$AA$21,Settings!$Y$2:$Y$21,"Start timeline",Settings!$Z$2:$Z$21,L476)+SUMIFS(Settings!$AA$2:$AA$21,Settings!$Y$2:$Y$21,"Social media gap",Settings!$Z$2:$Z$21,M476)+IF(OR(E476="",E476="Lead ID not found"),0,IF(COUNTIF(Settings!$AC$2:$AC$6,E476)&gt;0,Settings!$AA$20,Settings!$AA$21)))</f>
        <v/>
      </c>
      <c r="P476" s="44" t="str">
        <f aca="false">IF(C476="","",IF(N(N476)&lt;6,"Partly scored ("&amp;N476&amp;"/6)",IF(O476&gt;=Settings!$S$8,"Hot",IF(O476&gt;=Settings!$S$9,"Warm","Cold"))))</f>
        <v/>
      </c>
      <c r="Q476" s="44" t="str">
        <f aca="false">IF(C476="","",IF(AND(H476="No",J476="No"),"🚩 Budget  ·  🚩 No one on camera",IF(H476="No","🚩 Budget under AED 5k",IF(J476="No","🚩 No one on camera",""))))</f>
        <v/>
      </c>
      <c r="R476" s="44" t="str">
        <f aca="false">IF(C476="","",IF(N(N476)&lt;6,"Finish the scoresheet before closing",IF(P476="Hot","Close now – send the contract / proposal today",IF(P476="Warm","Send proposal + a relevant result; follow up in 3 days","Rep's call – nurture or close politely")))&amp;IF(Q476&lt;&gt;""," (handle the 🚩 first)",""))</f>
        <v/>
      </c>
      <c r="S476" s="17"/>
      <c r="T476" s="17"/>
      <c r="U476" s="44" t="str">
        <f aca="false">IF(C476="","",IF(COUNTIF(C477:C$501,C476)=0,1,0))</f>
        <v/>
      </c>
    </row>
    <row r="477" customFormat="false" ht="15" hidden="false" customHeight="false" outlineLevel="0" collapsed="false">
      <c r="A477" s="17"/>
      <c r="B477" s="40"/>
      <c r="C477" s="17"/>
      <c r="D477" s="44" t="str">
        <f aca="false">IF(C477="","",IFERROR(INDEX(Inbound!$E$2:$E$501,MATCH(C477,Inbound!$A$2:$A$501,0)),IFERROR(INDEX(Outbound!$D$2:$D$501,MATCH(C477,Outbound!$A$2:$A$501,0)),"Lead ID not found")))</f>
        <v/>
      </c>
      <c r="E477" s="44" t="str">
        <f aca="false">IF(C477="","",IFERROR(INDEX(Inbound!$F$2:$F$501,MATCH(C477,Inbound!$A$2:$A$501,0)),IFERROR(INDEX(Outbound!$E$2:$E$501,MATCH(C477,Outbound!$A$2:$A$501,0)),"Lead ID not found")))</f>
        <v/>
      </c>
      <c r="F477" s="17"/>
      <c r="G477" s="17"/>
      <c r="H477" s="17"/>
      <c r="I477" s="17"/>
      <c r="J477" s="17"/>
      <c r="K477" s="17"/>
      <c r="L477" s="17"/>
      <c r="M477" s="17"/>
      <c r="N477" s="44" t="str">
        <f aca="false">IF(C477="","",COUNTA(H477:M477))</f>
        <v/>
      </c>
      <c r="O477" s="44" t="str">
        <f aca="false">IF(OR(C477="",N(N477)=0),"",SUMIFS(Settings!$AA$2:$AA$21,Settings!$Y$2:$Y$21,"Budget AED 5k+/mo?",Settings!$Z$2:$Z$21,H477)+SUMIFS(Settings!$AA$2:$AA$21,Settings!$Y$2:$Y$21,"Decision-maker?",Settings!$Z$2:$Z$21,I477)+SUMIFS(Settings!$AA$2:$AA$21,Settings!$Y$2:$Y$21,"Someone on camera?",Settings!$Z$2:$Z$21,J477)+SUMIFS(Settings!$AA$2:$AA$21,Settings!$Y$2:$Y$21,"OK with 3-month term?",Settings!$Z$2:$Z$21,K477)+SUMIFS(Settings!$AA$2:$AA$21,Settings!$Y$2:$Y$21,"Start timeline",Settings!$Z$2:$Z$21,L477)+SUMIFS(Settings!$AA$2:$AA$21,Settings!$Y$2:$Y$21,"Social media gap",Settings!$Z$2:$Z$21,M477)+IF(OR(E477="",E477="Lead ID not found"),0,IF(COUNTIF(Settings!$AC$2:$AC$6,E477)&gt;0,Settings!$AA$20,Settings!$AA$21)))</f>
        <v/>
      </c>
      <c r="P477" s="44" t="str">
        <f aca="false">IF(C477="","",IF(N(N477)&lt;6,"Partly scored ("&amp;N477&amp;"/6)",IF(O477&gt;=Settings!$S$8,"Hot",IF(O477&gt;=Settings!$S$9,"Warm","Cold"))))</f>
        <v/>
      </c>
      <c r="Q477" s="44" t="str">
        <f aca="false">IF(C477="","",IF(AND(H477="No",J477="No"),"🚩 Budget  ·  🚩 No one on camera",IF(H477="No","🚩 Budget under AED 5k",IF(J477="No","🚩 No one on camera",""))))</f>
        <v/>
      </c>
      <c r="R477" s="44" t="str">
        <f aca="false">IF(C477="","",IF(N(N477)&lt;6,"Finish the scoresheet before closing",IF(P477="Hot","Close now – send the contract / proposal today",IF(P477="Warm","Send proposal + a relevant result; follow up in 3 days","Rep's call – nurture or close politely")))&amp;IF(Q477&lt;&gt;""," (handle the 🚩 first)",""))</f>
        <v/>
      </c>
      <c r="S477" s="17"/>
      <c r="T477" s="17"/>
      <c r="U477" s="44" t="str">
        <f aca="false">IF(C477="","",IF(COUNTIF(C478:C$501,C477)=0,1,0))</f>
        <v/>
      </c>
    </row>
    <row r="478" customFormat="false" ht="15" hidden="false" customHeight="false" outlineLevel="0" collapsed="false">
      <c r="A478" s="17"/>
      <c r="B478" s="40"/>
      <c r="C478" s="17"/>
      <c r="D478" s="44" t="str">
        <f aca="false">IF(C478="","",IFERROR(INDEX(Inbound!$E$2:$E$501,MATCH(C478,Inbound!$A$2:$A$501,0)),IFERROR(INDEX(Outbound!$D$2:$D$501,MATCH(C478,Outbound!$A$2:$A$501,0)),"Lead ID not found")))</f>
        <v/>
      </c>
      <c r="E478" s="44" t="str">
        <f aca="false">IF(C478="","",IFERROR(INDEX(Inbound!$F$2:$F$501,MATCH(C478,Inbound!$A$2:$A$501,0)),IFERROR(INDEX(Outbound!$E$2:$E$501,MATCH(C478,Outbound!$A$2:$A$501,0)),"Lead ID not found")))</f>
        <v/>
      </c>
      <c r="F478" s="17"/>
      <c r="G478" s="17"/>
      <c r="H478" s="17"/>
      <c r="I478" s="17"/>
      <c r="J478" s="17"/>
      <c r="K478" s="17"/>
      <c r="L478" s="17"/>
      <c r="M478" s="17"/>
      <c r="N478" s="44" t="str">
        <f aca="false">IF(C478="","",COUNTA(H478:M478))</f>
        <v/>
      </c>
      <c r="O478" s="44" t="str">
        <f aca="false">IF(OR(C478="",N(N478)=0),"",SUMIFS(Settings!$AA$2:$AA$21,Settings!$Y$2:$Y$21,"Budget AED 5k+/mo?",Settings!$Z$2:$Z$21,H478)+SUMIFS(Settings!$AA$2:$AA$21,Settings!$Y$2:$Y$21,"Decision-maker?",Settings!$Z$2:$Z$21,I478)+SUMIFS(Settings!$AA$2:$AA$21,Settings!$Y$2:$Y$21,"Someone on camera?",Settings!$Z$2:$Z$21,J478)+SUMIFS(Settings!$AA$2:$AA$21,Settings!$Y$2:$Y$21,"OK with 3-month term?",Settings!$Z$2:$Z$21,K478)+SUMIFS(Settings!$AA$2:$AA$21,Settings!$Y$2:$Y$21,"Start timeline",Settings!$Z$2:$Z$21,L478)+SUMIFS(Settings!$AA$2:$AA$21,Settings!$Y$2:$Y$21,"Social media gap",Settings!$Z$2:$Z$21,M478)+IF(OR(E478="",E478="Lead ID not found"),0,IF(COUNTIF(Settings!$AC$2:$AC$6,E478)&gt;0,Settings!$AA$20,Settings!$AA$21)))</f>
        <v/>
      </c>
      <c r="P478" s="44" t="str">
        <f aca="false">IF(C478="","",IF(N(N478)&lt;6,"Partly scored ("&amp;N478&amp;"/6)",IF(O478&gt;=Settings!$S$8,"Hot",IF(O478&gt;=Settings!$S$9,"Warm","Cold"))))</f>
        <v/>
      </c>
      <c r="Q478" s="44" t="str">
        <f aca="false">IF(C478="","",IF(AND(H478="No",J478="No"),"🚩 Budget  ·  🚩 No one on camera",IF(H478="No","🚩 Budget under AED 5k",IF(J478="No","🚩 No one on camera",""))))</f>
        <v/>
      </c>
      <c r="R478" s="44" t="str">
        <f aca="false">IF(C478="","",IF(N(N478)&lt;6,"Finish the scoresheet before closing",IF(P478="Hot","Close now – send the contract / proposal today",IF(P478="Warm","Send proposal + a relevant result; follow up in 3 days","Rep's call – nurture or close politely")))&amp;IF(Q478&lt;&gt;""," (handle the 🚩 first)",""))</f>
        <v/>
      </c>
      <c r="S478" s="17"/>
      <c r="T478" s="17"/>
      <c r="U478" s="44" t="str">
        <f aca="false">IF(C478="","",IF(COUNTIF(C479:C$501,C478)=0,1,0))</f>
        <v/>
      </c>
    </row>
    <row r="479" customFormat="false" ht="15" hidden="false" customHeight="false" outlineLevel="0" collapsed="false">
      <c r="A479" s="17"/>
      <c r="B479" s="40"/>
      <c r="C479" s="17"/>
      <c r="D479" s="44" t="str">
        <f aca="false">IF(C479="","",IFERROR(INDEX(Inbound!$E$2:$E$501,MATCH(C479,Inbound!$A$2:$A$501,0)),IFERROR(INDEX(Outbound!$D$2:$D$501,MATCH(C479,Outbound!$A$2:$A$501,0)),"Lead ID not found")))</f>
        <v/>
      </c>
      <c r="E479" s="44" t="str">
        <f aca="false">IF(C479="","",IFERROR(INDEX(Inbound!$F$2:$F$501,MATCH(C479,Inbound!$A$2:$A$501,0)),IFERROR(INDEX(Outbound!$E$2:$E$501,MATCH(C479,Outbound!$A$2:$A$501,0)),"Lead ID not found")))</f>
        <v/>
      </c>
      <c r="F479" s="17"/>
      <c r="G479" s="17"/>
      <c r="H479" s="17"/>
      <c r="I479" s="17"/>
      <c r="J479" s="17"/>
      <c r="K479" s="17"/>
      <c r="L479" s="17"/>
      <c r="M479" s="17"/>
      <c r="N479" s="44" t="str">
        <f aca="false">IF(C479="","",COUNTA(H479:M479))</f>
        <v/>
      </c>
      <c r="O479" s="44" t="str">
        <f aca="false">IF(OR(C479="",N(N479)=0),"",SUMIFS(Settings!$AA$2:$AA$21,Settings!$Y$2:$Y$21,"Budget AED 5k+/mo?",Settings!$Z$2:$Z$21,H479)+SUMIFS(Settings!$AA$2:$AA$21,Settings!$Y$2:$Y$21,"Decision-maker?",Settings!$Z$2:$Z$21,I479)+SUMIFS(Settings!$AA$2:$AA$21,Settings!$Y$2:$Y$21,"Someone on camera?",Settings!$Z$2:$Z$21,J479)+SUMIFS(Settings!$AA$2:$AA$21,Settings!$Y$2:$Y$21,"OK with 3-month term?",Settings!$Z$2:$Z$21,K479)+SUMIFS(Settings!$AA$2:$AA$21,Settings!$Y$2:$Y$21,"Start timeline",Settings!$Z$2:$Z$21,L479)+SUMIFS(Settings!$AA$2:$AA$21,Settings!$Y$2:$Y$21,"Social media gap",Settings!$Z$2:$Z$21,M479)+IF(OR(E479="",E479="Lead ID not found"),0,IF(COUNTIF(Settings!$AC$2:$AC$6,E479)&gt;0,Settings!$AA$20,Settings!$AA$21)))</f>
        <v/>
      </c>
      <c r="P479" s="44" t="str">
        <f aca="false">IF(C479="","",IF(N(N479)&lt;6,"Partly scored ("&amp;N479&amp;"/6)",IF(O479&gt;=Settings!$S$8,"Hot",IF(O479&gt;=Settings!$S$9,"Warm","Cold"))))</f>
        <v/>
      </c>
      <c r="Q479" s="44" t="str">
        <f aca="false">IF(C479="","",IF(AND(H479="No",J479="No"),"🚩 Budget  ·  🚩 No one on camera",IF(H479="No","🚩 Budget under AED 5k",IF(J479="No","🚩 No one on camera",""))))</f>
        <v/>
      </c>
      <c r="R479" s="44" t="str">
        <f aca="false">IF(C479="","",IF(N(N479)&lt;6,"Finish the scoresheet before closing",IF(P479="Hot","Close now – send the contract / proposal today",IF(P479="Warm","Send proposal + a relevant result; follow up in 3 days","Rep's call – nurture or close politely")))&amp;IF(Q479&lt;&gt;""," (handle the 🚩 first)",""))</f>
        <v/>
      </c>
      <c r="S479" s="17"/>
      <c r="T479" s="17"/>
      <c r="U479" s="44" t="str">
        <f aca="false">IF(C479="","",IF(COUNTIF(C480:C$501,C479)=0,1,0))</f>
        <v/>
      </c>
    </row>
    <row r="480" customFormat="false" ht="15" hidden="false" customHeight="false" outlineLevel="0" collapsed="false">
      <c r="A480" s="17"/>
      <c r="B480" s="40"/>
      <c r="C480" s="17"/>
      <c r="D480" s="44" t="str">
        <f aca="false">IF(C480="","",IFERROR(INDEX(Inbound!$E$2:$E$501,MATCH(C480,Inbound!$A$2:$A$501,0)),IFERROR(INDEX(Outbound!$D$2:$D$501,MATCH(C480,Outbound!$A$2:$A$501,0)),"Lead ID not found")))</f>
        <v/>
      </c>
      <c r="E480" s="44" t="str">
        <f aca="false">IF(C480="","",IFERROR(INDEX(Inbound!$F$2:$F$501,MATCH(C480,Inbound!$A$2:$A$501,0)),IFERROR(INDEX(Outbound!$E$2:$E$501,MATCH(C480,Outbound!$A$2:$A$501,0)),"Lead ID not found")))</f>
        <v/>
      </c>
      <c r="F480" s="17"/>
      <c r="G480" s="17"/>
      <c r="H480" s="17"/>
      <c r="I480" s="17"/>
      <c r="J480" s="17"/>
      <c r="K480" s="17"/>
      <c r="L480" s="17"/>
      <c r="M480" s="17"/>
      <c r="N480" s="44" t="str">
        <f aca="false">IF(C480="","",COUNTA(H480:M480))</f>
        <v/>
      </c>
      <c r="O480" s="44" t="str">
        <f aca="false">IF(OR(C480="",N(N480)=0),"",SUMIFS(Settings!$AA$2:$AA$21,Settings!$Y$2:$Y$21,"Budget AED 5k+/mo?",Settings!$Z$2:$Z$21,H480)+SUMIFS(Settings!$AA$2:$AA$21,Settings!$Y$2:$Y$21,"Decision-maker?",Settings!$Z$2:$Z$21,I480)+SUMIFS(Settings!$AA$2:$AA$21,Settings!$Y$2:$Y$21,"Someone on camera?",Settings!$Z$2:$Z$21,J480)+SUMIFS(Settings!$AA$2:$AA$21,Settings!$Y$2:$Y$21,"OK with 3-month term?",Settings!$Z$2:$Z$21,K480)+SUMIFS(Settings!$AA$2:$AA$21,Settings!$Y$2:$Y$21,"Start timeline",Settings!$Z$2:$Z$21,L480)+SUMIFS(Settings!$AA$2:$AA$21,Settings!$Y$2:$Y$21,"Social media gap",Settings!$Z$2:$Z$21,M480)+IF(OR(E480="",E480="Lead ID not found"),0,IF(COUNTIF(Settings!$AC$2:$AC$6,E480)&gt;0,Settings!$AA$20,Settings!$AA$21)))</f>
        <v/>
      </c>
      <c r="P480" s="44" t="str">
        <f aca="false">IF(C480="","",IF(N(N480)&lt;6,"Partly scored ("&amp;N480&amp;"/6)",IF(O480&gt;=Settings!$S$8,"Hot",IF(O480&gt;=Settings!$S$9,"Warm","Cold"))))</f>
        <v/>
      </c>
      <c r="Q480" s="44" t="str">
        <f aca="false">IF(C480="","",IF(AND(H480="No",J480="No"),"🚩 Budget  ·  🚩 No one on camera",IF(H480="No","🚩 Budget under AED 5k",IF(J480="No","🚩 No one on camera",""))))</f>
        <v/>
      </c>
      <c r="R480" s="44" t="str">
        <f aca="false">IF(C480="","",IF(N(N480)&lt;6,"Finish the scoresheet before closing",IF(P480="Hot","Close now – send the contract / proposal today",IF(P480="Warm","Send proposal + a relevant result; follow up in 3 days","Rep's call – nurture or close politely")))&amp;IF(Q480&lt;&gt;""," (handle the 🚩 first)",""))</f>
        <v/>
      </c>
      <c r="S480" s="17"/>
      <c r="T480" s="17"/>
      <c r="U480" s="44" t="str">
        <f aca="false">IF(C480="","",IF(COUNTIF(C481:C$501,C480)=0,1,0))</f>
        <v/>
      </c>
    </row>
    <row r="481" customFormat="false" ht="15" hidden="false" customHeight="false" outlineLevel="0" collapsed="false">
      <c r="A481" s="17"/>
      <c r="B481" s="40"/>
      <c r="C481" s="17"/>
      <c r="D481" s="44" t="str">
        <f aca="false">IF(C481="","",IFERROR(INDEX(Inbound!$E$2:$E$501,MATCH(C481,Inbound!$A$2:$A$501,0)),IFERROR(INDEX(Outbound!$D$2:$D$501,MATCH(C481,Outbound!$A$2:$A$501,0)),"Lead ID not found")))</f>
        <v/>
      </c>
      <c r="E481" s="44" t="str">
        <f aca="false">IF(C481="","",IFERROR(INDEX(Inbound!$F$2:$F$501,MATCH(C481,Inbound!$A$2:$A$501,0)),IFERROR(INDEX(Outbound!$E$2:$E$501,MATCH(C481,Outbound!$A$2:$A$501,0)),"Lead ID not found")))</f>
        <v/>
      </c>
      <c r="F481" s="17"/>
      <c r="G481" s="17"/>
      <c r="H481" s="17"/>
      <c r="I481" s="17"/>
      <c r="J481" s="17"/>
      <c r="K481" s="17"/>
      <c r="L481" s="17"/>
      <c r="M481" s="17"/>
      <c r="N481" s="44" t="str">
        <f aca="false">IF(C481="","",COUNTA(H481:M481))</f>
        <v/>
      </c>
      <c r="O481" s="44" t="str">
        <f aca="false">IF(OR(C481="",N(N481)=0),"",SUMIFS(Settings!$AA$2:$AA$21,Settings!$Y$2:$Y$21,"Budget AED 5k+/mo?",Settings!$Z$2:$Z$21,H481)+SUMIFS(Settings!$AA$2:$AA$21,Settings!$Y$2:$Y$21,"Decision-maker?",Settings!$Z$2:$Z$21,I481)+SUMIFS(Settings!$AA$2:$AA$21,Settings!$Y$2:$Y$21,"Someone on camera?",Settings!$Z$2:$Z$21,J481)+SUMIFS(Settings!$AA$2:$AA$21,Settings!$Y$2:$Y$21,"OK with 3-month term?",Settings!$Z$2:$Z$21,K481)+SUMIFS(Settings!$AA$2:$AA$21,Settings!$Y$2:$Y$21,"Start timeline",Settings!$Z$2:$Z$21,L481)+SUMIFS(Settings!$AA$2:$AA$21,Settings!$Y$2:$Y$21,"Social media gap",Settings!$Z$2:$Z$21,M481)+IF(OR(E481="",E481="Lead ID not found"),0,IF(COUNTIF(Settings!$AC$2:$AC$6,E481)&gt;0,Settings!$AA$20,Settings!$AA$21)))</f>
        <v/>
      </c>
      <c r="P481" s="44" t="str">
        <f aca="false">IF(C481="","",IF(N(N481)&lt;6,"Partly scored ("&amp;N481&amp;"/6)",IF(O481&gt;=Settings!$S$8,"Hot",IF(O481&gt;=Settings!$S$9,"Warm","Cold"))))</f>
        <v/>
      </c>
      <c r="Q481" s="44" t="str">
        <f aca="false">IF(C481="","",IF(AND(H481="No",J481="No"),"🚩 Budget  ·  🚩 No one on camera",IF(H481="No","🚩 Budget under AED 5k",IF(J481="No","🚩 No one on camera",""))))</f>
        <v/>
      </c>
      <c r="R481" s="44" t="str">
        <f aca="false">IF(C481="","",IF(N(N481)&lt;6,"Finish the scoresheet before closing",IF(P481="Hot","Close now – send the contract / proposal today",IF(P481="Warm","Send proposal + a relevant result; follow up in 3 days","Rep's call – nurture or close politely")))&amp;IF(Q481&lt;&gt;""," (handle the 🚩 first)",""))</f>
        <v/>
      </c>
      <c r="S481" s="17"/>
      <c r="T481" s="17"/>
      <c r="U481" s="44" t="str">
        <f aca="false">IF(C481="","",IF(COUNTIF(C482:C$501,C481)=0,1,0))</f>
        <v/>
      </c>
    </row>
    <row r="482" customFormat="false" ht="15" hidden="false" customHeight="false" outlineLevel="0" collapsed="false">
      <c r="A482" s="17"/>
      <c r="B482" s="40"/>
      <c r="C482" s="17"/>
      <c r="D482" s="44" t="str">
        <f aca="false">IF(C482="","",IFERROR(INDEX(Inbound!$E$2:$E$501,MATCH(C482,Inbound!$A$2:$A$501,0)),IFERROR(INDEX(Outbound!$D$2:$D$501,MATCH(C482,Outbound!$A$2:$A$501,0)),"Lead ID not found")))</f>
        <v/>
      </c>
      <c r="E482" s="44" t="str">
        <f aca="false">IF(C482="","",IFERROR(INDEX(Inbound!$F$2:$F$501,MATCH(C482,Inbound!$A$2:$A$501,0)),IFERROR(INDEX(Outbound!$E$2:$E$501,MATCH(C482,Outbound!$A$2:$A$501,0)),"Lead ID not found")))</f>
        <v/>
      </c>
      <c r="F482" s="17"/>
      <c r="G482" s="17"/>
      <c r="H482" s="17"/>
      <c r="I482" s="17"/>
      <c r="J482" s="17"/>
      <c r="K482" s="17"/>
      <c r="L482" s="17"/>
      <c r="M482" s="17"/>
      <c r="N482" s="44" t="str">
        <f aca="false">IF(C482="","",COUNTA(H482:M482))</f>
        <v/>
      </c>
      <c r="O482" s="44" t="str">
        <f aca="false">IF(OR(C482="",N(N482)=0),"",SUMIFS(Settings!$AA$2:$AA$21,Settings!$Y$2:$Y$21,"Budget AED 5k+/mo?",Settings!$Z$2:$Z$21,H482)+SUMIFS(Settings!$AA$2:$AA$21,Settings!$Y$2:$Y$21,"Decision-maker?",Settings!$Z$2:$Z$21,I482)+SUMIFS(Settings!$AA$2:$AA$21,Settings!$Y$2:$Y$21,"Someone on camera?",Settings!$Z$2:$Z$21,J482)+SUMIFS(Settings!$AA$2:$AA$21,Settings!$Y$2:$Y$21,"OK with 3-month term?",Settings!$Z$2:$Z$21,K482)+SUMIFS(Settings!$AA$2:$AA$21,Settings!$Y$2:$Y$21,"Start timeline",Settings!$Z$2:$Z$21,L482)+SUMIFS(Settings!$AA$2:$AA$21,Settings!$Y$2:$Y$21,"Social media gap",Settings!$Z$2:$Z$21,M482)+IF(OR(E482="",E482="Lead ID not found"),0,IF(COUNTIF(Settings!$AC$2:$AC$6,E482)&gt;0,Settings!$AA$20,Settings!$AA$21)))</f>
        <v/>
      </c>
      <c r="P482" s="44" t="str">
        <f aca="false">IF(C482="","",IF(N(N482)&lt;6,"Partly scored ("&amp;N482&amp;"/6)",IF(O482&gt;=Settings!$S$8,"Hot",IF(O482&gt;=Settings!$S$9,"Warm","Cold"))))</f>
        <v/>
      </c>
      <c r="Q482" s="44" t="str">
        <f aca="false">IF(C482="","",IF(AND(H482="No",J482="No"),"🚩 Budget  ·  🚩 No one on camera",IF(H482="No","🚩 Budget under AED 5k",IF(J482="No","🚩 No one on camera",""))))</f>
        <v/>
      </c>
      <c r="R482" s="44" t="str">
        <f aca="false">IF(C482="","",IF(N(N482)&lt;6,"Finish the scoresheet before closing",IF(P482="Hot","Close now – send the contract / proposal today",IF(P482="Warm","Send proposal + a relevant result; follow up in 3 days","Rep's call – nurture or close politely")))&amp;IF(Q482&lt;&gt;""," (handle the 🚩 first)",""))</f>
        <v/>
      </c>
      <c r="S482" s="17"/>
      <c r="T482" s="17"/>
      <c r="U482" s="44" t="str">
        <f aca="false">IF(C482="","",IF(COUNTIF(C483:C$501,C482)=0,1,0))</f>
        <v/>
      </c>
    </row>
    <row r="483" customFormat="false" ht="15" hidden="false" customHeight="false" outlineLevel="0" collapsed="false">
      <c r="A483" s="17"/>
      <c r="B483" s="40"/>
      <c r="C483" s="17"/>
      <c r="D483" s="44" t="str">
        <f aca="false">IF(C483="","",IFERROR(INDEX(Inbound!$E$2:$E$501,MATCH(C483,Inbound!$A$2:$A$501,0)),IFERROR(INDEX(Outbound!$D$2:$D$501,MATCH(C483,Outbound!$A$2:$A$501,0)),"Lead ID not found")))</f>
        <v/>
      </c>
      <c r="E483" s="44" t="str">
        <f aca="false">IF(C483="","",IFERROR(INDEX(Inbound!$F$2:$F$501,MATCH(C483,Inbound!$A$2:$A$501,0)),IFERROR(INDEX(Outbound!$E$2:$E$501,MATCH(C483,Outbound!$A$2:$A$501,0)),"Lead ID not found")))</f>
        <v/>
      </c>
      <c r="F483" s="17"/>
      <c r="G483" s="17"/>
      <c r="H483" s="17"/>
      <c r="I483" s="17"/>
      <c r="J483" s="17"/>
      <c r="K483" s="17"/>
      <c r="L483" s="17"/>
      <c r="M483" s="17"/>
      <c r="N483" s="44" t="str">
        <f aca="false">IF(C483="","",COUNTA(H483:M483))</f>
        <v/>
      </c>
      <c r="O483" s="44" t="str">
        <f aca="false">IF(OR(C483="",N(N483)=0),"",SUMIFS(Settings!$AA$2:$AA$21,Settings!$Y$2:$Y$21,"Budget AED 5k+/mo?",Settings!$Z$2:$Z$21,H483)+SUMIFS(Settings!$AA$2:$AA$21,Settings!$Y$2:$Y$21,"Decision-maker?",Settings!$Z$2:$Z$21,I483)+SUMIFS(Settings!$AA$2:$AA$21,Settings!$Y$2:$Y$21,"Someone on camera?",Settings!$Z$2:$Z$21,J483)+SUMIFS(Settings!$AA$2:$AA$21,Settings!$Y$2:$Y$21,"OK with 3-month term?",Settings!$Z$2:$Z$21,K483)+SUMIFS(Settings!$AA$2:$AA$21,Settings!$Y$2:$Y$21,"Start timeline",Settings!$Z$2:$Z$21,L483)+SUMIFS(Settings!$AA$2:$AA$21,Settings!$Y$2:$Y$21,"Social media gap",Settings!$Z$2:$Z$21,M483)+IF(OR(E483="",E483="Lead ID not found"),0,IF(COUNTIF(Settings!$AC$2:$AC$6,E483)&gt;0,Settings!$AA$20,Settings!$AA$21)))</f>
        <v/>
      </c>
      <c r="P483" s="44" t="str">
        <f aca="false">IF(C483="","",IF(N(N483)&lt;6,"Partly scored ("&amp;N483&amp;"/6)",IF(O483&gt;=Settings!$S$8,"Hot",IF(O483&gt;=Settings!$S$9,"Warm","Cold"))))</f>
        <v/>
      </c>
      <c r="Q483" s="44" t="str">
        <f aca="false">IF(C483="","",IF(AND(H483="No",J483="No"),"🚩 Budget  ·  🚩 No one on camera",IF(H483="No","🚩 Budget under AED 5k",IF(J483="No","🚩 No one on camera",""))))</f>
        <v/>
      </c>
      <c r="R483" s="44" t="str">
        <f aca="false">IF(C483="","",IF(N(N483)&lt;6,"Finish the scoresheet before closing",IF(P483="Hot","Close now – send the contract / proposal today",IF(P483="Warm","Send proposal + a relevant result; follow up in 3 days","Rep's call – nurture or close politely")))&amp;IF(Q483&lt;&gt;""," (handle the 🚩 first)",""))</f>
        <v/>
      </c>
      <c r="S483" s="17"/>
      <c r="T483" s="17"/>
      <c r="U483" s="44" t="str">
        <f aca="false">IF(C483="","",IF(COUNTIF(C484:C$501,C483)=0,1,0))</f>
        <v/>
      </c>
    </row>
    <row r="484" customFormat="false" ht="15" hidden="false" customHeight="false" outlineLevel="0" collapsed="false">
      <c r="A484" s="17"/>
      <c r="B484" s="40"/>
      <c r="C484" s="17"/>
      <c r="D484" s="44" t="str">
        <f aca="false">IF(C484="","",IFERROR(INDEX(Inbound!$E$2:$E$501,MATCH(C484,Inbound!$A$2:$A$501,0)),IFERROR(INDEX(Outbound!$D$2:$D$501,MATCH(C484,Outbound!$A$2:$A$501,0)),"Lead ID not found")))</f>
        <v/>
      </c>
      <c r="E484" s="44" t="str">
        <f aca="false">IF(C484="","",IFERROR(INDEX(Inbound!$F$2:$F$501,MATCH(C484,Inbound!$A$2:$A$501,0)),IFERROR(INDEX(Outbound!$E$2:$E$501,MATCH(C484,Outbound!$A$2:$A$501,0)),"Lead ID not found")))</f>
        <v/>
      </c>
      <c r="F484" s="17"/>
      <c r="G484" s="17"/>
      <c r="H484" s="17"/>
      <c r="I484" s="17"/>
      <c r="J484" s="17"/>
      <c r="K484" s="17"/>
      <c r="L484" s="17"/>
      <c r="M484" s="17"/>
      <c r="N484" s="44" t="str">
        <f aca="false">IF(C484="","",COUNTA(H484:M484))</f>
        <v/>
      </c>
      <c r="O484" s="44" t="str">
        <f aca="false">IF(OR(C484="",N(N484)=0),"",SUMIFS(Settings!$AA$2:$AA$21,Settings!$Y$2:$Y$21,"Budget AED 5k+/mo?",Settings!$Z$2:$Z$21,H484)+SUMIFS(Settings!$AA$2:$AA$21,Settings!$Y$2:$Y$21,"Decision-maker?",Settings!$Z$2:$Z$21,I484)+SUMIFS(Settings!$AA$2:$AA$21,Settings!$Y$2:$Y$21,"Someone on camera?",Settings!$Z$2:$Z$21,J484)+SUMIFS(Settings!$AA$2:$AA$21,Settings!$Y$2:$Y$21,"OK with 3-month term?",Settings!$Z$2:$Z$21,K484)+SUMIFS(Settings!$AA$2:$AA$21,Settings!$Y$2:$Y$21,"Start timeline",Settings!$Z$2:$Z$21,L484)+SUMIFS(Settings!$AA$2:$AA$21,Settings!$Y$2:$Y$21,"Social media gap",Settings!$Z$2:$Z$21,M484)+IF(OR(E484="",E484="Lead ID not found"),0,IF(COUNTIF(Settings!$AC$2:$AC$6,E484)&gt;0,Settings!$AA$20,Settings!$AA$21)))</f>
        <v/>
      </c>
      <c r="P484" s="44" t="str">
        <f aca="false">IF(C484="","",IF(N(N484)&lt;6,"Partly scored ("&amp;N484&amp;"/6)",IF(O484&gt;=Settings!$S$8,"Hot",IF(O484&gt;=Settings!$S$9,"Warm","Cold"))))</f>
        <v/>
      </c>
      <c r="Q484" s="44" t="str">
        <f aca="false">IF(C484="","",IF(AND(H484="No",J484="No"),"🚩 Budget  ·  🚩 No one on camera",IF(H484="No","🚩 Budget under AED 5k",IF(J484="No","🚩 No one on camera",""))))</f>
        <v/>
      </c>
      <c r="R484" s="44" t="str">
        <f aca="false">IF(C484="","",IF(N(N484)&lt;6,"Finish the scoresheet before closing",IF(P484="Hot","Close now – send the contract / proposal today",IF(P484="Warm","Send proposal + a relevant result; follow up in 3 days","Rep's call – nurture or close politely")))&amp;IF(Q484&lt;&gt;""," (handle the 🚩 first)",""))</f>
        <v/>
      </c>
      <c r="S484" s="17"/>
      <c r="T484" s="17"/>
      <c r="U484" s="44" t="str">
        <f aca="false">IF(C484="","",IF(COUNTIF(C485:C$501,C484)=0,1,0))</f>
        <v/>
      </c>
    </row>
    <row r="485" customFormat="false" ht="15" hidden="false" customHeight="false" outlineLevel="0" collapsed="false">
      <c r="A485" s="17"/>
      <c r="B485" s="40"/>
      <c r="C485" s="17"/>
      <c r="D485" s="44" t="str">
        <f aca="false">IF(C485="","",IFERROR(INDEX(Inbound!$E$2:$E$501,MATCH(C485,Inbound!$A$2:$A$501,0)),IFERROR(INDEX(Outbound!$D$2:$D$501,MATCH(C485,Outbound!$A$2:$A$501,0)),"Lead ID not found")))</f>
        <v/>
      </c>
      <c r="E485" s="44" t="str">
        <f aca="false">IF(C485="","",IFERROR(INDEX(Inbound!$F$2:$F$501,MATCH(C485,Inbound!$A$2:$A$501,0)),IFERROR(INDEX(Outbound!$E$2:$E$501,MATCH(C485,Outbound!$A$2:$A$501,0)),"Lead ID not found")))</f>
        <v/>
      </c>
      <c r="F485" s="17"/>
      <c r="G485" s="17"/>
      <c r="H485" s="17"/>
      <c r="I485" s="17"/>
      <c r="J485" s="17"/>
      <c r="K485" s="17"/>
      <c r="L485" s="17"/>
      <c r="M485" s="17"/>
      <c r="N485" s="44" t="str">
        <f aca="false">IF(C485="","",COUNTA(H485:M485))</f>
        <v/>
      </c>
      <c r="O485" s="44" t="str">
        <f aca="false">IF(OR(C485="",N(N485)=0),"",SUMIFS(Settings!$AA$2:$AA$21,Settings!$Y$2:$Y$21,"Budget AED 5k+/mo?",Settings!$Z$2:$Z$21,H485)+SUMIFS(Settings!$AA$2:$AA$21,Settings!$Y$2:$Y$21,"Decision-maker?",Settings!$Z$2:$Z$21,I485)+SUMIFS(Settings!$AA$2:$AA$21,Settings!$Y$2:$Y$21,"Someone on camera?",Settings!$Z$2:$Z$21,J485)+SUMIFS(Settings!$AA$2:$AA$21,Settings!$Y$2:$Y$21,"OK with 3-month term?",Settings!$Z$2:$Z$21,K485)+SUMIFS(Settings!$AA$2:$AA$21,Settings!$Y$2:$Y$21,"Start timeline",Settings!$Z$2:$Z$21,L485)+SUMIFS(Settings!$AA$2:$AA$21,Settings!$Y$2:$Y$21,"Social media gap",Settings!$Z$2:$Z$21,M485)+IF(OR(E485="",E485="Lead ID not found"),0,IF(COUNTIF(Settings!$AC$2:$AC$6,E485)&gt;0,Settings!$AA$20,Settings!$AA$21)))</f>
        <v/>
      </c>
      <c r="P485" s="44" t="str">
        <f aca="false">IF(C485="","",IF(N(N485)&lt;6,"Partly scored ("&amp;N485&amp;"/6)",IF(O485&gt;=Settings!$S$8,"Hot",IF(O485&gt;=Settings!$S$9,"Warm","Cold"))))</f>
        <v/>
      </c>
      <c r="Q485" s="44" t="str">
        <f aca="false">IF(C485="","",IF(AND(H485="No",J485="No"),"🚩 Budget  ·  🚩 No one on camera",IF(H485="No","🚩 Budget under AED 5k",IF(J485="No","🚩 No one on camera",""))))</f>
        <v/>
      </c>
      <c r="R485" s="44" t="str">
        <f aca="false">IF(C485="","",IF(N(N485)&lt;6,"Finish the scoresheet before closing",IF(P485="Hot","Close now – send the contract / proposal today",IF(P485="Warm","Send proposal + a relevant result; follow up in 3 days","Rep's call – nurture or close politely")))&amp;IF(Q485&lt;&gt;""," (handle the 🚩 first)",""))</f>
        <v/>
      </c>
      <c r="S485" s="17"/>
      <c r="T485" s="17"/>
      <c r="U485" s="44" t="str">
        <f aca="false">IF(C485="","",IF(COUNTIF(C486:C$501,C485)=0,1,0))</f>
        <v/>
      </c>
    </row>
    <row r="486" customFormat="false" ht="15" hidden="false" customHeight="false" outlineLevel="0" collapsed="false">
      <c r="A486" s="17"/>
      <c r="B486" s="40"/>
      <c r="C486" s="17"/>
      <c r="D486" s="44" t="str">
        <f aca="false">IF(C486="","",IFERROR(INDEX(Inbound!$E$2:$E$501,MATCH(C486,Inbound!$A$2:$A$501,0)),IFERROR(INDEX(Outbound!$D$2:$D$501,MATCH(C486,Outbound!$A$2:$A$501,0)),"Lead ID not found")))</f>
        <v/>
      </c>
      <c r="E486" s="44" t="str">
        <f aca="false">IF(C486="","",IFERROR(INDEX(Inbound!$F$2:$F$501,MATCH(C486,Inbound!$A$2:$A$501,0)),IFERROR(INDEX(Outbound!$E$2:$E$501,MATCH(C486,Outbound!$A$2:$A$501,0)),"Lead ID not found")))</f>
        <v/>
      </c>
      <c r="F486" s="17"/>
      <c r="G486" s="17"/>
      <c r="H486" s="17"/>
      <c r="I486" s="17"/>
      <c r="J486" s="17"/>
      <c r="K486" s="17"/>
      <c r="L486" s="17"/>
      <c r="M486" s="17"/>
      <c r="N486" s="44" t="str">
        <f aca="false">IF(C486="","",COUNTA(H486:M486))</f>
        <v/>
      </c>
      <c r="O486" s="44" t="str">
        <f aca="false">IF(OR(C486="",N(N486)=0),"",SUMIFS(Settings!$AA$2:$AA$21,Settings!$Y$2:$Y$21,"Budget AED 5k+/mo?",Settings!$Z$2:$Z$21,H486)+SUMIFS(Settings!$AA$2:$AA$21,Settings!$Y$2:$Y$21,"Decision-maker?",Settings!$Z$2:$Z$21,I486)+SUMIFS(Settings!$AA$2:$AA$21,Settings!$Y$2:$Y$21,"Someone on camera?",Settings!$Z$2:$Z$21,J486)+SUMIFS(Settings!$AA$2:$AA$21,Settings!$Y$2:$Y$21,"OK with 3-month term?",Settings!$Z$2:$Z$21,K486)+SUMIFS(Settings!$AA$2:$AA$21,Settings!$Y$2:$Y$21,"Start timeline",Settings!$Z$2:$Z$21,L486)+SUMIFS(Settings!$AA$2:$AA$21,Settings!$Y$2:$Y$21,"Social media gap",Settings!$Z$2:$Z$21,M486)+IF(OR(E486="",E486="Lead ID not found"),0,IF(COUNTIF(Settings!$AC$2:$AC$6,E486)&gt;0,Settings!$AA$20,Settings!$AA$21)))</f>
        <v/>
      </c>
      <c r="P486" s="44" t="str">
        <f aca="false">IF(C486="","",IF(N(N486)&lt;6,"Partly scored ("&amp;N486&amp;"/6)",IF(O486&gt;=Settings!$S$8,"Hot",IF(O486&gt;=Settings!$S$9,"Warm","Cold"))))</f>
        <v/>
      </c>
      <c r="Q486" s="44" t="str">
        <f aca="false">IF(C486="","",IF(AND(H486="No",J486="No"),"🚩 Budget  ·  🚩 No one on camera",IF(H486="No","🚩 Budget under AED 5k",IF(J486="No","🚩 No one on camera",""))))</f>
        <v/>
      </c>
      <c r="R486" s="44" t="str">
        <f aca="false">IF(C486="","",IF(N(N486)&lt;6,"Finish the scoresheet before closing",IF(P486="Hot","Close now – send the contract / proposal today",IF(P486="Warm","Send proposal + a relevant result; follow up in 3 days","Rep's call – nurture or close politely")))&amp;IF(Q486&lt;&gt;""," (handle the 🚩 first)",""))</f>
        <v/>
      </c>
      <c r="S486" s="17"/>
      <c r="T486" s="17"/>
      <c r="U486" s="44" t="str">
        <f aca="false">IF(C486="","",IF(COUNTIF(C487:C$501,C486)=0,1,0))</f>
        <v/>
      </c>
    </row>
    <row r="487" customFormat="false" ht="15" hidden="false" customHeight="false" outlineLevel="0" collapsed="false">
      <c r="A487" s="17"/>
      <c r="B487" s="40"/>
      <c r="C487" s="17"/>
      <c r="D487" s="44" t="str">
        <f aca="false">IF(C487="","",IFERROR(INDEX(Inbound!$E$2:$E$501,MATCH(C487,Inbound!$A$2:$A$501,0)),IFERROR(INDEX(Outbound!$D$2:$D$501,MATCH(C487,Outbound!$A$2:$A$501,0)),"Lead ID not found")))</f>
        <v/>
      </c>
      <c r="E487" s="44" t="str">
        <f aca="false">IF(C487="","",IFERROR(INDEX(Inbound!$F$2:$F$501,MATCH(C487,Inbound!$A$2:$A$501,0)),IFERROR(INDEX(Outbound!$E$2:$E$501,MATCH(C487,Outbound!$A$2:$A$501,0)),"Lead ID not found")))</f>
        <v/>
      </c>
      <c r="F487" s="17"/>
      <c r="G487" s="17"/>
      <c r="H487" s="17"/>
      <c r="I487" s="17"/>
      <c r="J487" s="17"/>
      <c r="K487" s="17"/>
      <c r="L487" s="17"/>
      <c r="M487" s="17"/>
      <c r="N487" s="44" t="str">
        <f aca="false">IF(C487="","",COUNTA(H487:M487))</f>
        <v/>
      </c>
      <c r="O487" s="44" t="str">
        <f aca="false">IF(OR(C487="",N(N487)=0),"",SUMIFS(Settings!$AA$2:$AA$21,Settings!$Y$2:$Y$21,"Budget AED 5k+/mo?",Settings!$Z$2:$Z$21,H487)+SUMIFS(Settings!$AA$2:$AA$21,Settings!$Y$2:$Y$21,"Decision-maker?",Settings!$Z$2:$Z$21,I487)+SUMIFS(Settings!$AA$2:$AA$21,Settings!$Y$2:$Y$21,"Someone on camera?",Settings!$Z$2:$Z$21,J487)+SUMIFS(Settings!$AA$2:$AA$21,Settings!$Y$2:$Y$21,"OK with 3-month term?",Settings!$Z$2:$Z$21,K487)+SUMIFS(Settings!$AA$2:$AA$21,Settings!$Y$2:$Y$21,"Start timeline",Settings!$Z$2:$Z$21,L487)+SUMIFS(Settings!$AA$2:$AA$21,Settings!$Y$2:$Y$21,"Social media gap",Settings!$Z$2:$Z$21,M487)+IF(OR(E487="",E487="Lead ID not found"),0,IF(COUNTIF(Settings!$AC$2:$AC$6,E487)&gt;0,Settings!$AA$20,Settings!$AA$21)))</f>
        <v/>
      </c>
      <c r="P487" s="44" t="str">
        <f aca="false">IF(C487="","",IF(N(N487)&lt;6,"Partly scored ("&amp;N487&amp;"/6)",IF(O487&gt;=Settings!$S$8,"Hot",IF(O487&gt;=Settings!$S$9,"Warm","Cold"))))</f>
        <v/>
      </c>
      <c r="Q487" s="44" t="str">
        <f aca="false">IF(C487="","",IF(AND(H487="No",J487="No"),"🚩 Budget  ·  🚩 No one on camera",IF(H487="No","🚩 Budget under AED 5k",IF(J487="No","🚩 No one on camera",""))))</f>
        <v/>
      </c>
      <c r="R487" s="44" t="str">
        <f aca="false">IF(C487="","",IF(N(N487)&lt;6,"Finish the scoresheet before closing",IF(P487="Hot","Close now – send the contract / proposal today",IF(P487="Warm","Send proposal + a relevant result; follow up in 3 days","Rep's call – nurture or close politely")))&amp;IF(Q487&lt;&gt;""," (handle the 🚩 first)",""))</f>
        <v/>
      </c>
      <c r="S487" s="17"/>
      <c r="T487" s="17"/>
      <c r="U487" s="44" t="str">
        <f aca="false">IF(C487="","",IF(COUNTIF(C488:C$501,C487)=0,1,0))</f>
        <v/>
      </c>
    </row>
    <row r="488" customFormat="false" ht="15" hidden="false" customHeight="false" outlineLevel="0" collapsed="false">
      <c r="A488" s="17"/>
      <c r="B488" s="40"/>
      <c r="C488" s="17"/>
      <c r="D488" s="44" t="str">
        <f aca="false">IF(C488="","",IFERROR(INDEX(Inbound!$E$2:$E$501,MATCH(C488,Inbound!$A$2:$A$501,0)),IFERROR(INDEX(Outbound!$D$2:$D$501,MATCH(C488,Outbound!$A$2:$A$501,0)),"Lead ID not found")))</f>
        <v/>
      </c>
      <c r="E488" s="44" t="str">
        <f aca="false">IF(C488="","",IFERROR(INDEX(Inbound!$F$2:$F$501,MATCH(C488,Inbound!$A$2:$A$501,0)),IFERROR(INDEX(Outbound!$E$2:$E$501,MATCH(C488,Outbound!$A$2:$A$501,0)),"Lead ID not found")))</f>
        <v/>
      </c>
      <c r="F488" s="17"/>
      <c r="G488" s="17"/>
      <c r="H488" s="17"/>
      <c r="I488" s="17"/>
      <c r="J488" s="17"/>
      <c r="K488" s="17"/>
      <c r="L488" s="17"/>
      <c r="M488" s="17"/>
      <c r="N488" s="44" t="str">
        <f aca="false">IF(C488="","",COUNTA(H488:M488))</f>
        <v/>
      </c>
      <c r="O488" s="44" t="str">
        <f aca="false">IF(OR(C488="",N(N488)=0),"",SUMIFS(Settings!$AA$2:$AA$21,Settings!$Y$2:$Y$21,"Budget AED 5k+/mo?",Settings!$Z$2:$Z$21,H488)+SUMIFS(Settings!$AA$2:$AA$21,Settings!$Y$2:$Y$21,"Decision-maker?",Settings!$Z$2:$Z$21,I488)+SUMIFS(Settings!$AA$2:$AA$21,Settings!$Y$2:$Y$21,"Someone on camera?",Settings!$Z$2:$Z$21,J488)+SUMIFS(Settings!$AA$2:$AA$21,Settings!$Y$2:$Y$21,"OK with 3-month term?",Settings!$Z$2:$Z$21,K488)+SUMIFS(Settings!$AA$2:$AA$21,Settings!$Y$2:$Y$21,"Start timeline",Settings!$Z$2:$Z$21,L488)+SUMIFS(Settings!$AA$2:$AA$21,Settings!$Y$2:$Y$21,"Social media gap",Settings!$Z$2:$Z$21,M488)+IF(OR(E488="",E488="Lead ID not found"),0,IF(COUNTIF(Settings!$AC$2:$AC$6,E488)&gt;0,Settings!$AA$20,Settings!$AA$21)))</f>
        <v/>
      </c>
      <c r="P488" s="44" t="str">
        <f aca="false">IF(C488="","",IF(N(N488)&lt;6,"Partly scored ("&amp;N488&amp;"/6)",IF(O488&gt;=Settings!$S$8,"Hot",IF(O488&gt;=Settings!$S$9,"Warm","Cold"))))</f>
        <v/>
      </c>
      <c r="Q488" s="44" t="str">
        <f aca="false">IF(C488="","",IF(AND(H488="No",J488="No"),"🚩 Budget  ·  🚩 No one on camera",IF(H488="No","🚩 Budget under AED 5k",IF(J488="No","🚩 No one on camera",""))))</f>
        <v/>
      </c>
      <c r="R488" s="44" t="str">
        <f aca="false">IF(C488="","",IF(N(N488)&lt;6,"Finish the scoresheet before closing",IF(P488="Hot","Close now – send the contract / proposal today",IF(P488="Warm","Send proposal + a relevant result; follow up in 3 days","Rep's call – nurture or close politely")))&amp;IF(Q488&lt;&gt;""," (handle the 🚩 first)",""))</f>
        <v/>
      </c>
      <c r="S488" s="17"/>
      <c r="T488" s="17"/>
      <c r="U488" s="44" t="str">
        <f aca="false">IF(C488="","",IF(COUNTIF(C489:C$501,C488)=0,1,0))</f>
        <v/>
      </c>
    </row>
    <row r="489" customFormat="false" ht="15" hidden="false" customHeight="false" outlineLevel="0" collapsed="false">
      <c r="A489" s="17"/>
      <c r="B489" s="40"/>
      <c r="C489" s="17"/>
      <c r="D489" s="44" t="str">
        <f aca="false">IF(C489="","",IFERROR(INDEX(Inbound!$E$2:$E$501,MATCH(C489,Inbound!$A$2:$A$501,0)),IFERROR(INDEX(Outbound!$D$2:$D$501,MATCH(C489,Outbound!$A$2:$A$501,0)),"Lead ID not found")))</f>
        <v/>
      </c>
      <c r="E489" s="44" t="str">
        <f aca="false">IF(C489="","",IFERROR(INDEX(Inbound!$F$2:$F$501,MATCH(C489,Inbound!$A$2:$A$501,0)),IFERROR(INDEX(Outbound!$E$2:$E$501,MATCH(C489,Outbound!$A$2:$A$501,0)),"Lead ID not found")))</f>
        <v/>
      </c>
      <c r="F489" s="17"/>
      <c r="G489" s="17"/>
      <c r="H489" s="17"/>
      <c r="I489" s="17"/>
      <c r="J489" s="17"/>
      <c r="K489" s="17"/>
      <c r="L489" s="17"/>
      <c r="M489" s="17"/>
      <c r="N489" s="44" t="str">
        <f aca="false">IF(C489="","",COUNTA(H489:M489))</f>
        <v/>
      </c>
      <c r="O489" s="44" t="str">
        <f aca="false">IF(OR(C489="",N(N489)=0),"",SUMIFS(Settings!$AA$2:$AA$21,Settings!$Y$2:$Y$21,"Budget AED 5k+/mo?",Settings!$Z$2:$Z$21,H489)+SUMIFS(Settings!$AA$2:$AA$21,Settings!$Y$2:$Y$21,"Decision-maker?",Settings!$Z$2:$Z$21,I489)+SUMIFS(Settings!$AA$2:$AA$21,Settings!$Y$2:$Y$21,"Someone on camera?",Settings!$Z$2:$Z$21,J489)+SUMIFS(Settings!$AA$2:$AA$21,Settings!$Y$2:$Y$21,"OK with 3-month term?",Settings!$Z$2:$Z$21,K489)+SUMIFS(Settings!$AA$2:$AA$21,Settings!$Y$2:$Y$21,"Start timeline",Settings!$Z$2:$Z$21,L489)+SUMIFS(Settings!$AA$2:$AA$21,Settings!$Y$2:$Y$21,"Social media gap",Settings!$Z$2:$Z$21,M489)+IF(OR(E489="",E489="Lead ID not found"),0,IF(COUNTIF(Settings!$AC$2:$AC$6,E489)&gt;0,Settings!$AA$20,Settings!$AA$21)))</f>
        <v/>
      </c>
      <c r="P489" s="44" t="str">
        <f aca="false">IF(C489="","",IF(N(N489)&lt;6,"Partly scored ("&amp;N489&amp;"/6)",IF(O489&gt;=Settings!$S$8,"Hot",IF(O489&gt;=Settings!$S$9,"Warm","Cold"))))</f>
        <v/>
      </c>
      <c r="Q489" s="44" t="str">
        <f aca="false">IF(C489="","",IF(AND(H489="No",J489="No"),"🚩 Budget  ·  🚩 No one on camera",IF(H489="No","🚩 Budget under AED 5k",IF(J489="No","🚩 No one on camera",""))))</f>
        <v/>
      </c>
      <c r="R489" s="44" t="str">
        <f aca="false">IF(C489="","",IF(N(N489)&lt;6,"Finish the scoresheet before closing",IF(P489="Hot","Close now – send the contract / proposal today",IF(P489="Warm","Send proposal + a relevant result; follow up in 3 days","Rep's call – nurture or close politely")))&amp;IF(Q489&lt;&gt;""," (handle the 🚩 first)",""))</f>
        <v/>
      </c>
      <c r="S489" s="17"/>
      <c r="T489" s="17"/>
      <c r="U489" s="44" t="str">
        <f aca="false">IF(C489="","",IF(COUNTIF(C490:C$501,C489)=0,1,0))</f>
        <v/>
      </c>
    </row>
    <row r="490" customFormat="false" ht="15" hidden="false" customHeight="false" outlineLevel="0" collapsed="false">
      <c r="A490" s="17"/>
      <c r="B490" s="40"/>
      <c r="C490" s="17"/>
      <c r="D490" s="44" t="str">
        <f aca="false">IF(C490="","",IFERROR(INDEX(Inbound!$E$2:$E$501,MATCH(C490,Inbound!$A$2:$A$501,0)),IFERROR(INDEX(Outbound!$D$2:$D$501,MATCH(C490,Outbound!$A$2:$A$501,0)),"Lead ID not found")))</f>
        <v/>
      </c>
      <c r="E490" s="44" t="str">
        <f aca="false">IF(C490="","",IFERROR(INDEX(Inbound!$F$2:$F$501,MATCH(C490,Inbound!$A$2:$A$501,0)),IFERROR(INDEX(Outbound!$E$2:$E$501,MATCH(C490,Outbound!$A$2:$A$501,0)),"Lead ID not found")))</f>
        <v/>
      </c>
      <c r="F490" s="17"/>
      <c r="G490" s="17"/>
      <c r="H490" s="17"/>
      <c r="I490" s="17"/>
      <c r="J490" s="17"/>
      <c r="K490" s="17"/>
      <c r="L490" s="17"/>
      <c r="M490" s="17"/>
      <c r="N490" s="44" t="str">
        <f aca="false">IF(C490="","",COUNTA(H490:M490))</f>
        <v/>
      </c>
      <c r="O490" s="44" t="str">
        <f aca="false">IF(OR(C490="",N(N490)=0),"",SUMIFS(Settings!$AA$2:$AA$21,Settings!$Y$2:$Y$21,"Budget AED 5k+/mo?",Settings!$Z$2:$Z$21,H490)+SUMIFS(Settings!$AA$2:$AA$21,Settings!$Y$2:$Y$21,"Decision-maker?",Settings!$Z$2:$Z$21,I490)+SUMIFS(Settings!$AA$2:$AA$21,Settings!$Y$2:$Y$21,"Someone on camera?",Settings!$Z$2:$Z$21,J490)+SUMIFS(Settings!$AA$2:$AA$21,Settings!$Y$2:$Y$21,"OK with 3-month term?",Settings!$Z$2:$Z$21,K490)+SUMIFS(Settings!$AA$2:$AA$21,Settings!$Y$2:$Y$21,"Start timeline",Settings!$Z$2:$Z$21,L490)+SUMIFS(Settings!$AA$2:$AA$21,Settings!$Y$2:$Y$21,"Social media gap",Settings!$Z$2:$Z$21,M490)+IF(OR(E490="",E490="Lead ID not found"),0,IF(COUNTIF(Settings!$AC$2:$AC$6,E490)&gt;0,Settings!$AA$20,Settings!$AA$21)))</f>
        <v/>
      </c>
      <c r="P490" s="44" t="str">
        <f aca="false">IF(C490="","",IF(N(N490)&lt;6,"Partly scored ("&amp;N490&amp;"/6)",IF(O490&gt;=Settings!$S$8,"Hot",IF(O490&gt;=Settings!$S$9,"Warm","Cold"))))</f>
        <v/>
      </c>
      <c r="Q490" s="44" t="str">
        <f aca="false">IF(C490="","",IF(AND(H490="No",J490="No"),"🚩 Budget  ·  🚩 No one on camera",IF(H490="No","🚩 Budget under AED 5k",IF(J490="No","🚩 No one on camera",""))))</f>
        <v/>
      </c>
      <c r="R490" s="44" t="str">
        <f aca="false">IF(C490="","",IF(N(N490)&lt;6,"Finish the scoresheet before closing",IF(P490="Hot","Close now – send the contract / proposal today",IF(P490="Warm","Send proposal + a relevant result; follow up in 3 days","Rep's call – nurture or close politely")))&amp;IF(Q490&lt;&gt;""," (handle the 🚩 first)",""))</f>
        <v/>
      </c>
      <c r="S490" s="17"/>
      <c r="T490" s="17"/>
      <c r="U490" s="44" t="str">
        <f aca="false">IF(C490="","",IF(COUNTIF(C491:C$501,C490)=0,1,0))</f>
        <v/>
      </c>
    </row>
    <row r="491" customFormat="false" ht="15" hidden="false" customHeight="false" outlineLevel="0" collapsed="false">
      <c r="A491" s="17"/>
      <c r="B491" s="40"/>
      <c r="C491" s="17"/>
      <c r="D491" s="44" t="str">
        <f aca="false">IF(C491="","",IFERROR(INDEX(Inbound!$E$2:$E$501,MATCH(C491,Inbound!$A$2:$A$501,0)),IFERROR(INDEX(Outbound!$D$2:$D$501,MATCH(C491,Outbound!$A$2:$A$501,0)),"Lead ID not found")))</f>
        <v/>
      </c>
      <c r="E491" s="44" t="str">
        <f aca="false">IF(C491="","",IFERROR(INDEX(Inbound!$F$2:$F$501,MATCH(C491,Inbound!$A$2:$A$501,0)),IFERROR(INDEX(Outbound!$E$2:$E$501,MATCH(C491,Outbound!$A$2:$A$501,0)),"Lead ID not found")))</f>
        <v/>
      </c>
      <c r="F491" s="17"/>
      <c r="G491" s="17"/>
      <c r="H491" s="17"/>
      <c r="I491" s="17"/>
      <c r="J491" s="17"/>
      <c r="K491" s="17"/>
      <c r="L491" s="17"/>
      <c r="M491" s="17"/>
      <c r="N491" s="44" t="str">
        <f aca="false">IF(C491="","",COUNTA(H491:M491))</f>
        <v/>
      </c>
      <c r="O491" s="44" t="str">
        <f aca="false">IF(OR(C491="",N(N491)=0),"",SUMIFS(Settings!$AA$2:$AA$21,Settings!$Y$2:$Y$21,"Budget AED 5k+/mo?",Settings!$Z$2:$Z$21,H491)+SUMIFS(Settings!$AA$2:$AA$21,Settings!$Y$2:$Y$21,"Decision-maker?",Settings!$Z$2:$Z$21,I491)+SUMIFS(Settings!$AA$2:$AA$21,Settings!$Y$2:$Y$21,"Someone on camera?",Settings!$Z$2:$Z$21,J491)+SUMIFS(Settings!$AA$2:$AA$21,Settings!$Y$2:$Y$21,"OK with 3-month term?",Settings!$Z$2:$Z$21,K491)+SUMIFS(Settings!$AA$2:$AA$21,Settings!$Y$2:$Y$21,"Start timeline",Settings!$Z$2:$Z$21,L491)+SUMIFS(Settings!$AA$2:$AA$21,Settings!$Y$2:$Y$21,"Social media gap",Settings!$Z$2:$Z$21,M491)+IF(OR(E491="",E491="Lead ID not found"),0,IF(COUNTIF(Settings!$AC$2:$AC$6,E491)&gt;0,Settings!$AA$20,Settings!$AA$21)))</f>
        <v/>
      </c>
      <c r="P491" s="44" t="str">
        <f aca="false">IF(C491="","",IF(N(N491)&lt;6,"Partly scored ("&amp;N491&amp;"/6)",IF(O491&gt;=Settings!$S$8,"Hot",IF(O491&gt;=Settings!$S$9,"Warm","Cold"))))</f>
        <v/>
      </c>
      <c r="Q491" s="44" t="str">
        <f aca="false">IF(C491="","",IF(AND(H491="No",J491="No"),"🚩 Budget  ·  🚩 No one on camera",IF(H491="No","🚩 Budget under AED 5k",IF(J491="No","🚩 No one on camera",""))))</f>
        <v/>
      </c>
      <c r="R491" s="44" t="str">
        <f aca="false">IF(C491="","",IF(N(N491)&lt;6,"Finish the scoresheet before closing",IF(P491="Hot","Close now – send the contract / proposal today",IF(P491="Warm","Send proposal + a relevant result; follow up in 3 days","Rep's call – nurture or close politely")))&amp;IF(Q491&lt;&gt;""," (handle the 🚩 first)",""))</f>
        <v/>
      </c>
      <c r="S491" s="17"/>
      <c r="T491" s="17"/>
      <c r="U491" s="44" t="str">
        <f aca="false">IF(C491="","",IF(COUNTIF(C492:C$501,C491)=0,1,0))</f>
        <v/>
      </c>
    </row>
    <row r="492" customFormat="false" ht="15" hidden="false" customHeight="false" outlineLevel="0" collapsed="false">
      <c r="A492" s="17"/>
      <c r="B492" s="40"/>
      <c r="C492" s="17"/>
      <c r="D492" s="44" t="str">
        <f aca="false">IF(C492="","",IFERROR(INDEX(Inbound!$E$2:$E$501,MATCH(C492,Inbound!$A$2:$A$501,0)),IFERROR(INDEX(Outbound!$D$2:$D$501,MATCH(C492,Outbound!$A$2:$A$501,0)),"Lead ID not found")))</f>
        <v/>
      </c>
      <c r="E492" s="44" t="str">
        <f aca="false">IF(C492="","",IFERROR(INDEX(Inbound!$F$2:$F$501,MATCH(C492,Inbound!$A$2:$A$501,0)),IFERROR(INDEX(Outbound!$E$2:$E$501,MATCH(C492,Outbound!$A$2:$A$501,0)),"Lead ID not found")))</f>
        <v/>
      </c>
      <c r="F492" s="17"/>
      <c r="G492" s="17"/>
      <c r="H492" s="17"/>
      <c r="I492" s="17"/>
      <c r="J492" s="17"/>
      <c r="K492" s="17"/>
      <c r="L492" s="17"/>
      <c r="M492" s="17"/>
      <c r="N492" s="44" t="str">
        <f aca="false">IF(C492="","",COUNTA(H492:M492))</f>
        <v/>
      </c>
      <c r="O492" s="44" t="str">
        <f aca="false">IF(OR(C492="",N(N492)=0),"",SUMIFS(Settings!$AA$2:$AA$21,Settings!$Y$2:$Y$21,"Budget AED 5k+/mo?",Settings!$Z$2:$Z$21,H492)+SUMIFS(Settings!$AA$2:$AA$21,Settings!$Y$2:$Y$21,"Decision-maker?",Settings!$Z$2:$Z$21,I492)+SUMIFS(Settings!$AA$2:$AA$21,Settings!$Y$2:$Y$21,"Someone on camera?",Settings!$Z$2:$Z$21,J492)+SUMIFS(Settings!$AA$2:$AA$21,Settings!$Y$2:$Y$21,"OK with 3-month term?",Settings!$Z$2:$Z$21,K492)+SUMIFS(Settings!$AA$2:$AA$21,Settings!$Y$2:$Y$21,"Start timeline",Settings!$Z$2:$Z$21,L492)+SUMIFS(Settings!$AA$2:$AA$21,Settings!$Y$2:$Y$21,"Social media gap",Settings!$Z$2:$Z$21,M492)+IF(OR(E492="",E492="Lead ID not found"),0,IF(COUNTIF(Settings!$AC$2:$AC$6,E492)&gt;0,Settings!$AA$20,Settings!$AA$21)))</f>
        <v/>
      </c>
      <c r="P492" s="44" t="str">
        <f aca="false">IF(C492="","",IF(N(N492)&lt;6,"Partly scored ("&amp;N492&amp;"/6)",IF(O492&gt;=Settings!$S$8,"Hot",IF(O492&gt;=Settings!$S$9,"Warm","Cold"))))</f>
        <v/>
      </c>
      <c r="Q492" s="44" t="str">
        <f aca="false">IF(C492="","",IF(AND(H492="No",J492="No"),"🚩 Budget  ·  🚩 No one on camera",IF(H492="No","🚩 Budget under AED 5k",IF(J492="No","🚩 No one on camera",""))))</f>
        <v/>
      </c>
      <c r="R492" s="44" t="str">
        <f aca="false">IF(C492="","",IF(N(N492)&lt;6,"Finish the scoresheet before closing",IF(P492="Hot","Close now – send the contract / proposal today",IF(P492="Warm","Send proposal + a relevant result; follow up in 3 days","Rep's call – nurture or close politely")))&amp;IF(Q492&lt;&gt;""," (handle the 🚩 first)",""))</f>
        <v/>
      </c>
      <c r="S492" s="17"/>
      <c r="T492" s="17"/>
      <c r="U492" s="44" t="str">
        <f aca="false">IF(C492="","",IF(COUNTIF(C493:C$501,C492)=0,1,0))</f>
        <v/>
      </c>
    </row>
    <row r="493" customFormat="false" ht="15" hidden="false" customHeight="false" outlineLevel="0" collapsed="false">
      <c r="A493" s="17"/>
      <c r="B493" s="40"/>
      <c r="C493" s="17"/>
      <c r="D493" s="44" t="str">
        <f aca="false">IF(C493="","",IFERROR(INDEX(Inbound!$E$2:$E$501,MATCH(C493,Inbound!$A$2:$A$501,0)),IFERROR(INDEX(Outbound!$D$2:$D$501,MATCH(C493,Outbound!$A$2:$A$501,0)),"Lead ID not found")))</f>
        <v/>
      </c>
      <c r="E493" s="44" t="str">
        <f aca="false">IF(C493="","",IFERROR(INDEX(Inbound!$F$2:$F$501,MATCH(C493,Inbound!$A$2:$A$501,0)),IFERROR(INDEX(Outbound!$E$2:$E$501,MATCH(C493,Outbound!$A$2:$A$501,0)),"Lead ID not found")))</f>
        <v/>
      </c>
      <c r="F493" s="17"/>
      <c r="G493" s="17"/>
      <c r="H493" s="17"/>
      <c r="I493" s="17"/>
      <c r="J493" s="17"/>
      <c r="K493" s="17"/>
      <c r="L493" s="17"/>
      <c r="M493" s="17"/>
      <c r="N493" s="44" t="str">
        <f aca="false">IF(C493="","",COUNTA(H493:M493))</f>
        <v/>
      </c>
      <c r="O493" s="44" t="str">
        <f aca="false">IF(OR(C493="",N(N493)=0),"",SUMIFS(Settings!$AA$2:$AA$21,Settings!$Y$2:$Y$21,"Budget AED 5k+/mo?",Settings!$Z$2:$Z$21,H493)+SUMIFS(Settings!$AA$2:$AA$21,Settings!$Y$2:$Y$21,"Decision-maker?",Settings!$Z$2:$Z$21,I493)+SUMIFS(Settings!$AA$2:$AA$21,Settings!$Y$2:$Y$21,"Someone on camera?",Settings!$Z$2:$Z$21,J493)+SUMIFS(Settings!$AA$2:$AA$21,Settings!$Y$2:$Y$21,"OK with 3-month term?",Settings!$Z$2:$Z$21,K493)+SUMIFS(Settings!$AA$2:$AA$21,Settings!$Y$2:$Y$21,"Start timeline",Settings!$Z$2:$Z$21,L493)+SUMIFS(Settings!$AA$2:$AA$21,Settings!$Y$2:$Y$21,"Social media gap",Settings!$Z$2:$Z$21,M493)+IF(OR(E493="",E493="Lead ID not found"),0,IF(COUNTIF(Settings!$AC$2:$AC$6,E493)&gt;0,Settings!$AA$20,Settings!$AA$21)))</f>
        <v/>
      </c>
      <c r="P493" s="44" t="str">
        <f aca="false">IF(C493="","",IF(N(N493)&lt;6,"Partly scored ("&amp;N493&amp;"/6)",IF(O493&gt;=Settings!$S$8,"Hot",IF(O493&gt;=Settings!$S$9,"Warm","Cold"))))</f>
        <v/>
      </c>
      <c r="Q493" s="44" t="str">
        <f aca="false">IF(C493="","",IF(AND(H493="No",J493="No"),"🚩 Budget  ·  🚩 No one on camera",IF(H493="No","🚩 Budget under AED 5k",IF(J493="No","🚩 No one on camera",""))))</f>
        <v/>
      </c>
      <c r="R493" s="44" t="str">
        <f aca="false">IF(C493="","",IF(N(N493)&lt;6,"Finish the scoresheet before closing",IF(P493="Hot","Close now – send the contract / proposal today",IF(P493="Warm","Send proposal + a relevant result; follow up in 3 days","Rep's call – nurture or close politely")))&amp;IF(Q493&lt;&gt;""," (handle the 🚩 first)",""))</f>
        <v/>
      </c>
      <c r="S493" s="17"/>
      <c r="T493" s="17"/>
      <c r="U493" s="44" t="str">
        <f aca="false">IF(C493="","",IF(COUNTIF(C494:C$501,C493)=0,1,0))</f>
        <v/>
      </c>
    </row>
    <row r="494" customFormat="false" ht="15" hidden="false" customHeight="false" outlineLevel="0" collapsed="false">
      <c r="A494" s="17"/>
      <c r="B494" s="40"/>
      <c r="C494" s="17"/>
      <c r="D494" s="44" t="str">
        <f aca="false">IF(C494="","",IFERROR(INDEX(Inbound!$E$2:$E$501,MATCH(C494,Inbound!$A$2:$A$501,0)),IFERROR(INDEX(Outbound!$D$2:$D$501,MATCH(C494,Outbound!$A$2:$A$501,0)),"Lead ID not found")))</f>
        <v/>
      </c>
      <c r="E494" s="44" t="str">
        <f aca="false">IF(C494="","",IFERROR(INDEX(Inbound!$F$2:$F$501,MATCH(C494,Inbound!$A$2:$A$501,0)),IFERROR(INDEX(Outbound!$E$2:$E$501,MATCH(C494,Outbound!$A$2:$A$501,0)),"Lead ID not found")))</f>
        <v/>
      </c>
      <c r="F494" s="17"/>
      <c r="G494" s="17"/>
      <c r="H494" s="17"/>
      <c r="I494" s="17"/>
      <c r="J494" s="17"/>
      <c r="K494" s="17"/>
      <c r="L494" s="17"/>
      <c r="M494" s="17"/>
      <c r="N494" s="44" t="str">
        <f aca="false">IF(C494="","",COUNTA(H494:M494))</f>
        <v/>
      </c>
      <c r="O494" s="44" t="str">
        <f aca="false">IF(OR(C494="",N(N494)=0),"",SUMIFS(Settings!$AA$2:$AA$21,Settings!$Y$2:$Y$21,"Budget AED 5k+/mo?",Settings!$Z$2:$Z$21,H494)+SUMIFS(Settings!$AA$2:$AA$21,Settings!$Y$2:$Y$21,"Decision-maker?",Settings!$Z$2:$Z$21,I494)+SUMIFS(Settings!$AA$2:$AA$21,Settings!$Y$2:$Y$21,"Someone on camera?",Settings!$Z$2:$Z$21,J494)+SUMIFS(Settings!$AA$2:$AA$21,Settings!$Y$2:$Y$21,"OK with 3-month term?",Settings!$Z$2:$Z$21,K494)+SUMIFS(Settings!$AA$2:$AA$21,Settings!$Y$2:$Y$21,"Start timeline",Settings!$Z$2:$Z$21,L494)+SUMIFS(Settings!$AA$2:$AA$21,Settings!$Y$2:$Y$21,"Social media gap",Settings!$Z$2:$Z$21,M494)+IF(OR(E494="",E494="Lead ID not found"),0,IF(COUNTIF(Settings!$AC$2:$AC$6,E494)&gt;0,Settings!$AA$20,Settings!$AA$21)))</f>
        <v/>
      </c>
      <c r="P494" s="44" t="str">
        <f aca="false">IF(C494="","",IF(N(N494)&lt;6,"Partly scored ("&amp;N494&amp;"/6)",IF(O494&gt;=Settings!$S$8,"Hot",IF(O494&gt;=Settings!$S$9,"Warm","Cold"))))</f>
        <v/>
      </c>
      <c r="Q494" s="44" t="str">
        <f aca="false">IF(C494="","",IF(AND(H494="No",J494="No"),"🚩 Budget  ·  🚩 No one on camera",IF(H494="No","🚩 Budget under AED 5k",IF(J494="No","🚩 No one on camera",""))))</f>
        <v/>
      </c>
      <c r="R494" s="44" t="str">
        <f aca="false">IF(C494="","",IF(N(N494)&lt;6,"Finish the scoresheet before closing",IF(P494="Hot","Close now – send the contract / proposal today",IF(P494="Warm","Send proposal + a relevant result; follow up in 3 days","Rep's call – nurture or close politely")))&amp;IF(Q494&lt;&gt;""," (handle the 🚩 first)",""))</f>
        <v/>
      </c>
      <c r="S494" s="17"/>
      <c r="T494" s="17"/>
      <c r="U494" s="44" t="str">
        <f aca="false">IF(C494="","",IF(COUNTIF(C495:C$501,C494)=0,1,0))</f>
        <v/>
      </c>
    </row>
    <row r="495" customFormat="false" ht="15" hidden="false" customHeight="false" outlineLevel="0" collapsed="false">
      <c r="A495" s="17"/>
      <c r="B495" s="40"/>
      <c r="C495" s="17"/>
      <c r="D495" s="44" t="str">
        <f aca="false">IF(C495="","",IFERROR(INDEX(Inbound!$E$2:$E$501,MATCH(C495,Inbound!$A$2:$A$501,0)),IFERROR(INDEX(Outbound!$D$2:$D$501,MATCH(C495,Outbound!$A$2:$A$501,0)),"Lead ID not found")))</f>
        <v/>
      </c>
      <c r="E495" s="44" t="str">
        <f aca="false">IF(C495="","",IFERROR(INDEX(Inbound!$F$2:$F$501,MATCH(C495,Inbound!$A$2:$A$501,0)),IFERROR(INDEX(Outbound!$E$2:$E$501,MATCH(C495,Outbound!$A$2:$A$501,0)),"Lead ID not found")))</f>
        <v/>
      </c>
      <c r="F495" s="17"/>
      <c r="G495" s="17"/>
      <c r="H495" s="17"/>
      <c r="I495" s="17"/>
      <c r="J495" s="17"/>
      <c r="K495" s="17"/>
      <c r="L495" s="17"/>
      <c r="M495" s="17"/>
      <c r="N495" s="44" t="str">
        <f aca="false">IF(C495="","",COUNTA(H495:M495))</f>
        <v/>
      </c>
      <c r="O495" s="44" t="str">
        <f aca="false">IF(OR(C495="",N(N495)=0),"",SUMIFS(Settings!$AA$2:$AA$21,Settings!$Y$2:$Y$21,"Budget AED 5k+/mo?",Settings!$Z$2:$Z$21,H495)+SUMIFS(Settings!$AA$2:$AA$21,Settings!$Y$2:$Y$21,"Decision-maker?",Settings!$Z$2:$Z$21,I495)+SUMIFS(Settings!$AA$2:$AA$21,Settings!$Y$2:$Y$21,"Someone on camera?",Settings!$Z$2:$Z$21,J495)+SUMIFS(Settings!$AA$2:$AA$21,Settings!$Y$2:$Y$21,"OK with 3-month term?",Settings!$Z$2:$Z$21,K495)+SUMIFS(Settings!$AA$2:$AA$21,Settings!$Y$2:$Y$21,"Start timeline",Settings!$Z$2:$Z$21,L495)+SUMIFS(Settings!$AA$2:$AA$21,Settings!$Y$2:$Y$21,"Social media gap",Settings!$Z$2:$Z$21,M495)+IF(OR(E495="",E495="Lead ID not found"),0,IF(COUNTIF(Settings!$AC$2:$AC$6,E495)&gt;0,Settings!$AA$20,Settings!$AA$21)))</f>
        <v/>
      </c>
      <c r="P495" s="44" t="str">
        <f aca="false">IF(C495="","",IF(N(N495)&lt;6,"Partly scored ("&amp;N495&amp;"/6)",IF(O495&gt;=Settings!$S$8,"Hot",IF(O495&gt;=Settings!$S$9,"Warm","Cold"))))</f>
        <v/>
      </c>
      <c r="Q495" s="44" t="str">
        <f aca="false">IF(C495="","",IF(AND(H495="No",J495="No"),"🚩 Budget  ·  🚩 No one on camera",IF(H495="No","🚩 Budget under AED 5k",IF(J495="No","🚩 No one on camera",""))))</f>
        <v/>
      </c>
      <c r="R495" s="44" t="str">
        <f aca="false">IF(C495="","",IF(N(N495)&lt;6,"Finish the scoresheet before closing",IF(P495="Hot","Close now – send the contract / proposal today",IF(P495="Warm","Send proposal + a relevant result; follow up in 3 days","Rep's call – nurture or close politely")))&amp;IF(Q495&lt;&gt;""," (handle the 🚩 first)",""))</f>
        <v/>
      </c>
      <c r="S495" s="17"/>
      <c r="T495" s="17"/>
      <c r="U495" s="44" t="str">
        <f aca="false">IF(C495="","",IF(COUNTIF(C496:C$501,C495)=0,1,0))</f>
        <v/>
      </c>
    </row>
    <row r="496" customFormat="false" ht="15" hidden="false" customHeight="false" outlineLevel="0" collapsed="false">
      <c r="A496" s="17"/>
      <c r="B496" s="40"/>
      <c r="C496" s="17"/>
      <c r="D496" s="44" t="str">
        <f aca="false">IF(C496="","",IFERROR(INDEX(Inbound!$E$2:$E$501,MATCH(C496,Inbound!$A$2:$A$501,0)),IFERROR(INDEX(Outbound!$D$2:$D$501,MATCH(C496,Outbound!$A$2:$A$501,0)),"Lead ID not found")))</f>
        <v/>
      </c>
      <c r="E496" s="44" t="str">
        <f aca="false">IF(C496="","",IFERROR(INDEX(Inbound!$F$2:$F$501,MATCH(C496,Inbound!$A$2:$A$501,0)),IFERROR(INDEX(Outbound!$E$2:$E$501,MATCH(C496,Outbound!$A$2:$A$501,0)),"Lead ID not found")))</f>
        <v/>
      </c>
      <c r="F496" s="17"/>
      <c r="G496" s="17"/>
      <c r="H496" s="17"/>
      <c r="I496" s="17"/>
      <c r="J496" s="17"/>
      <c r="K496" s="17"/>
      <c r="L496" s="17"/>
      <c r="M496" s="17"/>
      <c r="N496" s="44" t="str">
        <f aca="false">IF(C496="","",COUNTA(H496:M496))</f>
        <v/>
      </c>
      <c r="O496" s="44" t="str">
        <f aca="false">IF(OR(C496="",N(N496)=0),"",SUMIFS(Settings!$AA$2:$AA$21,Settings!$Y$2:$Y$21,"Budget AED 5k+/mo?",Settings!$Z$2:$Z$21,H496)+SUMIFS(Settings!$AA$2:$AA$21,Settings!$Y$2:$Y$21,"Decision-maker?",Settings!$Z$2:$Z$21,I496)+SUMIFS(Settings!$AA$2:$AA$21,Settings!$Y$2:$Y$21,"Someone on camera?",Settings!$Z$2:$Z$21,J496)+SUMIFS(Settings!$AA$2:$AA$21,Settings!$Y$2:$Y$21,"OK with 3-month term?",Settings!$Z$2:$Z$21,K496)+SUMIFS(Settings!$AA$2:$AA$21,Settings!$Y$2:$Y$21,"Start timeline",Settings!$Z$2:$Z$21,L496)+SUMIFS(Settings!$AA$2:$AA$21,Settings!$Y$2:$Y$21,"Social media gap",Settings!$Z$2:$Z$21,M496)+IF(OR(E496="",E496="Lead ID not found"),0,IF(COUNTIF(Settings!$AC$2:$AC$6,E496)&gt;0,Settings!$AA$20,Settings!$AA$21)))</f>
        <v/>
      </c>
      <c r="P496" s="44" t="str">
        <f aca="false">IF(C496="","",IF(N(N496)&lt;6,"Partly scored ("&amp;N496&amp;"/6)",IF(O496&gt;=Settings!$S$8,"Hot",IF(O496&gt;=Settings!$S$9,"Warm","Cold"))))</f>
        <v/>
      </c>
      <c r="Q496" s="44" t="str">
        <f aca="false">IF(C496="","",IF(AND(H496="No",J496="No"),"🚩 Budget  ·  🚩 No one on camera",IF(H496="No","🚩 Budget under AED 5k",IF(J496="No","🚩 No one on camera",""))))</f>
        <v/>
      </c>
      <c r="R496" s="44" t="str">
        <f aca="false">IF(C496="","",IF(N(N496)&lt;6,"Finish the scoresheet before closing",IF(P496="Hot","Close now – send the contract / proposal today",IF(P496="Warm","Send proposal + a relevant result; follow up in 3 days","Rep's call – nurture or close politely")))&amp;IF(Q496&lt;&gt;""," (handle the 🚩 first)",""))</f>
        <v/>
      </c>
      <c r="S496" s="17"/>
      <c r="T496" s="17"/>
      <c r="U496" s="44" t="str">
        <f aca="false">IF(C496="","",IF(COUNTIF(C497:C$501,C496)=0,1,0))</f>
        <v/>
      </c>
    </row>
    <row r="497" customFormat="false" ht="15" hidden="false" customHeight="false" outlineLevel="0" collapsed="false">
      <c r="A497" s="17"/>
      <c r="B497" s="40"/>
      <c r="C497" s="17"/>
      <c r="D497" s="44" t="str">
        <f aca="false">IF(C497="","",IFERROR(INDEX(Inbound!$E$2:$E$501,MATCH(C497,Inbound!$A$2:$A$501,0)),IFERROR(INDEX(Outbound!$D$2:$D$501,MATCH(C497,Outbound!$A$2:$A$501,0)),"Lead ID not found")))</f>
        <v/>
      </c>
      <c r="E497" s="44" t="str">
        <f aca="false">IF(C497="","",IFERROR(INDEX(Inbound!$F$2:$F$501,MATCH(C497,Inbound!$A$2:$A$501,0)),IFERROR(INDEX(Outbound!$E$2:$E$501,MATCH(C497,Outbound!$A$2:$A$501,0)),"Lead ID not found")))</f>
        <v/>
      </c>
      <c r="F497" s="17"/>
      <c r="G497" s="17"/>
      <c r="H497" s="17"/>
      <c r="I497" s="17"/>
      <c r="J497" s="17"/>
      <c r="K497" s="17"/>
      <c r="L497" s="17"/>
      <c r="M497" s="17"/>
      <c r="N497" s="44" t="str">
        <f aca="false">IF(C497="","",COUNTA(H497:M497))</f>
        <v/>
      </c>
      <c r="O497" s="44" t="str">
        <f aca="false">IF(OR(C497="",N(N497)=0),"",SUMIFS(Settings!$AA$2:$AA$21,Settings!$Y$2:$Y$21,"Budget AED 5k+/mo?",Settings!$Z$2:$Z$21,H497)+SUMIFS(Settings!$AA$2:$AA$21,Settings!$Y$2:$Y$21,"Decision-maker?",Settings!$Z$2:$Z$21,I497)+SUMIFS(Settings!$AA$2:$AA$21,Settings!$Y$2:$Y$21,"Someone on camera?",Settings!$Z$2:$Z$21,J497)+SUMIFS(Settings!$AA$2:$AA$21,Settings!$Y$2:$Y$21,"OK with 3-month term?",Settings!$Z$2:$Z$21,K497)+SUMIFS(Settings!$AA$2:$AA$21,Settings!$Y$2:$Y$21,"Start timeline",Settings!$Z$2:$Z$21,L497)+SUMIFS(Settings!$AA$2:$AA$21,Settings!$Y$2:$Y$21,"Social media gap",Settings!$Z$2:$Z$21,M497)+IF(OR(E497="",E497="Lead ID not found"),0,IF(COUNTIF(Settings!$AC$2:$AC$6,E497)&gt;0,Settings!$AA$20,Settings!$AA$21)))</f>
        <v/>
      </c>
      <c r="P497" s="44" t="str">
        <f aca="false">IF(C497="","",IF(N(N497)&lt;6,"Partly scored ("&amp;N497&amp;"/6)",IF(O497&gt;=Settings!$S$8,"Hot",IF(O497&gt;=Settings!$S$9,"Warm","Cold"))))</f>
        <v/>
      </c>
      <c r="Q497" s="44" t="str">
        <f aca="false">IF(C497="","",IF(AND(H497="No",J497="No"),"🚩 Budget  ·  🚩 No one on camera",IF(H497="No","🚩 Budget under AED 5k",IF(J497="No","🚩 No one on camera",""))))</f>
        <v/>
      </c>
      <c r="R497" s="44" t="str">
        <f aca="false">IF(C497="","",IF(N(N497)&lt;6,"Finish the scoresheet before closing",IF(P497="Hot","Close now – send the contract / proposal today",IF(P497="Warm","Send proposal + a relevant result; follow up in 3 days","Rep's call – nurture or close politely")))&amp;IF(Q497&lt;&gt;""," (handle the 🚩 first)",""))</f>
        <v/>
      </c>
      <c r="S497" s="17"/>
      <c r="T497" s="17"/>
      <c r="U497" s="44" t="str">
        <f aca="false">IF(C497="","",IF(COUNTIF(C498:C$501,C497)=0,1,0))</f>
        <v/>
      </c>
    </row>
    <row r="498" customFormat="false" ht="15" hidden="false" customHeight="false" outlineLevel="0" collapsed="false">
      <c r="A498" s="17"/>
      <c r="B498" s="40"/>
      <c r="C498" s="17"/>
      <c r="D498" s="44" t="str">
        <f aca="false">IF(C498="","",IFERROR(INDEX(Inbound!$E$2:$E$501,MATCH(C498,Inbound!$A$2:$A$501,0)),IFERROR(INDEX(Outbound!$D$2:$D$501,MATCH(C498,Outbound!$A$2:$A$501,0)),"Lead ID not found")))</f>
        <v/>
      </c>
      <c r="E498" s="44" t="str">
        <f aca="false">IF(C498="","",IFERROR(INDEX(Inbound!$F$2:$F$501,MATCH(C498,Inbound!$A$2:$A$501,0)),IFERROR(INDEX(Outbound!$E$2:$E$501,MATCH(C498,Outbound!$A$2:$A$501,0)),"Lead ID not found")))</f>
        <v/>
      </c>
      <c r="F498" s="17"/>
      <c r="G498" s="17"/>
      <c r="H498" s="17"/>
      <c r="I498" s="17"/>
      <c r="J498" s="17"/>
      <c r="K498" s="17"/>
      <c r="L498" s="17"/>
      <c r="M498" s="17"/>
      <c r="N498" s="44" t="str">
        <f aca="false">IF(C498="","",COUNTA(H498:M498))</f>
        <v/>
      </c>
      <c r="O498" s="44" t="str">
        <f aca="false">IF(OR(C498="",N(N498)=0),"",SUMIFS(Settings!$AA$2:$AA$21,Settings!$Y$2:$Y$21,"Budget AED 5k+/mo?",Settings!$Z$2:$Z$21,H498)+SUMIFS(Settings!$AA$2:$AA$21,Settings!$Y$2:$Y$21,"Decision-maker?",Settings!$Z$2:$Z$21,I498)+SUMIFS(Settings!$AA$2:$AA$21,Settings!$Y$2:$Y$21,"Someone on camera?",Settings!$Z$2:$Z$21,J498)+SUMIFS(Settings!$AA$2:$AA$21,Settings!$Y$2:$Y$21,"OK with 3-month term?",Settings!$Z$2:$Z$21,K498)+SUMIFS(Settings!$AA$2:$AA$21,Settings!$Y$2:$Y$21,"Start timeline",Settings!$Z$2:$Z$21,L498)+SUMIFS(Settings!$AA$2:$AA$21,Settings!$Y$2:$Y$21,"Social media gap",Settings!$Z$2:$Z$21,M498)+IF(OR(E498="",E498="Lead ID not found"),0,IF(COUNTIF(Settings!$AC$2:$AC$6,E498)&gt;0,Settings!$AA$20,Settings!$AA$21)))</f>
        <v/>
      </c>
      <c r="P498" s="44" t="str">
        <f aca="false">IF(C498="","",IF(N(N498)&lt;6,"Partly scored ("&amp;N498&amp;"/6)",IF(O498&gt;=Settings!$S$8,"Hot",IF(O498&gt;=Settings!$S$9,"Warm","Cold"))))</f>
        <v/>
      </c>
      <c r="Q498" s="44" t="str">
        <f aca="false">IF(C498="","",IF(AND(H498="No",J498="No"),"🚩 Budget  ·  🚩 No one on camera",IF(H498="No","🚩 Budget under AED 5k",IF(J498="No","🚩 No one on camera",""))))</f>
        <v/>
      </c>
      <c r="R498" s="44" t="str">
        <f aca="false">IF(C498="","",IF(N(N498)&lt;6,"Finish the scoresheet before closing",IF(P498="Hot","Close now – send the contract / proposal today",IF(P498="Warm","Send proposal + a relevant result; follow up in 3 days","Rep's call – nurture or close politely")))&amp;IF(Q498&lt;&gt;""," (handle the 🚩 first)",""))</f>
        <v/>
      </c>
      <c r="S498" s="17"/>
      <c r="T498" s="17"/>
      <c r="U498" s="44" t="str">
        <f aca="false">IF(C498="","",IF(COUNTIF(C499:C$501,C498)=0,1,0))</f>
        <v/>
      </c>
    </row>
    <row r="499" customFormat="false" ht="15" hidden="false" customHeight="false" outlineLevel="0" collapsed="false">
      <c r="A499" s="17"/>
      <c r="B499" s="40"/>
      <c r="C499" s="17"/>
      <c r="D499" s="44" t="str">
        <f aca="false">IF(C499="","",IFERROR(INDEX(Inbound!$E$2:$E$501,MATCH(C499,Inbound!$A$2:$A$501,0)),IFERROR(INDEX(Outbound!$D$2:$D$501,MATCH(C499,Outbound!$A$2:$A$501,0)),"Lead ID not found")))</f>
        <v/>
      </c>
      <c r="E499" s="44" t="str">
        <f aca="false">IF(C499="","",IFERROR(INDEX(Inbound!$F$2:$F$501,MATCH(C499,Inbound!$A$2:$A$501,0)),IFERROR(INDEX(Outbound!$E$2:$E$501,MATCH(C499,Outbound!$A$2:$A$501,0)),"Lead ID not found")))</f>
        <v/>
      </c>
      <c r="F499" s="17"/>
      <c r="G499" s="17"/>
      <c r="H499" s="17"/>
      <c r="I499" s="17"/>
      <c r="J499" s="17"/>
      <c r="K499" s="17"/>
      <c r="L499" s="17"/>
      <c r="M499" s="17"/>
      <c r="N499" s="44" t="str">
        <f aca="false">IF(C499="","",COUNTA(H499:M499))</f>
        <v/>
      </c>
      <c r="O499" s="44" t="str">
        <f aca="false">IF(OR(C499="",N(N499)=0),"",SUMIFS(Settings!$AA$2:$AA$21,Settings!$Y$2:$Y$21,"Budget AED 5k+/mo?",Settings!$Z$2:$Z$21,H499)+SUMIFS(Settings!$AA$2:$AA$21,Settings!$Y$2:$Y$21,"Decision-maker?",Settings!$Z$2:$Z$21,I499)+SUMIFS(Settings!$AA$2:$AA$21,Settings!$Y$2:$Y$21,"Someone on camera?",Settings!$Z$2:$Z$21,J499)+SUMIFS(Settings!$AA$2:$AA$21,Settings!$Y$2:$Y$21,"OK with 3-month term?",Settings!$Z$2:$Z$21,K499)+SUMIFS(Settings!$AA$2:$AA$21,Settings!$Y$2:$Y$21,"Start timeline",Settings!$Z$2:$Z$21,L499)+SUMIFS(Settings!$AA$2:$AA$21,Settings!$Y$2:$Y$21,"Social media gap",Settings!$Z$2:$Z$21,M499)+IF(OR(E499="",E499="Lead ID not found"),0,IF(COUNTIF(Settings!$AC$2:$AC$6,E499)&gt;0,Settings!$AA$20,Settings!$AA$21)))</f>
        <v/>
      </c>
      <c r="P499" s="44" t="str">
        <f aca="false">IF(C499="","",IF(N(N499)&lt;6,"Partly scored ("&amp;N499&amp;"/6)",IF(O499&gt;=Settings!$S$8,"Hot",IF(O499&gt;=Settings!$S$9,"Warm","Cold"))))</f>
        <v/>
      </c>
      <c r="Q499" s="44" t="str">
        <f aca="false">IF(C499="","",IF(AND(H499="No",J499="No"),"🚩 Budget  ·  🚩 No one on camera",IF(H499="No","🚩 Budget under AED 5k",IF(J499="No","🚩 No one on camera",""))))</f>
        <v/>
      </c>
      <c r="R499" s="44" t="str">
        <f aca="false">IF(C499="","",IF(N(N499)&lt;6,"Finish the scoresheet before closing",IF(P499="Hot","Close now – send the contract / proposal today",IF(P499="Warm","Send proposal + a relevant result; follow up in 3 days","Rep's call – nurture or close politely")))&amp;IF(Q499&lt;&gt;""," (handle the 🚩 first)",""))</f>
        <v/>
      </c>
      <c r="S499" s="17"/>
      <c r="T499" s="17"/>
      <c r="U499" s="44" t="str">
        <f aca="false">IF(C499="","",IF(COUNTIF(C500:C$501,C499)=0,1,0))</f>
        <v/>
      </c>
    </row>
    <row r="500" customFormat="false" ht="15" hidden="false" customHeight="false" outlineLevel="0" collapsed="false">
      <c r="A500" s="17"/>
      <c r="B500" s="40"/>
      <c r="C500" s="17"/>
      <c r="D500" s="44" t="str">
        <f aca="false">IF(C500="","",IFERROR(INDEX(Inbound!$E$2:$E$501,MATCH(C500,Inbound!$A$2:$A$501,0)),IFERROR(INDEX(Outbound!$D$2:$D$501,MATCH(C500,Outbound!$A$2:$A$501,0)),"Lead ID not found")))</f>
        <v/>
      </c>
      <c r="E500" s="44" t="str">
        <f aca="false">IF(C500="","",IFERROR(INDEX(Inbound!$F$2:$F$501,MATCH(C500,Inbound!$A$2:$A$501,0)),IFERROR(INDEX(Outbound!$E$2:$E$501,MATCH(C500,Outbound!$A$2:$A$501,0)),"Lead ID not found")))</f>
        <v/>
      </c>
      <c r="F500" s="17"/>
      <c r="G500" s="17"/>
      <c r="H500" s="17"/>
      <c r="I500" s="17"/>
      <c r="J500" s="17"/>
      <c r="K500" s="17"/>
      <c r="L500" s="17"/>
      <c r="M500" s="17"/>
      <c r="N500" s="44" t="str">
        <f aca="false">IF(C500="","",COUNTA(H500:M500))</f>
        <v/>
      </c>
      <c r="O500" s="44" t="str">
        <f aca="false">IF(OR(C500="",N(N500)=0),"",SUMIFS(Settings!$AA$2:$AA$21,Settings!$Y$2:$Y$21,"Budget AED 5k+/mo?",Settings!$Z$2:$Z$21,H500)+SUMIFS(Settings!$AA$2:$AA$21,Settings!$Y$2:$Y$21,"Decision-maker?",Settings!$Z$2:$Z$21,I500)+SUMIFS(Settings!$AA$2:$AA$21,Settings!$Y$2:$Y$21,"Someone on camera?",Settings!$Z$2:$Z$21,J500)+SUMIFS(Settings!$AA$2:$AA$21,Settings!$Y$2:$Y$21,"OK with 3-month term?",Settings!$Z$2:$Z$21,K500)+SUMIFS(Settings!$AA$2:$AA$21,Settings!$Y$2:$Y$21,"Start timeline",Settings!$Z$2:$Z$21,L500)+SUMIFS(Settings!$AA$2:$AA$21,Settings!$Y$2:$Y$21,"Social media gap",Settings!$Z$2:$Z$21,M500)+IF(OR(E500="",E500="Lead ID not found"),0,IF(COUNTIF(Settings!$AC$2:$AC$6,E500)&gt;0,Settings!$AA$20,Settings!$AA$21)))</f>
        <v/>
      </c>
      <c r="P500" s="44" t="str">
        <f aca="false">IF(C500="","",IF(N(N500)&lt;6,"Partly scored ("&amp;N500&amp;"/6)",IF(O500&gt;=Settings!$S$8,"Hot",IF(O500&gt;=Settings!$S$9,"Warm","Cold"))))</f>
        <v/>
      </c>
      <c r="Q500" s="44" t="str">
        <f aca="false">IF(C500="","",IF(AND(H500="No",J500="No"),"🚩 Budget  ·  🚩 No one on camera",IF(H500="No","🚩 Budget under AED 5k",IF(J500="No","🚩 No one on camera",""))))</f>
        <v/>
      </c>
      <c r="R500" s="44" t="str">
        <f aca="false">IF(C500="","",IF(N(N500)&lt;6,"Finish the scoresheet before closing",IF(P500="Hot","Close now – send the contract / proposal today",IF(P500="Warm","Send proposal + a relevant result; follow up in 3 days","Rep's call – nurture or close politely")))&amp;IF(Q500&lt;&gt;""," (handle the 🚩 first)",""))</f>
        <v/>
      </c>
      <c r="S500" s="17"/>
      <c r="T500" s="17"/>
      <c r="U500" s="44" t="str">
        <f aca="false">IF(C500="","",IF(COUNTIF(C501:C$501,C500)=0,1,0))</f>
        <v/>
      </c>
    </row>
    <row r="501" customFormat="false" ht="15" hidden="false" customHeight="false" outlineLevel="0" collapsed="false">
      <c r="A501" s="17"/>
      <c r="B501" s="40"/>
      <c r="C501" s="17"/>
      <c r="D501" s="44" t="str">
        <f aca="false">IF(C501="","",IFERROR(INDEX(Inbound!$E$2:$E$501,MATCH(C501,Inbound!$A$2:$A$501,0)),IFERROR(INDEX(Outbound!$D$2:$D$501,MATCH(C501,Outbound!$A$2:$A$501,0)),"Lead ID not found")))</f>
        <v/>
      </c>
      <c r="E501" s="44" t="str">
        <f aca="false">IF(C501="","",IFERROR(INDEX(Inbound!$F$2:$F$501,MATCH(C501,Inbound!$A$2:$A$501,0)),IFERROR(INDEX(Outbound!$E$2:$E$501,MATCH(C501,Outbound!$A$2:$A$501,0)),"Lead ID not found")))</f>
        <v/>
      </c>
      <c r="F501" s="17"/>
      <c r="G501" s="17"/>
      <c r="H501" s="17"/>
      <c r="I501" s="17"/>
      <c r="J501" s="17"/>
      <c r="K501" s="17"/>
      <c r="L501" s="17"/>
      <c r="M501" s="17"/>
      <c r="N501" s="44" t="str">
        <f aca="false">IF(C501="","",COUNTA(H501:M501))</f>
        <v/>
      </c>
      <c r="O501" s="44" t="str">
        <f aca="false">IF(OR(C501="",N(N501)=0),"",SUMIFS(Settings!$AA$2:$AA$21,Settings!$Y$2:$Y$21,"Budget AED 5k+/mo?",Settings!$Z$2:$Z$21,H501)+SUMIFS(Settings!$AA$2:$AA$21,Settings!$Y$2:$Y$21,"Decision-maker?",Settings!$Z$2:$Z$21,I501)+SUMIFS(Settings!$AA$2:$AA$21,Settings!$Y$2:$Y$21,"Someone on camera?",Settings!$Z$2:$Z$21,J501)+SUMIFS(Settings!$AA$2:$AA$21,Settings!$Y$2:$Y$21,"OK with 3-month term?",Settings!$Z$2:$Z$21,K501)+SUMIFS(Settings!$AA$2:$AA$21,Settings!$Y$2:$Y$21,"Start timeline",Settings!$Z$2:$Z$21,L501)+SUMIFS(Settings!$AA$2:$AA$21,Settings!$Y$2:$Y$21,"Social media gap",Settings!$Z$2:$Z$21,M501)+IF(OR(E501="",E501="Lead ID not found"),0,IF(COUNTIF(Settings!$AC$2:$AC$6,E501)&gt;0,Settings!$AA$20,Settings!$AA$21)))</f>
        <v/>
      </c>
      <c r="P501" s="44" t="str">
        <f aca="false">IF(C501="","",IF(N(N501)&lt;6,"Partly scored ("&amp;N501&amp;"/6)",IF(O501&gt;=Settings!$S$8,"Hot",IF(O501&gt;=Settings!$S$9,"Warm","Cold"))))</f>
        <v/>
      </c>
      <c r="Q501" s="44" t="str">
        <f aca="false">IF(C501="","",IF(AND(H501="No",J501="No"),"🚩 Budget  ·  🚩 No one on camera",IF(H501="No","🚩 Budget under AED 5k",IF(J501="No","🚩 No one on camera",""))))</f>
        <v/>
      </c>
      <c r="R501" s="44" t="str">
        <f aca="false">IF(C501="","",IF(N(N501)&lt;6,"Finish the scoresheet before closing",IF(P501="Hot","Close now – send the contract / proposal today",IF(P501="Warm","Send proposal + a relevant result; follow up in 3 days","Rep's call – nurture or close politely")))&amp;IF(Q501&lt;&gt;""," (handle the 🚩 first)",""))</f>
        <v/>
      </c>
      <c r="S501" s="17"/>
      <c r="T501" s="17"/>
      <c r="U501" s="44" t="str">
        <f aca="false">IF(C501="","",1)</f>
        <v/>
      </c>
    </row>
  </sheetData>
  <autoFilter ref="A1:U501"/>
  <conditionalFormatting sqref="P2:P501">
    <cfRule type="expression" priority="2" aboveAverage="0" equalAverage="0" bottom="0" percent="0" rank="0" text="" dxfId="10">
      <formula>P2="Hot"</formula>
    </cfRule>
    <cfRule type="expression" priority="3" aboveAverage="0" equalAverage="0" bottom="0" percent="0" rank="0" text="" dxfId="14">
      <formula>P2="Warm"</formula>
    </cfRule>
    <cfRule type="expression" priority="4" aboveAverage="0" equalAverage="0" bottom="0" percent="0" rank="0" text="" dxfId="15">
      <formula>P2="Cold"</formula>
    </cfRule>
    <cfRule type="expression" priority="5" aboveAverage="0" equalAverage="0" bottom="0" percent="0" rank="0" text="" dxfId="8">
      <formula>LEFT(P2,6)="Partly"</formula>
    </cfRule>
  </conditionalFormatting>
  <conditionalFormatting sqref="Q2:Q501">
    <cfRule type="expression" priority="6" aboveAverage="0" equalAverage="0" bottom="0" percent="0" rank="0" text="" dxfId="9">
      <formula>Q2&lt;&gt;""</formula>
    </cfRule>
  </conditionalFormatting>
  <conditionalFormatting sqref="R2:R501">
    <cfRule type="expression" priority="7" aboveAverage="0" equalAverage="0" bottom="0" percent="0" rank="0" text="" dxfId="22">
      <formula>LEFT(R2,9)="Close now"</formula>
    </cfRule>
  </conditionalFormatting>
  <conditionalFormatting sqref="D2:D501">
    <cfRule type="expression" priority="8" aboveAverage="0" equalAverage="0" bottom="0" percent="0" rank="0" text="" dxfId="9">
      <formula>D2="Lead ID not found"</formula>
    </cfRule>
  </conditionalFormatting>
  <dataValidations count="10">
    <dataValidation allowBlank="true" error="Enter a date - double-click the cell for a calendar." errorStyle="stop" errorTitle="Not a date" operator="between" showDropDown="false" showErrorMessage="false" showInputMessage="false" sqref="B2:B501" type="date">
      <formula1>DATE(2020,1,1)</formula1>
      <formula2>DATE(2100,12,31)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F2:F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G2:G501" type="list">
      <formula1>Settings!$AE$2:$AE$5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S2:S501" type="list">
      <formula1>Settings!$AF$2:$AF$6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H2:H501" type="list">
      <formula1>Settings!$Z$2:$Z$4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I2:I501" type="list">
      <formula1>Settings!$Z$5:$Z$7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J2:J501" type="list">
      <formula1>Settings!$Z$8:$Z$10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K2:K501" type="list">
      <formula1>Settings!$Z$11:$Z$13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L2:L501" type="list">
      <formula1>Settings!$Z$14:$Z$16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M2:M501" type="list">
      <formula1>Settings!$Z$17:$Z$19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false"/>
  </sheetPr>
  <dimension ref="A1:Z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5" min="4" style="0" width="16"/>
    <col collapsed="false" customWidth="true" hidden="false" outlineLevel="0" max="6" min="6" style="0" width="22"/>
    <col collapsed="false" customWidth="true" hidden="false" outlineLevel="0" max="16" min="7" style="0" width="16"/>
    <col collapsed="false" customWidth="true" hidden="false" outlineLevel="0" max="17" min="17" style="0" width="34"/>
    <col collapsed="false" customWidth="true" hidden="false" outlineLevel="0" max="25" min="18" style="0" width="16"/>
    <col collapsed="false" customWidth="true" hidden="false" outlineLevel="0" max="26" min="26" style="0" width="34"/>
  </cols>
  <sheetData>
    <row r="1" customFormat="false" ht="31.5" hidden="false" customHeight="true" outlineLevel="0" collapsed="false">
      <c r="A1" s="29" t="s">
        <v>234</v>
      </c>
      <c r="B1" s="29" t="s">
        <v>146</v>
      </c>
      <c r="C1" s="29" t="s">
        <v>150</v>
      </c>
      <c r="D1" s="29" t="s">
        <v>152</v>
      </c>
      <c r="E1" s="29" t="s">
        <v>154</v>
      </c>
      <c r="F1" s="29" t="s">
        <v>155</v>
      </c>
      <c r="G1" s="29" t="s">
        <v>156</v>
      </c>
      <c r="H1" s="29" t="s">
        <v>235</v>
      </c>
      <c r="I1" s="30" t="s">
        <v>236</v>
      </c>
      <c r="J1" s="29" t="s">
        <v>237</v>
      </c>
      <c r="K1" s="29" t="s">
        <v>238</v>
      </c>
      <c r="L1" s="29" t="s">
        <v>239</v>
      </c>
      <c r="M1" s="29" t="s">
        <v>240</v>
      </c>
      <c r="N1" s="29" t="s">
        <v>241</v>
      </c>
      <c r="O1" s="30" t="s">
        <v>242</v>
      </c>
      <c r="P1" s="29" t="s">
        <v>243</v>
      </c>
      <c r="Q1" s="30" t="s">
        <v>244</v>
      </c>
      <c r="R1" s="29" t="s">
        <v>245</v>
      </c>
      <c r="S1" s="29" t="s">
        <v>246</v>
      </c>
      <c r="T1" s="29" t="s">
        <v>247</v>
      </c>
      <c r="U1" s="29" t="s">
        <v>248</v>
      </c>
      <c r="V1" s="29" t="s">
        <v>249</v>
      </c>
      <c r="W1" s="30" t="s">
        <v>250</v>
      </c>
      <c r="X1" s="29" t="s">
        <v>251</v>
      </c>
      <c r="Y1" s="29" t="s">
        <v>252</v>
      </c>
      <c r="Z1" s="29" t="s">
        <v>171</v>
      </c>
    </row>
    <row r="2" customFormat="false" ht="15" hidden="false" customHeight="false" outlineLevel="0" collapsed="false">
      <c r="A2" s="31" t="s">
        <v>253</v>
      </c>
      <c r="B2" s="31" t="s">
        <v>174</v>
      </c>
      <c r="C2" s="31" t="s">
        <v>254</v>
      </c>
      <c r="D2" s="31" t="s">
        <v>255</v>
      </c>
      <c r="E2" s="34" t="s">
        <v>256</v>
      </c>
      <c r="F2" s="31" t="s">
        <v>257</v>
      </c>
      <c r="G2" s="31" t="s">
        <v>258</v>
      </c>
      <c r="H2" s="31" t="s">
        <v>185</v>
      </c>
      <c r="I2" s="47" t="n">
        <f aca="false">IF(H2="","",IFERROR(INDEX(Settings!$G$2:$G$4,MATCH(H2,Settings!$F$2:$F$4,0)),""))</f>
        <v>7500</v>
      </c>
      <c r="J2" s="32" t="n">
        <v>46307</v>
      </c>
      <c r="K2" s="48" t="n">
        <v>7875</v>
      </c>
      <c r="L2" s="31" t="s">
        <v>259</v>
      </c>
      <c r="M2" s="32" t="n">
        <v>46309</v>
      </c>
      <c r="N2" s="32" t="n">
        <v>46314</v>
      </c>
      <c r="O2" s="38" t="n">
        <f aca="false">IF(N2="","",WORKDAY(N2,Settings!$S$4))</f>
        <v>46317</v>
      </c>
      <c r="P2" s="31" t="s">
        <v>260</v>
      </c>
      <c r="Q2" s="36" t="str">
        <f aca="true">IF(C2="","",IF(P2="Backed out",IF(S2="Paid","Refunded – closed",IF(R2="","Refund – log reason first","Refund in progress")),IF(K2="","Awaiting payment",IF(N2="",IF(M2="","Schedule free video","Free video in production"),IF(P2="Approved","Active",IF(TODAY()&gt;O2,"Active – plan went ahead","Decision pending – "&amp;NETWORKDAYS(TODAY(),O2)&amp;" working day(s) left"))))))</f>
        <v>Decision pending – 2 working day(s) left</v>
      </c>
      <c r="R2" s="31"/>
      <c r="S2" s="31"/>
      <c r="T2" s="48"/>
      <c r="U2" s="32"/>
      <c r="V2" s="32"/>
      <c r="W2" s="38" t="str">
        <f aca="false">IF(V2="","",EDATE(V2,Settings!$S$6))</f>
        <v/>
      </c>
      <c r="X2" s="31" t="s">
        <v>62</v>
      </c>
      <c r="Y2" s="31" t="s">
        <v>60</v>
      </c>
      <c r="Z2" s="31" t="s">
        <v>261</v>
      </c>
    </row>
    <row r="3" customFormat="false" ht="15" hidden="false" customHeight="false" outlineLevel="0" collapsed="false">
      <c r="A3" s="17"/>
      <c r="B3" s="17"/>
      <c r="C3" s="17"/>
      <c r="D3" s="17"/>
      <c r="E3" s="42"/>
      <c r="F3" s="17"/>
      <c r="G3" s="17"/>
      <c r="H3" s="17"/>
      <c r="I3" s="49" t="str">
        <f aca="false">IF(H3="","",IFERROR(INDEX(Settings!$G$2:$G$4,MATCH(H3,Settings!$F$2:$F$4,0)),""))</f>
        <v/>
      </c>
      <c r="J3" s="40"/>
      <c r="K3" s="50"/>
      <c r="L3" s="17"/>
      <c r="M3" s="40"/>
      <c r="N3" s="40"/>
      <c r="O3" s="45" t="str">
        <f aca="false">IF(N3="","",WORKDAY(N3,Settings!$S$4))</f>
        <v/>
      </c>
      <c r="P3" s="17"/>
      <c r="Q3" s="44" t="str">
        <f aca="true">IF(C3="","",IF(P3="Backed out",IF(S3="Paid","Refunded – closed",IF(R3="","Refund – log reason first","Refund in progress")),IF(K3="","Awaiting payment",IF(N3="",IF(M3="","Schedule free video","Free video in production"),IF(P3="Approved","Active",IF(TODAY()&gt;O3,"Active – plan went ahead","Decision pending – "&amp;NETWORKDAYS(TODAY(),O3)&amp;" working day(s) left"))))))</f>
        <v/>
      </c>
      <c r="R3" s="17"/>
      <c r="S3" s="17"/>
      <c r="T3" s="50"/>
      <c r="U3" s="40"/>
      <c r="V3" s="40"/>
      <c r="W3" s="45" t="str">
        <f aca="false">IF(V3="","",EDATE(V3,Settings!$S$6))</f>
        <v/>
      </c>
      <c r="X3" s="17"/>
      <c r="Y3" s="17"/>
      <c r="Z3" s="17"/>
    </row>
    <row r="4" customFormat="false" ht="15" hidden="false" customHeight="false" outlineLevel="0" collapsed="false">
      <c r="A4" s="17"/>
      <c r="B4" s="17"/>
      <c r="C4" s="17"/>
      <c r="D4" s="17"/>
      <c r="E4" s="42"/>
      <c r="F4" s="17"/>
      <c r="G4" s="17"/>
      <c r="H4" s="17"/>
      <c r="I4" s="49" t="str">
        <f aca="false">IF(H4="","",IFERROR(INDEX(Settings!$G$2:$G$4,MATCH(H4,Settings!$F$2:$F$4,0)),""))</f>
        <v/>
      </c>
      <c r="J4" s="40"/>
      <c r="K4" s="50"/>
      <c r="L4" s="17"/>
      <c r="M4" s="40"/>
      <c r="N4" s="40"/>
      <c r="O4" s="45" t="str">
        <f aca="false">IF(N4="","",WORKDAY(N4,Settings!$S$4))</f>
        <v/>
      </c>
      <c r="P4" s="17"/>
      <c r="Q4" s="44" t="str">
        <f aca="true">IF(C4="","",IF(P4="Backed out",IF(S4="Paid","Refunded – closed",IF(R4="","Refund – log reason first","Refund in progress")),IF(K4="","Awaiting payment",IF(N4="",IF(M4="","Schedule free video","Free video in production"),IF(P4="Approved","Active",IF(TODAY()&gt;O4,"Active – plan went ahead","Decision pending – "&amp;NETWORKDAYS(TODAY(),O4)&amp;" working day(s) left"))))))</f>
        <v/>
      </c>
      <c r="R4" s="17"/>
      <c r="S4" s="17"/>
      <c r="T4" s="50"/>
      <c r="U4" s="40"/>
      <c r="V4" s="40"/>
      <c r="W4" s="45" t="str">
        <f aca="false">IF(V4="","",EDATE(V4,Settings!$S$6))</f>
        <v/>
      </c>
      <c r="X4" s="17"/>
      <c r="Y4" s="17"/>
      <c r="Z4" s="17"/>
    </row>
    <row r="5" customFormat="false" ht="15" hidden="false" customHeight="false" outlineLevel="0" collapsed="false">
      <c r="A5" s="17"/>
      <c r="B5" s="17"/>
      <c r="C5" s="17"/>
      <c r="D5" s="17"/>
      <c r="E5" s="42"/>
      <c r="F5" s="17"/>
      <c r="G5" s="17"/>
      <c r="H5" s="17"/>
      <c r="I5" s="49" t="str">
        <f aca="false">IF(H5="","",IFERROR(INDEX(Settings!$G$2:$G$4,MATCH(H5,Settings!$F$2:$F$4,0)),""))</f>
        <v/>
      </c>
      <c r="J5" s="40"/>
      <c r="K5" s="50"/>
      <c r="L5" s="17"/>
      <c r="M5" s="40"/>
      <c r="N5" s="40"/>
      <c r="O5" s="45" t="str">
        <f aca="false">IF(N5="","",WORKDAY(N5,Settings!$S$4))</f>
        <v/>
      </c>
      <c r="P5" s="17"/>
      <c r="Q5" s="44" t="str">
        <f aca="true">IF(C5="","",IF(P5="Backed out",IF(S5="Paid","Refunded – closed",IF(R5="","Refund – log reason first","Refund in progress")),IF(K5="","Awaiting payment",IF(N5="",IF(M5="","Schedule free video","Free video in production"),IF(P5="Approved","Active",IF(TODAY()&gt;O5,"Active – plan went ahead","Decision pending – "&amp;NETWORKDAYS(TODAY(),O5)&amp;" working day(s) left"))))))</f>
        <v/>
      </c>
      <c r="R5" s="17"/>
      <c r="S5" s="17"/>
      <c r="T5" s="50"/>
      <c r="U5" s="40"/>
      <c r="V5" s="40"/>
      <c r="W5" s="45" t="str">
        <f aca="false">IF(V5="","",EDATE(V5,Settings!$S$6))</f>
        <v/>
      </c>
      <c r="X5" s="17"/>
      <c r="Y5" s="17"/>
      <c r="Z5" s="17"/>
    </row>
    <row r="6" customFormat="false" ht="15" hidden="false" customHeight="false" outlineLevel="0" collapsed="false">
      <c r="A6" s="17"/>
      <c r="B6" s="17"/>
      <c r="C6" s="17"/>
      <c r="D6" s="17"/>
      <c r="E6" s="42"/>
      <c r="F6" s="17"/>
      <c r="G6" s="17"/>
      <c r="H6" s="17"/>
      <c r="I6" s="49" t="str">
        <f aca="false">IF(H6="","",IFERROR(INDEX(Settings!$G$2:$G$4,MATCH(H6,Settings!$F$2:$F$4,0)),""))</f>
        <v/>
      </c>
      <c r="J6" s="40"/>
      <c r="K6" s="50"/>
      <c r="L6" s="17"/>
      <c r="M6" s="40"/>
      <c r="N6" s="40"/>
      <c r="O6" s="45" t="str">
        <f aca="false">IF(N6="","",WORKDAY(N6,Settings!$S$4))</f>
        <v/>
      </c>
      <c r="P6" s="17"/>
      <c r="Q6" s="44" t="str">
        <f aca="true">IF(C6="","",IF(P6="Backed out",IF(S6="Paid","Refunded – closed",IF(R6="","Refund – log reason first","Refund in progress")),IF(K6="","Awaiting payment",IF(N6="",IF(M6="","Schedule free video","Free video in production"),IF(P6="Approved","Active",IF(TODAY()&gt;O6,"Active – plan went ahead","Decision pending – "&amp;NETWORKDAYS(TODAY(),O6)&amp;" working day(s) left"))))))</f>
        <v/>
      </c>
      <c r="R6" s="17"/>
      <c r="S6" s="17"/>
      <c r="T6" s="50"/>
      <c r="U6" s="40"/>
      <c r="V6" s="40"/>
      <c r="W6" s="45" t="str">
        <f aca="false">IF(V6="","",EDATE(V6,Settings!$S$6))</f>
        <v/>
      </c>
      <c r="X6" s="17"/>
      <c r="Y6" s="17"/>
      <c r="Z6" s="17"/>
    </row>
    <row r="7" customFormat="false" ht="15" hidden="false" customHeight="false" outlineLevel="0" collapsed="false">
      <c r="A7" s="17"/>
      <c r="B7" s="17"/>
      <c r="C7" s="17"/>
      <c r="D7" s="17"/>
      <c r="E7" s="42"/>
      <c r="F7" s="17"/>
      <c r="G7" s="17"/>
      <c r="H7" s="17"/>
      <c r="I7" s="49" t="str">
        <f aca="false">IF(H7="","",IFERROR(INDEX(Settings!$G$2:$G$4,MATCH(H7,Settings!$F$2:$F$4,0)),""))</f>
        <v/>
      </c>
      <c r="J7" s="40"/>
      <c r="K7" s="50"/>
      <c r="L7" s="17"/>
      <c r="M7" s="40"/>
      <c r="N7" s="40"/>
      <c r="O7" s="45" t="str">
        <f aca="false">IF(N7="","",WORKDAY(N7,Settings!$S$4))</f>
        <v/>
      </c>
      <c r="P7" s="17"/>
      <c r="Q7" s="44" t="str">
        <f aca="true">IF(C7="","",IF(P7="Backed out",IF(S7="Paid","Refunded – closed",IF(R7="","Refund – log reason first","Refund in progress")),IF(K7="","Awaiting payment",IF(N7="",IF(M7="","Schedule free video","Free video in production"),IF(P7="Approved","Active",IF(TODAY()&gt;O7,"Active – plan went ahead","Decision pending – "&amp;NETWORKDAYS(TODAY(),O7)&amp;" working day(s) left"))))))</f>
        <v/>
      </c>
      <c r="R7" s="17"/>
      <c r="S7" s="17"/>
      <c r="T7" s="50"/>
      <c r="U7" s="40"/>
      <c r="V7" s="40"/>
      <c r="W7" s="45" t="str">
        <f aca="false">IF(V7="","",EDATE(V7,Settings!$S$6))</f>
        <v/>
      </c>
      <c r="X7" s="17"/>
      <c r="Y7" s="17"/>
      <c r="Z7" s="17"/>
    </row>
    <row r="8" customFormat="false" ht="15" hidden="false" customHeight="false" outlineLevel="0" collapsed="false">
      <c r="A8" s="17"/>
      <c r="B8" s="17"/>
      <c r="C8" s="17"/>
      <c r="D8" s="17"/>
      <c r="E8" s="42"/>
      <c r="F8" s="17"/>
      <c r="G8" s="17"/>
      <c r="H8" s="17"/>
      <c r="I8" s="49" t="str">
        <f aca="false">IF(H8="","",IFERROR(INDEX(Settings!$G$2:$G$4,MATCH(H8,Settings!$F$2:$F$4,0)),""))</f>
        <v/>
      </c>
      <c r="J8" s="40"/>
      <c r="K8" s="50"/>
      <c r="L8" s="17"/>
      <c r="M8" s="40"/>
      <c r="N8" s="40"/>
      <c r="O8" s="45" t="str">
        <f aca="false">IF(N8="","",WORKDAY(N8,Settings!$S$4))</f>
        <v/>
      </c>
      <c r="P8" s="17"/>
      <c r="Q8" s="44" t="str">
        <f aca="true">IF(C8="","",IF(P8="Backed out",IF(S8="Paid","Refunded – closed",IF(R8="","Refund – log reason first","Refund in progress")),IF(K8="","Awaiting payment",IF(N8="",IF(M8="","Schedule free video","Free video in production"),IF(P8="Approved","Active",IF(TODAY()&gt;O8,"Active – plan went ahead","Decision pending – "&amp;NETWORKDAYS(TODAY(),O8)&amp;" working day(s) left"))))))</f>
        <v/>
      </c>
      <c r="R8" s="17"/>
      <c r="S8" s="17"/>
      <c r="T8" s="50"/>
      <c r="U8" s="40"/>
      <c r="V8" s="40"/>
      <c r="W8" s="45" t="str">
        <f aca="false">IF(V8="","",EDATE(V8,Settings!$S$6))</f>
        <v/>
      </c>
      <c r="X8" s="17"/>
      <c r="Y8" s="17"/>
      <c r="Z8" s="17"/>
    </row>
    <row r="9" customFormat="false" ht="15" hidden="false" customHeight="false" outlineLevel="0" collapsed="false">
      <c r="A9" s="17"/>
      <c r="B9" s="17"/>
      <c r="C9" s="17"/>
      <c r="D9" s="17"/>
      <c r="E9" s="42"/>
      <c r="F9" s="17"/>
      <c r="G9" s="17"/>
      <c r="H9" s="17"/>
      <c r="I9" s="49" t="str">
        <f aca="false">IF(H9="","",IFERROR(INDEX(Settings!$G$2:$G$4,MATCH(H9,Settings!$F$2:$F$4,0)),""))</f>
        <v/>
      </c>
      <c r="J9" s="40"/>
      <c r="K9" s="50"/>
      <c r="L9" s="17"/>
      <c r="M9" s="40"/>
      <c r="N9" s="40"/>
      <c r="O9" s="45" t="str">
        <f aca="false">IF(N9="","",WORKDAY(N9,Settings!$S$4))</f>
        <v/>
      </c>
      <c r="P9" s="17"/>
      <c r="Q9" s="44" t="str">
        <f aca="true">IF(C9="","",IF(P9="Backed out",IF(S9="Paid","Refunded – closed",IF(R9="","Refund – log reason first","Refund in progress")),IF(K9="","Awaiting payment",IF(N9="",IF(M9="","Schedule free video","Free video in production"),IF(P9="Approved","Active",IF(TODAY()&gt;O9,"Active – plan went ahead","Decision pending – "&amp;NETWORKDAYS(TODAY(),O9)&amp;" working day(s) left"))))))</f>
        <v/>
      </c>
      <c r="R9" s="17"/>
      <c r="S9" s="17"/>
      <c r="T9" s="50"/>
      <c r="U9" s="40"/>
      <c r="V9" s="40"/>
      <c r="W9" s="45" t="str">
        <f aca="false">IF(V9="","",EDATE(V9,Settings!$S$6))</f>
        <v/>
      </c>
      <c r="X9" s="17"/>
      <c r="Y9" s="17"/>
      <c r="Z9" s="17"/>
    </row>
    <row r="10" customFormat="false" ht="15" hidden="false" customHeight="false" outlineLevel="0" collapsed="false">
      <c r="A10" s="17"/>
      <c r="B10" s="17"/>
      <c r="C10" s="17"/>
      <c r="D10" s="17"/>
      <c r="E10" s="42"/>
      <c r="F10" s="17"/>
      <c r="G10" s="17"/>
      <c r="H10" s="17"/>
      <c r="I10" s="49" t="str">
        <f aca="false">IF(H10="","",IFERROR(INDEX(Settings!$G$2:$G$4,MATCH(H10,Settings!$F$2:$F$4,0)),""))</f>
        <v/>
      </c>
      <c r="J10" s="40"/>
      <c r="K10" s="50"/>
      <c r="L10" s="17"/>
      <c r="M10" s="40"/>
      <c r="N10" s="40"/>
      <c r="O10" s="45" t="str">
        <f aca="false">IF(N10="","",WORKDAY(N10,Settings!$S$4))</f>
        <v/>
      </c>
      <c r="P10" s="17"/>
      <c r="Q10" s="44" t="str">
        <f aca="true">IF(C10="","",IF(P10="Backed out",IF(S10="Paid","Refunded – closed",IF(R10="","Refund – log reason first","Refund in progress")),IF(K10="","Awaiting payment",IF(N10="",IF(M10="","Schedule free video","Free video in production"),IF(P10="Approved","Active",IF(TODAY()&gt;O10,"Active – plan went ahead","Decision pending – "&amp;NETWORKDAYS(TODAY(),O10)&amp;" working day(s) left"))))))</f>
        <v/>
      </c>
      <c r="R10" s="17"/>
      <c r="S10" s="17"/>
      <c r="T10" s="50"/>
      <c r="U10" s="40"/>
      <c r="V10" s="40"/>
      <c r="W10" s="45" t="str">
        <f aca="false">IF(V10="","",EDATE(V10,Settings!$S$6))</f>
        <v/>
      </c>
      <c r="X10" s="17"/>
      <c r="Y10" s="17"/>
      <c r="Z10" s="17"/>
    </row>
    <row r="11" customFormat="false" ht="15" hidden="false" customHeight="false" outlineLevel="0" collapsed="false">
      <c r="A11" s="17"/>
      <c r="B11" s="17"/>
      <c r="C11" s="17"/>
      <c r="D11" s="17"/>
      <c r="E11" s="42"/>
      <c r="F11" s="17"/>
      <c r="G11" s="17"/>
      <c r="H11" s="17"/>
      <c r="I11" s="49" t="str">
        <f aca="false">IF(H11="","",IFERROR(INDEX(Settings!$G$2:$G$4,MATCH(H11,Settings!$F$2:$F$4,0)),""))</f>
        <v/>
      </c>
      <c r="J11" s="40"/>
      <c r="K11" s="50"/>
      <c r="L11" s="17"/>
      <c r="M11" s="40"/>
      <c r="N11" s="40"/>
      <c r="O11" s="45" t="str">
        <f aca="false">IF(N11="","",WORKDAY(N11,Settings!$S$4))</f>
        <v/>
      </c>
      <c r="P11" s="17"/>
      <c r="Q11" s="44" t="str">
        <f aca="true">IF(C11="","",IF(P11="Backed out",IF(S11="Paid","Refunded – closed",IF(R11="","Refund – log reason first","Refund in progress")),IF(K11="","Awaiting payment",IF(N11="",IF(M11="","Schedule free video","Free video in production"),IF(P11="Approved","Active",IF(TODAY()&gt;O11,"Active – plan went ahead","Decision pending – "&amp;NETWORKDAYS(TODAY(),O11)&amp;" working day(s) left"))))))</f>
        <v/>
      </c>
      <c r="R11" s="17"/>
      <c r="S11" s="17"/>
      <c r="T11" s="50"/>
      <c r="U11" s="40"/>
      <c r="V11" s="40"/>
      <c r="W11" s="45" t="str">
        <f aca="false">IF(V11="","",EDATE(V11,Settings!$S$6))</f>
        <v/>
      </c>
      <c r="X11" s="17"/>
      <c r="Y11" s="17"/>
      <c r="Z11" s="17"/>
    </row>
    <row r="12" customFormat="false" ht="15" hidden="false" customHeight="false" outlineLevel="0" collapsed="false">
      <c r="A12" s="17"/>
      <c r="B12" s="17"/>
      <c r="C12" s="17"/>
      <c r="D12" s="17"/>
      <c r="E12" s="42"/>
      <c r="F12" s="17"/>
      <c r="G12" s="17"/>
      <c r="H12" s="17"/>
      <c r="I12" s="49" t="str">
        <f aca="false">IF(H12="","",IFERROR(INDEX(Settings!$G$2:$G$4,MATCH(H12,Settings!$F$2:$F$4,0)),""))</f>
        <v/>
      </c>
      <c r="J12" s="40"/>
      <c r="K12" s="50"/>
      <c r="L12" s="17"/>
      <c r="M12" s="40"/>
      <c r="N12" s="40"/>
      <c r="O12" s="45" t="str">
        <f aca="false">IF(N12="","",WORKDAY(N12,Settings!$S$4))</f>
        <v/>
      </c>
      <c r="P12" s="17"/>
      <c r="Q12" s="44" t="str">
        <f aca="true">IF(C12="","",IF(P12="Backed out",IF(S12="Paid","Refunded – closed",IF(R12="","Refund – log reason first","Refund in progress")),IF(K12="","Awaiting payment",IF(N12="",IF(M12="","Schedule free video","Free video in production"),IF(P12="Approved","Active",IF(TODAY()&gt;O12,"Active – plan went ahead","Decision pending – "&amp;NETWORKDAYS(TODAY(),O12)&amp;" working day(s) left"))))))</f>
        <v/>
      </c>
      <c r="R12" s="17"/>
      <c r="S12" s="17"/>
      <c r="T12" s="50"/>
      <c r="U12" s="40"/>
      <c r="V12" s="40"/>
      <c r="W12" s="45" t="str">
        <f aca="false">IF(V12="","",EDATE(V12,Settings!$S$6))</f>
        <v/>
      </c>
      <c r="X12" s="17"/>
      <c r="Y12" s="17"/>
      <c r="Z12" s="17"/>
    </row>
    <row r="13" customFormat="false" ht="15" hidden="false" customHeight="false" outlineLevel="0" collapsed="false">
      <c r="A13" s="17"/>
      <c r="B13" s="17"/>
      <c r="C13" s="17"/>
      <c r="D13" s="17"/>
      <c r="E13" s="42"/>
      <c r="F13" s="17"/>
      <c r="G13" s="17"/>
      <c r="H13" s="17"/>
      <c r="I13" s="49" t="str">
        <f aca="false">IF(H13="","",IFERROR(INDEX(Settings!$G$2:$G$4,MATCH(H13,Settings!$F$2:$F$4,0)),""))</f>
        <v/>
      </c>
      <c r="J13" s="40"/>
      <c r="K13" s="50"/>
      <c r="L13" s="17"/>
      <c r="M13" s="40"/>
      <c r="N13" s="40"/>
      <c r="O13" s="45" t="str">
        <f aca="false">IF(N13="","",WORKDAY(N13,Settings!$S$4))</f>
        <v/>
      </c>
      <c r="P13" s="17"/>
      <c r="Q13" s="44" t="str">
        <f aca="true">IF(C13="","",IF(P13="Backed out",IF(S13="Paid","Refunded – closed",IF(R13="","Refund – log reason first","Refund in progress")),IF(K13="","Awaiting payment",IF(N13="",IF(M13="","Schedule free video","Free video in production"),IF(P13="Approved","Active",IF(TODAY()&gt;O13,"Active – plan went ahead","Decision pending – "&amp;NETWORKDAYS(TODAY(),O13)&amp;" working day(s) left"))))))</f>
        <v/>
      </c>
      <c r="R13" s="17"/>
      <c r="S13" s="17"/>
      <c r="T13" s="50"/>
      <c r="U13" s="40"/>
      <c r="V13" s="40"/>
      <c r="W13" s="45" t="str">
        <f aca="false">IF(V13="","",EDATE(V13,Settings!$S$6))</f>
        <v/>
      </c>
      <c r="X13" s="17"/>
      <c r="Y13" s="17"/>
      <c r="Z13" s="17"/>
    </row>
    <row r="14" customFormat="false" ht="15" hidden="false" customHeight="false" outlineLevel="0" collapsed="false">
      <c r="A14" s="17"/>
      <c r="B14" s="17"/>
      <c r="C14" s="17"/>
      <c r="D14" s="17"/>
      <c r="E14" s="42"/>
      <c r="F14" s="17"/>
      <c r="G14" s="17"/>
      <c r="H14" s="17"/>
      <c r="I14" s="49" t="str">
        <f aca="false">IF(H14="","",IFERROR(INDEX(Settings!$G$2:$G$4,MATCH(H14,Settings!$F$2:$F$4,0)),""))</f>
        <v/>
      </c>
      <c r="J14" s="40"/>
      <c r="K14" s="50"/>
      <c r="L14" s="17"/>
      <c r="M14" s="40"/>
      <c r="N14" s="40"/>
      <c r="O14" s="45" t="str">
        <f aca="false">IF(N14="","",WORKDAY(N14,Settings!$S$4))</f>
        <v/>
      </c>
      <c r="P14" s="17"/>
      <c r="Q14" s="44" t="str">
        <f aca="true">IF(C14="","",IF(P14="Backed out",IF(S14="Paid","Refunded – closed",IF(R14="","Refund – log reason first","Refund in progress")),IF(K14="","Awaiting payment",IF(N14="",IF(M14="","Schedule free video","Free video in production"),IF(P14="Approved","Active",IF(TODAY()&gt;O14,"Active – plan went ahead","Decision pending – "&amp;NETWORKDAYS(TODAY(),O14)&amp;" working day(s) left"))))))</f>
        <v/>
      </c>
      <c r="R14" s="17"/>
      <c r="S14" s="17"/>
      <c r="T14" s="50"/>
      <c r="U14" s="40"/>
      <c r="V14" s="40"/>
      <c r="W14" s="45" t="str">
        <f aca="false">IF(V14="","",EDATE(V14,Settings!$S$6))</f>
        <v/>
      </c>
      <c r="X14" s="17"/>
      <c r="Y14" s="17"/>
      <c r="Z14" s="17"/>
    </row>
    <row r="15" customFormat="false" ht="15" hidden="false" customHeight="false" outlineLevel="0" collapsed="false">
      <c r="A15" s="17"/>
      <c r="B15" s="17"/>
      <c r="C15" s="17"/>
      <c r="D15" s="17"/>
      <c r="E15" s="42"/>
      <c r="F15" s="17"/>
      <c r="G15" s="17"/>
      <c r="H15" s="17"/>
      <c r="I15" s="49" t="str">
        <f aca="false">IF(H15="","",IFERROR(INDEX(Settings!$G$2:$G$4,MATCH(H15,Settings!$F$2:$F$4,0)),""))</f>
        <v/>
      </c>
      <c r="J15" s="40"/>
      <c r="K15" s="50"/>
      <c r="L15" s="17"/>
      <c r="M15" s="40"/>
      <c r="N15" s="40"/>
      <c r="O15" s="45" t="str">
        <f aca="false">IF(N15="","",WORKDAY(N15,Settings!$S$4))</f>
        <v/>
      </c>
      <c r="P15" s="17"/>
      <c r="Q15" s="44" t="str">
        <f aca="true">IF(C15="","",IF(P15="Backed out",IF(S15="Paid","Refunded – closed",IF(R15="","Refund – log reason first","Refund in progress")),IF(K15="","Awaiting payment",IF(N15="",IF(M15="","Schedule free video","Free video in production"),IF(P15="Approved","Active",IF(TODAY()&gt;O15,"Active – plan went ahead","Decision pending – "&amp;NETWORKDAYS(TODAY(),O15)&amp;" working day(s) left"))))))</f>
        <v/>
      </c>
      <c r="R15" s="17"/>
      <c r="S15" s="17"/>
      <c r="T15" s="50"/>
      <c r="U15" s="40"/>
      <c r="V15" s="40"/>
      <c r="W15" s="45" t="str">
        <f aca="false">IF(V15="","",EDATE(V15,Settings!$S$6))</f>
        <v/>
      </c>
      <c r="X15" s="17"/>
      <c r="Y15" s="17"/>
      <c r="Z15" s="17"/>
    </row>
    <row r="16" customFormat="false" ht="15" hidden="false" customHeight="false" outlineLevel="0" collapsed="false">
      <c r="A16" s="17"/>
      <c r="B16" s="17"/>
      <c r="C16" s="17"/>
      <c r="D16" s="17"/>
      <c r="E16" s="42"/>
      <c r="F16" s="17"/>
      <c r="G16" s="17"/>
      <c r="H16" s="17"/>
      <c r="I16" s="49" t="str">
        <f aca="false">IF(H16="","",IFERROR(INDEX(Settings!$G$2:$G$4,MATCH(H16,Settings!$F$2:$F$4,0)),""))</f>
        <v/>
      </c>
      <c r="J16" s="40"/>
      <c r="K16" s="50"/>
      <c r="L16" s="17"/>
      <c r="M16" s="40"/>
      <c r="N16" s="40"/>
      <c r="O16" s="45" t="str">
        <f aca="false">IF(N16="","",WORKDAY(N16,Settings!$S$4))</f>
        <v/>
      </c>
      <c r="P16" s="17"/>
      <c r="Q16" s="44" t="str">
        <f aca="true">IF(C16="","",IF(P16="Backed out",IF(S16="Paid","Refunded – closed",IF(R16="","Refund – log reason first","Refund in progress")),IF(K16="","Awaiting payment",IF(N16="",IF(M16="","Schedule free video","Free video in production"),IF(P16="Approved","Active",IF(TODAY()&gt;O16,"Active – plan went ahead","Decision pending – "&amp;NETWORKDAYS(TODAY(),O16)&amp;" working day(s) left"))))))</f>
        <v/>
      </c>
      <c r="R16" s="17"/>
      <c r="S16" s="17"/>
      <c r="T16" s="50"/>
      <c r="U16" s="40"/>
      <c r="V16" s="40"/>
      <c r="W16" s="45" t="str">
        <f aca="false">IF(V16="","",EDATE(V16,Settings!$S$6))</f>
        <v/>
      </c>
      <c r="X16" s="17"/>
      <c r="Y16" s="17"/>
      <c r="Z16" s="17"/>
    </row>
    <row r="17" customFormat="false" ht="15" hidden="false" customHeight="false" outlineLevel="0" collapsed="false">
      <c r="A17" s="17"/>
      <c r="B17" s="17"/>
      <c r="C17" s="17"/>
      <c r="D17" s="17"/>
      <c r="E17" s="42"/>
      <c r="F17" s="17"/>
      <c r="G17" s="17"/>
      <c r="H17" s="17"/>
      <c r="I17" s="49" t="str">
        <f aca="false">IF(H17="","",IFERROR(INDEX(Settings!$G$2:$G$4,MATCH(H17,Settings!$F$2:$F$4,0)),""))</f>
        <v/>
      </c>
      <c r="J17" s="40"/>
      <c r="K17" s="50"/>
      <c r="L17" s="17"/>
      <c r="M17" s="40"/>
      <c r="N17" s="40"/>
      <c r="O17" s="45" t="str">
        <f aca="false">IF(N17="","",WORKDAY(N17,Settings!$S$4))</f>
        <v/>
      </c>
      <c r="P17" s="17"/>
      <c r="Q17" s="44" t="str">
        <f aca="true">IF(C17="","",IF(P17="Backed out",IF(S17="Paid","Refunded – closed",IF(R17="","Refund – log reason first","Refund in progress")),IF(K17="","Awaiting payment",IF(N17="",IF(M17="","Schedule free video","Free video in production"),IF(P17="Approved","Active",IF(TODAY()&gt;O17,"Active – plan went ahead","Decision pending – "&amp;NETWORKDAYS(TODAY(),O17)&amp;" working day(s) left"))))))</f>
        <v/>
      </c>
      <c r="R17" s="17"/>
      <c r="S17" s="17"/>
      <c r="T17" s="50"/>
      <c r="U17" s="40"/>
      <c r="V17" s="40"/>
      <c r="W17" s="45" t="str">
        <f aca="false">IF(V17="","",EDATE(V17,Settings!$S$6))</f>
        <v/>
      </c>
      <c r="X17" s="17"/>
      <c r="Y17" s="17"/>
      <c r="Z17" s="17"/>
    </row>
    <row r="18" customFormat="false" ht="15" hidden="false" customHeight="false" outlineLevel="0" collapsed="false">
      <c r="A18" s="17"/>
      <c r="B18" s="17"/>
      <c r="C18" s="17"/>
      <c r="D18" s="17"/>
      <c r="E18" s="42"/>
      <c r="F18" s="17"/>
      <c r="G18" s="17"/>
      <c r="H18" s="17"/>
      <c r="I18" s="49" t="str">
        <f aca="false">IF(H18="","",IFERROR(INDEX(Settings!$G$2:$G$4,MATCH(H18,Settings!$F$2:$F$4,0)),""))</f>
        <v/>
      </c>
      <c r="J18" s="40"/>
      <c r="K18" s="50"/>
      <c r="L18" s="17"/>
      <c r="M18" s="40"/>
      <c r="N18" s="40"/>
      <c r="O18" s="45" t="str">
        <f aca="false">IF(N18="","",WORKDAY(N18,Settings!$S$4))</f>
        <v/>
      </c>
      <c r="P18" s="17"/>
      <c r="Q18" s="44" t="str">
        <f aca="true">IF(C18="","",IF(P18="Backed out",IF(S18="Paid","Refunded – closed",IF(R18="","Refund – log reason first","Refund in progress")),IF(K18="","Awaiting payment",IF(N18="",IF(M18="","Schedule free video","Free video in production"),IF(P18="Approved","Active",IF(TODAY()&gt;O18,"Active – plan went ahead","Decision pending – "&amp;NETWORKDAYS(TODAY(),O18)&amp;" working day(s) left"))))))</f>
        <v/>
      </c>
      <c r="R18" s="17"/>
      <c r="S18" s="17"/>
      <c r="T18" s="50"/>
      <c r="U18" s="40"/>
      <c r="V18" s="40"/>
      <c r="W18" s="45" t="str">
        <f aca="false">IF(V18="","",EDATE(V18,Settings!$S$6))</f>
        <v/>
      </c>
      <c r="X18" s="17"/>
      <c r="Y18" s="17"/>
      <c r="Z18" s="17"/>
    </row>
    <row r="19" customFormat="false" ht="15" hidden="false" customHeight="false" outlineLevel="0" collapsed="false">
      <c r="A19" s="17"/>
      <c r="B19" s="17"/>
      <c r="C19" s="17"/>
      <c r="D19" s="17"/>
      <c r="E19" s="42"/>
      <c r="F19" s="17"/>
      <c r="G19" s="17"/>
      <c r="H19" s="17"/>
      <c r="I19" s="49" t="str">
        <f aca="false">IF(H19="","",IFERROR(INDEX(Settings!$G$2:$G$4,MATCH(H19,Settings!$F$2:$F$4,0)),""))</f>
        <v/>
      </c>
      <c r="J19" s="40"/>
      <c r="K19" s="50"/>
      <c r="L19" s="17"/>
      <c r="M19" s="40"/>
      <c r="N19" s="40"/>
      <c r="O19" s="45" t="str">
        <f aca="false">IF(N19="","",WORKDAY(N19,Settings!$S$4))</f>
        <v/>
      </c>
      <c r="P19" s="17"/>
      <c r="Q19" s="44" t="str">
        <f aca="true">IF(C19="","",IF(P19="Backed out",IF(S19="Paid","Refunded – closed",IF(R19="","Refund – log reason first","Refund in progress")),IF(K19="","Awaiting payment",IF(N19="",IF(M19="","Schedule free video","Free video in production"),IF(P19="Approved","Active",IF(TODAY()&gt;O19,"Active – plan went ahead","Decision pending – "&amp;NETWORKDAYS(TODAY(),O19)&amp;" working day(s) left"))))))</f>
        <v/>
      </c>
      <c r="R19" s="17"/>
      <c r="S19" s="17"/>
      <c r="T19" s="50"/>
      <c r="U19" s="40"/>
      <c r="V19" s="40"/>
      <c r="W19" s="45" t="str">
        <f aca="false">IF(V19="","",EDATE(V19,Settings!$S$6))</f>
        <v/>
      </c>
      <c r="X19" s="17"/>
      <c r="Y19" s="17"/>
      <c r="Z19" s="17"/>
    </row>
    <row r="20" customFormat="false" ht="15" hidden="false" customHeight="false" outlineLevel="0" collapsed="false">
      <c r="A20" s="17"/>
      <c r="B20" s="17"/>
      <c r="C20" s="17"/>
      <c r="D20" s="17"/>
      <c r="E20" s="42"/>
      <c r="F20" s="17"/>
      <c r="G20" s="17"/>
      <c r="H20" s="17"/>
      <c r="I20" s="49" t="str">
        <f aca="false">IF(H20="","",IFERROR(INDEX(Settings!$G$2:$G$4,MATCH(H20,Settings!$F$2:$F$4,0)),""))</f>
        <v/>
      </c>
      <c r="J20" s="40"/>
      <c r="K20" s="50"/>
      <c r="L20" s="17"/>
      <c r="M20" s="40"/>
      <c r="N20" s="40"/>
      <c r="O20" s="45" t="str">
        <f aca="false">IF(N20="","",WORKDAY(N20,Settings!$S$4))</f>
        <v/>
      </c>
      <c r="P20" s="17"/>
      <c r="Q20" s="44" t="str">
        <f aca="true">IF(C20="","",IF(P20="Backed out",IF(S20="Paid","Refunded – closed",IF(R20="","Refund – log reason first","Refund in progress")),IF(K20="","Awaiting payment",IF(N20="",IF(M20="","Schedule free video","Free video in production"),IF(P20="Approved","Active",IF(TODAY()&gt;O20,"Active – plan went ahead","Decision pending – "&amp;NETWORKDAYS(TODAY(),O20)&amp;" working day(s) left"))))))</f>
        <v/>
      </c>
      <c r="R20" s="17"/>
      <c r="S20" s="17"/>
      <c r="T20" s="50"/>
      <c r="U20" s="40"/>
      <c r="V20" s="40"/>
      <c r="W20" s="45" t="str">
        <f aca="false">IF(V20="","",EDATE(V20,Settings!$S$6))</f>
        <v/>
      </c>
      <c r="X20" s="17"/>
      <c r="Y20" s="17"/>
      <c r="Z20" s="17"/>
    </row>
    <row r="21" customFormat="false" ht="15" hidden="false" customHeight="false" outlineLevel="0" collapsed="false">
      <c r="A21" s="17"/>
      <c r="B21" s="17"/>
      <c r="C21" s="17"/>
      <c r="D21" s="17"/>
      <c r="E21" s="42"/>
      <c r="F21" s="17"/>
      <c r="G21" s="17"/>
      <c r="H21" s="17"/>
      <c r="I21" s="49" t="str">
        <f aca="false">IF(H21="","",IFERROR(INDEX(Settings!$G$2:$G$4,MATCH(H21,Settings!$F$2:$F$4,0)),""))</f>
        <v/>
      </c>
      <c r="J21" s="40"/>
      <c r="K21" s="50"/>
      <c r="L21" s="17"/>
      <c r="M21" s="40"/>
      <c r="N21" s="40"/>
      <c r="O21" s="45" t="str">
        <f aca="false">IF(N21="","",WORKDAY(N21,Settings!$S$4))</f>
        <v/>
      </c>
      <c r="P21" s="17"/>
      <c r="Q21" s="44" t="str">
        <f aca="true">IF(C21="","",IF(P21="Backed out",IF(S21="Paid","Refunded – closed",IF(R21="","Refund – log reason first","Refund in progress")),IF(K21="","Awaiting payment",IF(N21="",IF(M21="","Schedule free video","Free video in production"),IF(P21="Approved","Active",IF(TODAY()&gt;O21,"Active – plan went ahead","Decision pending – "&amp;NETWORKDAYS(TODAY(),O21)&amp;" working day(s) left"))))))</f>
        <v/>
      </c>
      <c r="R21" s="17"/>
      <c r="S21" s="17"/>
      <c r="T21" s="50"/>
      <c r="U21" s="40"/>
      <c r="V21" s="40"/>
      <c r="W21" s="45" t="str">
        <f aca="false">IF(V21="","",EDATE(V21,Settings!$S$6))</f>
        <v/>
      </c>
      <c r="X21" s="17"/>
      <c r="Y21" s="17"/>
      <c r="Z21" s="17"/>
    </row>
    <row r="22" customFormat="false" ht="15" hidden="false" customHeight="false" outlineLevel="0" collapsed="false">
      <c r="A22" s="17"/>
      <c r="B22" s="17"/>
      <c r="C22" s="17"/>
      <c r="D22" s="17"/>
      <c r="E22" s="42"/>
      <c r="F22" s="17"/>
      <c r="G22" s="17"/>
      <c r="H22" s="17"/>
      <c r="I22" s="49" t="str">
        <f aca="false">IF(H22="","",IFERROR(INDEX(Settings!$G$2:$G$4,MATCH(H22,Settings!$F$2:$F$4,0)),""))</f>
        <v/>
      </c>
      <c r="J22" s="40"/>
      <c r="K22" s="50"/>
      <c r="L22" s="17"/>
      <c r="M22" s="40"/>
      <c r="N22" s="40"/>
      <c r="O22" s="45" t="str">
        <f aca="false">IF(N22="","",WORKDAY(N22,Settings!$S$4))</f>
        <v/>
      </c>
      <c r="P22" s="17"/>
      <c r="Q22" s="44" t="str">
        <f aca="true">IF(C22="","",IF(P22="Backed out",IF(S22="Paid","Refunded – closed",IF(R22="","Refund – log reason first","Refund in progress")),IF(K22="","Awaiting payment",IF(N22="",IF(M22="","Schedule free video","Free video in production"),IF(P22="Approved","Active",IF(TODAY()&gt;O22,"Active – plan went ahead","Decision pending – "&amp;NETWORKDAYS(TODAY(),O22)&amp;" working day(s) left"))))))</f>
        <v/>
      </c>
      <c r="R22" s="17"/>
      <c r="S22" s="17"/>
      <c r="T22" s="50"/>
      <c r="U22" s="40"/>
      <c r="V22" s="40"/>
      <c r="W22" s="45" t="str">
        <f aca="false">IF(V22="","",EDATE(V22,Settings!$S$6))</f>
        <v/>
      </c>
      <c r="X22" s="17"/>
      <c r="Y22" s="17"/>
      <c r="Z22" s="17"/>
    </row>
    <row r="23" customFormat="false" ht="15" hidden="false" customHeight="false" outlineLevel="0" collapsed="false">
      <c r="A23" s="17"/>
      <c r="B23" s="17"/>
      <c r="C23" s="17"/>
      <c r="D23" s="17"/>
      <c r="E23" s="42"/>
      <c r="F23" s="17"/>
      <c r="G23" s="17"/>
      <c r="H23" s="17"/>
      <c r="I23" s="49" t="str">
        <f aca="false">IF(H23="","",IFERROR(INDEX(Settings!$G$2:$G$4,MATCH(H23,Settings!$F$2:$F$4,0)),""))</f>
        <v/>
      </c>
      <c r="J23" s="40"/>
      <c r="K23" s="50"/>
      <c r="L23" s="17"/>
      <c r="M23" s="40"/>
      <c r="N23" s="40"/>
      <c r="O23" s="45" t="str">
        <f aca="false">IF(N23="","",WORKDAY(N23,Settings!$S$4))</f>
        <v/>
      </c>
      <c r="P23" s="17"/>
      <c r="Q23" s="44" t="str">
        <f aca="true">IF(C23="","",IF(P23="Backed out",IF(S23="Paid","Refunded – closed",IF(R23="","Refund – log reason first","Refund in progress")),IF(K23="","Awaiting payment",IF(N23="",IF(M23="","Schedule free video","Free video in production"),IF(P23="Approved","Active",IF(TODAY()&gt;O23,"Active – plan went ahead","Decision pending – "&amp;NETWORKDAYS(TODAY(),O23)&amp;" working day(s) left"))))))</f>
        <v/>
      </c>
      <c r="R23" s="17"/>
      <c r="S23" s="17"/>
      <c r="T23" s="50"/>
      <c r="U23" s="40"/>
      <c r="V23" s="40"/>
      <c r="W23" s="45" t="str">
        <f aca="false">IF(V23="","",EDATE(V23,Settings!$S$6))</f>
        <v/>
      </c>
      <c r="X23" s="17"/>
      <c r="Y23" s="17"/>
      <c r="Z23" s="17"/>
    </row>
    <row r="24" customFormat="false" ht="15" hidden="false" customHeight="false" outlineLevel="0" collapsed="false">
      <c r="A24" s="17"/>
      <c r="B24" s="17"/>
      <c r="C24" s="17"/>
      <c r="D24" s="17"/>
      <c r="E24" s="42"/>
      <c r="F24" s="17"/>
      <c r="G24" s="17"/>
      <c r="H24" s="17"/>
      <c r="I24" s="49" t="str">
        <f aca="false">IF(H24="","",IFERROR(INDEX(Settings!$G$2:$G$4,MATCH(H24,Settings!$F$2:$F$4,0)),""))</f>
        <v/>
      </c>
      <c r="J24" s="40"/>
      <c r="K24" s="50"/>
      <c r="L24" s="17"/>
      <c r="M24" s="40"/>
      <c r="N24" s="40"/>
      <c r="O24" s="45" t="str">
        <f aca="false">IF(N24="","",WORKDAY(N24,Settings!$S$4))</f>
        <v/>
      </c>
      <c r="P24" s="17"/>
      <c r="Q24" s="44" t="str">
        <f aca="true">IF(C24="","",IF(P24="Backed out",IF(S24="Paid","Refunded – closed",IF(R24="","Refund – log reason first","Refund in progress")),IF(K24="","Awaiting payment",IF(N24="",IF(M24="","Schedule free video","Free video in production"),IF(P24="Approved","Active",IF(TODAY()&gt;O24,"Active – plan went ahead","Decision pending – "&amp;NETWORKDAYS(TODAY(),O24)&amp;" working day(s) left"))))))</f>
        <v/>
      </c>
      <c r="R24" s="17"/>
      <c r="S24" s="17"/>
      <c r="T24" s="50"/>
      <c r="U24" s="40"/>
      <c r="V24" s="40"/>
      <c r="W24" s="45" t="str">
        <f aca="false">IF(V24="","",EDATE(V24,Settings!$S$6))</f>
        <v/>
      </c>
      <c r="X24" s="17"/>
      <c r="Y24" s="17"/>
      <c r="Z24" s="17"/>
    </row>
    <row r="25" customFormat="false" ht="15" hidden="false" customHeight="false" outlineLevel="0" collapsed="false">
      <c r="A25" s="17"/>
      <c r="B25" s="17"/>
      <c r="C25" s="17"/>
      <c r="D25" s="17"/>
      <c r="E25" s="42"/>
      <c r="F25" s="17"/>
      <c r="G25" s="17"/>
      <c r="H25" s="17"/>
      <c r="I25" s="49" t="str">
        <f aca="false">IF(H25="","",IFERROR(INDEX(Settings!$G$2:$G$4,MATCH(H25,Settings!$F$2:$F$4,0)),""))</f>
        <v/>
      </c>
      <c r="J25" s="40"/>
      <c r="K25" s="50"/>
      <c r="L25" s="17"/>
      <c r="M25" s="40"/>
      <c r="N25" s="40"/>
      <c r="O25" s="45" t="str">
        <f aca="false">IF(N25="","",WORKDAY(N25,Settings!$S$4))</f>
        <v/>
      </c>
      <c r="P25" s="17"/>
      <c r="Q25" s="44" t="str">
        <f aca="true">IF(C25="","",IF(P25="Backed out",IF(S25="Paid","Refunded – closed",IF(R25="","Refund – log reason first","Refund in progress")),IF(K25="","Awaiting payment",IF(N25="",IF(M25="","Schedule free video","Free video in production"),IF(P25="Approved","Active",IF(TODAY()&gt;O25,"Active – plan went ahead","Decision pending – "&amp;NETWORKDAYS(TODAY(),O25)&amp;" working day(s) left"))))))</f>
        <v/>
      </c>
      <c r="R25" s="17"/>
      <c r="S25" s="17"/>
      <c r="T25" s="50"/>
      <c r="U25" s="40"/>
      <c r="V25" s="40"/>
      <c r="W25" s="45" t="str">
        <f aca="false">IF(V25="","",EDATE(V25,Settings!$S$6))</f>
        <v/>
      </c>
      <c r="X25" s="17"/>
      <c r="Y25" s="17"/>
      <c r="Z25" s="17"/>
    </row>
    <row r="26" customFormat="false" ht="15" hidden="false" customHeight="false" outlineLevel="0" collapsed="false">
      <c r="A26" s="17"/>
      <c r="B26" s="17"/>
      <c r="C26" s="17"/>
      <c r="D26" s="17"/>
      <c r="E26" s="42"/>
      <c r="F26" s="17"/>
      <c r="G26" s="17"/>
      <c r="H26" s="17"/>
      <c r="I26" s="49" t="str">
        <f aca="false">IF(H26="","",IFERROR(INDEX(Settings!$G$2:$G$4,MATCH(H26,Settings!$F$2:$F$4,0)),""))</f>
        <v/>
      </c>
      <c r="J26" s="40"/>
      <c r="K26" s="50"/>
      <c r="L26" s="17"/>
      <c r="M26" s="40"/>
      <c r="N26" s="40"/>
      <c r="O26" s="45" t="str">
        <f aca="false">IF(N26="","",WORKDAY(N26,Settings!$S$4))</f>
        <v/>
      </c>
      <c r="P26" s="17"/>
      <c r="Q26" s="44" t="str">
        <f aca="true">IF(C26="","",IF(P26="Backed out",IF(S26="Paid","Refunded – closed",IF(R26="","Refund – log reason first","Refund in progress")),IF(K26="","Awaiting payment",IF(N26="",IF(M26="","Schedule free video","Free video in production"),IF(P26="Approved","Active",IF(TODAY()&gt;O26,"Active – plan went ahead","Decision pending – "&amp;NETWORKDAYS(TODAY(),O26)&amp;" working day(s) left"))))))</f>
        <v/>
      </c>
      <c r="R26" s="17"/>
      <c r="S26" s="17"/>
      <c r="T26" s="50"/>
      <c r="U26" s="40"/>
      <c r="V26" s="40"/>
      <c r="W26" s="45" t="str">
        <f aca="false">IF(V26="","",EDATE(V26,Settings!$S$6))</f>
        <v/>
      </c>
      <c r="X26" s="17"/>
      <c r="Y26" s="17"/>
      <c r="Z26" s="17"/>
    </row>
    <row r="27" customFormat="false" ht="15" hidden="false" customHeight="false" outlineLevel="0" collapsed="false">
      <c r="A27" s="17"/>
      <c r="B27" s="17"/>
      <c r="C27" s="17"/>
      <c r="D27" s="17"/>
      <c r="E27" s="42"/>
      <c r="F27" s="17"/>
      <c r="G27" s="17"/>
      <c r="H27" s="17"/>
      <c r="I27" s="49" t="str">
        <f aca="false">IF(H27="","",IFERROR(INDEX(Settings!$G$2:$G$4,MATCH(H27,Settings!$F$2:$F$4,0)),""))</f>
        <v/>
      </c>
      <c r="J27" s="40"/>
      <c r="K27" s="50"/>
      <c r="L27" s="17"/>
      <c r="M27" s="40"/>
      <c r="N27" s="40"/>
      <c r="O27" s="45" t="str">
        <f aca="false">IF(N27="","",WORKDAY(N27,Settings!$S$4))</f>
        <v/>
      </c>
      <c r="P27" s="17"/>
      <c r="Q27" s="44" t="str">
        <f aca="true">IF(C27="","",IF(P27="Backed out",IF(S27="Paid","Refunded – closed",IF(R27="","Refund – log reason first","Refund in progress")),IF(K27="","Awaiting payment",IF(N27="",IF(M27="","Schedule free video","Free video in production"),IF(P27="Approved","Active",IF(TODAY()&gt;O27,"Active – plan went ahead","Decision pending – "&amp;NETWORKDAYS(TODAY(),O27)&amp;" working day(s) left"))))))</f>
        <v/>
      </c>
      <c r="R27" s="17"/>
      <c r="S27" s="17"/>
      <c r="T27" s="50"/>
      <c r="U27" s="40"/>
      <c r="V27" s="40"/>
      <c r="W27" s="45" t="str">
        <f aca="false">IF(V27="","",EDATE(V27,Settings!$S$6))</f>
        <v/>
      </c>
      <c r="X27" s="17"/>
      <c r="Y27" s="17"/>
      <c r="Z27" s="17"/>
    </row>
    <row r="28" customFormat="false" ht="15" hidden="false" customHeight="false" outlineLevel="0" collapsed="false">
      <c r="A28" s="17"/>
      <c r="B28" s="17"/>
      <c r="C28" s="17"/>
      <c r="D28" s="17"/>
      <c r="E28" s="42"/>
      <c r="F28" s="17"/>
      <c r="G28" s="17"/>
      <c r="H28" s="17"/>
      <c r="I28" s="49" t="str">
        <f aca="false">IF(H28="","",IFERROR(INDEX(Settings!$G$2:$G$4,MATCH(H28,Settings!$F$2:$F$4,0)),""))</f>
        <v/>
      </c>
      <c r="J28" s="40"/>
      <c r="K28" s="50"/>
      <c r="L28" s="17"/>
      <c r="M28" s="40"/>
      <c r="N28" s="40"/>
      <c r="O28" s="45" t="str">
        <f aca="false">IF(N28="","",WORKDAY(N28,Settings!$S$4))</f>
        <v/>
      </c>
      <c r="P28" s="17"/>
      <c r="Q28" s="44" t="str">
        <f aca="true">IF(C28="","",IF(P28="Backed out",IF(S28="Paid","Refunded – closed",IF(R28="","Refund – log reason first","Refund in progress")),IF(K28="","Awaiting payment",IF(N28="",IF(M28="","Schedule free video","Free video in production"),IF(P28="Approved","Active",IF(TODAY()&gt;O28,"Active – plan went ahead","Decision pending – "&amp;NETWORKDAYS(TODAY(),O28)&amp;" working day(s) left"))))))</f>
        <v/>
      </c>
      <c r="R28" s="17"/>
      <c r="S28" s="17"/>
      <c r="T28" s="50"/>
      <c r="U28" s="40"/>
      <c r="V28" s="40"/>
      <c r="W28" s="45" t="str">
        <f aca="false">IF(V28="","",EDATE(V28,Settings!$S$6))</f>
        <v/>
      </c>
      <c r="X28" s="17"/>
      <c r="Y28" s="17"/>
      <c r="Z28" s="17"/>
    </row>
    <row r="29" customFormat="false" ht="15" hidden="false" customHeight="false" outlineLevel="0" collapsed="false">
      <c r="A29" s="17"/>
      <c r="B29" s="17"/>
      <c r="C29" s="17"/>
      <c r="D29" s="17"/>
      <c r="E29" s="42"/>
      <c r="F29" s="17"/>
      <c r="G29" s="17"/>
      <c r="H29" s="17"/>
      <c r="I29" s="49" t="str">
        <f aca="false">IF(H29="","",IFERROR(INDEX(Settings!$G$2:$G$4,MATCH(H29,Settings!$F$2:$F$4,0)),""))</f>
        <v/>
      </c>
      <c r="J29" s="40"/>
      <c r="K29" s="50"/>
      <c r="L29" s="17"/>
      <c r="M29" s="40"/>
      <c r="N29" s="40"/>
      <c r="O29" s="45" t="str">
        <f aca="false">IF(N29="","",WORKDAY(N29,Settings!$S$4))</f>
        <v/>
      </c>
      <c r="P29" s="17"/>
      <c r="Q29" s="44" t="str">
        <f aca="true">IF(C29="","",IF(P29="Backed out",IF(S29="Paid","Refunded – closed",IF(R29="","Refund – log reason first","Refund in progress")),IF(K29="","Awaiting payment",IF(N29="",IF(M29="","Schedule free video","Free video in production"),IF(P29="Approved","Active",IF(TODAY()&gt;O29,"Active – plan went ahead","Decision pending – "&amp;NETWORKDAYS(TODAY(),O29)&amp;" working day(s) left"))))))</f>
        <v/>
      </c>
      <c r="R29" s="17"/>
      <c r="S29" s="17"/>
      <c r="T29" s="50"/>
      <c r="U29" s="40"/>
      <c r="V29" s="40"/>
      <c r="W29" s="45" t="str">
        <f aca="false">IF(V29="","",EDATE(V29,Settings!$S$6))</f>
        <v/>
      </c>
      <c r="X29" s="17"/>
      <c r="Y29" s="17"/>
      <c r="Z29" s="17"/>
    </row>
    <row r="30" customFormat="false" ht="15" hidden="false" customHeight="false" outlineLevel="0" collapsed="false">
      <c r="A30" s="17"/>
      <c r="B30" s="17"/>
      <c r="C30" s="17"/>
      <c r="D30" s="17"/>
      <c r="E30" s="42"/>
      <c r="F30" s="17"/>
      <c r="G30" s="17"/>
      <c r="H30" s="17"/>
      <c r="I30" s="49" t="str">
        <f aca="false">IF(H30="","",IFERROR(INDEX(Settings!$G$2:$G$4,MATCH(H30,Settings!$F$2:$F$4,0)),""))</f>
        <v/>
      </c>
      <c r="J30" s="40"/>
      <c r="K30" s="50"/>
      <c r="L30" s="17"/>
      <c r="M30" s="40"/>
      <c r="N30" s="40"/>
      <c r="O30" s="45" t="str">
        <f aca="false">IF(N30="","",WORKDAY(N30,Settings!$S$4))</f>
        <v/>
      </c>
      <c r="P30" s="17"/>
      <c r="Q30" s="44" t="str">
        <f aca="true">IF(C30="","",IF(P30="Backed out",IF(S30="Paid","Refunded – closed",IF(R30="","Refund – log reason first","Refund in progress")),IF(K30="","Awaiting payment",IF(N30="",IF(M30="","Schedule free video","Free video in production"),IF(P30="Approved","Active",IF(TODAY()&gt;O30,"Active – plan went ahead","Decision pending – "&amp;NETWORKDAYS(TODAY(),O30)&amp;" working day(s) left"))))))</f>
        <v/>
      </c>
      <c r="R30" s="17"/>
      <c r="S30" s="17"/>
      <c r="T30" s="50"/>
      <c r="U30" s="40"/>
      <c r="V30" s="40"/>
      <c r="W30" s="45" t="str">
        <f aca="false">IF(V30="","",EDATE(V30,Settings!$S$6))</f>
        <v/>
      </c>
      <c r="X30" s="17"/>
      <c r="Y30" s="17"/>
      <c r="Z30" s="17"/>
    </row>
    <row r="31" customFormat="false" ht="15" hidden="false" customHeight="false" outlineLevel="0" collapsed="false">
      <c r="A31" s="17"/>
      <c r="B31" s="17"/>
      <c r="C31" s="17"/>
      <c r="D31" s="17"/>
      <c r="E31" s="42"/>
      <c r="F31" s="17"/>
      <c r="G31" s="17"/>
      <c r="H31" s="17"/>
      <c r="I31" s="49" t="str">
        <f aca="false">IF(H31="","",IFERROR(INDEX(Settings!$G$2:$G$4,MATCH(H31,Settings!$F$2:$F$4,0)),""))</f>
        <v/>
      </c>
      <c r="J31" s="40"/>
      <c r="K31" s="50"/>
      <c r="L31" s="17"/>
      <c r="M31" s="40"/>
      <c r="N31" s="40"/>
      <c r="O31" s="45" t="str">
        <f aca="false">IF(N31="","",WORKDAY(N31,Settings!$S$4))</f>
        <v/>
      </c>
      <c r="P31" s="17"/>
      <c r="Q31" s="44" t="str">
        <f aca="true">IF(C31="","",IF(P31="Backed out",IF(S31="Paid","Refunded – closed",IF(R31="","Refund – log reason first","Refund in progress")),IF(K31="","Awaiting payment",IF(N31="",IF(M31="","Schedule free video","Free video in production"),IF(P31="Approved","Active",IF(TODAY()&gt;O31,"Active – plan went ahead","Decision pending – "&amp;NETWORKDAYS(TODAY(),O31)&amp;" working day(s) left"))))))</f>
        <v/>
      </c>
      <c r="R31" s="17"/>
      <c r="S31" s="17"/>
      <c r="T31" s="50"/>
      <c r="U31" s="40"/>
      <c r="V31" s="40"/>
      <c r="W31" s="45" t="str">
        <f aca="false">IF(V31="","",EDATE(V31,Settings!$S$6))</f>
        <v/>
      </c>
      <c r="X31" s="17"/>
      <c r="Y31" s="17"/>
      <c r="Z31" s="17"/>
    </row>
    <row r="32" customFormat="false" ht="15" hidden="false" customHeight="false" outlineLevel="0" collapsed="false">
      <c r="A32" s="17"/>
      <c r="B32" s="17"/>
      <c r="C32" s="17"/>
      <c r="D32" s="17"/>
      <c r="E32" s="42"/>
      <c r="F32" s="17"/>
      <c r="G32" s="17"/>
      <c r="H32" s="17"/>
      <c r="I32" s="49" t="str">
        <f aca="false">IF(H32="","",IFERROR(INDEX(Settings!$G$2:$G$4,MATCH(H32,Settings!$F$2:$F$4,0)),""))</f>
        <v/>
      </c>
      <c r="J32" s="40"/>
      <c r="K32" s="50"/>
      <c r="L32" s="17"/>
      <c r="M32" s="40"/>
      <c r="N32" s="40"/>
      <c r="O32" s="45" t="str">
        <f aca="false">IF(N32="","",WORKDAY(N32,Settings!$S$4))</f>
        <v/>
      </c>
      <c r="P32" s="17"/>
      <c r="Q32" s="44" t="str">
        <f aca="true">IF(C32="","",IF(P32="Backed out",IF(S32="Paid","Refunded – closed",IF(R32="","Refund – log reason first","Refund in progress")),IF(K32="","Awaiting payment",IF(N32="",IF(M32="","Schedule free video","Free video in production"),IF(P32="Approved","Active",IF(TODAY()&gt;O32,"Active – plan went ahead","Decision pending – "&amp;NETWORKDAYS(TODAY(),O32)&amp;" working day(s) left"))))))</f>
        <v/>
      </c>
      <c r="R32" s="17"/>
      <c r="S32" s="17"/>
      <c r="T32" s="50"/>
      <c r="U32" s="40"/>
      <c r="V32" s="40"/>
      <c r="W32" s="45" t="str">
        <f aca="false">IF(V32="","",EDATE(V32,Settings!$S$6))</f>
        <v/>
      </c>
      <c r="X32" s="17"/>
      <c r="Y32" s="17"/>
      <c r="Z32" s="17"/>
    </row>
    <row r="33" customFormat="false" ht="15" hidden="false" customHeight="false" outlineLevel="0" collapsed="false">
      <c r="A33" s="17"/>
      <c r="B33" s="17"/>
      <c r="C33" s="17"/>
      <c r="D33" s="17"/>
      <c r="E33" s="42"/>
      <c r="F33" s="17"/>
      <c r="G33" s="17"/>
      <c r="H33" s="17"/>
      <c r="I33" s="49" t="str">
        <f aca="false">IF(H33="","",IFERROR(INDEX(Settings!$G$2:$G$4,MATCH(H33,Settings!$F$2:$F$4,0)),""))</f>
        <v/>
      </c>
      <c r="J33" s="40"/>
      <c r="K33" s="50"/>
      <c r="L33" s="17"/>
      <c r="M33" s="40"/>
      <c r="N33" s="40"/>
      <c r="O33" s="45" t="str">
        <f aca="false">IF(N33="","",WORKDAY(N33,Settings!$S$4))</f>
        <v/>
      </c>
      <c r="P33" s="17"/>
      <c r="Q33" s="44" t="str">
        <f aca="true">IF(C33="","",IF(P33="Backed out",IF(S33="Paid","Refunded – closed",IF(R33="","Refund – log reason first","Refund in progress")),IF(K33="","Awaiting payment",IF(N33="",IF(M33="","Schedule free video","Free video in production"),IF(P33="Approved","Active",IF(TODAY()&gt;O33,"Active – plan went ahead","Decision pending – "&amp;NETWORKDAYS(TODAY(),O33)&amp;" working day(s) left"))))))</f>
        <v/>
      </c>
      <c r="R33" s="17"/>
      <c r="S33" s="17"/>
      <c r="T33" s="50"/>
      <c r="U33" s="40"/>
      <c r="V33" s="40"/>
      <c r="W33" s="45" t="str">
        <f aca="false">IF(V33="","",EDATE(V33,Settings!$S$6))</f>
        <v/>
      </c>
      <c r="X33" s="17"/>
      <c r="Y33" s="17"/>
      <c r="Z33" s="17"/>
    </row>
    <row r="34" customFormat="false" ht="15" hidden="false" customHeight="false" outlineLevel="0" collapsed="false">
      <c r="A34" s="17"/>
      <c r="B34" s="17"/>
      <c r="C34" s="17"/>
      <c r="D34" s="17"/>
      <c r="E34" s="42"/>
      <c r="F34" s="17"/>
      <c r="G34" s="17"/>
      <c r="H34" s="17"/>
      <c r="I34" s="49" t="str">
        <f aca="false">IF(H34="","",IFERROR(INDEX(Settings!$G$2:$G$4,MATCH(H34,Settings!$F$2:$F$4,0)),""))</f>
        <v/>
      </c>
      <c r="J34" s="40"/>
      <c r="K34" s="50"/>
      <c r="L34" s="17"/>
      <c r="M34" s="40"/>
      <c r="N34" s="40"/>
      <c r="O34" s="45" t="str">
        <f aca="false">IF(N34="","",WORKDAY(N34,Settings!$S$4))</f>
        <v/>
      </c>
      <c r="P34" s="17"/>
      <c r="Q34" s="44" t="str">
        <f aca="true">IF(C34="","",IF(P34="Backed out",IF(S34="Paid","Refunded – closed",IF(R34="","Refund – log reason first","Refund in progress")),IF(K34="","Awaiting payment",IF(N34="",IF(M34="","Schedule free video","Free video in production"),IF(P34="Approved","Active",IF(TODAY()&gt;O34,"Active – plan went ahead","Decision pending – "&amp;NETWORKDAYS(TODAY(),O34)&amp;" working day(s) left"))))))</f>
        <v/>
      </c>
      <c r="R34" s="17"/>
      <c r="S34" s="17"/>
      <c r="T34" s="50"/>
      <c r="U34" s="40"/>
      <c r="V34" s="40"/>
      <c r="W34" s="45" t="str">
        <f aca="false">IF(V34="","",EDATE(V34,Settings!$S$6))</f>
        <v/>
      </c>
      <c r="X34" s="17"/>
      <c r="Y34" s="17"/>
      <c r="Z34" s="17"/>
    </row>
    <row r="35" customFormat="false" ht="15" hidden="false" customHeight="false" outlineLevel="0" collapsed="false">
      <c r="A35" s="17"/>
      <c r="B35" s="17"/>
      <c r="C35" s="17"/>
      <c r="D35" s="17"/>
      <c r="E35" s="42"/>
      <c r="F35" s="17"/>
      <c r="G35" s="17"/>
      <c r="H35" s="17"/>
      <c r="I35" s="49" t="str">
        <f aca="false">IF(H35="","",IFERROR(INDEX(Settings!$G$2:$G$4,MATCH(H35,Settings!$F$2:$F$4,0)),""))</f>
        <v/>
      </c>
      <c r="J35" s="40"/>
      <c r="K35" s="50"/>
      <c r="L35" s="17"/>
      <c r="M35" s="40"/>
      <c r="N35" s="40"/>
      <c r="O35" s="45" t="str">
        <f aca="false">IF(N35="","",WORKDAY(N35,Settings!$S$4))</f>
        <v/>
      </c>
      <c r="P35" s="17"/>
      <c r="Q35" s="44" t="str">
        <f aca="true">IF(C35="","",IF(P35="Backed out",IF(S35="Paid","Refunded – closed",IF(R35="","Refund – log reason first","Refund in progress")),IF(K35="","Awaiting payment",IF(N35="",IF(M35="","Schedule free video","Free video in production"),IF(P35="Approved","Active",IF(TODAY()&gt;O35,"Active – plan went ahead","Decision pending – "&amp;NETWORKDAYS(TODAY(),O35)&amp;" working day(s) left"))))))</f>
        <v/>
      </c>
      <c r="R35" s="17"/>
      <c r="S35" s="17"/>
      <c r="T35" s="50"/>
      <c r="U35" s="40"/>
      <c r="V35" s="40"/>
      <c r="W35" s="45" t="str">
        <f aca="false">IF(V35="","",EDATE(V35,Settings!$S$6))</f>
        <v/>
      </c>
      <c r="X35" s="17"/>
      <c r="Y35" s="17"/>
      <c r="Z35" s="17"/>
    </row>
    <row r="36" customFormat="false" ht="15" hidden="false" customHeight="false" outlineLevel="0" collapsed="false">
      <c r="A36" s="17"/>
      <c r="B36" s="17"/>
      <c r="C36" s="17"/>
      <c r="D36" s="17"/>
      <c r="E36" s="42"/>
      <c r="F36" s="17"/>
      <c r="G36" s="17"/>
      <c r="H36" s="17"/>
      <c r="I36" s="49" t="str">
        <f aca="false">IF(H36="","",IFERROR(INDEX(Settings!$G$2:$G$4,MATCH(H36,Settings!$F$2:$F$4,0)),""))</f>
        <v/>
      </c>
      <c r="J36" s="40"/>
      <c r="K36" s="50"/>
      <c r="L36" s="17"/>
      <c r="M36" s="40"/>
      <c r="N36" s="40"/>
      <c r="O36" s="45" t="str">
        <f aca="false">IF(N36="","",WORKDAY(N36,Settings!$S$4))</f>
        <v/>
      </c>
      <c r="P36" s="17"/>
      <c r="Q36" s="44" t="str">
        <f aca="true">IF(C36="","",IF(P36="Backed out",IF(S36="Paid","Refunded – closed",IF(R36="","Refund – log reason first","Refund in progress")),IF(K36="","Awaiting payment",IF(N36="",IF(M36="","Schedule free video","Free video in production"),IF(P36="Approved","Active",IF(TODAY()&gt;O36,"Active – plan went ahead","Decision pending – "&amp;NETWORKDAYS(TODAY(),O36)&amp;" working day(s) left"))))))</f>
        <v/>
      </c>
      <c r="R36" s="17"/>
      <c r="S36" s="17"/>
      <c r="T36" s="50"/>
      <c r="U36" s="40"/>
      <c r="V36" s="40"/>
      <c r="W36" s="45" t="str">
        <f aca="false">IF(V36="","",EDATE(V36,Settings!$S$6))</f>
        <v/>
      </c>
      <c r="X36" s="17"/>
      <c r="Y36" s="17"/>
      <c r="Z36" s="17"/>
    </row>
    <row r="37" customFormat="false" ht="15" hidden="false" customHeight="false" outlineLevel="0" collapsed="false">
      <c r="A37" s="17"/>
      <c r="B37" s="17"/>
      <c r="C37" s="17"/>
      <c r="D37" s="17"/>
      <c r="E37" s="42"/>
      <c r="F37" s="17"/>
      <c r="G37" s="17"/>
      <c r="H37" s="17"/>
      <c r="I37" s="49" t="str">
        <f aca="false">IF(H37="","",IFERROR(INDEX(Settings!$G$2:$G$4,MATCH(H37,Settings!$F$2:$F$4,0)),""))</f>
        <v/>
      </c>
      <c r="J37" s="40"/>
      <c r="K37" s="50"/>
      <c r="L37" s="17"/>
      <c r="M37" s="40"/>
      <c r="N37" s="40"/>
      <c r="O37" s="45" t="str">
        <f aca="false">IF(N37="","",WORKDAY(N37,Settings!$S$4))</f>
        <v/>
      </c>
      <c r="P37" s="17"/>
      <c r="Q37" s="44" t="str">
        <f aca="true">IF(C37="","",IF(P37="Backed out",IF(S37="Paid","Refunded – closed",IF(R37="","Refund – log reason first","Refund in progress")),IF(K37="","Awaiting payment",IF(N37="",IF(M37="","Schedule free video","Free video in production"),IF(P37="Approved","Active",IF(TODAY()&gt;O37,"Active – plan went ahead","Decision pending – "&amp;NETWORKDAYS(TODAY(),O37)&amp;" working day(s) left"))))))</f>
        <v/>
      </c>
      <c r="R37" s="17"/>
      <c r="S37" s="17"/>
      <c r="T37" s="50"/>
      <c r="U37" s="40"/>
      <c r="V37" s="40"/>
      <c r="W37" s="45" t="str">
        <f aca="false">IF(V37="","",EDATE(V37,Settings!$S$6))</f>
        <v/>
      </c>
      <c r="X37" s="17"/>
      <c r="Y37" s="17"/>
      <c r="Z37" s="17"/>
    </row>
    <row r="38" customFormat="false" ht="15" hidden="false" customHeight="false" outlineLevel="0" collapsed="false">
      <c r="A38" s="17"/>
      <c r="B38" s="17"/>
      <c r="C38" s="17"/>
      <c r="D38" s="17"/>
      <c r="E38" s="42"/>
      <c r="F38" s="17"/>
      <c r="G38" s="17"/>
      <c r="H38" s="17"/>
      <c r="I38" s="49" t="str">
        <f aca="false">IF(H38="","",IFERROR(INDEX(Settings!$G$2:$G$4,MATCH(H38,Settings!$F$2:$F$4,0)),""))</f>
        <v/>
      </c>
      <c r="J38" s="40"/>
      <c r="K38" s="50"/>
      <c r="L38" s="17"/>
      <c r="M38" s="40"/>
      <c r="N38" s="40"/>
      <c r="O38" s="45" t="str">
        <f aca="false">IF(N38="","",WORKDAY(N38,Settings!$S$4))</f>
        <v/>
      </c>
      <c r="P38" s="17"/>
      <c r="Q38" s="44" t="str">
        <f aca="true">IF(C38="","",IF(P38="Backed out",IF(S38="Paid","Refunded – closed",IF(R38="","Refund – log reason first","Refund in progress")),IF(K38="","Awaiting payment",IF(N38="",IF(M38="","Schedule free video","Free video in production"),IF(P38="Approved","Active",IF(TODAY()&gt;O38,"Active – plan went ahead","Decision pending – "&amp;NETWORKDAYS(TODAY(),O38)&amp;" working day(s) left"))))))</f>
        <v/>
      </c>
      <c r="R38" s="17"/>
      <c r="S38" s="17"/>
      <c r="T38" s="50"/>
      <c r="U38" s="40"/>
      <c r="V38" s="40"/>
      <c r="W38" s="45" t="str">
        <f aca="false">IF(V38="","",EDATE(V38,Settings!$S$6))</f>
        <v/>
      </c>
      <c r="X38" s="17"/>
      <c r="Y38" s="17"/>
      <c r="Z38" s="17"/>
    </row>
    <row r="39" customFormat="false" ht="15" hidden="false" customHeight="false" outlineLevel="0" collapsed="false">
      <c r="A39" s="17"/>
      <c r="B39" s="17"/>
      <c r="C39" s="17"/>
      <c r="D39" s="17"/>
      <c r="E39" s="42"/>
      <c r="F39" s="17"/>
      <c r="G39" s="17"/>
      <c r="H39" s="17"/>
      <c r="I39" s="49" t="str">
        <f aca="false">IF(H39="","",IFERROR(INDEX(Settings!$G$2:$G$4,MATCH(H39,Settings!$F$2:$F$4,0)),""))</f>
        <v/>
      </c>
      <c r="J39" s="40"/>
      <c r="K39" s="50"/>
      <c r="L39" s="17"/>
      <c r="M39" s="40"/>
      <c r="N39" s="40"/>
      <c r="O39" s="45" t="str">
        <f aca="false">IF(N39="","",WORKDAY(N39,Settings!$S$4))</f>
        <v/>
      </c>
      <c r="P39" s="17"/>
      <c r="Q39" s="44" t="str">
        <f aca="true">IF(C39="","",IF(P39="Backed out",IF(S39="Paid","Refunded – closed",IF(R39="","Refund – log reason first","Refund in progress")),IF(K39="","Awaiting payment",IF(N39="",IF(M39="","Schedule free video","Free video in production"),IF(P39="Approved","Active",IF(TODAY()&gt;O39,"Active – plan went ahead","Decision pending – "&amp;NETWORKDAYS(TODAY(),O39)&amp;" working day(s) left"))))))</f>
        <v/>
      </c>
      <c r="R39" s="17"/>
      <c r="S39" s="17"/>
      <c r="T39" s="50"/>
      <c r="U39" s="40"/>
      <c r="V39" s="40"/>
      <c r="W39" s="45" t="str">
        <f aca="false">IF(V39="","",EDATE(V39,Settings!$S$6))</f>
        <v/>
      </c>
      <c r="X39" s="17"/>
      <c r="Y39" s="17"/>
      <c r="Z39" s="17"/>
    </row>
    <row r="40" customFormat="false" ht="15" hidden="false" customHeight="false" outlineLevel="0" collapsed="false">
      <c r="A40" s="17"/>
      <c r="B40" s="17"/>
      <c r="C40" s="17"/>
      <c r="D40" s="17"/>
      <c r="E40" s="42"/>
      <c r="F40" s="17"/>
      <c r="G40" s="17"/>
      <c r="H40" s="17"/>
      <c r="I40" s="49" t="str">
        <f aca="false">IF(H40="","",IFERROR(INDEX(Settings!$G$2:$G$4,MATCH(H40,Settings!$F$2:$F$4,0)),""))</f>
        <v/>
      </c>
      <c r="J40" s="40"/>
      <c r="K40" s="50"/>
      <c r="L40" s="17"/>
      <c r="M40" s="40"/>
      <c r="N40" s="40"/>
      <c r="O40" s="45" t="str">
        <f aca="false">IF(N40="","",WORKDAY(N40,Settings!$S$4))</f>
        <v/>
      </c>
      <c r="P40" s="17"/>
      <c r="Q40" s="44" t="str">
        <f aca="true">IF(C40="","",IF(P40="Backed out",IF(S40="Paid","Refunded – closed",IF(R40="","Refund – log reason first","Refund in progress")),IF(K40="","Awaiting payment",IF(N40="",IF(M40="","Schedule free video","Free video in production"),IF(P40="Approved","Active",IF(TODAY()&gt;O40,"Active – plan went ahead","Decision pending – "&amp;NETWORKDAYS(TODAY(),O40)&amp;" working day(s) left"))))))</f>
        <v/>
      </c>
      <c r="R40" s="17"/>
      <c r="S40" s="17"/>
      <c r="T40" s="50"/>
      <c r="U40" s="40"/>
      <c r="V40" s="40"/>
      <c r="W40" s="45" t="str">
        <f aca="false">IF(V40="","",EDATE(V40,Settings!$S$6))</f>
        <v/>
      </c>
      <c r="X40" s="17"/>
      <c r="Y40" s="17"/>
      <c r="Z40" s="17"/>
    </row>
    <row r="41" customFormat="false" ht="15" hidden="false" customHeight="false" outlineLevel="0" collapsed="false">
      <c r="A41" s="17"/>
      <c r="B41" s="17"/>
      <c r="C41" s="17"/>
      <c r="D41" s="17"/>
      <c r="E41" s="42"/>
      <c r="F41" s="17"/>
      <c r="G41" s="17"/>
      <c r="H41" s="17"/>
      <c r="I41" s="49" t="str">
        <f aca="false">IF(H41="","",IFERROR(INDEX(Settings!$G$2:$G$4,MATCH(H41,Settings!$F$2:$F$4,0)),""))</f>
        <v/>
      </c>
      <c r="J41" s="40"/>
      <c r="K41" s="50"/>
      <c r="L41" s="17"/>
      <c r="M41" s="40"/>
      <c r="N41" s="40"/>
      <c r="O41" s="45" t="str">
        <f aca="false">IF(N41="","",WORKDAY(N41,Settings!$S$4))</f>
        <v/>
      </c>
      <c r="P41" s="17"/>
      <c r="Q41" s="44" t="str">
        <f aca="true">IF(C41="","",IF(P41="Backed out",IF(S41="Paid","Refunded – closed",IF(R41="","Refund – log reason first","Refund in progress")),IF(K41="","Awaiting payment",IF(N41="",IF(M41="","Schedule free video","Free video in production"),IF(P41="Approved","Active",IF(TODAY()&gt;O41,"Active – plan went ahead","Decision pending – "&amp;NETWORKDAYS(TODAY(),O41)&amp;" working day(s) left"))))))</f>
        <v/>
      </c>
      <c r="R41" s="17"/>
      <c r="S41" s="17"/>
      <c r="T41" s="50"/>
      <c r="U41" s="40"/>
      <c r="V41" s="40"/>
      <c r="W41" s="45" t="str">
        <f aca="false">IF(V41="","",EDATE(V41,Settings!$S$6))</f>
        <v/>
      </c>
      <c r="X41" s="17"/>
      <c r="Y41" s="17"/>
      <c r="Z41" s="17"/>
    </row>
    <row r="42" customFormat="false" ht="15" hidden="false" customHeight="false" outlineLevel="0" collapsed="false">
      <c r="A42" s="17"/>
      <c r="B42" s="17"/>
      <c r="C42" s="17"/>
      <c r="D42" s="17"/>
      <c r="E42" s="42"/>
      <c r="F42" s="17"/>
      <c r="G42" s="17"/>
      <c r="H42" s="17"/>
      <c r="I42" s="49" t="str">
        <f aca="false">IF(H42="","",IFERROR(INDEX(Settings!$G$2:$G$4,MATCH(H42,Settings!$F$2:$F$4,0)),""))</f>
        <v/>
      </c>
      <c r="J42" s="40"/>
      <c r="K42" s="50"/>
      <c r="L42" s="17"/>
      <c r="M42" s="40"/>
      <c r="N42" s="40"/>
      <c r="O42" s="45" t="str">
        <f aca="false">IF(N42="","",WORKDAY(N42,Settings!$S$4))</f>
        <v/>
      </c>
      <c r="P42" s="17"/>
      <c r="Q42" s="44" t="str">
        <f aca="true">IF(C42="","",IF(P42="Backed out",IF(S42="Paid","Refunded – closed",IF(R42="","Refund – log reason first","Refund in progress")),IF(K42="","Awaiting payment",IF(N42="",IF(M42="","Schedule free video","Free video in production"),IF(P42="Approved","Active",IF(TODAY()&gt;O42,"Active – plan went ahead","Decision pending – "&amp;NETWORKDAYS(TODAY(),O42)&amp;" working day(s) left"))))))</f>
        <v/>
      </c>
      <c r="R42" s="17"/>
      <c r="S42" s="17"/>
      <c r="T42" s="50"/>
      <c r="U42" s="40"/>
      <c r="V42" s="40"/>
      <c r="W42" s="45" t="str">
        <f aca="false">IF(V42="","",EDATE(V42,Settings!$S$6))</f>
        <v/>
      </c>
      <c r="X42" s="17"/>
      <c r="Y42" s="17"/>
      <c r="Z42" s="17"/>
    </row>
    <row r="43" customFormat="false" ht="15" hidden="false" customHeight="false" outlineLevel="0" collapsed="false">
      <c r="A43" s="17"/>
      <c r="B43" s="17"/>
      <c r="C43" s="17"/>
      <c r="D43" s="17"/>
      <c r="E43" s="42"/>
      <c r="F43" s="17"/>
      <c r="G43" s="17"/>
      <c r="H43" s="17"/>
      <c r="I43" s="49" t="str">
        <f aca="false">IF(H43="","",IFERROR(INDEX(Settings!$G$2:$G$4,MATCH(H43,Settings!$F$2:$F$4,0)),""))</f>
        <v/>
      </c>
      <c r="J43" s="40"/>
      <c r="K43" s="50"/>
      <c r="L43" s="17"/>
      <c r="M43" s="40"/>
      <c r="N43" s="40"/>
      <c r="O43" s="45" t="str">
        <f aca="false">IF(N43="","",WORKDAY(N43,Settings!$S$4))</f>
        <v/>
      </c>
      <c r="P43" s="17"/>
      <c r="Q43" s="44" t="str">
        <f aca="true">IF(C43="","",IF(P43="Backed out",IF(S43="Paid","Refunded – closed",IF(R43="","Refund – log reason first","Refund in progress")),IF(K43="","Awaiting payment",IF(N43="",IF(M43="","Schedule free video","Free video in production"),IF(P43="Approved","Active",IF(TODAY()&gt;O43,"Active – plan went ahead","Decision pending – "&amp;NETWORKDAYS(TODAY(),O43)&amp;" working day(s) left"))))))</f>
        <v/>
      </c>
      <c r="R43" s="17"/>
      <c r="S43" s="17"/>
      <c r="T43" s="50"/>
      <c r="U43" s="40"/>
      <c r="V43" s="40"/>
      <c r="W43" s="45" t="str">
        <f aca="false">IF(V43="","",EDATE(V43,Settings!$S$6))</f>
        <v/>
      </c>
      <c r="X43" s="17"/>
      <c r="Y43" s="17"/>
      <c r="Z43" s="17"/>
    </row>
    <row r="44" customFormat="false" ht="15" hidden="false" customHeight="false" outlineLevel="0" collapsed="false">
      <c r="A44" s="17"/>
      <c r="B44" s="17"/>
      <c r="C44" s="17"/>
      <c r="D44" s="17"/>
      <c r="E44" s="42"/>
      <c r="F44" s="17"/>
      <c r="G44" s="17"/>
      <c r="H44" s="17"/>
      <c r="I44" s="49" t="str">
        <f aca="false">IF(H44="","",IFERROR(INDEX(Settings!$G$2:$G$4,MATCH(H44,Settings!$F$2:$F$4,0)),""))</f>
        <v/>
      </c>
      <c r="J44" s="40"/>
      <c r="K44" s="50"/>
      <c r="L44" s="17"/>
      <c r="M44" s="40"/>
      <c r="N44" s="40"/>
      <c r="O44" s="45" t="str">
        <f aca="false">IF(N44="","",WORKDAY(N44,Settings!$S$4))</f>
        <v/>
      </c>
      <c r="P44" s="17"/>
      <c r="Q44" s="44" t="str">
        <f aca="true">IF(C44="","",IF(P44="Backed out",IF(S44="Paid","Refunded – closed",IF(R44="","Refund – log reason first","Refund in progress")),IF(K44="","Awaiting payment",IF(N44="",IF(M44="","Schedule free video","Free video in production"),IF(P44="Approved","Active",IF(TODAY()&gt;O44,"Active – plan went ahead","Decision pending – "&amp;NETWORKDAYS(TODAY(),O44)&amp;" working day(s) left"))))))</f>
        <v/>
      </c>
      <c r="R44" s="17"/>
      <c r="S44" s="17"/>
      <c r="T44" s="50"/>
      <c r="U44" s="40"/>
      <c r="V44" s="40"/>
      <c r="W44" s="45" t="str">
        <f aca="false">IF(V44="","",EDATE(V44,Settings!$S$6))</f>
        <v/>
      </c>
      <c r="X44" s="17"/>
      <c r="Y44" s="17"/>
      <c r="Z44" s="17"/>
    </row>
    <row r="45" customFormat="false" ht="15" hidden="false" customHeight="false" outlineLevel="0" collapsed="false">
      <c r="A45" s="17"/>
      <c r="B45" s="17"/>
      <c r="C45" s="17"/>
      <c r="D45" s="17"/>
      <c r="E45" s="42"/>
      <c r="F45" s="17"/>
      <c r="G45" s="17"/>
      <c r="H45" s="17"/>
      <c r="I45" s="49" t="str">
        <f aca="false">IF(H45="","",IFERROR(INDEX(Settings!$G$2:$G$4,MATCH(H45,Settings!$F$2:$F$4,0)),""))</f>
        <v/>
      </c>
      <c r="J45" s="40"/>
      <c r="K45" s="50"/>
      <c r="L45" s="17"/>
      <c r="M45" s="40"/>
      <c r="N45" s="40"/>
      <c r="O45" s="45" t="str">
        <f aca="false">IF(N45="","",WORKDAY(N45,Settings!$S$4))</f>
        <v/>
      </c>
      <c r="P45" s="17"/>
      <c r="Q45" s="44" t="str">
        <f aca="true">IF(C45="","",IF(P45="Backed out",IF(S45="Paid","Refunded – closed",IF(R45="","Refund – log reason first","Refund in progress")),IF(K45="","Awaiting payment",IF(N45="",IF(M45="","Schedule free video","Free video in production"),IF(P45="Approved","Active",IF(TODAY()&gt;O45,"Active – plan went ahead","Decision pending – "&amp;NETWORKDAYS(TODAY(),O45)&amp;" working day(s) left"))))))</f>
        <v/>
      </c>
      <c r="R45" s="17"/>
      <c r="S45" s="17"/>
      <c r="T45" s="50"/>
      <c r="U45" s="40"/>
      <c r="V45" s="40"/>
      <c r="W45" s="45" t="str">
        <f aca="false">IF(V45="","",EDATE(V45,Settings!$S$6))</f>
        <v/>
      </c>
      <c r="X45" s="17"/>
      <c r="Y45" s="17"/>
      <c r="Z45" s="17"/>
    </row>
    <row r="46" customFormat="false" ht="15" hidden="false" customHeight="false" outlineLevel="0" collapsed="false">
      <c r="A46" s="17"/>
      <c r="B46" s="17"/>
      <c r="C46" s="17"/>
      <c r="D46" s="17"/>
      <c r="E46" s="42"/>
      <c r="F46" s="17"/>
      <c r="G46" s="17"/>
      <c r="H46" s="17"/>
      <c r="I46" s="49" t="str">
        <f aca="false">IF(H46="","",IFERROR(INDEX(Settings!$G$2:$G$4,MATCH(H46,Settings!$F$2:$F$4,0)),""))</f>
        <v/>
      </c>
      <c r="J46" s="40"/>
      <c r="K46" s="50"/>
      <c r="L46" s="17"/>
      <c r="M46" s="40"/>
      <c r="N46" s="40"/>
      <c r="O46" s="45" t="str">
        <f aca="false">IF(N46="","",WORKDAY(N46,Settings!$S$4))</f>
        <v/>
      </c>
      <c r="P46" s="17"/>
      <c r="Q46" s="44" t="str">
        <f aca="true">IF(C46="","",IF(P46="Backed out",IF(S46="Paid","Refunded – closed",IF(R46="","Refund – log reason first","Refund in progress")),IF(K46="","Awaiting payment",IF(N46="",IF(M46="","Schedule free video","Free video in production"),IF(P46="Approved","Active",IF(TODAY()&gt;O46,"Active – plan went ahead","Decision pending – "&amp;NETWORKDAYS(TODAY(),O46)&amp;" working day(s) left"))))))</f>
        <v/>
      </c>
      <c r="R46" s="17"/>
      <c r="S46" s="17"/>
      <c r="T46" s="50"/>
      <c r="U46" s="40"/>
      <c r="V46" s="40"/>
      <c r="W46" s="45" t="str">
        <f aca="false">IF(V46="","",EDATE(V46,Settings!$S$6))</f>
        <v/>
      </c>
      <c r="X46" s="17"/>
      <c r="Y46" s="17"/>
      <c r="Z46" s="17"/>
    </row>
    <row r="47" customFormat="false" ht="15" hidden="false" customHeight="false" outlineLevel="0" collapsed="false">
      <c r="A47" s="17"/>
      <c r="B47" s="17"/>
      <c r="C47" s="17"/>
      <c r="D47" s="17"/>
      <c r="E47" s="42"/>
      <c r="F47" s="17"/>
      <c r="G47" s="17"/>
      <c r="H47" s="17"/>
      <c r="I47" s="49" t="str">
        <f aca="false">IF(H47="","",IFERROR(INDEX(Settings!$G$2:$G$4,MATCH(H47,Settings!$F$2:$F$4,0)),""))</f>
        <v/>
      </c>
      <c r="J47" s="40"/>
      <c r="K47" s="50"/>
      <c r="L47" s="17"/>
      <c r="M47" s="40"/>
      <c r="N47" s="40"/>
      <c r="O47" s="45" t="str">
        <f aca="false">IF(N47="","",WORKDAY(N47,Settings!$S$4))</f>
        <v/>
      </c>
      <c r="P47" s="17"/>
      <c r="Q47" s="44" t="str">
        <f aca="true">IF(C47="","",IF(P47="Backed out",IF(S47="Paid","Refunded – closed",IF(R47="","Refund – log reason first","Refund in progress")),IF(K47="","Awaiting payment",IF(N47="",IF(M47="","Schedule free video","Free video in production"),IF(P47="Approved","Active",IF(TODAY()&gt;O47,"Active – plan went ahead","Decision pending – "&amp;NETWORKDAYS(TODAY(),O47)&amp;" working day(s) left"))))))</f>
        <v/>
      </c>
      <c r="R47" s="17"/>
      <c r="S47" s="17"/>
      <c r="T47" s="50"/>
      <c r="U47" s="40"/>
      <c r="V47" s="40"/>
      <c r="W47" s="45" t="str">
        <f aca="false">IF(V47="","",EDATE(V47,Settings!$S$6))</f>
        <v/>
      </c>
      <c r="X47" s="17"/>
      <c r="Y47" s="17"/>
      <c r="Z47" s="17"/>
    </row>
    <row r="48" customFormat="false" ht="15" hidden="false" customHeight="false" outlineLevel="0" collapsed="false">
      <c r="A48" s="17"/>
      <c r="B48" s="17"/>
      <c r="C48" s="17"/>
      <c r="D48" s="17"/>
      <c r="E48" s="42"/>
      <c r="F48" s="17"/>
      <c r="G48" s="17"/>
      <c r="H48" s="17"/>
      <c r="I48" s="49" t="str">
        <f aca="false">IF(H48="","",IFERROR(INDEX(Settings!$G$2:$G$4,MATCH(H48,Settings!$F$2:$F$4,0)),""))</f>
        <v/>
      </c>
      <c r="J48" s="40"/>
      <c r="K48" s="50"/>
      <c r="L48" s="17"/>
      <c r="M48" s="40"/>
      <c r="N48" s="40"/>
      <c r="O48" s="45" t="str">
        <f aca="false">IF(N48="","",WORKDAY(N48,Settings!$S$4))</f>
        <v/>
      </c>
      <c r="P48" s="17"/>
      <c r="Q48" s="44" t="str">
        <f aca="true">IF(C48="","",IF(P48="Backed out",IF(S48="Paid","Refunded – closed",IF(R48="","Refund – log reason first","Refund in progress")),IF(K48="","Awaiting payment",IF(N48="",IF(M48="","Schedule free video","Free video in production"),IF(P48="Approved","Active",IF(TODAY()&gt;O48,"Active – plan went ahead","Decision pending – "&amp;NETWORKDAYS(TODAY(),O48)&amp;" working day(s) left"))))))</f>
        <v/>
      </c>
      <c r="R48" s="17"/>
      <c r="S48" s="17"/>
      <c r="T48" s="50"/>
      <c r="U48" s="40"/>
      <c r="V48" s="40"/>
      <c r="W48" s="45" t="str">
        <f aca="false">IF(V48="","",EDATE(V48,Settings!$S$6))</f>
        <v/>
      </c>
      <c r="X48" s="17"/>
      <c r="Y48" s="17"/>
      <c r="Z48" s="17"/>
    </row>
    <row r="49" customFormat="false" ht="15" hidden="false" customHeight="false" outlineLevel="0" collapsed="false">
      <c r="A49" s="17"/>
      <c r="B49" s="17"/>
      <c r="C49" s="17"/>
      <c r="D49" s="17"/>
      <c r="E49" s="42"/>
      <c r="F49" s="17"/>
      <c r="G49" s="17"/>
      <c r="H49" s="17"/>
      <c r="I49" s="49" t="str">
        <f aca="false">IF(H49="","",IFERROR(INDEX(Settings!$G$2:$G$4,MATCH(H49,Settings!$F$2:$F$4,0)),""))</f>
        <v/>
      </c>
      <c r="J49" s="40"/>
      <c r="K49" s="50"/>
      <c r="L49" s="17"/>
      <c r="M49" s="40"/>
      <c r="N49" s="40"/>
      <c r="O49" s="45" t="str">
        <f aca="false">IF(N49="","",WORKDAY(N49,Settings!$S$4))</f>
        <v/>
      </c>
      <c r="P49" s="17"/>
      <c r="Q49" s="44" t="str">
        <f aca="true">IF(C49="","",IF(P49="Backed out",IF(S49="Paid","Refunded – closed",IF(R49="","Refund – log reason first","Refund in progress")),IF(K49="","Awaiting payment",IF(N49="",IF(M49="","Schedule free video","Free video in production"),IF(P49="Approved","Active",IF(TODAY()&gt;O49,"Active – plan went ahead","Decision pending – "&amp;NETWORKDAYS(TODAY(),O49)&amp;" working day(s) left"))))))</f>
        <v/>
      </c>
      <c r="R49" s="17"/>
      <c r="S49" s="17"/>
      <c r="T49" s="50"/>
      <c r="U49" s="40"/>
      <c r="V49" s="40"/>
      <c r="W49" s="45" t="str">
        <f aca="false">IF(V49="","",EDATE(V49,Settings!$S$6))</f>
        <v/>
      </c>
      <c r="X49" s="17"/>
      <c r="Y49" s="17"/>
      <c r="Z49" s="17"/>
    </row>
    <row r="50" customFormat="false" ht="15" hidden="false" customHeight="false" outlineLevel="0" collapsed="false">
      <c r="A50" s="17"/>
      <c r="B50" s="17"/>
      <c r="C50" s="17"/>
      <c r="D50" s="17"/>
      <c r="E50" s="42"/>
      <c r="F50" s="17"/>
      <c r="G50" s="17"/>
      <c r="H50" s="17"/>
      <c r="I50" s="49" t="str">
        <f aca="false">IF(H50="","",IFERROR(INDEX(Settings!$G$2:$G$4,MATCH(H50,Settings!$F$2:$F$4,0)),""))</f>
        <v/>
      </c>
      <c r="J50" s="40"/>
      <c r="K50" s="50"/>
      <c r="L50" s="17"/>
      <c r="M50" s="40"/>
      <c r="N50" s="40"/>
      <c r="O50" s="45" t="str">
        <f aca="false">IF(N50="","",WORKDAY(N50,Settings!$S$4))</f>
        <v/>
      </c>
      <c r="P50" s="17"/>
      <c r="Q50" s="44" t="str">
        <f aca="true">IF(C50="","",IF(P50="Backed out",IF(S50="Paid","Refunded – closed",IF(R50="","Refund – log reason first","Refund in progress")),IF(K50="","Awaiting payment",IF(N50="",IF(M50="","Schedule free video","Free video in production"),IF(P50="Approved","Active",IF(TODAY()&gt;O50,"Active – plan went ahead","Decision pending – "&amp;NETWORKDAYS(TODAY(),O50)&amp;" working day(s) left"))))))</f>
        <v/>
      </c>
      <c r="R50" s="17"/>
      <c r="S50" s="17"/>
      <c r="T50" s="50"/>
      <c r="U50" s="40"/>
      <c r="V50" s="40"/>
      <c r="W50" s="45" t="str">
        <f aca="false">IF(V50="","",EDATE(V50,Settings!$S$6))</f>
        <v/>
      </c>
      <c r="X50" s="17"/>
      <c r="Y50" s="17"/>
      <c r="Z50" s="17"/>
    </row>
    <row r="51" customFormat="false" ht="15" hidden="false" customHeight="false" outlineLevel="0" collapsed="false">
      <c r="A51" s="17"/>
      <c r="B51" s="17"/>
      <c r="C51" s="17"/>
      <c r="D51" s="17"/>
      <c r="E51" s="42"/>
      <c r="F51" s="17"/>
      <c r="G51" s="17"/>
      <c r="H51" s="17"/>
      <c r="I51" s="49" t="str">
        <f aca="false">IF(H51="","",IFERROR(INDEX(Settings!$G$2:$G$4,MATCH(H51,Settings!$F$2:$F$4,0)),""))</f>
        <v/>
      </c>
      <c r="J51" s="40"/>
      <c r="K51" s="50"/>
      <c r="L51" s="17"/>
      <c r="M51" s="40"/>
      <c r="N51" s="40"/>
      <c r="O51" s="45" t="str">
        <f aca="false">IF(N51="","",WORKDAY(N51,Settings!$S$4))</f>
        <v/>
      </c>
      <c r="P51" s="17"/>
      <c r="Q51" s="44" t="str">
        <f aca="true">IF(C51="","",IF(P51="Backed out",IF(S51="Paid","Refunded – closed",IF(R51="","Refund – log reason first","Refund in progress")),IF(K51="","Awaiting payment",IF(N51="",IF(M51="","Schedule free video","Free video in production"),IF(P51="Approved","Active",IF(TODAY()&gt;O51,"Active – plan went ahead","Decision pending – "&amp;NETWORKDAYS(TODAY(),O51)&amp;" working day(s) left"))))))</f>
        <v/>
      </c>
      <c r="R51" s="17"/>
      <c r="S51" s="17"/>
      <c r="T51" s="50"/>
      <c r="U51" s="40"/>
      <c r="V51" s="40"/>
      <c r="W51" s="45" t="str">
        <f aca="false">IF(V51="","",EDATE(V51,Settings!$S$6))</f>
        <v/>
      </c>
      <c r="X51" s="17"/>
      <c r="Y51" s="17"/>
      <c r="Z51" s="17"/>
    </row>
    <row r="52" customFormat="false" ht="15" hidden="false" customHeight="false" outlineLevel="0" collapsed="false">
      <c r="A52" s="17"/>
      <c r="B52" s="17"/>
      <c r="C52" s="17"/>
      <c r="D52" s="17"/>
      <c r="E52" s="42"/>
      <c r="F52" s="17"/>
      <c r="G52" s="17"/>
      <c r="H52" s="17"/>
      <c r="I52" s="49" t="str">
        <f aca="false">IF(H52="","",IFERROR(INDEX(Settings!$G$2:$G$4,MATCH(H52,Settings!$F$2:$F$4,0)),""))</f>
        <v/>
      </c>
      <c r="J52" s="40"/>
      <c r="K52" s="50"/>
      <c r="L52" s="17"/>
      <c r="M52" s="40"/>
      <c r="N52" s="40"/>
      <c r="O52" s="45" t="str">
        <f aca="false">IF(N52="","",WORKDAY(N52,Settings!$S$4))</f>
        <v/>
      </c>
      <c r="P52" s="17"/>
      <c r="Q52" s="44" t="str">
        <f aca="true">IF(C52="","",IF(P52="Backed out",IF(S52="Paid","Refunded – closed",IF(R52="","Refund – log reason first","Refund in progress")),IF(K52="","Awaiting payment",IF(N52="",IF(M52="","Schedule free video","Free video in production"),IF(P52="Approved","Active",IF(TODAY()&gt;O52,"Active – plan went ahead","Decision pending – "&amp;NETWORKDAYS(TODAY(),O52)&amp;" working day(s) left"))))))</f>
        <v/>
      </c>
      <c r="R52" s="17"/>
      <c r="S52" s="17"/>
      <c r="T52" s="50"/>
      <c r="U52" s="40"/>
      <c r="V52" s="40"/>
      <c r="W52" s="45" t="str">
        <f aca="false">IF(V52="","",EDATE(V52,Settings!$S$6))</f>
        <v/>
      </c>
      <c r="X52" s="17"/>
      <c r="Y52" s="17"/>
      <c r="Z52" s="17"/>
    </row>
    <row r="53" customFormat="false" ht="15" hidden="false" customHeight="false" outlineLevel="0" collapsed="false">
      <c r="A53" s="17"/>
      <c r="B53" s="17"/>
      <c r="C53" s="17"/>
      <c r="D53" s="17"/>
      <c r="E53" s="42"/>
      <c r="F53" s="17"/>
      <c r="G53" s="17"/>
      <c r="H53" s="17"/>
      <c r="I53" s="49" t="str">
        <f aca="false">IF(H53="","",IFERROR(INDEX(Settings!$G$2:$G$4,MATCH(H53,Settings!$F$2:$F$4,0)),""))</f>
        <v/>
      </c>
      <c r="J53" s="40"/>
      <c r="K53" s="50"/>
      <c r="L53" s="17"/>
      <c r="M53" s="40"/>
      <c r="N53" s="40"/>
      <c r="O53" s="45" t="str">
        <f aca="false">IF(N53="","",WORKDAY(N53,Settings!$S$4))</f>
        <v/>
      </c>
      <c r="P53" s="17"/>
      <c r="Q53" s="44" t="str">
        <f aca="true">IF(C53="","",IF(P53="Backed out",IF(S53="Paid","Refunded – closed",IF(R53="","Refund – log reason first","Refund in progress")),IF(K53="","Awaiting payment",IF(N53="",IF(M53="","Schedule free video","Free video in production"),IF(P53="Approved","Active",IF(TODAY()&gt;O53,"Active – plan went ahead","Decision pending – "&amp;NETWORKDAYS(TODAY(),O53)&amp;" working day(s) left"))))))</f>
        <v/>
      </c>
      <c r="R53" s="17"/>
      <c r="S53" s="17"/>
      <c r="T53" s="50"/>
      <c r="U53" s="40"/>
      <c r="V53" s="40"/>
      <c r="W53" s="45" t="str">
        <f aca="false">IF(V53="","",EDATE(V53,Settings!$S$6))</f>
        <v/>
      </c>
      <c r="X53" s="17"/>
      <c r="Y53" s="17"/>
      <c r="Z53" s="17"/>
    </row>
    <row r="54" customFormat="false" ht="15" hidden="false" customHeight="false" outlineLevel="0" collapsed="false">
      <c r="A54" s="17"/>
      <c r="B54" s="17"/>
      <c r="C54" s="17"/>
      <c r="D54" s="17"/>
      <c r="E54" s="42"/>
      <c r="F54" s="17"/>
      <c r="G54" s="17"/>
      <c r="H54" s="17"/>
      <c r="I54" s="49" t="str">
        <f aca="false">IF(H54="","",IFERROR(INDEX(Settings!$G$2:$G$4,MATCH(H54,Settings!$F$2:$F$4,0)),""))</f>
        <v/>
      </c>
      <c r="J54" s="40"/>
      <c r="K54" s="50"/>
      <c r="L54" s="17"/>
      <c r="M54" s="40"/>
      <c r="N54" s="40"/>
      <c r="O54" s="45" t="str">
        <f aca="false">IF(N54="","",WORKDAY(N54,Settings!$S$4))</f>
        <v/>
      </c>
      <c r="P54" s="17"/>
      <c r="Q54" s="44" t="str">
        <f aca="true">IF(C54="","",IF(P54="Backed out",IF(S54="Paid","Refunded – closed",IF(R54="","Refund – log reason first","Refund in progress")),IF(K54="","Awaiting payment",IF(N54="",IF(M54="","Schedule free video","Free video in production"),IF(P54="Approved","Active",IF(TODAY()&gt;O54,"Active – plan went ahead","Decision pending – "&amp;NETWORKDAYS(TODAY(),O54)&amp;" working day(s) left"))))))</f>
        <v/>
      </c>
      <c r="R54" s="17"/>
      <c r="S54" s="17"/>
      <c r="T54" s="50"/>
      <c r="U54" s="40"/>
      <c r="V54" s="40"/>
      <c r="W54" s="45" t="str">
        <f aca="false">IF(V54="","",EDATE(V54,Settings!$S$6))</f>
        <v/>
      </c>
      <c r="X54" s="17"/>
      <c r="Y54" s="17"/>
      <c r="Z54" s="17"/>
    </row>
    <row r="55" customFormat="false" ht="15" hidden="false" customHeight="false" outlineLevel="0" collapsed="false">
      <c r="A55" s="17"/>
      <c r="B55" s="17"/>
      <c r="C55" s="17"/>
      <c r="D55" s="17"/>
      <c r="E55" s="42"/>
      <c r="F55" s="17"/>
      <c r="G55" s="17"/>
      <c r="H55" s="17"/>
      <c r="I55" s="49" t="str">
        <f aca="false">IF(H55="","",IFERROR(INDEX(Settings!$G$2:$G$4,MATCH(H55,Settings!$F$2:$F$4,0)),""))</f>
        <v/>
      </c>
      <c r="J55" s="40"/>
      <c r="K55" s="50"/>
      <c r="L55" s="17"/>
      <c r="M55" s="40"/>
      <c r="N55" s="40"/>
      <c r="O55" s="45" t="str">
        <f aca="false">IF(N55="","",WORKDAY(N55,Settings!$S$4))</f>
        <v/>
      </c>
      <c r="P55" s="17"/>
      <c r="Q55" s="44" t="str">
        <f aca="true">IF(C55="","",IF(P55="Backed out",IF(S55="Paid","Refunded – closed",IF(R55="","Refund – log reason first","Refund in progress")),IF(K55="","Awaiting payment",IF(N55="",IF(M55="","Schedule free video","Free video in production"),IF(P55="Approved","Active",IF(TODAY()&gt;O55,"Active – plan went ahead","Decision pending – "&amp;NETWORKDAYS(TODAY(),O55)&amp;" working day(s) left"))))))</f>
        <v/>
      </c>
      <c r="R55" s="17"/>
      <c r="S55" s="17"/>
      <c r="T55" s="50"/>
      <c r="U55" s="40"/>
      <c r="V55" s="40"/>
      <c r="W55" s="45" t="str">
        <f aca="false">IF(V55="","",EDATE(V55,Settings!$S$6))</f>
        <v/>
      </c>
      <c r="X55" s="17"/>
      <c r="Y55" s="17"/>
      <c r="Z55" s="17"/>
    </row>
    <row r="56" customFormat="false" ht="15" hidden="false" customHeight="false" outlineLevel="0" collapsed="false">
      <c r="A56" s="17"/>
      <c r="B56" s="17"/>
      <c r="C56" s="17"/>
      <c r="D56" s="17"/>
      <c r="E56" s="42"/>
      <c r="F56" s="17"/>
      <c r="G56" s="17"/>
      <c r="H56" s="17"/>
      <c r="I56" s="49" t="str">
        <f aca="false">IF(H56="","",IFERROR(INDEX(Settings!$G$2:$G$4,MATCH(H56,Settings!$F$2:$F$4,0)),""))</f>
        <v/>
      </c>
      <c r="J56" s="40"/>
      <c r="K56" s="50"/>
      <c r="L56" s="17"/>
      <c r="M56" s="40"/>
      <c r="N56" s="40"/>
      <c r="O56" s="45" t="str">
        <f aca="false">IF(N56="","",WORKDAY(N56,Settings!$S$4))</f>
        <v/>
      </c>
      <c r="P56" s="17"/>
      <c r="Q56" s="44" t="str">
        <f aca="true">IF(C56="","",IF(P56="Backed out",IF(S56="Paid","Refunded – closed",IF(R56="","Refund – log reason first","Refund in progress")),IF(K56="","Awaiting payment",IF(N56="",IF(M56="","Schedule free video","Free video in production"),IF(P56="Approved","Active",IF(TODAY()&gt;O56,"Active – plan went ahead","Decision pending – "&amp;NETWORKDAYS(TODAY(),O56)&amp;" working day(s) left"))))))</f>
        <v/>
      </c>
      <c r="R56" s="17"/>
      <c r="S56" s="17"/>
      <c r="T56" s="50"/>
      <c r="U56" s="40"/>
      <c r="V56" s="40"/>
      <c r="W56" s="45" t="str">
        <f aca="false">IF(V56="","",EDATE(V56,Settings!$S$6))</f>
        <v/>
      </c>
      <c r="X56" s="17"/>
      <c r="Y56" s="17"/>
      <c r="Z56" s="17"/>
    </row>
    <row r="57" customFormat="false" ht="15" hidden="false" customHeight="false" outlineLevel="0" collapsed="false">
      <c r="A57" s="17"/>
      <c r="B57" s="17"/>
      <c r="C57" s="17"/>
      <c r="D57" s="17"/>
      <c r="E57" s="42"/>
      <c r="F57" s="17"/>
      <c r="G57" s="17"/>
      <c r="H57" s="17"/>
      <c r="I57" s="49" t="str">
        <f aca="false">IF(H57="","",IFERROR(INDEX(Settings!$G$2:$G$4,MATCH(H57,Settings!$F$2:$F$4,0)),""))</f>
        <v/>
      </c>
      <c r="J57" s="40"/>
      <c r="K57" s="50"/>
      <c r="L57" s="17"/>
      <c r="M57" s="40"/>
      <c r="N57" s="40"/>
      <c r="O57" s="45" t="str">
        <f aca="false">IF(N57="","",WORKDAY(N57,Settings!$S$4))</f>
        <v/>
      </c>
      <c r="P57" s="17"/>
      <c r="Q57" s="44" t="str">
        <f aca="true">IF(C57="","",IF(P57="Backed out",IF(S57="Paid","Refunded – closed",IF(R57="","Refund – log reason first","Refund in progress")),IF(K57="","Awaiting payment",IF(N57="",IF(M57="","Schedule free video","Free video in production"),IF(P57="Approved","Active",IF(TODAY()&gt;O57,"Active – plan went ahead","Decision pending – "&amp;NETWORKDAYS(TODAY(),O57)&amp;" working day(s) left"))))))</f>
        <v/>
      </c>
      <c r="R57" s="17"/>
      <c r="S57" s="17"/>
      <c r="T57" s="50"/>
      <c r="U57" s="40"/>
      <c r="V57" s="40"/>
      <c r="W57" s="45" t="str">
        <f aca="false">IF(V57="","",EDATE(V57,Settings!$S$6))</f>
        <v/>
      </c>
      <c r="X57" s="17"/>
      <c r="Y57" s="17"/>
      <c r="Z57" s="17"/>
    </row>
    <row r="58" customFormat="false" ht="15" hidden="false" customHeight="false" outlineLevel="0" collapsed="false">
      <c r="A58" s="17"/>
      <c r="B58" s="17"/>
      <c r="C58" s="17"/>
      <c r="D58" s="17"/>
      <c r="E58" s="42"/>
      <c r="F58" s="17"/>
      <c r="G58" s="17"/>
      <c r="H58" s="17"/>
      <c r="I58" s="49" t="str">
        <f aca="false">IF(H58="","",IFERROR(INDEX(Settings!$G$2:$G$4,MATCH(H58,Settings!$F$2:$F$4,0)),""))</f>
        <v/>
      </c>
      <c r="J58" s="40"/>
      <c r="K58" s="50"/>
      <c r="L58" s="17"/>
      <c r="M58" s="40"/>
      <c r="N58" s="40"/>
      <c r="O58" s="45" t="str">
        <f aca="false">IF(N58="","",WORKDAY(N58,Settings!$S$4))</f>
        <v/>
      </c>
      <c r="P58" s="17"/>
      <c r="Q58" s="44" t="str">
        <f aca="true">IF(C58="","",IF(P58="Backed out",IF(S58="Paid","Refunded – closed",IF(R58="","Refund – log reason first","Refund in progress")),IF(K58="","Awaiting payment",IF(N58="",IF(M58="","Schedule free video","Free video in production"),IF(P58="Approved","Active",IF(TODAY()&gt;O58,"Active – plan went ahead","Decision pending – "&amp;NETWORKDAYS(TODAY(),O58)&amp;" working day(s) left"))))))</f>
        <v/>
      </c>
      <c r="R58" s="17"/>
      <c r="S58" s="17"/>
      <c r="T58" s="50"/>
      <c r="U58" s="40"/>
      <c r="V58" s="40"/>
      <c r="W58" s="45" t="str">
        <f aca="false">IF(V58="","",EDATE(V58,Settings!$S$6))</f>
        <v/>
      </c>
      <c r="X58" s="17"/>
      <c r="Y58" s="17"/>
      <c r="Z58" s="17"/>
    </row>
    <row r="59" customFormat="false" ht="15" hidden="false" customHeight="false" outlineLevel="0" collapsed="false">
      <c r="A59" s="17"/>
      <c r="B59" s="17"/>
      <c r="C59" s="17"/>
      <c r="D59" s="17"/>
      <c r="E59" s="42"/>
      <c r="F59" s="17"/>
      <c r="G59" s="17"/>
      <c r="H59" s="17"/>
      <c r="I59" s="49" t="str">
        <f aca="false">IF(H59="","",IFERROR(INDEX(Settings!$G$2:$G$4,MATCH(H59,Settings!$F$2:$F$4,0)),""))</f>
        <v/>
      </c>
      <c r="J59" s="40"/>
      <c r="K59" s="50"/>
      <c r="L59" s="17"/>
      <c r="M59" s="40"/>
      <c r="N59" s="40"/>
      <c r="O59" s="45" t="str">
        <f aca="false">IF(N59="","",WORKDAY(N59,Settings!$S$4))</f>
        <v/>
      </c>
      <c r="P59" s="17"/>
      <c r="Q59" s="44" t="str">
        <f aca="true">IF(C59="","",IF(P59="Backed out",IF(S59="Paid","Refunded – closed",IF(R59="","Refund – log reason first","Refund in progress")),IF(K59="","Awaiting payment",IF(N59="",IF(M59="","Schedule free video","Free video in production"),IF(P59="Approved","Active",IF(TODAY()&gt;O59,"Active – plan went ahead","Decision pending – "&amp;NETWORKDAYS(TODAY(),O59)&amp;" working day(s) left"))))))</f>
        <v/>
      </c>
      <c r="R59" s="17"/>
      <c r="S59" s="17"/>
      <c r="T59" s="50"/>
      <c r="U59" s="40"/>
      <c r="V59" s="40"/>
      <c r="W59" s="45" t="str">
        <f aca="false">IF(V59="","",EDATE(V59,Settings!$S$6))</f>
        <v/>
      </c>
      <c r="X59" s="17"/>
      <c r="Y59" s="17"/>
      <c r="Z59" s="17"/>
    </row>
    <row r="60" customFormat="false" ht="15" hidden="false" customHeight="false" outlineLevel="0" collapsed="false">
      <c r="A60" s="17"/>
      <c r="B60" s="17"/>
      <c r="C60" s="17"/>
      <c r="D60" s="17"/>
      <c r="E60" s="42"/>
      <c r="F60" s="17"/>
      <c r="G60" s="17"/>
      <c r="H60" s="17"/>
      <c r="I60" s="49" t="str">
        <f aca="false">IF(H60="","",IFERROR(INDEX(Settings!$G$2:$G$4,MATCH(H60,Settings!$F$2:$F$4,0)),""))</f>
        <v/>
      </c>
      <c r="J60" s="40"/>
      <c r="K60" s="50"/>
      <c r="L60" s="17"/>
      <c r="M60" s="40"/>
      <c r="N60" s="40"/>
      <c r="O60" s="45" t="str">
        <f aca="false">IF(N60="","",WORKDAY(N60,Settings!$S$4))</f>
        <v/>
      </c>
      <c r="P60" s="17"/>
      <c r="Q60" s="44" t="str">
        <f aca="true">IF(C60="","",IF(P60="Backed out",IF(S60="Paid","Refunded – closed",IF(R60="","Refund – log reason first","Refund in progress")),IF(K60="","Awaiting payment",IF(N60="",IF(M60="","Schedule free video","Free video in production"),IF(P60="Approved","Active",IF(TODAY()&gt;O60,"Active – plan went ahead","Decision pending – "&amp;NETWORKDAYS(TODAY(),O60)&amp;" working day(s) left"))))))</f>
        <v/>
      </c>
      <c r="R60" s="17"/>
      <c r="S60" s="17"/>
      <c r="T60" s="50"/>
      <c r="U60" s="40"/>
      <c r="V60" s="40"/>
      <c r="W60" s="45" t="str">
        <f aca="false">IF(V60="","",EDATE(V60,Settings!$S$6))</f>
        <v/>
      </c>
      <c r="X60" s="17"/>
      <c r="Y60" s="17"/>
      <c r="Z60" s="17"/>
    </row>
    <row r="61" customFormat="false" ht="15" hidden="false" customHeight="false" outlineLevel="0" collapsed="false">
      <c r="A61" s="17"/>
      <c r="B61" s="17"/>
      <c r="C61" s="17"/>
      <c r="D61" s="17"/>
      <c r="E61" s="42"/>
      <c r="F61" s="17"/>
      <c r="G61" s="17"/>
      <c r="H61" s="17"/>
      <c r="I61" s="49" t="str">
        <f aca="false">IF(H61="","",IFERROR(INDEX(Settings!$G$2:$G$4,MATCH(H61,Settings!$F$2:$F$4,0)),""))</f>
        <v/>
      </c>
      <c r="J61" s="40"/>
      <c r="K61" s="50"/>
      <c r="L61" s="17"/>
      <c r="M61" s="40"/>
      <c r="N61" s="40"/>
      <c r="O61" s="45" t="str">
        <f aca="false">IF(N61="","",WORKDAY(N61,Settings!$S$4))</f>
        <v/>
      </c>
      <c r="P61" s="17"/>
      <c r="Q61" s="44" t="str">
        <f aca="true">IF(C61="","",IF(P61="Backed out",IF(S61="Paid","Refunded – closed",IF(R61="","Refund – log reason first","Refund in progress")),IF(K61="","Awaiting payment",IF(N61="",IF(M61="","Schedule free video","Free video in production"),IF(P61="Approved","Active",IF(TODAY()&gt;O61,"Active – plan went ahead","Decision pending – "&amp;NETWORKDAYS(TODAY(),O61)&amp;" working day(s) left"))))))</f>
        <v/>
      </c>
      <c r="R61" s="17"/>
      <c r="S61" s="17"/>
      <c r="T61" s="50"/>
      <c r="U61" s="40"/>
      <c r="V61" s="40"/>
      <c r="W61" s="45" t="str">
        <f aca="false">IF(V61="","",EDATE(V61,Settings!$S$6))</f>
        <v/>
      </c>
      <c r="X61" s="17"/>
      <c r="Y61" s="17"/>
      <c r="Z61" s="17"/>
    </row>
    <row r="62" customFormat="false" ht="15" hidden="false" customHeight="false" outlineLevel="0" collapsed="false">
      <c r="A62" s="17"/>
      <c r="B62" s="17"/>
      <c r="C62" s="17"/>
      <c r="D62" s="17"/>
      <c r="E62" s="42"/>
      <c r="F62" s="17"/>
      <c r="G62" s="17"/>
      <c r="H62" s="17"/>
      <c r="I62" s="49" t="str">
        <f aca="false">IF(H62="","",IFERROR(INDEX(Settings!$G$2:$G$4,MATCH(H62,Settings!$F$2:$F$4,0)),""))</f>
        <v/>
      </c>
      <c r="J62" s="40"/>
      <c r="K62" s="50"/>
      <c r="L62" s="17"/>
      <c r="M62" s="40"/>
      <c r="N62" s="40"/>
      <c r="O62" s="45" t="str">
        <f aca="false">IF(N62="","",WORKDAY(N62,Settings!$S$4))</f>
        <v/>
      </c>
      <c r="P62" s="17"/>
      <c r="Q62" s="44" t="str">
        <f aca="true">IF(C62="","",IF(P62="Backed out",IF(S62="Paid","Refunded – closed",IF(R62="","Refund – log reason first","Refund in progress")),IF(K62="","Awaiting payment",IF(N62="",IF(M62="","Schedule free video","Free video in production"),IF(P62="Approved","Active",IF(TODAY()&gt;O62,"Active – plan went ahead","Decision pending – "&amp;NETWORKDAYS(TODAY(),O62)&amp;" working day(s) left"))))))</f>
        <v/>
      </c>
      <c r="R62" s="17"/>
      <c r="S62" s="17"/>
      <c r="T62" s="50"/>
      <c r="U62" s="40"/>
      <c r="V62" s="40"/>
      <c r="W62" s="45" t="str">
        <f aca="false">IF(V62="","",EDATE(V62,Settings!$S$6))</f>
        <v/>
      </c>
      <c r="X62" s="17"/>
      <c r="Y62" s="17"/>
      <c r="Z62" s="17"/>
    </row>
    <row r="63" customFormat="false" ht="15" hidden="false" customHeight="false" outlineLevel="0" collapsed="false">
      <c r="A63" s="17"/>
      <c r="B63" s="17"/>
      <c r="C63" s="17"/>
      <c r="D63" s="17"/>
      <c r="E63" s="42"/>
      <c r="F63" s="17"/>
      <c r="G63" s="17"/>
      <c r="H63" s="17"/>
      <c r="I63" s="49" t="str">
        <f aca="false">IF(H63="","",IFERROR(INDEX(Settings!$G$2:$G$4,MATCH(H63,Settings!$F$2:$F$4,0)),""))</f>
        <v/>
      </c>
      <c r="J63" s="40"/>
      <c r="K63" s="50"/>
      <c r="L63" s="17"/>
      <c r="M63" s="40"/>
      <c r="N63" s="40"/>
      <c r="O63" s="45" t="str">
        <f aca="false">IF(N63="","",WORKDAY(N63,Settings!$S$4))</f>
        <v/>
      </c>
      <c r="P63" s="17"/>
      <c r="Q63" s="44" t="str">
        <f aca="true">IF(C63="","",IF(P63="Backed out",IF(S63="Paid","Refunded – closed",IF(R63="","Refund – log reason first","Refund in progress")),IF(K63="","Awaiting payment",IF(N63="",IF(M63="","Schedule free video","Free video in production"),IF(P63="Approved","Active",IF(TODAY()&gt;O63,"Active – plan went ahead","Decision pending – "&amp;NETWORKDAYS(TODAY(),O63)&amp;" working day(s) left"))))))</f>
        <v/>
      </c>
      <c r="R63" s="17"/>
      <c r="S63" s="17"/>
      <c r="T63" s="50"/>
      <c r="U63" s="40"/>
      <c r="V63" s="40"/>
      <c r="W63" s="45" t="str">
        <f aca="false">IF(V63="","",EDATE(V63,Settings!$S$6))</f>
        <v/>
      </c>
      <c r="X63" s="17"/>
      <c r="Y63" s="17"/>
      <c r="Z63" s="17"/>
    </row>
    <row r="64" customFormat="false" ht="15" hidden="false" customHeight="false" outlineLevel="0" collapsed="false">
      <c r="A64" s="17"/>
      <c r="B64" s="17"/>
      <c r="C64" s="17"/>
      <c r="D64" s="17"/>
      <c r="E64" s="42"/>
      <c r="F64" s="17"/>
      <c r="G64" s="17"/>
      <c r="H64" s="17"/>
      <c r="I64" s="49" t="str">
        <f aca="false">IF(H64="","",IFERROR(INDEX(Settings!$G$2:$G$4,MATCH(H64,Settings!$F$2:$F$4,0)),""))</f>
        <v/>
      </c>
      <c r="J64" s="40"/>
      <c r="K64" s="50"/>
      <c r="L64" s="17"/>
      <c r="M64" s="40"/>
      <c r="N64" s="40"/>
      <c r="O64" s="45" t="str">
        <f aca="false">IF(N64="","",WORKDAY(N64,Settings!$S$4))</f>
        <v/>
      </c>
      <c r="P64" s="17"/>
      <c r="Q64" s="44" t="str">
        <f aca="true">IF(C64="","",IF(P64="Backed out",IF(S64="Paid","Refunded – closed",IF(R64="","Refund – log reason first","Refund in progress")),IF(K64="","Awaiting payment",IF(N64="",IF(M64="","Schedule free video","Free video in production"),IF(P64="Approved","Active",IF(TODAY()&gt;O64,"Active – plan went ahead","Decision pending – "&amp;NETWORKDAYS(TODAY(),O64)&amp;" working day(s) left"))))))</f>
        <v/>
      </c>
      <c r="R64" s="17"/>
      <c r="S64" s="17"/>
      <c r="T64" s="50"/>
      <c r="U64" s="40"/>
      <c r="V64" s="40"/>
      <c r="W64" s="45" t="str">
        <f aca="false">IF(V64="","",EDATE(V64,Settings!$S$6))</f>
        <v/>
      </c>
      <c r="X64" s="17"/>
      <c r="Y64" s="17"/>
      <c r="Z64" s="17"/>
    </row>
    <row r="65" customFormat="false" ht="15" hidden="false" customHeight="false" outlineLevel="0" collapsed="false">
      <c r="A65" s="17"/>
      <c r="B65" s="17"/>
      <c r="C65" s="17"/>
      <c r="D65" s="17"/>
      <c r="E65" s="42"/>
      <c r="F65" s="17"/>
      <c r="G65" s="17"/>
      <c r="H65" s="17"/>
      <c r="I65" s="49" t="str">
        <f aca="false">IF(H65="","",IFERROR(INDEX(Settings!$G$2:$G$4,MATCH(H65,Settings!$F$2:$F$4,0)),""))</f>
        <v/>
      </c>
      <c r="J65" s="40"/>
      <c r="K65" s="50"/>
      <c r="L65" s="17"/>
      <c r="M65" s="40"/>
      <c r="N65" s="40"/>
      <c r="O65" s="45" t="str">
        <f aca="false">IF(N65="","",WORKDAY(N65,Settings!$S$4))</f>
        <v/>
      </c>
      <c r="P65" s="17"/>
      <c r="Q65" s="44" t="str">
        <f aca="true">IF(C65="","",IF(P65="Backed out",IF(S65="Paid","Refunded – closed",IF(R65="","Refund – log reason first","Refund in progress")),IF(K65="","Awaiting payment",IF(N65="",IF(M65="","Schedule free video","Free video in production"),IF(P65="Approved","Active",IF(TODAY()&gt;O65,"Active – plan went ahead","Decision pending – "&amp;NETWORKDAYS(TODAY(),O65)&amp;" working day(s) left"))))))</f>
        <v/>
      </c>
      <c r="R65" s="17"/>
      <c r="S65" s="17"/>
      <c r="T65" s="50"/>
      <c r="U65" s="40"/>
      <c r="V65" s="40"/>
      <c r="W65" s="45" t="str">
        <f aca="false">IF(V65="","",EDATE(V65,Settings!$S$6))</f>
        <v/>
      </c>
      <c r="X65" s="17"/>
      <c r="Y65" s="17"/>
      <c r="Z65" s="17"/>
    </row>
    <row r="66" customFormat="false" ht="15" hidden="false" customHeight="false" outlineLevel="0" collapsed="false">
      <c r="A66" s="17"/>
      <c r="B66" s="17"/>
      <c r="C66" s="17"/>
      <c r="D66" s="17"/>
      <c r="E66" s="42"/>
      <c r="F66" s="17"/>
      <c r="G66" s="17"/>
      <c r="H66" s="17"/>
      <c r="I66" s="49" t="str">
        <f aca="false">IF(H66="","",IFERROR(INDEX(Settings!$G$2:$G$4,MATCH(H66,Settings!$F$2:$F$4,0)),""))</f>
        <v/>
      </c>
      <c r="J66" s="40"/>
      <c r="K66" s="50"/>
      <c r="L66" s="17"/>
      <c r="M66" s="40"/>
      <c r="N66" s="40"/>
      <c r="O66" s="45" t="str">
        <f aca="false">IF(N66="","",WORKDAY(N66,Settings!$S$4))</f>
        <v/>
      </c>
      <c r="P66" s="17"/>
      <c r="Q66" s="44" t="str">
        <f aca="true">IF(C66="","",IF(P66="Backed out",IF(S66="Paid","Refunded – closed",IF(R66="","Refund – log reason first","Refund in progress")),IF(K66="","Awaiting payment",IF(N66="",IF(M66="","Schedule free video","Free video in production"),IF(P66="Approved","Active",IF(TODAY()&gt;O66,"Active – plan went ahead","Decision pending – "&amp;NETWORKDAYS(TODAY(),O66)&amp;" working day(s) left"))))))</f>
        <v/>
      </c>
      <c r="R66" s="17"/>
      <c r="S66" s="17"/>
      <c r="T66" s="50"/>
      <c r="U66" s="40"/>
      <c r="V66" s="40"/>
      <c r="W66" s="45" t="str">
        <f aca="false">IF(V66="","",EDATE(V66,Settings!$S$6))</f>
        <v/>
      </c>
      <c r="X66" s="17"/>
      <c r="Y66" s="17"/>
      <c r="Z66" s="17"/>
    </row>
    <row r="67" customFormat="false" ht="15" hidden="false" customHeight="false" outlineLevel="0" collapsed="false">
      <c r="A67" s="17"/>
      <c r="B67" s="17"/>
      <c r="C67" s="17"/>
      <c r="D67" s="17"/>
      <c r="E67" s="42"/>
      <c r="F67" s="17"/>
      <c r="G67" s="17"/>
      <c r="H67" s="17"/>
      <c r="I67" s="49" t="str">
        <f aca="false">IF(H67="","",IFERROR(INDEX(Settings!$G$2:$G$4,MATCH(H67,Settings!$F$2:$F$4,0)),""))</f>
        <v/>
      </c>
      <c r="J67" s="40"/>
      <c r="K67" s="50"/>
      <c r="L67" s="17"/>
      <c r="M67" s="40"/>
      <c r="N67" s="40"/>
      <c r="O67" s="45" t="str">
        <f aca="false">IF(N67="","",WORKDAY(N67,Settings!$S$4))</f>
        <v/>
      </c>
      <c r="P67" s="17"/>
      <c r="Q67" s="44" t="str">
        <f aca="true">IF(C67="","",IF(P67="Backed out",IF(S67="Paid","Refunded – closed",IF(R67="","Refund – log reason first","Refund in progress")),IF(K67="","Awaiting payment",IF(N67="",IF(M67="","Schedule free video","Free video in production"),IF(P67="Approved","Active",IF(TODAY()&gt;O67,"Active – plan went ahead","Decision pending – "&amp;NETWORKDAYS(TODAY(),O67)&amp;" working day(s) left"))))))</f>
        <v/>
      </c>
      <c r="R67" s="17"/>
      <c r="S67" s="17"/>
      <c r="T67" s="50"/>
      <c r="U67" s="40"/>
      <c r="V67" s="40"/>
      <c r="W67" s="45" t="str">
        <f aca="false">IF(V67="","",EDATE(V67,Settings!$S$6))</f>
        <v/>
      </c>
      <c r="X67" s="17"/>
      <c r="Y67" s="17"/>
      <c r="Z67" s="17"/>
    </row>
    <row r="68" customFormat="false" ht="15" hidden="false" customHeight="false" outlineLevel="0" collapsed="false">
      <c r="A68" s="17"/>
      <c r="B68" s="17"/>
      <c r="C68" s="17"/>
      <c r="D68" s="17"/>
      <c r="E68" s="42"/>
      <c r="F68" s="17"/>
      <c r="G68" s="17"/>
      <c r="H68" s="17"/>
      <c r="I68" s="49" t="str">
        <f aca="false">IF(H68="","",IFERROR(INDEX(Settings!$G$2:$G$4,MATCH(H68,Settings!$F$2:$F$4,0)),""))</f>
        <v/>
      </c>
      <c r="J68" s="40"/>
      <c r="K68" s="50"/>
      <c r="L68" s="17"/>
      <c r="M68" s="40"/>
      <c r="N68" s="40"/>
      <c r="O68" s="45" t="str">
        <f aca="false">IF(N68="","",WORKDAY(N68,Settings!$S$4))</f>
        <v/>
      </c>
      <c r="P68" s="17"/>
      <c r="Q68" s="44" t="str">
        <f aca="true">IF(C68="","",IF(P68="Backed out",IF(S68="Paid","Refunded – closed",IF(R68="","Refund – log reason first","Refund in progress")),IF(K68="","Awaiting payment",IF(N68="",IF(M68="","Schedule free video","Free video in production"),IF(P68="Approved","Active",IF(TODAY()&gt;O68,"Active – plan went ahead","Decision pending – "&amp;NETWORKDAYS(TODAY(),O68)&amp;" working day(s) left"))))))</f>
        <v/>
      </c>
      <c r="R68" s="17"/>
      <c r="S68" s="17"/>
      <c r="T68" s="50"/>
      <c r="U68" s="40"/>
      <c r="V68" s="40"/>
      <c r="W68" s="45" t="str">
        <f aca="false">IF(V68="","",EDATE(V68,Settings!$S$6))</f>
        <v/>
      </c>
      <c r="X68" s="17"/>
      <c r="Y68" s="17"/>
      <c r="Z68" s="17"/>
    </row>
    <row r="69" customFormat="false" ht="15" hidden="false" customHeight="false" outlineLevel="0" collapsed="false">
      <c r="A69" s="17"/>
      <c r="B69" s="17"/>
      <c r="C69" s="17"/>
      <c r="D69" s="17"/>
      <c r="E69" s="42"/>
      <c r="F69" s="17"/>
      <c r="G69" s="17"/>
      <c r="H69" s="17"/>
      <c r="I69" s="49" t="str">
        <f aca="false">IF(H69="","",IFERROR(INDEX(Settings!$G$2:$G$4,MATCH(H69,Settings!$F$2:$F$4,0)),""))</f>
        <v/>
      </c>
      <c r="J69" s="40"/>
      <c r="K69" s="50"/>
      <c r="L69" s="17"/>
      <c r="M69" s="40"/>
      <c r="N69" s="40"/>
      <c r="O69" s="45" t="str">
        <f aca="false">IF(N69="","",WORKDAY(N69,Settings!$S$4))</f>
        <v/>
      </c>
      <c r="P69" s="17"/>
      <c r="Q69" s="44" t="str">
        <f aca="true">IF(C69="","",IF(P69="Backed out",IF(S69="Paid","Refunded – closed",IF(R69="","Refund – log reason first","Refund in progress")),IF(K69="","Awaiting payment",IF(N69="",IF(M69="","Schedule free video","Free video in production"),IF(P69="Approved","Active",IF(TODAY()&gt;O69,"Active – plan went ahead","Decision pending – "&amp;NETWORKDAYS(TODAY(),O69)&amp;" working day(s) left"))))))</f>
        <v/>
      </c>
      <c r="R69" s="17"/>
      <c r="S69" s="17"/>
      <c r="T69" s="50"/>
      <c r="U69" s="40"/>
      <c r="V69" s="40"/>
      <c r="W69" s="45" t="str">
        <f aca="false">IF(V69="","",EDATE(V69,Settings!$S$6))</f>
        <v/>
      </c>
      <c r="X69" s="17"/>
      <c r="Y69" s="17"/>
      <c r="Z69" s="17"/>
    </row>
    <row r="70" customFormat="false" ht="15" hidden="false" customHeight="false" outlineLevel="0" collapsed="false">
      <c r="A70" s="17"/>
      <c r="B70" s="17"/>
      <c r="C70" s="17"/>
      <c r="D70" s="17"/>
      <c r="E70" s="42"/>
      <c r="F70" s="17"/>
      <c r="G70" s="17"/>
      <c r="H70" s="17"/>
      <c r="I70" s="49" t="str">
        <f aca="false">IF(H70="","",IFERROR(INDEX(Settings!$G$2:$G$4,MATCH(H70,Settings!$F$2:$F$4,0)),""))</f>
        <v/>
      </c>
      <c r="J70" s="40"/>
      <c r="K70" s="50"/>
      <c r="L70" s="17"/>
      <c r="M70" s="40"/>
      <c r="N70" s="40"/>
      <c r="O70" s="45" t="str">
        <f aca="false">IF(N70="","",WORKDAY(N70,Settings!$S$4))</f>
        <v/>
      </c>
      <c r="P70" s="17"/>
      <c r="Q70" s="44" t="str">
        <f aca="true">IF(C70="","",IF(P70="Backed out",IF(S70="Paid","Refunded – closed",IF(R70="","Refund – log reason first","Refund in progress")),IF(K70="","Awaiting payment",IF(N70="",IF(M70="","Schedule free video","Free video in production"),IF(P70="Approved","Active",IF(TODAY()&gt;O70,"Active – plan went ahead","Decision pending – "&amp;NETWORKDAYS(TODAY(),O70)&amp;" working day(s) left"))))))</f>
        <v/>
      </c>
      <c r="R70" s="17"/>
      <c r="S70" s="17"/>
      <c r="T70" s="50"/>
      <c r="U70" s="40"/>
      <c r="V70" s="40"/>
      <c r="W70" s="45" t="str">
        <f aca="false">IF(V70="","",EDATE(V70,Settings!$S$6))</f>
        <v/>
      </c>
      <c r="X70" s="17"/>
      <c r="Y70" s="17"/>
      <c r="Z70" s="17"/>
    </row>
    <row r="71" customFormat="false" ht="15" hidden="false" customHeight="false" outlineLevel="0" collapsed="false">
      <c r="A71" s="17"/>
      <c r="B71" s="17"/>
      <c r="C71" s="17"/>
      <c r="D71" s="17"/>
      <c r="E71" s="42"/>
      <c r="F71" s="17"/>
      <c r="G71" s="17"/>
      <c r="H71" s="17"/>
      <c r="I71" s="49" t="str">
        <f aca="false">IF(H71="","",IFERROR(INDEX(Settings!$G$2:$G$4,MATCH(H71,Settings!$F$2:$F$4,0)),""))</f>
        <v/>
      </c>
      <c r="J71" s="40"/>
      <c r="K71" s="50"/>
      <c r="L71" s="17"/>
      <c r="M71" s="40"/>
      <c r="N71" s="40"/>
      <c r="O71" s="45" t="str">
        <f aca="false">IF(N71="","",WORKDAY(N71,Settings!$S$4))</f>
        <v/>
      </c>
      <c r="P71" s="17"/>
      <c r="Q71" s="44" t="str">
        <f aca="true">IF(C71="","",IF(P71="Backed out",IF(S71="Paid","Refunded – closed",IF(R71="","Refund – log reason first","Refund in progress")),IF(K71="","Awaiting payment",IF(N71="",IF(M71="","Schedule free video","Free video in production"),IF(P71="Approved","Active",IF(TODAY()&gt;O71,"Active – plan went ahead","Decision pending – "&amp;NETWORKDAYS(TODAY(),O71)&amp;" working day(s) left"))))))</f>
        <v/>
      </c>
      <c r="R71" s="17"/>
      <c r="S71" s="17"/>
      <c r="T71" s="50"/>
      <c r="U71" s="40"/>
      <c r="V71" s="40"/>
      <c r="W71" s="45" t="str">
        <f aca="false">IF(V71="","",EDATE(V71,Settings!$S$6))</f>
        <v/>
      </c>
      <c r="X71" s="17"/>
      <c r="Y71" s="17"/>
      <c r="Z71" s="17"/>
    </row>
    <row r="72" customFormat="false" ht="15" hidden="false" customHeight="false" outlineLevel="0" collapsed="false">
      <c r="A72" s="17"/>
      <c r="B72" s="17"/>
      <c r="C72" s="17"/>
      <c r="D72" s="17"/>
      <c r="E72" s="42"/>
      <c r="F72" s="17"/>
      <c r="G72" s="17"/>
      <c r="H72" s="17"/>
      <c r="I72" s="49" t="str">
        <f aca="false">IF(H72="","",IFERROR(INDEX(Settings!$G$2:$G$4,MATCH(H72,Settings!$F$2:$F$4,0)),""))</f>
        <v/>
      </c>
      <c r="J72" s="40"/>
      <c r="K72" s="50"/>
      <c r="L72" s="17"/>
      <c r="M72" s="40"/>
      <c r="N72" s="40"/>
      <c r="O72" s="45" t="str">
        <f aca="false">IF(N72="","",WORKDAY(N72,Settings!$S$4))</f>
        <v/>
      </c>
      <c r="P72" s="17"/>
      <c r="Q72" s="44" t="str">
        <f aca="true">IF(C72="","",IF(P72="Backed out",IF(S72="Paid","Refunded – closed",IF(R72="","Refund – log reason first","Refund in progress")),IF(K72="","Awaiting payment",IF(N72="",IF(M72="","Schedule free video","Free video in production"),IF(P72="Approved","Active",IF(TODAY()&gt;O72,"Active – plan went ahead","Decision pending – "&amp;NETWORKDAYS(TODAY(),O72)&amp;" working day(s) left"))))))</f>
        <v/>
      </c>
      <c r="R72" s="17"/>
      <c r="S72" s="17"/>
      <c r="T72" s="50"/>
      <c r="U72" s="40"/>
      <c r="V72" s="40"/>
      <c r="W72" s="45" t="str">
        <f aca="false">IF(V72="","",EDATE(V72,Settings!$S$6))</f>
        <v/>
      </c>
      <c r="X72" s="17"/>
      <c r="Y72" s="17"/>
      <c r="Z72" s="17"/>
    </row>
    <row r="73" customFormat="false" ht="15" hidden="false" customHeight="false" outlineLevel="0" collapsed="false">
      <c r="A73" s="17"/>
      <c r="B73" s="17"/>
      <c r="C73" s="17"/>
      <c r="D73" s="17"/>
      <c r="E73" s="42"/>
      <c r="F73" s="17"/>
      <c r="G73" s="17"/>
      <c r="H73" s="17"/>
      <c r="I73" s="49" t="str">
        <f aca="false">IF(H73="","",IFERROR(INDEX(Settings!$G$2:$G$4,MATCH(H73,Settings!$F$2:$F$4,0)),""))</f>
        <v/>
      </c>
      <c r="J73" s="40"/>
      <c r="K73" s="50"/>
      <c r="L73" s="17"/>
      <c r="M73" s="40"/>
      <c r="N73" s="40"/>
      <c r="O73" s="45" t="str">
        <f aca="false">IF(N73="","",WORKDAY(N73,Settings!$S$4))</f>
        <v/>
      </c>
      <c r="P73" s="17"/>
      <c r="Q73" s="44" t="str">
        <f aca="true">IF(C73="","",IF(P73="Backed out",IF(S73="Paid","Refunded – closed",IF(R73="","Refund – log reason first","Refund in progress")),IF(K73="","Awaiting payment",IF(N73="",IF(M73="","Schedule free video","Free video in production"),IF(P73="Approved","Active",IF(TODAY()&gt;O73,"Active – plan went ahead","Decision pending – "&amp;NETWORKDAYS(TODAY(),O73)&amp;" working day(s) left"))))))</f>
        <v/>
      </c>
      <c r="R73" s="17"/>
      <c r="S73" s="17"/>
      <c r="T73" s="50"/>
      <c r="U73" s="40"/>
      <c r="V73" s="40"/>
      <c r="W73" s="45" t="str">
        <f aca="false">IF(V73="","",EDATE(V73,Settings!$S$6))</f>
        <v/>
      </c>
      <c r="X73" s="17"/>
      <c r="Y73" s="17"/>
      <c r="Z73" s="17"/>
    </row>
    <row r="74" customFormat="false" ht="15" hidden="false" customHeight="false" outlineLevel="0" collapsed="false">
      <c r="A74" s="17"/>
      <c r="B74" s="17"/>
      <c r="C74" s="17"/>
      <c r="D74" s="17"/>
      <c r="E74" s="42"/>
      <c r="F74" s="17"/>
      <c r="G74" s="17"/>
      <c r="H74" s="17"/>
      <c r="I74" s="49" t="str">
        <f aca="false">IF(H74="","",IFERROR(INDEX(Settings!$G$2:$G$4,MATCH(H74,Settings!$F$2:$F$4,0)),""))</f>
        <v/>
      </c>
      <c r="J74" s="40"/>
      <c r="K74" s="50"/>
      <c r="L74" s="17"/>
      <c r="M74" s="40"/>
      <c r="N74" s="40"/>
      <c r="O74" s="45" t="str">
        <f aca="false">IF(N74="","",WORKDAY(N74,Settings!$S$4))</f>
        <v/>
      </c>
      <c r="P74" s="17"/>
      <c r="Q74" s="44" t="str">
        <f aca="true">IF(C74="","",IF(P74="Backed out",IF(S74="Paid","Refunded – closed",IF(R74="","Refund – log reason first","Refund in progress")),IF(K74="","Awaiting payment",IF(N74="",IF(M74="","Schedule free video","Free video in production"),IF(P74="Approved","Active",IF(TODAY()&gt;O74,"Active – plan went ahead","Decision pending – "&amp;NETWORKDAYS(TODAY(),O74)&amp;" working day(s) left"))))))</f>
        <v/>
      </c>
      <c r="R74" s="17"/>
      <c r="S74" s="17"/>
      <c r="T74" s="50"/>
      <c r="U74" s="40"/>
      <c r="V74" s="40"/>
      <c r="W74" s="45" t="str">
        <f aca="false">IF(V74="","",EDATE(V74,Settings!$S$6))</f>
        <v/>
      </c>
      <c r="X74" s="17"/>
      <c r="Y74" s="17"/>
      <c r="Z74" s="17"/>
    </row>
    <row r="75" customFormat="false" ht="15" hidden="false" customHeight="false" outlineLevel="0" collapsed="false">
      <c r="A75" s="17"/>
      <c r="B75" s="17"/>
      <c r="C75" s="17"/>
      <c r="D75" s="17"/>
      <c r="E75" s="42"/>
      <c r="F75" s="17"/>
      <c r="G75" s="17"/>
      <c r="H75" s="17"/>
      <c r="I75" s="49" t="str">
        <f aca="false">IF(H75="","",IFERROR(INDEX(Settings!$G$2:$G$4,MATCH(H75,Settings!$F$2:$F$4,0)),""))</f>
        <v/>
      </c>
      <c r="J75" s="40"/>
      <c r="K75" s="50"/>
      <c r="L75" s="17"/>
      <c r="M75" s="40"/>
      <c r="N75" s="40"/>
      <c r="O75" s="45" t="str">
        <f aca="false">IF(N75="","",WORKDAY(N75,Settings!$S$4))</f>
        <v/>
      </c>
      <c r="P75" s="17"/>
      <c r="Q75" s="44" t="str">
        <f aca="true">IF(C75="","",IF(P75="Backed out",IF(S75="Paid","Refunded – closed",IF(R75="","Refund – log reason first","Refund in progress")),IF(K75="","Awaiting payment",IF(N75="",IF(M75="","Schedule free video","Free video in production"),IF(P75="Approved","Active",IF(TODAY()&gt;O75,"Active – plan went ahead","Decision pending – "&amp;NETWORKDAYS(TODAY(),O75)&amp;" working day(s) left"))))))</f>
        <v/>
      </c>
      <c r="R75" s="17"/>
      <c r="S75" s="17"/>
      <c r="T75" s="50"/>
      <c r="U75" s="40"/>
      <c r="V75" s="40"/>
      <c r="W75" s="45" t="str">
        <f aca="false">IF(V75="","",EDATE(V75,Settings!$S$6))</f>
        <v/>
      </c>
      <c r="X75" s="17"/>
      <c r="Y75" s="17"/>
      <c r="Z75" s="17"/>
    </row>
    <row r="76" customFormat="false" ht="15" hidden="false" customHeight="false" outlineLevel="0" collapsed="false">
      <c r="A76" s="17"/>
      <c r="B76" s="17"/>
      <c r="C76" s="17"/>
      <c r="D76" s="17"/>
      <c r="E76" s="42"/>
      <c r="F76" s="17"/>
      <c r="G76" s="17"/>
      <c r="H76" s="17"/>
      <c r="I76" s="49" t="str">
        <f aca="false">IF(H76="","",IFERROR(INDEX(Settings!$G$2:$G$4,MATCH(H76,Settings!$F$2:$F$4,0)),""))</f>
        <v/>
      </c>
      <c r="J76" s="40"/>
      <c r="K76" s="50"/>
      <c r="L76" s="17"/>
      <c r="M76" s="40"/>
      <c r="N76" s="40"/>
      <c r="O76" s="45" t="str">
        <f aca="false">IF(N76="","",WORKDAY(N76,Settings!$S$4))</f>
        <v/>
      </c>
      <c r="P76" s="17"/>
      <c r="Q76" s="44" t="str">
        <f aca="true">IF(C76="","",IF(P76="Backed out",IF(S76="Paid","Refunded – closed",IF(R76="","Refund – log reason first","Refund in progress")),IF(K76="","Awaiting payment",IF(N76="",IF(M76="","Schedule free video","Free video in production"),IF(P76="Approved","Active",IF(TODAY()&gt;O76,"Active – plan went ahead","Decision pending – "&amp;NETWORKDAYS(TODAY(),O76)&amp;" working day(s) left"))))))</f>
        <v/>
      </c>
      <c r="R76" s="17"/>
      <c r="S76" s="17"/>
      <c r="T76" s="50"/>
      <c r="U76" s="40"/>
      <c r="V76" s="40"/>
      <c r="W76" s="45" t="str">
        <f aca="false">IF(V76="","",EDATE(V76,Settings!$S$6))</f>
        <v/>
      </c>
      <c r="X76" s="17"/>
      <c r="Y76" s="17"/>
      <c r="Z76" s="17"/>
    </row>
    <row r="77" customFormat="false" ht="15" hidden="false" customHeight="false" outlineLevel="0" collapsed="false">
      <c r="A77" s="17"/>
      <c r="B77" s="17"/>
      <c r="C77" s="17"/>
      <c r="D77" s="17"/>
      <c r="E77" s="42"/>
      <c r="F77" s="17"/>
      <c r="G77" s="17"/>
      <c r="H77" s="17"/>
      <c r="I77" s="49" t="str">
        <f aca="false">IF(H77="","",IFERROR(INDEX(Settings!$G$2:$G$4,MATCH(H77,Settings!$F$2:$F$4,0)),""))</f>
        <v/>
      </c>
      <c r="J77" s="40"/>
      <c r="K77" s="50"/>
      <c r="L77" s="17"/>
      <c r="M77" s="40"/>
      <c r="N77" s="40"/>
      <c r="O77" s="45" t="str">
        <f aca="false">IF(N77="","",WORKDAY(N77,Settings!$S$4))</f>
        <v/>
      </c>
      <c r="P77" s="17"/>
      <c r="Q77" s="44" t="str">
        <f aca="true">IF(C77="","",IF(P77="Backed out",IF(S77="Paid","Refunded – closed",IF(R77="","Refund – log reason first","Refund in progress")),IF(K77="","Awaiting payment",IF(N77="",IF(M77="","Schedule free video","Free video in production"),IF(P77="Approved","Active",IF(TODAY()&gt;O77,"Active – plan went ahead","Decision pending – "&amp;NETWORKDAYS(TODAY(),O77)&amp;" working day(s) left"))))))</f>
        <v/>
      </c>
      <c r="R77" s="17"/>
      <c r="S77" s="17"/>
      <c r="T77" s="50"/>
      <c r="U77" s="40"/>
      <c r="V77" s="40"/>
      <c r="W77" s="45" t="str">
        <f aca="false">IF(V77="","",EDATE(V77,Settings!$S$6))</f>
        <v/>
      </c>
      <c r="X77" s="17"/>
      <c r="Y77" s="17"/>
      <c r="Z77" s="17"/>
    </row>
    <row r="78" customFormat="false" ht="15" hidden="false" customHeight="false" outlineLevel="0" collapsed="false">
      <c r="A78" s="17"/>
      <c r="B78" s="17"/>
      <c r="C78" s="17"/>
      <c r="D78" s="17"/>
      <c r="E78" s="42"/>
      <c r="F78" s="17"/>
      <c r="G78" s="17"/>
      <c r="H78" s="17"/>
      <c r="I78" s="49" t="str">
        <f aca="false">IF(H78="","",IFERROR(INDEX(Settings!$G$2:$G$4,MATCH(H78,Settings!$F$2:$F$4,0)),""))</f>
        <v/>
      </c>
      <c r="J78" s="40"/>
      <c r="K78" s="50"/>
      <c r="L78" s="17"/>
      <c r="M78" s="40"/>
      <c r="N78" s="40"/>
      <c r="O78" s="45" t="str">
        <f aca="false">IF(N78="","",WORKDAY(N78,Settings!$S$4))</f>
        <v/>
      </c>
      <c r="P78" s="17"/>
      <c r="Q78" s="44" t="str">
        <f aca="true">IF(C78="","",IF(P78="Backed out",IF(S78="Paid","Refunded – closed",IF(R78="","Refund – log reason first","Refund in progress")),IF(K78="","Awaiting payment",IF(N78="",IF(M78="","Schedule free video","Free video in production"),IF(P78="Approved","Active",IF(TODAY()&gt;O78,"Active – plan went ahead","Decision pending – "&amp;NETWORKDAYS(TODAY(),O78)&amp;" working day(s) left"))))))</f>
        <v/>
      </c>
      <c r="R78" s="17"/>
      <c r="S78" s="17"/>
      <c r="T78" s="50"/>
      <c r="U78" s="40"/>
      <c r="V78" s="40"/>
      <c r="W78" s="45" t="str">
        <f aca="false">IF(V78="","",EDATE(V78,Settings!$S$6))</f>
        <v/>
      </c>
      <c r="X78" s="17"/>
      <c r="Y78" s="17"/>
      <c r="Z78" s="17"/>
    </row>
    <row r="79" customFormat="false" ht="15" hidden="false" customHeight="false" outlineLevel="0" collapsed="false">
      <c r="A79" s="17"/>
      <c r="B79" s="17"/>
      <c r="C79" s="17"/>
      <c r="D79" s="17"/>
      <c r="E79" s="42"/>
      <c r="F79" s="17"/>
      <c r="G79" s="17"/>
      <c r="H79" s="17"/>
      <c r="I79" s="49" t="str">
        <f aca="false">IF(H79="","",IFERROR(INDEX(Settings!$G$2:$G$4,MATCH(H79,Settings!$F$2:$F$4,0)),""))</f>
        <v/>
      </c>
      <c r="J79" s="40"/>
      <c r="K79" s="50"/>
      <c r="L79" s="17"/>
      <c r="M79" s="40"/>
      <c r="N79" s="40"/>
      <c r="O79" s="45" t="str">
        <f aca="false">IF(N79="","",WORKDAY(N79,Settings!$S$4))</f>
        <v/>
      </c>
      <c r="P79" s="17"/>
      <c r="Q79" s="44" t="str">
        <f aca="true">IF(C79="","",IF(P79="Backed out",IF(S79="Paid","Refunded – closed",IF(R79="","Refund – log reason first","Refund in progress")),IF(K79="","Awaiting payment",IF(N79="",IF(M79="","Schedule free video","Free video in production"),IF(P79="Approved","Active",IF(TODAY()&gt;O79,"Active – plan went ahead","Decision pending – "&amp;NETWORKDAYS(TODAY(),O79)&amp;" working day(s) left"))))))</f>
        <v/>
      </c>
      <c r="R79" s="17"/>
      <c r="S79" s="17"/>
      <c r="T79" s="50"/>
      <c r="U79" s="40"/>
      <c r="V79" s="40"/>
      <c r="W79" s="45" t="str">
        <f aca="false">IF(V79="","",EDATE(V79,Settings!$S$6))</f>
        <v/>
      </c>
      <c r="X79" s="17"/>
      <c r="Y79" s="17"/>
      <c r="Z79" s="17"/>
    </row>
    <row r="80" customFormat="false" ht="15" hidden="false" customHeight="false" outlineLevel="0" collapsed="false">
      <c r="A80" s="17"/>
      <c r="B80" s="17"/>
      <c r="C80" s="17"/>
      <c r="D80" s="17"/>
      <c r="E80" s="42"/>
      <c r="F80" s="17"/>
      <c r="G80" s="17"/>
      <c r="H80" s="17"/>
      <c r="I80" s="49" t="str">
        <f aca="false">IF(H80="","",IFERROR(INDEX(Settings!$G$2:$G$4,MATCH(H80,Settings!$F$2:$F$4,0)),""))</f>
        <v/>
      </c>
      <c r="J80" s="40"/>
      <c r="K80" s="50"/>
      <c r="L80" s="17"/>
      <c r="M80" s="40"/>
      <c r="N80" s="40"/>
      <c r="O80" s="45" t="str">
        <f aca="false">IF(N80="","",WORKDAY(N80,Settings!$S$4))</f>
        <v/>
      </c>
      <c r="P80" s="17"/>
      <c r="Q80" s="44" t="str">
        <f aca="true">IF(C80="","",IF(P80="Backed out",IF(S80="Paid","Refunded – closed",IF(R80="","Refund – log reason first","Refund in progress")),IF(K80="","Awaiting payment",IF(N80="",IF(M80="","Schedule free video","Free video in production"),IF(P80="Approved","Active",IF(TODAY()&gt;O80,"Active – plan went ahead","Decision pending – "&amp;NETWORKDAYS(TODAY(),O80)&amp;" working day(s) left"))))))</f>
        <v/>
      </c>
      <c r="R80" s="17"/>
      <c r="S80" s="17"/>
      <c r="T80" s="50"/>
      <c r="U80" s="40"/>
      <c r="V80" s="40"/>
      <c r="W80" s="45" t="str">
        <f aca="false">IF(V80="","",EDATE(V80,Settings!$S$6))</f>
        <v/>
      </c>
      <c r="X80" s="17"/>
      <c r="Y80" s="17"/>
      <c r="Z80" s="17"/>
    </row>
    <row r="81" customFormat="false" ht="15" hidden="false" customHeight="false" outlineLevel="0" collapsed="false">
      <c r="A81" s="17"/>
      <c r="B81" s="17"/>
      <c r="C81" s="17"/>
      <c r="D81" s="17"/>
      <c r="E81" s="42"/>
      <c r="F81" s="17"/>
      <c r="G81" s="17"/>
      <c r="H81" s="17"/>
      <c r="I81" s="49" t="str">
        <f aca="false">IF(H81="","",IFERROR(INDEX(Settings!$G$2:$G$4,MATCH(H81,Settings!$F$2:$F$4,0)),""))</f>
        <v/>
      </c>
      <c r="J81" s="40"/>
      <c r="K81" s="50"/>
      <c r="L81" s="17"/>
      <c r="M81" s="40"/>
      <c r="N81" s="40"/>
      <c r="O81" s="45" t="str">
        <f aca="false">IF(N81="","",WORKDAY(N81,Settings!$S$4))</f>
        <v/>
      </c>
      <c r="P81" s="17"/>
      <c r="Q81" s="44" t="str">
        <f aca="true">IF(C81="","",IF(P81="Backed out",IF(S81="Paid","Refunded – closed",IF(R81="","Refund – log reason first","Refund in progress")),IF(K81="","Awaiting payment",IF(N81="",IF(M81="","Schedule free video","Free video in production"),IF(P81="Approved","Active",IF(TODAY()&gt;O81,"Active – plan went ahead","Decision pending – "&amp;NETWORKDAYS(TODAY(),O81)&amp;" working day(s) left"))))))</f>
        <v/>
      </c>
      <c r="R81" s="17"/>
      <c r="S81" s="17"/>
      <c r="T81" s="50"/>
      <c r="U81" s="40"/>
      <c r="V81" s="40"/>
      <c r="W81" s="45" t="str">
        <f aca="false">IF(V81="","",EDATE(V81,Settings!$S$6))</f>
        <v/>
      </c>
      <c r="X81" s="17"/>
      <c r="Y81" s="17"/>
      <c r="Z81" s="17"/>
    </row>
    <row r="82" customFormat="false" ht="15" hidden="false" customHeight="false" outlineLevel="0" collapsed="false">
      <c r="A82" s="17"/>
      <c r="B82" s="17"/>
      <c r="C82" s="17"/>
      <c r="D82" s="17"/>
      <c r="E82" s="42"/>
      <c r="F82" s="17"/>
      <c r="G82" s="17"/>
      <c r="H82" s="17"/>
      <c r="I82" s="49" t="str">
        <f aca="false">IF(H82="","",IFERROR(INDEX(Settings!$G$2:$G$4,MATCH(H82,Settings!$F$2:$F$4,0)),""))</f>
        <v/>
      </c>
      <c r="J82" s="40"/>
      <c r="K82" s="50"/>
      <c r="L82" s="17"/>
      <c r="M82" s="40"/>
      <c r="N82" s="40"/>
      <c r="O82" s="45" t="str">
        <f aca="false">IF(N82="","",WORKDAY(N82,Settings!$S$4))</f>
        <v/>
      </c>
      <c r="P82" s="17"/>
      <c r="Q82" s="44" t="str">
        <f aca="true">IF(C82="","",IF(P82="Backed out",IF(S82="Paid","Refunded – closed",IF(R82="","Refund – log reason first","Refund in progress")),IF(K82="","Awaiting payment",IF(N82="",IF(M82="","Schedule free video","Free video in production"),IF(P82="Approved","Active",IF(TODAY()&gt;O82,"Active – plan went ahead","Decision pending – "&amp;NETWORKDAYS(TODAY(),O82)&amp;" working day(s) left"))))))</f>
        <v/>
      </c>
      <c r="R82" s="17"/>
      <c r="S82" s="17"/>
      <c r="T82" s="50"/>
      <c r="U82" s="40"/>
      <c r="V82" s="40"/>
      <c r="W82" s="45" t="str">
        <f aca="false">IF(V82="","",EDATE(V82,Settings!$S$6))</f>
        <v/>
      </c>
      <c r="X82" s="17"/>
      <c r="Y82" s="17"/>
      <c r="Z82" s="17"/>
    </row>
    <row r="83" customFormat="false" ht="15" hidden="false" customHeight="false" outlineLevel="0" collapsed="false">
      <c r="A83" s="17"/>
      <c r="B83" s="17"/>
      <c r="C83" s="17"/>
      <c r="D83" s="17"/>
      <c r="E83" s="42"/>
      <c r="F83" s="17"/>
      <c r="G83" s="17"/>
      <c r="H83" s="17"/>
      <c r="I83" s="49" t="str">
        <f aca="false">IF(H83="","",IFERROR(INDEX(Settings!$G$2:$G$4,MATCH(H83,Settings!$F$2:$F$4,0)),""))</f>
        <v/>
      </c>
      <c r="J83" s="40"/>
      <c r="K83" s="50"/>
      <c r="L83" s="17"/>
      <c r="M83" s="40"/>
      <c r="N83" s="40"/>
      <c r="O83" s="45" t="str">
        <f aca="false">IF(N83="","",WORKDAY(N83,Settings!$S$4))</f>
        <v/>
      </c>
      <c r="P83" s="17"/>
      <c r="Q83" s="44" t="str">
        <f aca="true">IF(C83="","",IF(P83="Backed out",IF(S83="Paid","Refunded – closed",IF(R83="","Refund – log reason first","Refund in progress")),IF(K83="","Awaiting payment",IF(N83="",IF(M83="","Schedule free video","Free video in production"),IF(P83="Approved","Active",IF(TODAY()&gt;O83,"Active – plan went ahead","Decision pending – "&amp;NETWORKDAYS(TODAY(),O83)&amp;" working day(s) left"))))))</f>
        <v/>
      </c>
      <c r="R83" s="17"/>
      <c r="S83" s="17"/>
      <c r="T83" s="50"/>
      <c r="U83" s="40"/>
      <c r="V83" s="40"/>
      <c r="W83" s="45" t="str">
        <f aca="false">IF(V83="","",EDATE(V83,Settings!$S$6))</f>
        <v/>
      </c>
      <c r="X83" s="17"/>
      <c r="Y83" s="17"/>
      <c r="Z83" s="17"/>
    </row>
    <row r="84" customFormat="false" ht="15" hidden="false" customHeight="false" outlineLevel="0" collapsed="false">
      <c r="A84" s="17"/>
      <c r="B84" s="17"/>
      <c r="C84" s="17"/>
      <c r="D84" s="17"/>
      <c r="E84" s="42"/>
      <c r="F84" s="17"/>
      <c r="G84" s="17"/>
      <c r="H84" s="17"/>
      <c r="I84" s="49" t="str">
        <f aca="false">IF(H84="","",IFERROR(INDEX(Settings!$G$2:$G$4,MATCH(H84,Settings!$F$2:$F$4,0)),""))</f>
        <v/>
      </c>
      <c r="J84" s="40"/>
      <c r="K84" s="50"/>
      <c r="L84" s="17"/>
      <c r="M84" s="40"/>
      <c r="N84" s="40"/>
      <c r="O84" s="45" t="str">
        <f aca="false">IF(N84="","",WORKDAY(N84,Settings!$S$4))</f>
        <v/>
      </c>
      <c r="P84" s="17"/>
      <c r="Q84" s="44" t="str">
        <f aca="true">IF(C84="","",IF(P84="Backed out",IF(S84="Paid","Refunded – closed",IF(R84="","Refund – log reason first","Refund in progress")),IF(K84="","Awaiting payment",IF(N84="",IF(M84="","Schedule free video","Free video in production"),IF(P84="Approved","Active",IF(TODAY()&gt;O84,"Active – plan went ahead","Decision pending – "&amp;NETWORKDAYS(TODAY(),O84)&amp;" working day(s) left"))))))</f>
        <v/>
      </c>
      <c r="R84" s="17"/>
      <c r="S84" s="17"/>
      <c r="T84" s="50"/>
      <c r="U84" s="40"/>
      <c r="V84" s="40"/>
      <c r="W84" s="45" t="str">
        <f aca="false">IF(V84="","",EDATE(V84,Settings!$S$6))</f>
        <v/>
      </c>
      <c r="X84" s="17"/>
      <c r="Y84" s="17"/>
      <c r="Z84" s="17"/>
    </row>
    <row r="85" customFormat="false" ht="15" hidden="false" customHeight="false" outlineLevel="0" collapsed="false">
      <c r="A85" s="17"/>
      <c r="B85" s="17"/>
      <c r="C85" s="17"/>
      <c r="D85" s="17"/>
      <c r="E85" s="42"/>
      <c r="F85" s="17"/>
      <c r="G85" s="17"/>
      <c r="H85" s="17"/>
      <c r="I85" s="49" t="str">
        <f aca="false">IF(H85="","",IFERROR(INDEX(Settings!$G$2:$G$4,MATCH(H85,Settings!$F$2:$F$4,0)),""))</f>
        <v/>
      </c>
      <c r="J85" s="40"/>
      <c r="K85" s="50"/>
      <c r="L85" s="17"/>
      <c r="M85" s="40"/>
      <c r="N85" s="40"/>
      <c r="O85" s="45" t="str">
        <f aca="false">IF(N85="","",WORKDAY(N85,Settings!$S$4))</f>
        <v/>
      </c>
      <c r="P85" s="17"/>
      <c r="Q85" s="44" t="str">
        <f aca="true">IF(C85="","",IF(P85="Backed out",IF(S85="Paid","Refunded – closed",IF(R85="","Refund – log reason first","Refund in progress")),IF(K85="","Awaiting payment",IF(N85="",IF(M85="","Schedule free video","Free video in production"),IF(P85="Approved","Active",IF(TODAY()&gt;O85,"Active – plan went ahead","Decision pending – "&amp;NETWORKDAYS(TODAY(),O85)&amp;" working day(s) left"))))))</f>
        <v/>
      </c>
      <c r="R85" s="17"/>
      <c r="S85" s="17"/>
      <c r="T85" s="50"/>
      <c r="U85" s="40"/>
      <c r="V85" s="40"/>
      <c r="W85" s="45" t="str">
        <f aca="false">IF(V85="","",EDATE(V85,Settings!$S$6))</f>
        <v/>
      </c>
      <c r="X85" s="17"/>
      <c r="Y85" s="17"/>
      <c r="Z85" s="17"/>
    </row>
    <row r="86" customFormat="false" ht="15" hidden="false" customHeight="false" outlineLevel="0" collapsed="false">
      <c r="A86" s="17"/>
      <c r="B86" s="17"/>
      <c r="C86" s="17"/>
      <c r="D86" s="17"/>
      <c r="E86" s="42"/>
      <c r="F86" s="17"/>
      <c r="G86" s="17"/>
      <c r="H86" s="17"/>
      <c r="I86" s="49" t="str">
        <f aca="false">IF(H86="","",IFERROR(INDEX(Settings!$G$2:$G$4,MATCH(H86,Settings!$F$2:$F$4,0)),""))</f>
        <v/>
      </c>
      <c r="J86" s="40"/>
      <c r="K86" s="50"/>
      <c r="L86" s="17"/>
      <c r="M86" s="40"/>
      <c r="N86" s="40"/>
      <c r="O86" s="45" t="str">
        <f aca="false">IF(N86="","",WORKDAY(N86,Settings!$S$4))</f>
        <v/>
      </c>
      <c r="P86" s="17"/>
      <c r="Q86" s="44" t="str">
        <f aca="true">IF(C86="","",IF(P86="Backed out",IF(S86="Paid","Refunded – closed",IF(R86="","Refund – log reason first","Refund in progress")),IF(K86="","Awaiting payment",IF(N86="",IF(M86="","Schedule free video","Free video in production"),IF(P86="Approved","Active",IF(TODAY()&gt;O86,"Active – plan went ahead","Decision pending – "&amp;NETWORKDAYS(TODAY(),O86)&amp;" working day(s) left"))))))</f>
        <v/>
      </c>
      <c r="R86" s="17"/>
      <c r="S86" s="17"/>
      <c r="T86" s="50"/>
      <c r="U86" s="40"/>
      <c r="V86" s="40"/>
      <c r="W86" s="45" t="str">
        <f aca="false">IF(V86="","",EDATE(V86,Settings!$S$6))</f>
        <v/>
      </c>
      <c r="X86" s="17"/>
      <c r="Y86" s="17"/>
      <c r="Z86" s="17"/>
    </row>
    <row r="87" customFormat="false" ht="15" hidden="false" customHeight="false" outlineLevel="0" collapsed="false">
      <c r="A87" s="17"/>
      <c r="B87" s="17"/>
      <c r="C87" s="17"/>
      <c r="D87" s="17"/>
      <c r="E87" s="42"/>
      <c r="F87" s="17"/>
      <c r="G87" s="17"/>
      <c r="H87" s="17"/>
      <c r="I87" s="49" t="str">
        <f aca="false">IF(H87="","",IFERROR(INDEX(Settings!$G$2:$G$4,MATCH(H87,Settings!$F$2:$F$4,0)),""))</f>
        <v/>
      </c>
      <c r="J87" s="40"/>
      <c r="K87" s="50"/>
      <c r="L87" s="17"/>
      <c r="M87" s="40"/>
      <c r="N87" s="40"/>
      <c r="O87" s="45" t="str">
        <f aca="false">IF(N87="","",WORKDAY(N87,Settings!$S$4))</f>
        <v/>
      </c>
      <c r="P87" s="17"/>
      <c r="Q87" s="44" t="str">
        <f aca="true">IF(C87="","",IF(P87="Backed out",IF(S87="Paid","Refunded – closed",IF(R87="","Refund – log reason first","Refund in progress")),IF(K87="","Awaiting payment",IF(N87="",IF(M87="","Schedule free video","Free video in production"),IF(P87="Approved","Active",IF(TODAY()&gt;O87,"Active – plan went ahead","Decision pending – "&amp;NETWORKDAYS(TODAY(),O87)&amp;" working day(s) left"))))))</f>
        <v/>
      </c>
      <c r="R87" s="17"/>
      <c r="S87" s="17"/>
      <c r="T87" s="50"/>
      <c r="U87" s="40"/>
      <c r="V87" s="40"/>
      <c r="W87" s="45" t="str">
        <f aca="false">IF(V87="","",EDATE(V87,Settings!$S$6))</f>
        <v/>
      </c>
      <c r="X87" s="17"/>
      <c r="Y87" s="17"/>
      <c r="Z87" s="17"/>
    </row>
    <row r="88" customFormat="false" ht="15" hidden="false" customHeight="false" outlineLevel="0" collapsed="false">
      <c r="A88" s="17"/>
      <c r="B88" s="17"/>
      <c r="C88" s="17"/>
      <c r="D88" s="17"/>
      <c r="E88" s="42"/>
      <c r="F88" s="17"/>
      <c r="G88" s="17"/>
      <c r="H88" s="17"/>
      <c r="I88" s="49" t="str">
        <f aca="false">IF(H88="","",IFERROR(INDEX(Settings!$G$2:$G$4,MATCH(H88,Settings!$F$2:$F$4,0)),""))</f>
        <v/>
      </c>
      <c r="J88" s="40"/>
      <c r="K88" s="50"/>
      <c r="L88" s="17"/>
      <c r="M88" s="40"/>
      <c r="N88" s="40"/>
      <c r="O88" s="45" t="str">
        <f aca="false">IF(N88="","",WORKDAY(N88,Settings!$S$4))</f>
        <v/>
      </c>
      <c r="P88" s="17"/>
      <c r="Q88" s="44" t="str">
        <f aca="true">IF(C88="","",IF(P88="Backed out",IF(S88="Paid","Refunded – closed",IF(R88="","Refund – log reason first","Refund in progress")),IF(K88="","Awaiting payment",IF(N88="",IF(M88="","Schedule free video","Free video in production"),IF(P88="Approved","Active",IF(TODAY()&gt;O88,"Active – plan went ahead","Decision pending – "&amp;NETWORKDAYS(TODAY(),O88)&amp;" working day(s) left"))))))</f>
        <v/>
      </c>
      <c r="R88" s="17"/>
      <c r="S88" s="17"/>
      <c r="T88" s="50"/>
      <c r="U88" s="40"/>
      <c r="V88" s="40"/>
      <c r="W88" s="45" t="str">
        <f aca="false">IF(V88="","",EDATE(V88,Settings!$S$6))</f>
        <v/>
      </c>
      <c r="X88" s="17"/>
      <c r="Y88" s="17"/>
      <c r="Z88" s="17"/>
    </row>
    <row r="89" customFormat="false" ht="15" hidden="false" customHeight="false" outlineLevel="0" collapsed="false">
      <c r="A89" s="17"/>
      <c r="B89" s="17"/>
      <c r="C89" s="17"/>
      <c r="D89" s="17"/>
      <c r="E89" s="42"/>
      <c r="F89" s="17"/>
      <c r="G89" s="17"/>
      <c r="H89" s="17"/>
      <c r="I89" s="49" t="str">
        <f aca="false">IF(H89="","",IFERROR(INDEX(Settings!$G$2:$G$4,MATCH(H89,Settings!$F$2:$F$4,0)),""))</f>
        <v/>
      </c>
      <c r="J89" s="40"/>
      <c r="K89" s="50"/>
      <c r="L89" s="17"/>
      <c r="M89" s="40"/>
      <c r="N89" s="40"/>
      <c r="O89" s="45" t="str">
        <f aca="false">IF(N89="","",WORKDAY(N89,Settings!$S$4))</f>
        <v/>
      </c>
      <c r="P89" s="17"/>
      <c r="Q89" s="44" t="str">
        <f aca="true">IF(C89="","",IF(P89="Backed out",IF(S89="Paid","Refunded – closed",IF(R89="","Refund – log reason first","Refund in progress")),IF(K89="","Awaiting payment",IF(N89="",IF(M89="","Schedule free video","Free video in production"),IF(P89="Approved","Active",IF(TODAY()&gt;O89,"Active – plan went ahead","Decision pending – "&amp;NETWORKDAYS(TODAY(),O89)&amp;" working day(s) left"))))))</f>
        <v/>
      </c>
      <c r="R89" s="17"/>
      <c r="S89" s="17"/>
      <c r="T89" s="50"/>
      <c r="U89" s="40"/>
      <c r="V89" s="40"/>
      <c r="W89" s="45" t="str">
        <f aca="false">IF(V89="","",EDATE(V89,Settings!$S$6))</f>
        <v/>
      </c>
      <c r="X89" s="17"/>
      <c r="Y89" s="17"/>
      <c r="Z89" s="17"/>
    </row>
    <row r="90" customFormat="false" ht="15" hidden="false" customHeight="false" outlineLevel="0" collapsed="false">
      <c r="A90" s="17"/>
      <c r="B90" s="17"/>
      <c r="C90" s="17"/>
      <c r="D90" s="17"/>
      <c r="E90" s="42"/>
      <c r="F90" s="17"/>
      <c r="G90" s="17"/>
      <c r="H90" s="17"/>
      <c r="I90" s="49" t="str">
        <f aca="false">IF(H90="","",IFERROR(INDEX(Settings!$G$2:$G$4,MATCH(H90,Settings!$F$2:$F$4,0)),""))</f>
        <v/>
      </c>
      <c r="J90" s="40"/>
      <c r="K90" s="50"/>
      <c r="L90" s="17"/>
      <c r="M90" s="40"/>
      <c r="N90" s="40"/>
      <c r="O90" s="45" t="str">
        <f aca="false">IF(N90="","",WORKDAY(N90,Settings!$S$4))</f>
        <v/>
      </c>
      <c r="P90" s="17"/>
      <c r="Q90" s="44" t="str">
        <f aca="true">IF(C90="","",IF(P90="Backed out",IF(S90="Paid","Refunded – closed",IF(R90="","Refund – log reason first","Refund in progress")),IF(K90="","Awaiting payment",IF(N90="",IF(M90="","Schedule free video","Free video in production"),IF(P90="Approved","Active",IF(TODAY()&gt;O90,"Active – plan went ahead","Decision pending – "&amp;NETWORKDAYS(TODAY(),O90)&amp;" working day(s) left"))))))</f>
        <v/>
      </c>
      <c r="R90" s="17"/>
      <c r="S90" s="17"/>
      <c r="T90" s="50"/>
      <c r="U90" s="40"/>
      <c r="V90" s="40"/>
      <c r="W90" s="45" t="str">
        <f aca="false">IF(V90="","",EDATE(V90,Settings!$S$6))</f>
        <v/>
      </c>
      <c r="X90" s="17"/>
      <c r="Y90" s="17"/>
      <c r="Z90" s="17"/>
    </row>
    <row r="91" customFormat="false" ht="15" hidden="false" customHeight="false" outlineLevel="0" collapsed="false">
      <c r="A91" s="17"/>
      <c r="B91" s="17"/>
      <c r="C91" s="17"/>
      <c r="D91" s="17"/>
      <c r="E91" s="42"/>
      <c r="F91" s="17"/>
      <c r="G91" s="17"/>
      <c r="H91" s="17"/>
      <c r="I91" s="49" t="str">
        <f aca="false">IF(H91="","",IFERROR(INDEX(Settings!$G$2:$G$4,MATCH(H91,Settings!$F$2:$F$4,0)),""))</f>
        <v/>
      </c>
      <c r="J91" s="40"/>
      <c r="K91" s="50"/>
      <c r="L91" s="17"/>
      <c r="M91" s="40"/>
      <c r="N91" s="40"/>
      <c r="O91" s="45" t="str">
        <f aca="false">IF(N91="","",WORKDAY(N91,Settings!$S$4))</f>
        <v/>
      </c>
      <c r="P91" s="17"/>
      <c r="Q91" s="44" t="str">
        <f aca="true">IF(C91="","",IF(P91="Backed out",IF(S91="Paid","Refunded – closed",IF(R91="","Refund – log reason first","Refund in progress")),IF(K91="","Awaiting payment",IF(N91="",IF(M91="","Schedule free video","Free video in production"),IF(P91="Approved","Active",IF(TODAY()&gt;O91,"Active – plan went ahead","Decision pending – "&amp;NETWORKDAYS(TODAY(),O91)&amp;" working day(s) left"))))))</f>
        <v/>
      </c>
      <c r="R91" s="17"/>
      <c r="S91" s="17"/>
      <c r="T91" s="50"/>
      <c r="U91" s="40"/>
      <c r="V91" s="40"/>
      <c r="W91" s="45" t="str">
        <f aca="false">IF(V91="","",EDATE(V91,Settings!$S$6))</f>
        <v/>
      </c>
      <c r="X91" s="17"/>
      <c r="Y91" s="17"/>
      <c r="Z91" s="17"/>
    </row>
    <row r="92" customFormat="false" ht="15" hidden="false" customHeight="false" outlineLevel="0" collapsed="false">
      <c r="A92" s="17"/>
      <c r="B92" s="17"/>
      <c r="C92" s="17"/>
      <c r="D92" s="17"/>
      <c r="E92" s="42"/>
      <c r="F92" s="17"/>
      <c r="G92" s="17"/>
      <c r="H92" s="17"/>
      <c r="I92" s="49" t="str">
        <f aca="false">IF(H92="","",IFERROR(INDEX(Settings!$G$2:$G$4,MATCH(H92,Settings!$F$2:$F$4,0)),""))</f>
        <v/>
      </c>
      <c r="J92" s="40"/>
      <c r="K92" s="50"/>
      <c r="L92" s="17"/>
      <c r="M92" s="40"/>
      <c r="N92" s="40"/>
      <c r="O92" s="45" t="str">
        <f aca="false">IF(N92="","",WORKDAY(N92,Settings!$S$4))</f>
        <v/>
      </c>
      <c r="P92" s="17"/>
      <c r="Q92" s="44" t="str">
        <f aca="true">IF(C92="","",IF(P92="Backed out",IF(S92="Paid","Refunded – closed",IF(R92="","Refund – log reason first","Refund in progress")),IF(K92="","Awaiting payment",IF(N92="",IF(M92="","Schedule free video","Free video in production"),IF(P92="Approved","Active",IF(TODAY()&gt;O92,"Active – plan went ahead","Decision pending – "&amp;NETWORKDAYS(TODAY(),O92)&amp;" working day(s) left"))))))</f>
        <v/>
      </c>
      <c r="R92" s="17"/>
      <c r="S92" s="17"/>
      <c r="T92" s="50"/>
      <c r="U92" s="40"/>
      <c r="V92" s="40"/>
      <c r="W92" s="45" t="str">
        <f aca="false">IF(V92="","",EDATE(V92,Settings!$S$6))</f>
        <v/>
      </c>
      <c r="X92" s="17"/>
      <c r="Y92" s="17"/>
      <c r="Z92" s="17"/>
    </row>
    <row r="93" customFormat="false" ht="15" hidden="false" customHeight="false" outlineLevel="0" collapsed="false">
      <c r="A93" s="17"/>
      <c r="B93" s="17"/>
      <c r="C93" s="17"/>
      <c r="D93" s="17"/>
      <c r="E93" s="42"/>
      <c r="F93" s="17"/>
      <c r="G93" s="17"/>
      <c r="H93" s="17"/>
      <c r="I93" s="49" t="str">
        <f aca="false">IF(H93="","",IFERROR(INDEX(Settings!$G$2:$G$4,MATCH(H93,Settings!$F$2:$F$4,0)),""))</f>
        <v/>
      </c>
      <c r="J93" s="40"/>
      <c r="K93" s="50"/>
      <c r="L93" s="17"/>
      <c r="M93" s="40"/>
      <c r="N93" s="40"/>
      <c r="O93" s="45" t="str">
        <f aca="false">IF(N93="","",WORKDAY(N93,Settings!$S$4))</f>
        <v/>
      </c>
      <c r="P93" s="17"/>
      <c r="Q93" s="44" t="str">
        <f aca="true">IF(C93="","",IF(P93="Backed out",IF(S93="Paid","Refunded – closed",IF(R93="","Refund – log reason first","Refund in progress")),IF(K93="","Awaiting payment",IF(N93="",IF(M93="","Schedule free video","Free video in production"),IF(P93="Approved","Active",IF(TODAY()&gt;O93,"Active – plan went ahead","Decision pending – "&amp;NETWORKDAYS(TODAY(),O93)&amp;" working day(s) left"))))))</f>
        <v/>
      </c>
      <c r="R93" s="17"/>
      <c r="S93" s="17"/>
      <c r="T93" s="50"/>
      <c r="U93" s="40"/>
      <c r="V93" s="40"/>
      <c r="W93" s="45" t="str">
        <f aca="false">IF(V93="","",EDATE(V93,Settings!$S$6))</f>
        <v/>
      </c>
      <c r="X93" s="17"/>
      <c r="Y93" s="17"/>
      <c r="Z93" s="17"/>
    </row>
    <row r="94" customFormat="false" ht="15" hidden="false" customHeight="false" outlineLevel="0" collapsed="false">
      <c r="A94" s="17"/>
      <c r="B94" s="17"/>
      <c r="C94" s="17"/>
      <c r="D94" s="17"/>
      <c r="E94" s="42"/>
      <c r="F94" s="17"/>
      <c r="G94" s="17"/>
      <c r="H94" s="17"/>
      <c r="I94" s="49" t="str">
        <f aca="false">IF(H94="","",IFERROR(INDEX(Settings!$G$2:$G$4,MATCH(H94,Settings!$F$2:$F$4,0)),""))</f>
        <v/>
      </c>
      <c r="J94" s="40"/>
      <c r="K94" s="50"/>
      <c r="L94" s="17"/>
      <c r="M94" s="40"/>
      <c r="N94" s="40"/>
      <c r="O94" s="45" t="str">
        <f aca="false">IF(N94="","",WORKDAY(N94,Settings!$S$4))</f>
        <v/>
      </c>
      <c r="P94" s="17"/>
      <c r="Q94" s="44" t="str">
        <f aca="true">IF(C94="","",IF(P94="Backed out",IF(S94="Paid","Refunded – closed",IF(R94="","Refund – log reason first","Refund in progress")),IF(K94="","Awaiting payment",IF(N94="",IF(M94="","Schedule free video","Free video in production"),IF(P94="Approved","Active",IF(TODAY()&gt;O94,"Active – plan went ahead","Decision pending – "&amp;NETWORKDAYS(TODAY(),O94)&amp;" working day(s) left"))))))</f>
        <v/>
      </c>
      <c r="R94" s="17"/>
      <c r="S94" s="17"/>
      <c r="T94" s="50"/>
      <c r="U94" s="40"/>
      <c r="V94" s="40"/>
      <c r="W94" s="45" t="str">
        <f aca="false">IF(V94="","",EDATE(V94,Settings!$S$6))</f>
        <v/>
      </c>
      <c r="X94" s="17"/>
      <c r="Y94" s="17"/>
      <c r="Z94" s="17"/>
    </row>
    <row r="95" customFormat="false" ht="15" hidden="false" customHeight="false" outlineLevel="0" collapsed="false">
      <c r="A95" s="17"/>
      <c r="B95" s="17"/>
      <c r="C95" s="17"/>
      <c r="D95" s="17"/>
      <c r="E95" s="42"/>
      <c r="F95" s="17"/>
      <c r="G95" s="17"/>
      <c r="H95" s="17"/>
      <c r="I95" s="49" t="str">
        <f aca="false">IF(H95="","",IFERROR(INDEX(Settings!$G$2:$G$4,MATCH(H95,Settings!$F$2:$F$4,0)),""))</f>
        <v/>
      </c>
      <c r="J95" s="40"/>
      <c r="K95" s="50"/>
      <c r="L95" s="17"/>
      <c r="M95" s="40"/>
      <c r="N95" s="40"/>
      <c r="O95" s="45" t="str">
        <f aca="false">IF(N95="","",WORKDAY(N95,Settings!$S$4))</f>
        <v/>
      </c>
      <c r="P95" s="17"/>
      <c r="Q95" s="44" t="str">
        <f aca="true">IF(C95="","",IF(P95="Backed out",IF(S95="Paid","Refunded – closed",IF(R95="","Refund – log reason first","Refund in progress")),IF(K95="","Awaiting payment",IF(N95="",IF(M95="","Schedule free video","Free video in production"),IF(P95="Approved","Active",IF(TODAY()&gt;O95,"Active – plan went ahead","Decision pending – "&amp;NETWORKDAYS(TODAY(),O95)&amp;" working day(s) left"))))))</f>
        <v/>
      </c>
      <c r="R95" s="17"/>
      <c r="S95" s="17"/>
      <c r="T95" s="50"/>
      <c r="U95" s="40"/>
      <c r="V95" s="40"/>
      <c r="W95" s="45" t="str">
        <f aca="false">IF(V95="","",EDATE(V95,Settings!$S$6))</f>
        <v/>
      </c>
      <c r="X95" s="17"/>
      <c r="Y95" s="17"/>
      <c r="Z95" s="17"/>
    </row>
    <row r="96" customFormat="false" ht="15" hidden="false" customHeight="false" outlineLevel="0" collapsed="false">
      <c r="A96" s="17"/>
      <c r="B96" s="17"/>
      <c r="C96" s="17"/>
      <c r="D96" s="17"/>
      <c r="E96" s="42"/>
      <c r="F96" s="17"/>
      <c r="G96" s="17"/>
      <c r="H96" s="17"/>
      <c r="I96" s="49" t="str">
        <f aca="false">IF(H96="","",IFERROR(INDEX(Settings!$G$2:$G$4,MATCH(H96,Settings!$F$2:$F$4,0)),""))</f>
        <v/>
      </c>
      <c r="J96" s="40"/>
      <c r="K96" s="50"/>
      <c r="L96" s="17"/>
      <c r="M96" s="40"/>
      <c r="N96" s="40"/>
      <c r="O96" s="45" t="str">
        <f aca="false">IF(N96="","",WORKDAY(N96,Settings!$S$4))</f>
        <v/>
      </c>
      <c r="P96" s="17"/>
      <c r="Q96" s="44" t="str">
        <f aca="true">IF(C96="","",IF(P96="Backed out",IF(S96="Paid","Refunded – closed",IF(R96="","Refund – log reason first","Refund in progress")),IF(K96="","Awaiting payment",IF(N96="",IF(M96="","Schedule free video","Free video in production"),IF(P96="Approved","Active",IF(TODAY()&gt;O96,"Active – plan went ahead","Decision pending – "&amp;NETWORKDAYS(TODAY(),O96)&amp;" working day(s) left"))))))</f>
        <v/>
      </c>
      <c r="R96" s="17"/>
      <c r="S96" s="17"/>
      <c r="T96" s="50"/>
      <c r="U96" s="40"/>
      <c r="V96" s="40"/>
      <c r="W96" s="45" t="str">
        <f aca="false">IF(V96="","",EDATE(V96,Settings!$S$6))</f>
        <v/>
      </c>
      <c r="X96" s="17"/>
      <c r="Y96" s="17"/>
      <c r="Z96" s="17"/>
    </row>
    <row r="97" customFormat="false" ht="15" hidden="false" customHeight="false" outlineLevel="0" collapsed="false">
      <c r="A97" s="17"/>
      <c r="B97" s="17"/>
      <c r="C97" s="17"/>
      <c r="D97" s="17"/>
      <c r="E97" s="42"/>
      <c r="F97" s="17"/>
      <c r="G97" s="17"/>
      <c r="H97" s="17"/>
      <c r="I97" s="49" t="str">
        <f aca="false">IF(H97="","",IFERROR(INDEX(Settings!$G$2:$G$4,MATCH(H97,Settings!$F$2:$F$4,0)),""))</f>
        <v/>
      </c>
      <c r="J97" s="40"/>
      <c r="K97" s="50"/>
      <c r="L97" s="17"/>
      <c r="M97" s="40"/>
      <c r="N97" s="40"/>
      <c r="O97" s="45" t="str">
        <f aca="false">IF(N97="","",WORKDAY(N97,Settings!$S$4))</f>
        <v/>
      </c>
      <c r="P97" s="17"/>
      <c r="Q97" s="44" t="str">
        <f aca="true">IF(C97="","",IF(P97="Backed out",IF(S97="Paid","Refunded – closed",IF(R97="","Refund – log reason first","Refund in progress")),IF(K97="","Awaiting payment",IF(N97="",IF(M97="","Schedule free video","Free video in production"),IF(P97="Approved","Active",IF(TODAY()&gt;O97,"Active – plan went ahead","Decision pending – "&amp;NETWORKDAYS(TODAY(),O97)&amp;" working day(s) left"))))))</f>
        <v/>
      </c>
      <c r="R97" s="17"/>
      <c r="S97" s="17"/>
      <c r="T97" s="50"/>
      <c r="U97" s="40"/>
      <c r="V97" s="40"/>
      <c r="W97" s="45" t="str">
        <f aca="false">IF(V97="","",EDATE(V97,Settings!$S$6))</f>
        <v/>
      </c>
      <c r="X97" s="17"/>
      <c r="Y97" s="17"/>
      <c r="Z97" s="17"/>
    </row>
    <row r="98" customFormat="false" ht="15" hidden="false" customHeight="false" outlineLevel="0" collapsed="false">
      <c r="A98" s="17"/>
      <c r="B98" s="17"/>
      <c r="C98" s="17"/>
      <c r="D98" s="17"/>
      <c r="E98" s="42"/>
      <c r="F98" s="17"/>
      <c r="G98" s="17"/>
      <c r="H98" s="17"/>
      <c r="I98" s="49" t="str">
        <f aca="false">IF(H98="","",IFERROR(INDEX(Settings!$G$2:$G$4,MATCH(H98,Settings!$F$2:$F$4,0)),""))</f>
        <v/>
      </c>
      <c r="J98" s="40"/>
      <c r="K98" s="50"/>
      <c r="L98" s="17"/>
      <c r="M98" s="40"/>
      <c r="N98" s="40"/>
      <c r="O98" s="45" t="str">
        <f aca="false">IF(N98="","",WORKDAY(N98,Settings!$S$4))</f>
        <v/>
      </c>
      <c r="P98" s="17"/>
      <c r="Q98" s="44" t="str">
        <f aca="true">IF(C98="","",IF(P98="Backed out",IF(S98="Paid","Refunded – closed",IF(R98="","Refund – log reason first","Refund in progress")),IF(K98="","Awaiting payment",IF(N98="",IF(M98="","Schedule free video","Free video in production"),IF(P98="Approved","Active",IF(TODAY()&gt;O98,"Active – plan went ahead","Decision pending – "&amp;NETWORKDAYS(TODAY(),O98)&amp;" working day(s) left"))))))</f>
        <v/>
      </c>
      <c r="R98" s="17"/>
      <c r="S98" s="17"/>
      <c r="T98" s="50"/>
      <c r="U98" s="40"/>
      <c r="V98" s="40"/>
      <c r="W98" s="45" t="str">
        <f aca="false">IF(V98="","",EDATE(V98,Settings!$S$6))</f>
        <v/>
      </c>
      <c r="X98" s="17"/>
      <c r="Y98" s="17"/>
      <c r="Z98" s="17"/>
    </row>
    <row r="99" customFormat="false" ht="15" hidden="false" customHeight="false" outlineLevel="0" collapsed="false">
      <c r="A99" s="17"/>
      <c r="B99" s="17"/>
      <c r="C99" s="17"/>
      <c r="D99" s="17"/>
      <c r="E99" s="42"/>
      <c r="F99" s="17"/>
      <c r="G99" s="17"/>
      <c r="H99" s="17"/>
      <c r="I99" s="49" t="str">
        <f aca="false">IF(H99="","",IFERROR(INDEX(Settings!$G$2:$G$4,MATCH(H99,Settings!$F$2:$F$4,0)),""))</f>
        <v/>
      </c>
      <c r="J99" s="40"/>
      <c r="K99" s="50"/>
      <c r="L99" s="17"/>
      <c r="M99" s="40"/>
      <c r="N99" s="40"/>
      <c r="O99" s="45" t="str">
        <f aca="false">IF(N99="","",WORKDAY(N99,Settings!$S$4))</f>
        <v/>
      </c>
      <c r="P99" s="17"/>
      <c r="Q99" s="44" t="str">
        <f aca="true">IF(C99="","",IF(P99="Backed out",IF(S99="Paid","Refunded – closed",IF(R99="","Refund – log reason first","Refund in progress")),IF(K99="","Awaiting payment",IF(N99="",IF(M99="","Schedule free video","Free video in production"),IF(P99="Approved","Active",IF(TODAY()&gt;O99,"Active – plan went ahead","Decision pending – "&amp;NETWORKDAYS(TODAY(),O99)&amp;" working day(s) left"))))))</f>
        <v/>
      </c>
      <c r="R99" s="17"/>
      <c r="S99" s="17"/>
      <c r="T99" s="50"/>
      <c r="U99" s="40"/>
      <c r="V99" s="40"/>
      <c r="W99" s="45" t="str">
        <f aca="false">IF(V99="","",EDATE(V99,Settings!$S$6))</f>
        <v/>
      </c>
      <c r="X99" s="17"/>
      <c r="Y99" s="17"/>
      <c r="Z99" s="17"/>
    </row>
    <row r="100" customFormat="false" ht="15" hidden="false" customHeight="false" outlineLevel="0" collapsed="false">
      <c r="A100" s="17"/>
      <c r="B100" s="17"/>
      <c r="C100" s="17"/>
      <c r="D100" s="17"/>
      <c r="E100" s="42"/>
      <c r="F100" s="17"/>
      <c r="G100" s="17"/>
      <c r="H100" s="17"/>
      <c r="I100" s="49" t="str">
        <f aca="false">IF(H100="","",IFERROR(INDEX(Settings!$G$2:$G$4,MATCH(H100,Settings!$F$2:$F$4,0)),""))</f>
        <v/>
      </c>
      <c r="J100" s="40"/>
      <c r="K100" s="50"/>
      <c r="L100" s="17"/>
      <c r="M100" s="40"/>
      <c r="N100" s="40"/>
      <c r="O100" s="45" t="str">
        <f aca="false">IF(N100="","",WORKDAY(N100,Settings!$S$4))</f>
        <v/>
      </c>
      <c r="P100" s="17"/>
      <c r="Q100" s="44" t="str">
        <f aca="true">IF(C100="","",IF(P100="Backed out",IF(S100="Paid","Refunded – closed",IF(R100="","Refund – log reason first","Refund in progress")),IF(K100="","Awaiting payment",IF(N100="",IF(M100="","Schedule free video","Free video in production"),IF(P100="Approved","Active",IF(TODAY()&gt;O100,"Active – plan went ahead","Decision pending – "&amp;NETWORKDAYS(TODAY(),O100)&amp;" working day(s) left"))))))</f>
        <v/>
      </c>
      <c r="R100" s="17"/>
      <c r="S100" s="17"/>
      <c r="T100" s="50"/>
      <c r="U100" s="40"/>
      <c r="V100" s="40"/>
      <c r="W100" s="45" t="str">
        <f aca="false">IF(V100="","",EDATE(V100,Settings!$S$6))</f>
        <v/>
      </c>
      <c r="X100" s="17"/>
      <c r="Y100" s="17"/>
      <c r="Z100" s="17"/>
    </row>
    <row r="101" customFormat="false" ht="15" hidden="false" customHeight="false" outlineLevel="0" collapsed="false">
      <c r="A101" s="17"/>
      <c r="B101" s="17"/>
      <c r="C101" s="17"/>
      <c r="D101" s="17"/>
      <c r="E101" s="42"/>
      <c r="F101" s="17"/>
      <c r="G101" s="17"/>
      <c r="H101" s="17"/>
      <c r="I101" s="49" t="str">
        <f aca="false">IF(H101="","",IFERROR(INDEX(Settings!$G$2:$G$4,MATCH(H101,Settings!$F$2:$F$4,0)),""))</f>
        <v/>
      </c>
      <c r="J101" s="40"/>
      <c r="K101" s="50"/>
      <c r="L101" s="17"/>
      <c r="M101" s="40"/>
      <c r="N101" s="40"/>
      <c r="O101" s="45" t="str">
        <f aca="false">IF(N101="","",WORKDAY(N101,Settings!$S$4))</f>
        <v/>
      </c>
      <c r="P101" s="17"/>
      <c r="Q101" s="44" t="str">
        <f aca="true">IF(C101="","",IF(P101="Backed out",IF(S101="Paid","Refunded – closed",IF(R101="","Refund – log reason first","Refund in progress")),IF(K101="","Awaiting payment",IF(N101="",IF(M101="","Schedule free video","Free video in production"),IF(P101="Approved","Active",IF(TODAY()&gt;O101,"Active – plan went ahead","Decision pending – "&amp;NETWORKDAYS(TODAY(),O101)&amp;" working day(s) left"))))))</f>
        <v/>
      </c>
      <c r="R101" s="17"/>
      <c r="S101" s="17"/>
      <c r="T101" s="50"/>
      <c r="U101" s="40"/>
      <c r="V101" s="40"/>
      <c r="W101" s="45" t="str">
        <f aca="false">IF(V101="","",EDATE(V101,Settings!$S$6))</f>
        <v/>
      </c>
      <c r="X101" s="17"/>
      <c r="Y101" s="17"/>
      <c r="Z101" s="17"/>
    </row>
    <row r="102" customFormat="false" ht="15" hidden="false" customHeight="false" outlineLevel="0" collapsed="false">
      <c r="A102" s="17"/>
      <c r="B102" s="17"/>
      <c r="C102" s="17"/>
      <c r="D102" s="17"/>
      <c r="E102" s="42"/>
      <c r="F102" s="17"/>
      <c r="G102" s="17"/>
      <c r="H102" s="17"/>
      <c r="I102" s="49" t="str">
        <f aca="false">IF(H102="","",IFERROR(INDEX(Settings!$G$2:$G$4,MATCH(H102,Settings!$F$2:$F$4,0)),""))</f>
        <v/>
      </c>
      <c r="J102" s="40"/>
      <c r="K102" s="50"/>
      <c r="L102" s="17"/>
      <c r="M102" s="40"/>
      <c r="N102" s="40"/>
      <c r="O102" s="45" t="str">
        <f aca="false">IF(N102="","",WORKDAY(N102,Settings!$S$4))</f>
        <v/>
      </c>
      <c r="P102" s="17"/>
      <c r="Q102" s="44" t="str">
        <f aca="true">IF(C102="","",IF(P102="Backed out",IF(S102="Paid","Refunded – closed",IF(R102="","Refund – log reason first","Refund in progress")),IF(K102="","Awaiting payment",IF(N102="",IF(M102="","Schedule free video","Free video in production"),IF(P102="Approved","Active",IF(TODAY()&gt;O102,"Active – plan went ahead","Decision pending – "&amp;NETWORKDAYS(TODAY(),O102)&amp;" working day(s) left"))))))</f>
        <v/>
      </c>
      <c r="R102" s="17"/>
      <c r="S102" s="17"/>
      <c r="T102" s="50"/>
      <c r="U102" s="40"/>
      <c r="V102" s="40"/>
      <c r="W102" s="45" t="str">
        <f aca="false">IF(V102="","",EDATE(V102,Settings!$S$6))</f>
        <v/>
      </c>
      <c r="X102" s="17"/>
      <c r="Y102" s="17"/>
      <c r="Z102" s="17"/>
    </row>
    <row r="103" customFormat="false" ht="15" hidden="false" customHeight="false" outlineLevel="0" collapsed="false">
      <c r="A103" s="17"/>
      <c r="B103" s="17"/>
      <c r="C103" s="17"/>
      <c r="D103" s="17"/>
      <c r="E103" s="42"/>
      <c r="F103" s="17"/>
      <c r="G103" s="17"/>
      <c r="H103" s="17"/>
      <c r="I103" s="49" t="str">
        <f aca="false">IF(H103="","",IFERROR(INDEX(Settings!$G$2:$G$4,MATCH(H103,Settings!$F$2:$F$4,0)),""))</f>
        <v/>
      </c>
      <c r="J103" s="40"/>
      <c r="K103" s="50"/>
      <c r="L103" s="17"/>
      <c r="M103" s="40"/>
      <c r="N103" s="40"/>
      <c r="O103" s="45" t="str">
        <f aca="false">IF(N103="","",WORKDAY(N103,Settings!$S$4))</f>
        <v/>
      </c>
      <c r="P103" s="17"/>
      <c r="Q103" s="44" t="str">
        <f aca="true">IF(C103="","",IF(P103="Backed out",IF(S103="Paid","Refunded – closed",IF(R103="","Refund – log reason first","Refund in progress")),IF(K103="","Awaiting payment",IF(N103="",IF(M103="","Schedule free video","Free video in production"),IF(P103="Approved","Active",IF(TODAY()&gt;O103,"Active – plan went ahead","Decision pending – "&amp;NETWORKDAYS(TODAY(),O103)&amp;" working day(s) left"))))))</f>
        <v/>
      </c>
      <c r="R103" s="17"/>
      <c r="S103" s="17"/>
      <c r="T103" s="50"/>
      <c r="U103" s="40"/>
      <c r="V103" s="40"/>
      <c r="W103" s="45" t="str">
        <f aca="false">IF(V103="","",EDATE(V103,Settings!$S$6))</f>
        <v/>
      </c>
      <c r="X103" s="17"/>
      <c r="Y103" s="17"/>
      <c r="Z103" s="17"/>
    </row>
    <row r="104" customFormat="false" ht="15" hidden="false" customHeight="false" outlineLevel="0" collapsed="false">
      <c r="A104" s="17"/>
      <c r="B104" s="17"/>
      <c r="C104" s="17"/>
      <c r="D104" s="17"/>
      <c r="E104" s="42"/>
      <c r="F104" s="17"/>
      <c r="G104" s="17"/>
      <c r="H104" s="17"/>
      <c r="I104" s="49" t="str">
        <f aca="false">IF(H104="","",IFERROR(INDEX(Settings!$G$2:$G$4,MATCH(H104,Settings!$F$2:$F$4,0)),""))</f>
        <v/>
      </c>
      <c r="J104" s="40"/>
      <c r="K104" s="50"/>
      <c r="L104" s="17"/>
      <c r="M104" s="40"/>
      <c r="N104" s="40"/>
      <c r="O104" s="45" t="str">
        <f aca="false">IF(N104="","",WORKDAY(N104,Settings!$S$4))</f>
        <v/>
      </c>
      <c r="P104" s="17"/>
      <c r="Q104" s="44" t="str">
        <f aca="true">IF(C104="","",IF(P104="Backed out",IF(S104="Paid","Refunded – closed",IF(R104="","Refund – log reason first","Refund in progress")),IF(K104="","Awaiting payment",IF(N104="",IF(M104="","Schedule free video","Free video in production"),IF(P104="Approved","Active",IF(TODAY()&gt;O104,"Active – plan went ahead","Decision pending – "&amp;NETWORKDAYS(TODAY(),O104)&amp;" working day(s) left"))))))</f>
        <v/>
      </c>
      <c r="R104" s="17"/>
      <c r="S104" s="17"/>
      <c r="T104" s="50"/>
      <c r="U104" s="40"/>
      <c r="V104" s="40"/>
      <c r="W104" s="45" t="str">
        <f aca="false">IF(V104="","",EDATE(V104,Settings!$S$6))</f>
        <v/>
      </c>
      <c r="X104" s="17"/>
      <c r="Y104" s="17"/>
      <c r="Z104" s="17"/>
    </row>
    <row r="105" customFormat="false" ht="15" hidden="false" customHeight="false" outlineLevel="0" collapsed="false">
      <c r="A105" s="17"/>
      <c r="B105" s="17"/>
      <c r="C105" s="17"/>
      <c r="D105" s="17"/>
      <c r="E105" s="42"/>
      <c r="F105" s="17"/>
      <c r="G105" s="17"/>
      <c r="H105" s="17"/>
      <c r="I105" s="49" t="str">
        <f aca="false">IF(H105="","",IFERROR(INDEX(Settings!$G$2:$G$4,MATCH(H105,Settings!$F$2:$F$4,0)),""))</f>
        <v/>
      </c>
      <c r="J105" s="40"/>
      <c r="K105" s="50"/>
      <c r="L105" s="17"/>
      <c r="M105" s="40"/>
      <c r="N105" s="40"/>
      <c r="O105" s="45" t="str">
        <f aca="false">IF(N105="","",WORKDAY(N105,Settings!$S$4))</f>
        <v/>
      </c>
      <c r="P105" s="17"/>
      <c r="Q105" s="44" t="str">
        <f aca="true">IF(C105="","",IF(P105="Backed out",IF(S105="Paid","Refunded – closed",IF(R105="","Refund – log reason first","Refund in progress")),IF(K105="","Awaiting payment",IF(N105="",IF(M105="","Schedule free video","Free video in production"),IF(P105="Approved","Active",IF(TODAY()&gt;O105,"Active – plan went ahead","Decision pending – "&amp;NETWORKDAYS(TODAY(),O105)&amp;" working day(s) left"))))))</f>
        <v/>
      </c>
      <c r="R105" s="17"/>
      <c r="S105" s="17"/>
      <c r="T105" s="50"/>
      <c r="U105" s="40"/>
      <c r="V105" s="40"/>
      <c r="W105" s="45" t="str">
        <f aca="false">IF(V105="","",EDATE(V105,Settings!$S$6))</f>
        <v/>
      </c>
      <c r="X105" s="17"/>
      <c r="Y105" s="17"/>
      <c r="Z105" s="17"/>
    </row>
    <row r="106" customFormat="false" ht="15" hidden="false" customHeight="false" outlineLevel="0" collapsed="false">
      <c r="A106" s="17"/>
      <c r="B106" s="17"/>
      <c r="C106" s="17"/>
      <c r="D106" s="17"/>
      <c r="E106" s="42"/>
      <c r="F106" s="17"/>
      <c r="G106" s="17"/>
      <c r="H106" s="17"/>
      <c r="I106" s="49" t="str">
        <f aca="false">IF(H106="","",IFERROR(INDEX(Settings!$G$2:$G$4,MATCH(H106,Settings!$F$2:$F$4,0)),""))</f>
        <v/>
      </c>
      <c r="J106" s="40"/>
      <c r="K106" s="50"/>
      <c r="L106" s="17"/>
      <c r="M106" s="40"/>
      <c r="N106" s="40"/>
      <c r="O106" s="45" t="str">
        <f aca="false">IF(N106="","",WORKDAY(N106,Settings!$S$4))</f>
        <v/>
      </c>
      <c r="P106" s="17"/>
      <c r="Q106" s="44" t="str">
        <f aca="true">IF(C106="","",IF(P106="Backed out",IF(S106="Paid","Refunded – closed",IF(R106="","Refund – log reason first","Refund in progress")),IF(K106="","Awaiting payment",IF(N106="",IF(M106="","Schedule free video","Free video in production"),IF(P106="Approved","Active",IF(TODAY()&gt;O106,"Active – plan went ahead","Decision pending – "&amp;NETWORKDAYS(TODAY(),O106)&amp;" working day(s) left"))))))</f>
        <v/>
      </c>
      <c r="R106" s="17"/>
      <c r="S106" s="17"/>
      <c r="T106" s="50"/>
      <c r="U106" s="40"/>
      <c r="V106" s="40"/>
      <c r="W106" s="45" t="str">
        <f aca="false">IF(V106="","",EDATE(V106,Settings!$S$6))</f>
        <v/>
      </c>
      <c r="X106" s="17"/>
      <c r="Y106" s="17"/>
      <c r="Z106" s="17"/>
    </row>
    <row r="107" customFormat="false" ht="15" hidden="false" customHeight="false" outlineLevel="0" collapsed="false">
      <c r="A107" s="17"/>
      <c r="B107" s="17"/>
      <c r="C107" s="17"/>
      <c r="D107" s="17"/>
      <c r="E107" s="42"/>
      <c r="F107" s="17"/>
      <c r="G107" s="17"/>
      <c r="H107" s="17"/>
      <c r="I107" s="49" t="str">
        <f aca="false">IF(H107="","",IFERROR(INDEX(Settings!$G$2:$G$4,MATCH(H107,Settings!$F$2:$F$4,0)),""))</f>
        <v/>
      </c>
      <c r="J107" s="40"/>
      <c r="K107" s="50"/>
      <c r="L107" s="17"/>
      <c r="M107" s="40"/>
      <c r="N107" s="40"/>
      <c r="O107" s="45" t="str">
        <f aca="false">IF(N107="","",WORKDAY(N107,Settings!$S$4))</f>
        <v/>
      </c>
      <c r="P107" s="17"/>
      <c r="Q107" s="44" t="str">
        <f aca="true">IF(C107="","",IF(P107="Backed out",IF(S107="Paid","Refunded – closed",IF(R107="","Refund – log reason first","Refund in progress")),IF(K107="","Awaiting payment",IF(N107="",IF(M107="","Schedule free video","Free video in production"),IF(P107="Approved","Active",IF(TODAY()&gt;O107,"Active – plan went ahead","Decision pending – "&amp;NETWORKDAYS(TODAY(),O107)&amp;" working day(s) left"))))))</f>
        <v/>
      </c>
      <c r="R107" s="17"/>
      <c r="S107" s="17"/>
      <c r="T107" s="50"/>
      <c r="U107" s="40"/>
      <c r="V107" s="40"/>
      <c r="W107" s="45" t="str">
        <f aca="false">IF(V107="","",EDATE(V107,Settings!$S$6))</f>
        <v/>
      </c>
      <c r="X107" s="17"/>
      <c r="Y107" s="17"/>
      <c r="Z107" s="17"/>
    </row>
    <row r="108" customFormat="false" ht="15" hidden="false" customHeight="false" outlineLevel="0" collapsed="false">
      <c r="A108" s="17"/>
      <c r="B108" s="17"/>
      <c r="C108" s="17"/>
      <c r="D108" s="17"/>
      <c r="E108" s="42"/>
      <c r="F108" s="17"/>
      <c r="G108" s="17"/>
      <c r="H108" s="17"/>
      <c r="I108" s="49" t="str">
        <f aca="false">IF(H108="","",IFERROR(INDEX(Settings!$G$2:$G$4,MATCH(H108,Settings!$F$2:$F$4,0)),""))</f>
        <v/>
      </c>
      <c r="J108" s="40"/>
      <c r="K108" s="50"/>
      <c r="L108" s="17"/>
      <c r="M108" s="40"/>
      <c r="N108" s="40"/>
      <c r="O108" s="45" t="str">
        <f aca="false">IF(N108="","",WORKDAY(N108,Settings!$S$4))</f>
        <v/>
      </c>
      <c r="P108" s="17"/>
      <c r="Q108" s="44" t="str">
        <f aca="true">IF(C108="","",IF(P108="Backed out",IF(S108="Paid","Refunded – closed",IF(R108="","Refund – log reason first","Refund in progress")),IF(K108="","Awaiting payment",IF(N108="",IF(M108="","Schedule free video","Free video in production"),IF(P108="Approved","Active",IF(TODAY()&gt;O108,"Active – plan went ahead","Decision pending – "&amp;NETWORKDAYS(TODAY(),O108)&amp;" working day(s) left"))))))</f>
        <v/>
      </c>
      <c r="R108" s="17"/>
      <c r="S108" s="17"/>
      <c r="T108" s="50"/>
      <c r="U108" s="40"/>
      <c r="V108" s="40"/>
      <c r="W108" s="45" t="str">
        <f aca="false">IF(V108="","",EDATE(V108,Settings!$S$6))</f>
        <v/>
      </c>
      <c r="X108" s="17"/>
      <c r="Y108" s="17"/>
      <c r="Z108" s="17"/>
    </row>
    <row r="109" customFormat="false" ht="15" hidden="false" customHeight="false" outlineLevel="0" collapsed="false">
      <c r="A109" s="17"/>
      <c r="B109" s="17"/>
      <c r="C109" s="17"/>
      <c r="D109" s="17"/>
      <c r="E109" s="42"/>
      <c r="F109" s="17"/>
      <c r="G109" s="17"/>
      <c r="H109" s="17"/>
      <c r="I109" s="49" t="str">
        <f aca="false">IF(H109="","",IFERROR(INDEX(Settings!$G$2:$G$4,MATCH(H109,Settings!$F$2:$F$4,0)),""))</f>
        <v/>
      </c>
      <c r="J109" s="40"/>
      <c r="K109" s="50"/>
      <c r="L109" s="17"/>
      <c r="M109" s="40"/>
      <c r="N109" s="40"/>
      <c r="O109" s="45" t="str">
        <f aca="false">IF(N109="","",WORKDAY(N109,Settings!$S$4))</f>
        <v/>
      </c>
      <c r="P109" s="17"/>
      <c r="Q109" s="44" t="str">
        <f aca="true">IF(C109="","",IF(P109="Backed out",IF(S109="Paid","Refunded – closed",IF(R109="","Refund – log reason first","Refund in progress")),IF(K109="","Awaiting payment",IF(N109="",IF(M109="","Schedule free video","Free video in production"),IF(P109="Approved","Active",IF(TODAY()&gt;O109,"Active – plan went ahead","Decision pending – "&amp;NETWORKDAYS(TODAY(),O109)&amp;" working day(s) left"))))))</f>
        <v/>
      </c>
      <c r="R109" s="17"/>
      <c r="S109" s="17"/>
      <c r="T109" s="50"/>
      <c r="U109" s="40"/>
      <c r="V109" s="40"/>
      <c r="W109" s="45" t="str">
        <f aca="false">IF(V109="","",EDATE(V109,Settings!$S$6))</f>
        <v/>
      </c>
      <c r="X109" s="17"/>
      <c r="Y109" s="17"/>
      <c r="Z109" s="17"/>
    </row>
    <row r="110" customFormat="false" ht="15" hidden="false" customHeight="false" outlineLevel="0" collapsed="false">
      <c r="A110" s="17"/>
      <c r="B110" s="17"/>
      <c r="C110" s="17"/>
      <c r="D110" s="17"/>
      <c r="E110" s="42"/>
      <c r="F110" s="17"/>
      <c r="G110" s="17"/>
      <c r="H110" s="17"/>
      <c r="I110" s="49" t="str">
        <f aca="false">IF(H110="","",IFERROR(INDEX(Settings!$G$2:$G$4,MATCH(H110,Settings!$F$2:$F$4,0)),""))</f>
        <v/>
      </c>
      <c r="J110" s="40"/>
      <c r="K110" s="50"/>
      <c r="L110" s="17"/>
      <c r="M110" s="40"/>
      <c r="N110" s="40"/>
      <c r="O110" s="45" t="str">
        <f aca="false">IF(N110="","",WORKDAY(N110,Settings!$S$4))</f>
        <v/>
      </c>
      <c r="P110" s="17"/>
      <c r="Q110" s="44" t="str">
        <f aca="true">IF(C110="","",IF(P110="Backed out",IF(S110="Paid","Refunded – closed",IF(R110="","Refund – log reason first","Refund in progress")),IF(K110="","Awaiting payment",IF(N110="",IF(M110="","Schedule free video","Free video in production"),IF(P110="Approved","Active",IF(TODAY()&gt;O110,"Active – plan went ahead","Decision pending – "&amp;NETWORKDAYS(TODAY(),O110)&amp;" working day(s) left"))))))</f>
        <v/>
      </c>
      <c r="R110" s="17"/>
      <c r="S110" s="17"/>
      <c r="T110" s="50"/>
      <c r="U110" s="40"/>
      <c r="V110" s="40"/>
      <c r="W110" s="45" t="str">
        <f aca="false">IF(V110="","",EDATE(V110,Settings!$S$6))</f>
        <v/>
      </c>
      <c r="X110" s="17"/>
      <c r="Y110" s="17"/>
      <c r="Z110" s="17"/>
    </row>
    <row r="111" customFormat="false" ht="15" hidden="false" customHeight="false" outlineLevel="0" collapsed="false">
      <c r="A111" s="17"/>
      <c r="B111" s="17"/>
      <c r="C111" s="17"/>
      <c r="D111" s="17"/>
      <c r="E111" s="42"/>
      <c r="F111" s="17"/>
      <c r="G111" s="17"/>
      <c r="H111" s="17"/>
      <c r="I111" s="49" t="str">
        <f aca="false">IF(H111="","",IFERROR(INDEX(Settings!$G$2:$G$4,MATCH(H111,Settings!$F$2:$F$4,0)),""))</f>
        <v/>
      </c>
      <c r="J111" s="40"/>
      <c r="K111" s="50"/>
      <c r="L111" s="17"/>
      <c r="M111" s="40"/>
      <c r="N111" s="40"/>
      <c r="O111" s="45" t="str">
        <f aca="false">IF(N111="","",WORKDAY(N111,Settings!$S$4))</f>
        <v/>
      </c>
      <c r="P111" s="17"/>
      <c r="Q111" s="44" t="str">
        <f aca="true">IF(C111="","",IF(P111="Backed out",IF(S111="Paid","Refunded – closed",IF(R111="","Refund – log reason first","Refund in progress")),IF(K111="","Awaiting payment",IF(N111="",IF(M111="","Schedule free video","Free video in production"),IF(P111="Approved","Active",IF(TODAY()&gt;O111,"Active – plan went ahead","Decision pending – "&amp;NETWORKDAYS(TODAY(),O111)&amp;" working day(s) left"))))))</f>
        <v/>
      </c>
      <c r="R111" s="17"/>
      <c r="S111" s="17"/>
      <c r="T111" s="50"/>
      <c r="U111" s="40"/>
      <c r="V111" s="40"/>
      <c r="W111" s="45" t="str">
        <f aca="false">IF(V111="","",EDATE(V111,Settings!$S$6))</f>
        <v/>
      </c>
      <c r="X111" s="17"/>
      <c r="Y111" s="17"/>
      <c r="Z111" s="17"/>
    </row>
    <row r="112" customFormat="false" ht="15" hidden="false" customHeight="false" outlineLevel="0" collapsed="false">
      <c r="A112" s="17"/>
      <c r="B112" s="17"/>
      <c r="C112" s="17"/>
      <c r="D112" s="17"/>
      <c r="E112" s="42"/>
      <c r="F112" s="17"/>
      <c r="G112" s="17"/>
      <c r="H112" s="17"/>
      <c r="I112" s="49" t="str">
        <f aca="false">IF(H112="","",IFERROR(INDEX(Settings!$G$2:$G$4,MATCH(H112,Settings!$F$2:$F$4,0)),""))</f>
        <v/>
      </c>
      <c r="J112" s="40"/>
      <c r="K112" s="50"/>
      <c r="L112" s="17"/>
      <c r="M112" s="40"/>
      <c r="N112" s="40"/>
      <c r="O112" s="45" t="str">
        <f aca="false">IF(N112="","",WORKDAY(N112,Settings!$S$4))</f>
        <v/>
      </c>
      <c r="P112" s="17"/>
      <c r="Q112" s="44" t="str">
        <f aca="true">IF(C112="","",IF(P112="Backed out",IF(S112="Paid","Refunded – closed",IF(R112="","Refund – log reason first","Refund in progress")),IF(K112="","Awaiting payment",IF(N112="",IF(M112="","Schedule free video","Free video in production"),IF(P112="Approved","Active",IF(TODAY()&gt;O112,"Active – plan went ahead","Decision pending – "&amp;NETWORKDAYS(TODAY(),O112)&amp;" working day(s) left"))))))</f>
        <v/>
      </c>
      <c r="R112" s="17"/>
      <c r="S112" s="17"/>
      <c r="T112" s="50"/>
      <c r="U112" s="40"/>
      <c r="V112" s="40"/>
      <c r="W112" s="45" t="str">
        <f aca="false">IF(V112="","",EDATE(V112,Settings!$S$6))</f>
        <v/>
      </c>
      <c r="X112" s="17"/>
      <c r="Y112" s="17"/>
      <c r="Z112" s="17"/>
    </row>
    <row r="113" customFormat="false" ht="15" hidden="false" customHeight="false" outlineLevel="0" collapsed="false">
      <c r="A113" s="17"/>
      <c r="B113" s="17"/>
      <c r="C113" s="17"/>
      <c r="D113" s="17"/>
      <c r="E113" s="42"/>
      <c r="F113" s="17"/>
      <c r="G113" s="17"/>
      <c r="H113" s="17"/>
      <c r="I113" s="49" t="str">
        <f aca="false">IF(H113="","",IFERROR(INDEX(Settings!$G$2:$G$4,MATCH(H113,Settings!$F$2:$F$4,0)),""))</f>
        <v/>
      </c>
      <c r="J113" s="40"/>
      <c r="K113" s="50"/>
      <c r="L113" s="17"/>
      <c r="M113" s="40"/>
      <c r="N113" s="40"/>
      <c r="O113" s="45" t="str">
        <f aca="false">IF(N113="","",WORKDAY(N113,Settings!$S$4))</f>
        <v/>
      </c>
      <c r="P113" s="17"/>
      <c r="Q113" s="44" t="str">
        <f aca="true">IF(C113="","",IF(P113="Backed out",IF(S113="Paid","Refunded – closed",IF(R113="","Refund – log reason first","Refund in progress")),IF(K113="","Awaiting payment",IF(N113="",IF(M113="","Schedule free video","Free video in production"),IF(P113="Approved","Active",IF(TODAY()&gt;O113,"Active – plan went ahead","Decision pending – "&amp;NETWORKDAYS(TODAY(),O113)&amp;" working day(s) left"))))))</f>
        <v/>
      </c>
      <c r="R113" s="17"/>
      <c r="S113" s="17"/>
      <c r="T113" s="50"/>
      <c r="U113" s="40"/>
      <c r="V113" s="40"/>
      <c r="W113" s="45" t="str">
        <f aca="false">IF(V113="","",EDATE(V113,Settings!$S$6))</f>
        <v/>
      </c>
      <c r="X113" s="17"/>
      <c r="Y113" s="17"/>
      <c r="Z113" s="17"/>
    </row>
    <row r="114" customFormat="false" ht="15" hidden="false" customHeight="false" outlineLevel="0" collapsed="false">
      <c r="A114" s="17"/>
      <c r="B114" s="17"/>
      <c r="C114" s="17"/>
      <c r="D114" s="17"/>
      <c r="E114" s="42"/>
      <c r="F114" s="17"/>
      <c r="G114" s="17"/>
      <c r="H114" s="17"/>
      <c r="I114" s="49" t="str">
        <f aca="false">IF(H114="","",IFERROR(INDEX(Settings!$G$2:$G$4,MATCH(H114,Settings!$F$2:$F$4,0)),""))</f>
        <v/>
      </c>
      <c r="J114" s="40"/>
      <c r="K114" s="50"/>
      <c r="L114" s="17"/>
      <c r="M114" s="40"/>
      <c r="N114" s="40"/>
      <c r="O114" s="45" t="str">
        <f aca="false">IF(N114="","",WORKDAY(N114,Settings!$S$4))</f>
        <v/>
      </c>
      <c r="P114" s="17"/>
      <c r="Q114" s="44" t="str">
        <f aca="true">IF(C114="","",IF(P114="Backed out",IF(S114="Paid","Refunded – closed",IF(R114="","Refund – log reason first","Refund in progress")),IF(K114="","Awaiting payment",IF(N114="",IF(M114="","Schedule free video","Free video in production"),IF(P114="Approved","Active",IF(TODAY()&gt;O114,"Active – plan went ahead","Decision pending – "&amp;NETWORKDAYS(TODAY(),O114)&amp;" working day(s) left"))))))</f>
        <v/>
      </c>
      <c r="R114" s="17"/>
      <c r="S114" s="17"/>
      <c r="T114" s="50"/>
      <c r="U114" s="40"/>
      <c r="V114" s="40"/>
      <c r="W114" s="45" t="str">
        <f aca="false">IF(V114="","",EDATE(V114,Settings!$S$6))</f>
        <v/>
      </c>
      <c r="X114" s="17"/>
      <c r="Y114" s="17"/>
      <c r="Z114" s="17"/>
    </row>
    <row r="115" customFormat="false" ht="15" hidden="false" customHeight="false" outlineLevel="0" collapsed="false">
      <c r="A115" s="17"/>
      <c r="B115" s="17"/>
      <c r="C115" s="17"/>
      <c r="D115" s="17"/>
      <c r="E115" s="42"/>
      <c r="F115" s="17"/>
      <c r="G115" s="17"/>
      <c r="H115" s="17"/>
      <c r="I115" s="49" t="str">
        <f aca="false">IF(H115="","",IFERROR(INDEX(Settings!$G$2:$G$4,MATCH(H115,Settings!$F$2:$F$4,0)),""))</f>
        <v/>
      </c>
      <c r="J115" s="40"/>
      <c r="K115" s="50"/>
      <c r="L115" s="17"/>
      <c r="M115" s="40"/>
      <c r="N115" s="40"/>
      <c r="O115" s="45" t="str">
        <f aca="false">IF(N115="","",WORKDAY(N115,Settings!$S$4))</f>
        <v/>
      </c>
      <c r="P115" s="17"/>
      <c r="Q115" s="44" t="str">
        <f aca="true">IF(C115="","",IF(P115="Backed out",IF(S115="Paid","Refunded – closed",IF(R115="","Refund – log reason first","Refund in progress")),IF(K115="","Awaiting payment",IF(N115="",IF(M115="","Schedule free video","Free video in production"),IF(P115="Approved","Active",IF(TODAY()&gt;O115,"Active – plan went ahead","Decision pending – "&amp;NETWORKDAYS(TODAY(),O115)&amp;" working day(s) left"))))))</f>
        <v/>
      </c>
      <c r="R115" s="17"/>
      <c r="S115" s="17"/>
      <c r="T115" s="50"/>
      <c r="U115" s="40"/>
      <c r="V115" s="40"/>
      <c r="W115" s="45" t="str">
        <f aca="false">IF(V115="","",EDATE(V115,Settings!$S$6))</f>
        <v/>
      </c>
      <c r="X115" s="17"/>
      <c r="Y115" s="17"/>
      <c r="Z115" s="17"/>
    </row>
    <row r="116" customFormat="false" ht="15" hidden="false" customHeight="false" outlineLevel="0" collapsed="false">
      <c r="A116" s="17"/>
      <c r="B116" s="17"/>
      <c r="C116" s="17"/>
      <c r="D116" s="17"/>
      <c r="E116" s="42"/>
      <c r="F116" s="17"/>
      <c r="G116" s="17"/>
      <c r="H116" s="17"/>
      <c r="I116" s="49" t="str">
        <f aca="false">IF(H116="","",IFERROR(INDEX(Settings!$G$2:$G$4,MATCH(H116,Settings!$F$2:$F$4,0)),""))</f>
        <v/>
      </c>
      <c r="J116" s="40"/>
      <c r="K116" s="50"/>
      <c r="L116" s="17"/>
      <c r="M116" s="40"/>
      <c r="N116" s="40"/>
      <c r="O116" s="45" t="str">
        <f aca="false">IF(N116="","",WORKDAY(N116,Settings!$S$4))</f>
        <v/>
      </c>
      <c r="P116" s="17"/>
      <c r="Q116" s="44" t="str">
        <f aca="true">IF(C116="","",IF(P116="Backed out",IF(S116="Paid","Refunded – closed",IF(R116="","Refund – log reason first","Refund in progress")),IF(K116="","Awaiting payment",IF(N116="",IF(M116="","Schedule free video","Free video in production"),IF(P116="Approved","Active",IF(TODAY()&gt;O116,"Active – plan went ahead","Decision pending – "&amp;NETWORKDAYS(TODAY(),O116)&amp;" working day(s) left"))))))</f>
        <v/>
      </c>
      <c r="R116" s="17"/>
      <c r="S116" s="17"/>
      <c r="T116" s="50"/>
      <c r="U116" s="40"/>
      <c r="V116" s="40"/>
      <c r="W116" s="45" t="str">
        <f aca="false">IF(V116="","",EDATE(V116,Settings!$S$6))</f>
        <v/>
      </c>
      <c r="X116" s="17"/>
      <c r="Y116" s="17"/>
      <c r="Z116" s="17"/>
    </row>
    <row r="117" customFormat="false" ht="15" hidden="false" customHeight="false" outlineLevel="0" collapsed="false">
      <c r="A117" s="17"/>
      <c r="B117" s="17"/>
      <c r="C117" s="17"/>
      <c r="D117" s="17"/>
      <c r="E117" s="42"/>
      <c r="F117" s="17"/>
      <c r="G117" s="17"/>
      <c r="H117" s="17"/>
      <c r="I117" s="49" t="str">
        <f aca="false">IF(H117="","",IFERROR(INDEX(Settings!$G$2:$G$4,MATCH(H117,Settings!$F$2:$F$4,0)),""))</f>
        <v/>
      </c>
      <c r="J117" s="40"/>
      <c r="K117" s="50"/>
      <c r="L117" s="17"/>
      <c r="M117" s="40"/>
      <c r="N117" s="40"/>
      <c r="O117" s="45" t="str">
        <f aca="false">IF(N117="","",WORKDAY(N117,Settings!$S$4))</f>
        <v/>
      </c>
      <c r="P117" s="17"/>
      <c r="Q117" s="44" t="str">
        <f aca="true">IF(C117="","",IF(P117="Backed out",IF(S117="Paid","Refunded – closed",IF(R117="","Refund – log reason first","Refund in progress")),IF(K117="","Awaiting payment",IF(N117="",IF(M117="","Schedule free video","Free video in production"),IF(P117="Approved","Active",IF(TODAY()&gt;O117,"Active – plan went ahead","Decision pending – "&amp;NETWORKDAYS(TODAY(),O117)&amp;" working day(s) left"))))))</f>
        <v/>
      </c>
      <c r="R117" s="17"/>
      <c r="S117" s="17"/>
      <c r="T117" s="50"/>
      <c r="U117" s="40"/>
      <c r="V117" s="40"/>
      <c r="W117" s="45" t="str">
        <f aca="false">IF(V117="","",EDATE(V117,Settings!$S$6))</f>
        <v/>
      </c>
      <c r="X117" s="17"/>
      <c r="Y117" s="17"/>
      <c r="Z117" s="17"/>
    </row>
    <row r="118" customFormat="false" ht="15" hidden="false" customHeight="false" outlineLevel="0" collapsed="false">
      <c r="A118" s="17"/>
      <c r="B118" s="17"/>
      <c r="C118" s="17"/>
      <c r="D118" s="17"/>
      <c r="E118" s="42"/>
      <c r="F118" s="17"/>
      <c r="G118" s="17"/>
      <c r="H118" s="17"/>
      <c r="I118" s="49" t="str">
        <f aca="false">IF(H118="","",IFERROR(INDEX(Settings!$G$2:$G$4,MATCH(H118,Settings!$F$2:$F$4,0)),""))</f>
        <v/>
      </c>
      <c r="J118" s="40"/>
      <c r="K118" s="50"/>
      <c r="L118" s="17"/>
      <c r="M118" s="40"/>
      <c r="N118" s="40"/>
      <c r="O118" s="45" t="str">
        <f aca="false">IF(N118="","",WORKDAY(N118,Settings!$S$4))</f>
        <v/>
      </c>
      <c r="P118" s="17"/>
      <c r="Q118" s="44" t="str">
        <f aca="true">IF(C118="","",IF(P118="Backed out",IF(S118="Paid","Refunded – closed",IF(R118="","Refund – log reason first","Refund in progress")),IF(K118="","Awaiting payment",IF(N118="",IF(M118="","Schedule free video","Free video in production"),IF(P118="Approved","Active",IF(TODAY()&gt;O118,"Active – plan went ahead","Decision pending – "&amp;NETWORKDAYS(TODAY(),O118)&amp;" working day(s) left"))))))</f>
        <v/>
      </c>
      <c r="R118" s="17"/>
      <c r="S118" s="17"/>
      <c r="T118" s="50"/>
      <c r="U118" s="40"/>
      <c r="V118" s="40"/>
      <c r="W118" s="45" t="str">
        <f aca="false">IF(V118="","",EDATE(V118,Settings!$S$6))</f>
        <v/>
      </c>
      <c r="X118" s="17"/>
      <c r="Y118" s="17"/>
      <c r="Z118" s="17"/>
    </row>
    <row r="119" customFormat="false" ht="15" hidden="false" customHeight="false" outlineLevel="0" collapsed="false">
      <c r="A119" s="17"/>
      <c r="B119" s="17"/>
      <c r="C119" s="17"/>
      <c r="D119" s="17"/>
      <c r="E119" s="42"/>
      <c r="F119" s="17"/>
      <c r="G119" s="17"/>
      <c r="H119" s="17"/>
      <c r="I119" s="49" t="str">
        <f aca="false">IF(H119="","",IFERROR(INDEX(Settings!$G$2:$G$4,MATCH(H119,Settings!$F$2:$F$4,0)),""))</f>
        <v/>
      </c>
      <c r="J119" s="40"/>
      <c r="K119" s="50"/>
      <c r="L119" s="17"/>
      <c r="M119" s="40"/>
      <c r="N119" s="40"/>
      <c r="O119" s="45" t="str">
        <f aca="false">IF(N119="","",WORKDAY(N119,Settings!$S$4))</f>
        <v/>
      </c>
      <c r="P119" s="17"/>
      <c r="Q119" s="44" t="str">
        <f aca="true">IF(C119="","",IF(P119="Backed out",IF(S119="Paid","Refunded – closed",IF(R119="","Refund – log reason first","Refund in progress")),IF(K119="","Awaiting payment",IF(N119="",IF(M119="","Schedule free video","Free video in production"),IF(P119="Approved","Active",IF(TODAY()&gt;O119,"Active – plan went ahead","Decision pending – "&amp;NETWORKDAYS(TODAY(),O119)&amp;" working day(s) left"))))))</f>
        <v/>
      </c>
      <c r="R119" s="17"/>
      <c r="S119" s="17"/>
      <c r="T119" s="50"/>
      <c r="U119" s="40"/>
      <c r="V119" s="40"/>
      <c r="W119" s="45" t="str">
        <f aca="false">IF(V119="","",EDATE(V119,Settings!$S$6))</f>
        <v/>
      </c>
      <c r="X119" s="17"/>
      <c r="Y119" s="17"/>
      <c r="Z119" s="17"/>
    </row>
    <row r="120" customFormat="false" ht="15" hidden="false" customHeight="false" outlineLevel="0" collapsed="false">
      <c r="A120" s="17"/>
      <c r="B120" s="17"/>
      <c r="C120" s="17"/>
      <c r="D120" s="17"/>
      <c r="E120" s="42"/>
      <c r="F120" s="17"/>
      <c r="G120" s="17"/>
      <c r="H120" s="17"/>
      <c r="I120" s="49" t="str">
        <f aca="false">IF(H120="","",IFERROR(INDEX(Settings!$G$2:$G$4,MATCH(H120,Settings!$F$2:$F$4,0)),""))</f>
        <v/>
      </c>
      <c r="J120" s="40"/>
      <c r="K120" s="50"/>
      <c r="L120" s="17"/>
      <c r="M120" s="40"/>
      <c r="N120" s="40"/>
      <c r="O120" s="45" t="str">
        <f aca="false">IF(N120="","",WORKDAY(N120,Settings!$S$4))</f>
        <v/>
      </c>
      <c r="P120" s="17"/>
      <c r="Q120" s="44" t="str">
        <f aca="true">IF(C120="","",IF(P120="Backed out",IF(S120="Paid","Refunded – closed",IF(R120="","Refund – log reason first","Refund in progress")),IF(K120="","Awaiting payment",IF(N120="",IF(M120="","Schedule free video","Free video in production"),IF(P120="Approved","Active",IF(TODAY()&gt;O120,"Active – plan went ahead","Decision pending – "&amp;NETWORKDAYS(TODAY(),O120)&amp;" working day(s) left"))))))</f>
        <v/>
      </c>
      <c r="R120" s="17"/>
      <c r="S120" s="17"/>
      <c r="T120" s="50"/>
      <c r="U120" s="40"/>
      <c r="V120" s="40"/>
      <c r="W120" s="45" t="str">
        <f aca="false">IF(V120="","",EDATE(V120,Settings!$S$6))</f>
        <v/>
      </c>
      <c r="X120" s="17"/>
      <c r="Y120" s="17"/>
      <c r="Z120" s="17"/>
    </row>
    <row r="121" customFormat="false" ht="15" hidden="false" customHeight="false" outlineLevel="0" collapsed="false">
      <c r="A121" s="17"/>
      <c r="B121" s="17"/>
      <c r="C121" s="17"/>
      <c r="D121" s="17"/>
      <c r="E121" s="42"/>
      <c r="F121" s="17"/>
      <c r="G121" s="17"/>
      <c r="H121" s="17"/>
      <c r="I121" s="49" t="str">
        <f aca="false">IF(H121="","",IFERROR(INDEX(Settings!$G$2:$G$4,MATCH(H121,Settings!$F$2:$F$4,0)),""))</f>
        <v/>
      </c>
      <c r="J121" s="40"/>
      <c r="K121" s="50"/>
      <c r="L121" s="17"/>
      <c r="M121" s="40"/>
      <c r="N121" s="40"/>
      <c r="O121" s="45" t="str">
        <f aca="false">IF(N121="","",WORKDAY(N121,Settings!$S$4))</f>
        <v/>
      </c>
      <c r="P121" s="17"/>
      <c r="Q121" s="44" t="str">
        <f aca="true">IF(C121="","",IF(P121="Backed out",IF(S121="Paid","Refunded – closed",IF(R121="","Refund – log reason first","Refund in progress")),IF(K121="","Awaiting payment",IF(N121="",IF(M121="","Schedule free video","Free video in production"),IF(P121="Approved","Active",IF(TODAY()&gt;O121,"Active – plan went ahead","Decision pending – "&amp;NETWORKDAYS(TODAY(),O121)&amp;" working day(s) left"))))))</f>
        <v/>
      </c>
      <c r="R121" s="17"/>
      <c r="S121" s="17"/>
      <c r="T121" s="50"/>
      <c r="U121" s="40"/>
      <c r="V121" s="40"/>
      <c r="W121" s="45" t="str">
        <f aca="false">IF(V121="","",EDATE(V121,Settings!$S$6))</f>
        <v/>
      </c>
      <c r="X121" s="17"/>
      <c r="Y121" s="17"/>
      <c r="Z121" s="17"/>
    </row>
    <row r="122" customFormat="false" ht="15" hidden="false" customHeight="false" outlineLevel="0" collapsed="false">
      <c r="A122" s="17"/>
      <c r="B122" s="17"/>
      <c r="C122" s="17"/>
      <c r="D122" s="17"/>
      <c r="E122" s="42"/>
      <c r="F122" s="17"/>
      <c r="G122" s="17"/>
      <c r="H122" s="17"/>
      <c r="I122" s="49" t="str">
        <f aca="false">IF(H122="","",IFERROR(INDEX(Settings!$G$2:$G$4,MATCH(H122,Settings!$F$2:$F$4,0)),""))</f>
        <v/>
      </c>
      <c r="J122" s="40"/>
      <c r="K122" s="50"/>
      <c r="L122" s="17"/>
      <c r="M122" s="40"/>
      <c r="N122" s="40"/>
      <c r="O122" s="45" t="str">
        <f aca="false">IF(N122="","",WORKDAY(N122,Settings!$S$4))</f>
        <v/>
      </c>
      <c r="P122" s="17"/>
      <c r="Q122" s="44" t="str">
        <f aca="true">IF(C122="","",IF(P122="Backed out",IF(S122="Paid","Refunded – closed",IF(R122="","Refund – log reason first","Refund in progress")),IF(K122="","Awaiting payment",IF(N122="",IF(M122="","Schedule free video","Free video in production"),IF(P122="Approved","Active",IF(TODAY()&gt;O122,"Active – plan went ahead","Decision pending – "&amp;NETWORKDAYS(TODAY(),O122)&amp;" working day(s) left"))))))</f>
        <v/>
      </c>
      <c r="R122" s="17"/>
      <c r="S122" s="17"/>
      <c r="T122" s="50"/>
      <c r="U122" s="40"/>
      <c r="V122" s="40"/>
      <c r="W122" s="45" t="str">
        <f aca="false">IF(V122="","",EDATE(V122,Settings!$S$6))</f>
        <v/>
      </c>
      <c r="X122" s="17"/>
      <c r="Y122" s="17"/>
      <c r="Z122" s="17"/>
    </row>
    <row r="123" customFormat="false" ht="15" hidden="false" customHeight="false" outlineLevel="0" collapsed="false">
      <c r="A123" s="17"/>
      <c r="B123" s="17"/>
      <c r="C123" s="17"/>
      <c r="D123" s="17"/>
      <c r="E123" s="42"/>
      <c r="F123" s="17"/>
      <c r="G123" s="17"/>
      <c r="H123" s="17"/>
      <c r="I123" s="49" t="str">
        <f aca="false">IF(H123="","",IFERROR(INDEX(Settings!$G$2:$G$4,MATCH(H123,Settings!$F$2:$F$4,0)),""))</f>
        <v/>
      </c>
      <c r="J123" s="40"/>
      <c r="K123" s="50"/>
      <c r="L123" s="17"/>
      <c r="M123" s="40"/>
      <c r="N123" s="40"/>
      <c r="O123" s="45" t="str">
        <f aca="false">IF(N123="","",WORKDAY(N123,Settings!$S$4))</f>
        <v/>
      </c>
      <c r="P123" s="17"/>
      <c r="Q123" s="44" t="str">
        <f aca="true">IF(C123="","",IF(P123="Backed out",IF(S123="Paid","Refunded – closed",IF(R123="","Refund – log reason first","Refund in progress")),IF(K123="","Awaiting payment",IF(N123="",IF(M123="","Schedule free video","Free video in production"),IF(P123="Approved","Active",IF(TODAY()&gt;O123,"Active – plan went ahead","Decision pending – "&amp;NETWORKDAYS(TODAY(),O123)&amp;" working day(s) left"))))))</f>
        <v/>
      </c>
      <c r="R123" s="17"/>
      <c r="S123" s="17"/>
      <c r="T123" s="50"/>
      <c r="U123" s="40"/>
      <c r="V123" s="40"/>
      <c r="W123" s="45" t="str">
        <f aca="false">IF(V123="","",EDATE(V123,Settings!$S$6))</f>
        <v/>
      </c>
      <c r="X123" s="17"/>
      <c r="Y123" s="17"/>
      <c r="Z123" s="17"/>
    </row>
    <row r="124" customFormat="false" ht="15" hidden="false" customHeight="false" outlineLevel="0" collapsed="false">
      <c r="A124" s="17"/>
      <c r="B124" s="17"/>
      <c r="C124" s="17"/>
      <c r="D124" s="17"/>
      <c r="E124" s="42"/>
      <c r="F124" s="17"/>
      <c r="G124" s="17"/>
      <c r="H124" s="17"/>
      <c r="I124" s="49" t="str">
        <f aca="false">IF(H124="","",IFERROR(INDEX(Settings!$G$2:$G$4,MATCH(H124,Settings!$F$2:$F$4,0)),""))</f>
        <v/>
      </c>
      <c r="J124" s="40"/>
      <c r="K124" s="50"/>
      <c r="L124" s="17"/>
      <c r="M124" s="40"/>
      <c r="N124" s="40"/>
      <c r="O124" s="45" t="str">
        <f aca="false">IF(N124="","",WORKDAY(N124,Settings!$S$4))</f>
        <v/>
      </c>
      <c r="P124" s="17"/>
      <c r="Q124" s="44" t="str">
        <f aca="true">IF(C124="","",IF(P124="Backed out",IF(S124="Paid","Refunded – closed",IF(R124="","Refund – log reason first","Refund in progress")),IF(K124="","Awaiting payment",IF(N124="",IF(M124="","Schedule free video","Free video in production"),IF(P124="Approved","Active",IF(TODAY()&gt;O124,"Active – plan went ahead","Decision pending – "&amp;NETWORKDAYS(TODAY(),O124)&amp;" working day(s) left"))))))</f>
        <v/>
      </c>
      <c r="R124" s="17"/>
      <c r="S124" s="17"/>
      <c r="T124" s="50"/>
      <c r="U124" s="40"/>
      <c r="V124" s="40"/>
      <c r="W124" s="45" t="str">
        <f aca="false">IF(V124="","",EDATE(V124,Settings!$S$6))</f>
        <v/>
      </c>
      <c r="X124" s="17"/>
      <c r="Y124" s="17"/>
      <c r="Z124" s="17"/>
    </row>
    <row r="125" customFormat="false" ht="15" hidden="false" customHeight="false" outlineLevel="0" collapsed="false">
      <c r="A125" s="17"/>
      <c r="B125" s="17"/>
      <c r="C125" s="17"/>
      <c r="D125" s="17"/>
      <c r="E125" s="42"/>
      <c r="F125" s="17"/>
      <c r="G125" s="17"/>
      <c r="H125" s="17"/>
      <c r="I125" s="49" t="str">
        <f aca="false">IF(H125="","",IFERROR(INDEX(Settings!$G$2:$G$4,MATCH(H125,Settings!$F$2:$F$4,0)),""))</f>
        <v/>
      </c>
      <c r="J125" s="40"/>
      <c r="K125" s="50"/>
      <c r="L125" s="17"/>
      <c r="M125" s="40"/>
      <c r="N125" s="40"/>
      <c r="O125" s="45" t="str">
        <f aca="false">IF(N125="","",WORKDAY(N125,Settings!$S$4))</f>
        <v/>
      </c>
      <c r="P125" s="17"/>
      <c r="Q125" s="44" t="str">
        <f aca="true">IF(C125="","",IF(P125="Backed out",IF(S125="Paid","Refunded – closed",IF(R125="","Refund – log reason first","Refund in progress")),IF(K125="","Awaiting payment",IF(N125="",IF(M125="","Schedule free video","Free video in production"),IF(P125="Approved","Active",IF(TODAY()&gt;O125,"Active – plan went ahead","Decision pending – "&amp;NETWORKDAYS(TODAY(),O125)&amp;" working day(s) left"))))))</f>
        <v/>
      </c>
      <c r="R125" s="17"/>
      <c r="S125" s="17"/>
      <c r="T125" s="50"/>
      <c r="U125" s="40"/>
      <c r="V125" s="40"/>
      <c r="W125" s="45" t="str">
        <f aca="false">IF(V125="","",EDATE(V125,Settings!$S$6))</f>
        <v/>
      </c>
      <c r="X125" s="17"/>
      <c r="Y125" s="17"/>
      <c r="Z125" s="17"/>
    </row>
    <row r="126" customFormat="false" ht="15" hidden="false" customHeight="false" outlineLevel="0" collapsed="false">
      <c r="A126" s="17"/>
      <c r="B126" s="17"/>
      <c r="C126" s="17"/>
      <c r="D126" s="17"/>
      <c r="E126" s="42"/>
      <c r="F126" s="17"/>
      <c r="G126" s="17"/>
      <c r="H126" s="17"/>
      <c r="I126" s="49" t="str">
        <f aca="false">IF(H126="","",IFERROR(INDEX(Settings!$G$2:$G$4,MATCH(H126,Settings!$F$2:$F$4,0)),""))</f>
        <v/>
      </c>
      <c r="J126" s="40"/>
      <c r="K126" s="50"/>
      <c r="L126" s="17"/>
      <c r="M126" s="40"/>
      <c r="N126" s="40"/>
      <c r="O126" s="45" t="str">
        <f aca="false">IF(N126="","",WORKDAY(N126,Settings!$S$4))</f>
        <v/>
      </c>
      <c r="P126" s="17"/>
      <c r="Q126" s="44" t="str">
        <f aca="true">IF(C126="","",IF(P126="Backed out",IF(S126="Paid","Refunded – closed",IF(R126="","Refund – log reason first","Refund in progress")),IF(K126="","Awaiting payment",IF(N126="",IF(M126="","Schedule free video","Free video in production"),IF(P126="Approved","Active",IF(TODAY()&gt;O126,"Active – plan went ahead","Decision pending – "&amp;NETWORKDAYS(TODAY(),O126)&amp;" working day(s) left"))))))</f>
        <v/>
      </c>
      <c r="R126" s="17"/>
      <c r="S126" s="17"/>
      <c r="T126" s="50"/>
      <c r="U126" s="40"/>
      <c r="V126" s="40"/>
      <c r="W126" s="45" t="str">
        <f aca="false">IF(V126="","",EDATE(V126,Settings!$S$6))</f>
        <v/>
      </c>
      <c r="X126" s="17"/>
      <c r="Y126" s="17"/>
      <c r="Z126" s="17"/>
    </row>
    <row r="127" customFormat="false" ht="15" hidden="false" customHeight="false" outlineLevel="0" collapsed="false">
      <c r="A127" s="17"/>
      <c r="B127" s="17"/>
      <c r="C127" s="17"/>
      <c r="D127" s="17"/>
      <c r="E127" s="42"/>
      <c r="F127" s="17"/>
      <c r="G127" s="17"/>
      <c r="H127" s="17"/>
      <c r="I127" s="49" t="str">
        <f aca="false">IF(H127="","",IFERROR(INDEX(Settings!$G$2:$G$4,MATCH(H127,Settings!$F$2:$F$4,0)),""))</f>
        <v/>
      </c>
      <c r="J127" s="40"/>
      <c r="K127" s="50"/>
      <c r="L127" s="17"/>
      <c r="M127" s="40"/>
      <c r="N127" s="40"/>
      <c r="O127" s="45" t="str">
        <f aca="false">IF(N127="","",WORKDAY(N127,Settings!$S$4))</f>
        <v/>
      </c>
      <c r="P127" s="17"/>
      <c r="Q127" s="44" t="str">
        <f aca="true">IF(C127="","",IF(P127="Backed out",IF(S127="Paid","Refunded – closed",IF(R127="","Refund – log reason first","Refund in progress")),IF(K127="","Awaiting payment",IF(N127="",IF(M127="","Schedule free video","Free video in production"),IF(P127="Approved","Active",IF(TODAY()&gt;O127,"Active – plan went ahead","Decision pending – "&amp;NETWORKDAYS(TODAY(),O127)&amp;" working day(s) left"))))))</f>
        <v/>
      </c>
      <c r="R127" s="17"/>
      <c r="S127" s="17"/>
      <c r="T127" s="50"/>
      <c r="U127" s="40"/>
      <c r="V127" s="40"/>
      <c r="W127" s="45" t="str">
        <f aca="false">IF(V127="","",EDATE(V127,Settings!$S$6))</f>
        <v/>
      </c>
      <c r="X127" s="17"/>
      <c r="Y127" s="17"/>
      <c r="Z127" s="17"/>
    </row>
    <row r="128" customFormat="false" ht="15" hidden="false" customHeight="false" outlineLevel="0" collapsed="false">
      <c r="A128" s="17"/>
      <c r="B128" s="17"/>
      <c r="C128" s="17"/>
      <c r="D128" s="17"/>
      <c r="E128" s="42"/>
      <c r="F128" s="17"/>
      <c r="G128" s="17"/>
      <c r="H128" s="17"/>
      <c r="I128" s="49" t="str">
        <f aca="false">IF(H128="","",IFERROR(INDEX(Settings!$G$2:$G$4,MATCH(H128,Settings!$F$2:$F$4,0)),""))</f>
        <v/>
      </c>
      <c r="J128" s="40"/>
      <c r="K128" s="50"/>
      <c r="L128" s="17"/>
      <c r="M128" s="40"/>
      <c r="N128" s="40"/>
      <c r="O128" s="45" t="str">
        <f aca="false">IF(N128="","",WORKDAY(N128,Settings!$S$4))</f>
        <v/>
      </c>
      <c r="P128" s="17"/>
      <c r="Q128" s="44" t="str">
        <f aca="true">IF(C128="","",IF(P128="Backed out",IF(S128="Paid","Refunded – closed",IF(R128="","Refund – log reason first","Refund in progress")),IF(K128="","Awaiting payment",IF(N128="",IF(M128="","Schedule free video","Free video in production"),IF(P128="Approved","Active",IF(TODAY()&gt;O128,"Active – plan went ahead","Decision pending – "&amp;NETWORKDAYS(TODAY(),O128)&amp;" working day(s) left"))))))</f>
        <v/>
      </c>
      <c r="R128" s="17"/>
      <c r="S128" s="17"/>
      <c r="T128" s="50"/>
      <c r="U128" s="40"/>
      <c r="V128" s="40"/>
      <c r="W128" s="45" t="str">
        <f aca="false">IF(V128="","",EDATE(V128,Settings!$S$6))</f>
        <v/>
      </c>
      <c r="X128" s="17"/>
      <c r="Y128" s="17"/>
      <c r="Z128" s="17"/>
    </row>
    <row r="129" customFormat="false" ht="15" hidden="false" customHeight="false" outlineLevel="0" collapsed="false">
      <c r="A129" s="17"/>
      <c r="B129" s="17"/>
      <c r="C129" s="17"/>
      <c r="D129" s="17"/>
      <c r="E129" s="42"/>
      <c r="F129" s="17"/>
      <c r="G129" s="17"/>
      <c r="H129" s="17"/>
      <c r="I129" s="49" t="str">
        <f aca="false">IF(H129="","",IFERROR(INDEX(Settings!$G$2:$G$4,MATCH(H129,Settings!$F$2:$F$4,0)),""))</f>
        <v/>
      </c>
      <c r="J129" s="40"/>
      <c r="K129" s="50"/>
      <c r="L129" s="17"/>
      <c r="M129" s="40"/>
      <c r="N129" s="40"/>
      <c r="O129" s="45" t="str">
        <f aca="false">IF(N129="","",WORKDAY(N129,Settings!$S$4))</f>
        <v/>
      </c>
      <c r="P129" s="17"/>
      <c r="Q129" s="44" t="str">
        <f aca="true">IF(C129="","",IF(P129="Backed out",IF(S129="Paid","Refunded – closed",IF(R129="","Refund – log reason first","Refund in progress")),IF(K129="","Awaiting payment",IF(N129="",IF(M129="","Schedule free video","Free video in production"),IF(P129="Approved","Active",IF(TODAY()&gt;O129,"Active – plan went ahead","Decision pending – "&amp;NETWORKDAYS(TODAY(),O129)&amp;" working day(s) left"))))))</f>
        <v/>
      </c>
      <c r="R129" s="17"/>
      <c r="S129" s="17"/>
      <c r="T129" s="50"/>
      <c r="U129" s="40"/>
      <c r="V129" s="40"/>
      <c r="W129" s="45" t="str">
        <f aca="false">IF(V129="","",EDATE(V129,Settings!$S$6))</f>
        <v/>
      </c>
      <c r="X129" s="17"/>
      <c r="Y129" s="17"/>
      <c r="Z129" s="17"/>
    </row>
    <row r="130" customFormat="false" ht="15" hidden="false" customHeight="false" outlineLevel="0" collapsed="false">
      <c r="A130" s="17"/>
      <c r="B130" s="17"/>
      <c r="C130" s="17"/>
      <c r="D130" s="17"/>
      <c r="E130" s="42"/>
      <c r="F130" s="17"/>
      <c r="G130" s="17"/>
      <c r="H130" s="17"/>
      <c r="I130" s="49" t="str">
        <f aca="false">IF(H130="","",IFERROR(INDEX(Settings!$G$2:$G$4,MATCH(H130,Settings!$F$2:$F$4,0)),""))</f>
        <v/>
      </c>
      <c r="J130" s="40"/>
      <c r="K130" s="50"/>
      <c r="L130" s="17"/>
      <c r="M130" s="40"/>
      <c r="N130" s="40"/>
      <c r="O130" s="45" t="str">
        <f aca="false">IF(N130="","",WORKDAY(N130,Settings!$S$4))</f>
        <v/>
      </c>
      <c r="P130" s="17"/>
      <c r="Q130" s="44" t="str">
        <f aca="true">IF(C130="","",IF(P130="Backed out",IF(S130="Paid","Refunded – closed",IF(R130="","Refund – log reason first","Refund in progress")),IF(K130="","Awaiting payment",IF(N130="",IF(M130="","Schedule free video","Free video in production"),IF(P130="Approved","Active",IF(TODAY()&gt;O130,"Active – plan went ahead","Decision pending – "&amp;NETWORKDAYS(TODAY(),O130)&amp;" working day(s) left"))))))</f>
        <v/>
      </c>
      <c r="R130" s="17"/>
      <c r="S130" s="17"/>
      <c r="T130" s="50"/>
      <c r="U130" s="40"/>
      <c r="V130" s="40"/>
      <c r="W130" s="45" t="str">
        <f aca="false">IF(V130="","",EDATE(V130,Settings!$S$6))</f>
        <v/>
      </c>
      <c r="X130" s="17"/>
      <c r="Y130" s="17"/>
      <c r="Z130" s="17"/>
    </row>
    <row r="131" customFormat="false" ht="15" hidden="false" customHeight="false" outlineLevel="0" collapsed="false">
      <c r="A131" s="17"/>
      <c r="B131" s="17"/>
      <c r="C131" s="17"/>
      <c r="D131" s="17"/>
      <c r="E131" s="42"/>
      <c r="F131" s="17"/>
      <c r="G131" s="17"/>
      <c r="H131" s="17"/>
      <c r="I131" s="49" t="str">
        <f aca="false">IF(H131="","",IFERROR(INDEX(Settings!$G$2:$G$4,MATCH(H131,Settings!$F$2:$F$4,0)),""))</f>
        <v/>
      </c>
      <c r="J131" s="40"/>
      <c r="K131" s="50"/>
      <c r="L131" s="17"/>
      <c r="M131" s="40"/>
      <c r="N131" s="40"/>
      <c r="O131" s="45" t="str">
        <f aca="false">IF(N131="","",WORKDAY(N131,Settings!$S$4))</f>
        <v/>
      </c>
      <c r="P131" s="17"/>
      <c r="Q131" s="44" t="str">
        <f aca="true">IF(C131="","",IF(P131="Backed out",IF(S131="Paid","Refunded – closed",IF(R131="","Refund – log reason first","Refund in progress")),IF(K131="","Awaiting payment",IF(N131="",IF(M131="","Schedule free video","Free video in production"),IF(P131="Approved","Active",IF(TODAY()&gt;O131,"Active – plan went ahead","Decision pending – "&amp;NETWORKDAYS(TODAY(),O131)&amp;" working day(s) left"))))))</f>
        <v/>
      </c>
      <c r="R131" s="17"/>
      <c r="S131" s="17"/>
      <c r="T131" s="50"/>
      <c r="U131" s="40"/>
      <c r="V131" s="40"/>
      <c r="W131" s="45" t="str">
        <f aca="false">IF(V131="","",EDATE(V131,Settings!$S$6))</f>
        <v/>
      </c>
      <c r="X131" s="17"/>
      <c r="Y131" s="17"/>
      <c r="Z131" s="17"/>
    </row>
    <row r="132" customFormat="false" ht="15" hidden="false" customHeight="false" outlineLevel="0" collapsed="false">
      <c r="A132" s="17"/>
      <c r="B132" s="17"/>
      <c r="C132" s="17"/>
      <c r="D132" s="17"/>
      <c r="E132" s="42"/>
      <c r="F132" s="17"/>
      <c r="G132" s="17"/>
      <c r="H132" s="17"/>
      <c r="I132" s="49" t="str">
        <f aca="false">IF(H132="","",IFERROR(INDEX(Settings!$G$2:$G$4,MATCH(H132,Settings!$F$2:$F$4,0)),""))</f>
        <v/>
      </c>
      <c r="J132" s="40"/>
      <c r="K132" s="50"/>
      <c r="L132" s="17"/>
      <c r="M132" s="40"/>
      <c r="N132" s="40"/>
      <c r="O132" s="45" t="str">
        <f aca="false">IF(N132="","",WORKDAY(N132,Settings!$S$4))</f>
        <v/>
      </c>
      <c r="P132" s="17"/>
      <c r="Q132" s="44" t="str">
        <f aca="true">IF(C132="","",IF(P132="Backed out",IF(S132="Paid","Refunded – closed",IF(R132="","Refund – log reason first","Refund in progress")),IF(K132="","Awaiting payment",IF(N132="",IF(M132="","Schedule free video","Free video in production"),IF(P132="Approved","Active",IF(TODAY()&gt;O132,"Active – plan went ahead","Decision pending – "&amp;NETWORKDAYS(TODAY(),O132)&amp;" working day(s) left"))))))</f>
        <v/>
      </c>
      <c r="R132" s="17"/>
      <c r="S132" s="17"/>
      <c r="T132" s="50"/>
      <c r="U132" s="40"/>
      <c r="V132" s="40"/>
      <c r="W132" s="45" t="str">
        <f aca="false">IF(V132="","",EDATE(V132,Settings!$S$6))</f>
        <v/>
      </c>
      <c r="X132" s="17"/>
      <c r="Y132" s="17"/>
      <c r="Z132" s="17"/>
    </row>
    <row r="133" customFormat="false" ht="15" hidden="false" customHeight="false" outlineLevel="0" collapsed="false">
      <c r="A133" s="17"/>
      <c r="B133" s="17"/>
      <c r="C133" s="17"/>
      <c r="D133" s="17"/>
      <c r="E133" s="42"/>
      <c r="F133" s="17"/>
      <c r="G133" s="17"/>
      <c r="H133" s="17"/>
      <c r="I133" s="49" t="str">
        <f aca="false">IF(H133="","",IFERROR(INDEX(Settings!$G$2:$G$4,MATCH(H133,Settings!$F$2:$F$4,0)),""))</f>
        <v/>
      </c>
      <c r="J133" s="40"/>
      <c r="K133" s="50"/>
      <c r="L133" s="17"/>
      <c r="M133" s="40"/>
      <c r="N133" s="40"/>
      <c r="O133" s="45" t="str">
        <f aca="false">IF(N133="","",WORKDAY(N133,Settings!$S$4))</f>
        <v/>
      </c>
      <c r="P133" s="17"/>
      <c r="Q133" s="44" t="str">
        <f aca="true">IF(C133="","",IF(P133="Backed out",IF(S133="Paid","Refunded – closed",IF(R133="","Refund – log reason first","Refund in progress")),IF(K133="","Awaiting payment",IF(N133="",IF(M133="","Schedule free video","Free video in production"),IF(P133="Approved","Active",IF(TODAY()&gt;O133,"Active – plan went ahead","Decision pending – "&amp;NETWORKDAYS(TODAY(),O133)&amp;" working day(s) left"))))))</f>
        <v/>
      </c>
      <c r="R133" s="17"/>
      <c r="S133" s="17"/>
      <c r="T133" s="50"/>
      <c r="U133" s="40"/>
      <c r="V133" s="40"/>
      <c r="W133" s="45" t="str">
        <f aca="false">IF(V133="","",EDATE(V133,Settings!$S$6))</f>
        <v/>
      </c>
      <c r="X133" s="17"/>
      <c r="Y133" s="17"/>
      <c r="Z133" s="17"/>
    </row>
    <row r="134" customFormat="false" ht="15" hidden="false" customHeight="false" outlineLevel="0" collapsed="false">
      <c r="A134" s="17"/>
      <c r="B134" s="17"/>
      <c r="C134" s="17"/>
      <c r="D134" s="17"/>
      <c r="E134" s="42"/>
      <c r="F134" s="17"/>
      <c r="G134" s="17"/>
      <c r="H134" s="17"/>
      <c r="I134" s="49" t="str">
        <f aca="false">IF(H134="","",IFERROR(INDEX(Settings!$G$2:$G$4,MATCH(H134,Settings!$F$2:$F$4,0)),""))</f>
        <v/>
      </c>
      <c r="J134" s="40"/>
      <c r="K134" s="50"/>
      <c r="L134" s="17"/>
      <c r="M134" s="40"/>
      <c r="N134" s="40"/>
      <c r="O134" s="45" t="str">
        <f aca="false">IF(N134="","",WORKDAY(N134,Settings!$S$4))</f>
        <v/>
      </c>
      <c r="P134" s="17"/>
      <c r="Q134" s="44" t="str">
        <f aca="true">IF(C134="","",IF(P134="Backed out",IF(S134="Paid","Refunded – closed",IF(R134="","Refund – log reason first","Refund in progress")),IF(K134="","Awaiting payment",IF(N134="",IF(M134="","Schedule free video","Free video in production"),IF(P134="Approved","Active",IF(TODAY()&gt;O134,"Active – plan went ahead","Decision pending – "&amp;NETWORKDAYS(TODAY(),O134)&amp;" working day(s) left"))))))</f>
        <v/>
      </c>
      <c r="R134" s="17"/>
      <c r="S134" s="17"/>
      <c r="T134" s="50"/>
      <c r="U134" s="40"/>
      <c r="V134" s="40"/>
      <c r="W134" s="45" t="str">
        <f aca="false">IF(V134="","",EDATE(V134,Settings!$S$6))</f>
        <v/>
      </c>
      <c r="X134" s="17"/>
      <c r="Y134" s="17"/>
      <c r="Z134" s="17"/>
    </row>
    <row r="135" customFormat="false" ht="15" hidden="false" customHeight="false" outlineLevel="0" collapsed="false">
      <c r="A135" s="17"/>
      <c r="B135" s="17"/>
      <c r="C135" s="17"/>
      <c r="D135" s="17"/>
      <c r="E135" s="42"/>
      <c r="F135" s="17"/>
      <c r="G135" s="17"/>
      <c r="H135" s="17"/>
      <c r="I135" s="49" t="str">
        <f aca="false">IF(H135="","",IFERROR(INDEX(Settings!$G$2:$G$4,MATCH(H135,Settings!$F$2:$F$4,0)),""))</f>
        <v/>
      </c>
      <c r="J135" s="40"/>
      <c r="K135" s="50"/>
      <c r="L135" s="17"/>
      <c r="M135" s="40"/>
      <c r="N135" s="40"/>
      <c r="O135" s="45" t="str">
        <f aca="false">IF(N135="","",WORKDAY(N135,Settings!$S$4))</f>
        <v/>
      </c>
      <c r="P135" s="17"/>
      <c r="Q135" s="44" t="str">
        <f aca="true">IF(C135="","",IF(P135="Backed out",IF(S135="Paid","Refunded – closed",IF(R135="","Refund – log reason first","Refund in progress")),IF(K135="","Awaiting payment",IF(N135="",IF(M135="","Schedule free video","Free video in production"),IF(P135="Approved","Active",IF(TODAY()&gt;O135,"Active – plan went ahead","Decision pending – "&amp;NETWORKDAYS(TODAY(),O135)&amp;" working day(s) left"))))))</f>
        <v/>
      </c>
      <c r="R135" s="17"/>
      <c r="S135" s="17"/>
      <c r="T135" s="50"/>
      <c r="U135" s="40"/>
      <c r="V135" s="40"/>
      <c r="W135" s="45" t="str">
        <f aca="false">IF(V135="","",EDATE(V135,Settings!$S$6))</f>
        <v/>
      </c>
      <c r="X135" s="17"/>
      <c r="Y135" s="17"/>
      <c r="Z135" s="17"/>
    </row>
    <row r="136" customFormat="false" ht="15" hidden="false" customHeight="false" outlineLevel="0" collapsed="false">
      <c r="A136" s="17"/>
      <c r="B136" s="17"/>
      <c r="C136" s="17"/>
      <c r="D136" s="17"/>
      <c r="E136" s="42"/>
      <c r="F136" s="17"/>
      <c r="G136" s="17"/>
      <c r="H136" s="17"/>
      <c r="I136" s="49" t="str">
        <f aca="false">IF(H136="","",IFERROR(INDEX(Settings!$G$2:$G$4,MATCH(H136,Settings!$F$2:$F$4,0)),""))</f>
        <v/>
      </c>
      <c r="J136" s="40"/>
      <c r="K136" s="50"/>
      <c r="L136" s="17"/>
      <c r="M136" s="40"/>
      <c r="N136" s="40"/>
      <c r="O136" s="45" t="str">
        <f aca="false">IF(N136="","",WORKDAY(N136,Settings!$S$4))</f>
        <v/>
      </c>
      <c r="P136" s="17"/>
      <c r="Q136" s="44" t="str">
        <f aca="true">IF(C136="","",IF(P136="Backed out",IF(S136="Paid","Refunded – closed",IF(R136="","Refund – log reason first","Refund in progress")),IF(K136="","Awaiting payment",IF(N136="",IF(M136="","Schedule free video","Free video in production"),IF(P136="Approved","Active",IF(TODAY()&gt;O136,"Active – plan went ahead","Decision pending – "&amp;NETWORKDAYS(TODAY(),O136)&amp;" working day(s) left"))))))</f>
        <v/>
      </c>
      <c r="R136" s="17"/>
      <c r="S136" s="17"/>
      <c r="T136" s="50"/>
      <c r="U136" s="40"/>
      <c r="V136" s="40"/>
      <c r="W136" s="45" t="str">
        <f aca="false">IF(V136="","",EDATE(V136,Settings!$S$6))</f>
        <v/>
      </c>
      <c r="X136" s="17"/>
      <c r="Y136" s="17"/>
      <c r="Z136" s="17"/>
    </row>
    <row r="137" customFormat="false" ht="15" hidden="false" customHeight="false" outlineLevel="0" collapsed="false">
      <c r="A137" s="17"/>
      <c r="B137" s="17"/>
      <c r="C137" s="17"/>
      <c r="D137" s="17"/>
      <c r="E137" s="42"/>
      <c r="F137" s="17"/>
      <c r="G137" s="17"/>
      <c r="H137" s="17"/>
      <c r="I137" s="49" t="str">
        <f aca="false">IF(H137="","",IFERROR(INDEX(Settings!$G$2:$G$4,MATCH(H137,Settings!$F$2:$F$4,0)),""))</f>
        <v/>
      </c>
      <c r="J137" s="40"/>
      <c r="K137" s="50"/>
      <c r="L137" s="17"/>
      <c r="M137" s="40"/>
      <c r="N137" s="40"/>
      <c r="O137" s="45" t="str">
        <f aca="false">IF(N137="","",WORKDAY(N137,Settings!$S$4))</f>
        <v/>
      </c>
      <c r="P137" s="17"/>
      <c r="Q137" s="44" t="str">
        <f aca="true">IF(C137="","",IF(P137="Backed out",IF(S137="Paid","Refunded – closed",IF(R137="","Refund – log reason first","Refund in progress")),IF(K137="","Awaiting payment",IF(N137="",IF(M137="","Schedule free video","Free video in production"),IF(P137="Approved","Active",IF(TODAY()&gt;O137,"Active – plan went ahead","Decision pending – "&amp;NETWORKDAYS(TODAY(),O137)&amp;" working day(s) left"))))))</f>
        <v/>
      </c>
      <c r="R137" s="17"/>
      <c r="S137" s="17"/>
      <c r="T137" s="50"/>
      <c r="U137" s="40"/>
      <c r="V137" s="40"/>
      <c r="W137" s="45" t="str">
        <f aca="false">IF(V137="","",EDATE(V137,Settings!$S$6))</f>
        <v/>
      </c>
      <c r="X137" s="17"/>
      <c r="Y137" s="17"/>
      <c r="Z137" s="17"/>
    </row>
    <row r="138" customFormat="false" ht="15" hidden="false" customHeight="false" outlineLevel="0" collapsed="false">
      <c r="A138" s="17"/>
      <c r="B138" s="17"/>
      <c r="C138" s="17"/>
      <c r="D138" s="17"/>
      <c r="E138" s="42"/>
      <c r="F138" s="17"/>
      <c r="G138" s="17"/>
      <c r="H138" s="17"/>
      <c r="I138" s="49" t="str">
        <f aca="false">IF(H138="","",IFERROR(INDEX(Settings!$G$2:$G$4,MATCH(H138,Settings!$F$2:$F$4,0)),""))</f>
        <v/>
      </c>
      <c r="J138" s="40"/>
      <c r="K138" s="50"/>
      <c r="L138" s="17"/>
      <c r="M138" s="40"/>
      <c r="N138" s="40"/>
      <c r="O138" s="45" t="str">
        <f aca="false">IF(N138="","",WORKDAY(N138,Settings!$S$4))</f>
        <v/>
      </c>
      <c r="P138" s="17"/>
      <c r="Q138" s="44" t="str">
        <f aca="true">IF(C138="","",IF(P138="Backed out",IF(S138="Paid","Refunded – closed",IF(R138="","Refund – log reason first","Refund in progress")),IF(K138="","Awaiting payment",IF(N138="",IF(M138="","Schedule free video","Free video in production"),IF(P138="Approved","Active",IF(TODAY()&gt;O138,"Active – plan went ahead","Decision pending – "&amp;NETWORKDAYS(TODAY(),O138)&amp;" working day(s) left"))))))</f>
        <v/>
      </c>
      <c r="R138" s="17"/>
      <c r="S138" s="17"/>
      <c r="T138" s="50"/>
      <c r="U138" s="40"/>
      <c r="V138" s="40"/>
      <c r="W138" s="45" t="str">
        <f aca="false">IF(V138="","",EDATE(V138,Settings!$S$6))</f>
        <v/>
      </c>
      <c r="X138" s="17"/>
      <c r="Y138" s="17"/>
      <c r="Z138" s="17"/>
    </row>
    <row r="139" customFormat="false" ht="15" hidden="false" customHeight="false" outlineLevel="0" collapsed="false">
      <c r="A139" s="17"/>
      <c r="B139" s="17"/>
      <c r="C139" s="17"/>
      <c r="D139" s="17"/>
      <c r="E139" s="42"/>
      <c r="F139" s="17"/>
      <c r="G139" s="17"/>
      <c r="H139" s="17"/>
      <c r="I139" s="49" t="str">
        <f aca="false">IF(H139="","",IFERROR(INDEX(Settings!$G$2:$G$4,MATCH(H139,Settings!$F$2:$F$4,0)),""))</f>
        <v/>
      </c>
      <c r="J139" s="40"/>
      <c r="K139" s="50"/>
      <c r="L139" s="17"/>
      <c r="M139" s="40"/>
      <c r="N139" s="40"/>
      <c r="O139" s="45" t="str">
        <f aca="false">IF(N139="","",WORKDAY(N139,Settings!$S$4))</f>
        <v/>
      </c>
      <c r="P139" s="17"/>
      <c r="Q139" s="44" t="str">
        <f aca="true">IF(C139="","",IF(P139="Backed out",IF(S139="Paid","Refunded – closed",IF(R139="","Refund – log reason first","Refund in progress")),IF(K139="","Awaiting payment",IF(N139="",IF(M139="","Schedule free video","Free video in production"),IF(P139="Approved","Active",IF(TODAY()&gt;O139,"Active – plan went ahead","Decision pending – "&amp;NETWORKDAYS(TODAY(),O139)&amp;" working day(s) left"))))))</f>
        <v/>
      </c>
      <c r="R139" s="17"/>
      <c r="S139" s="17"/>
      <c r="T139" s="50"/>
      <c r="U139" s="40"/>
      <c r="V139" s="40"/>
      <c r="W139" s="45" t="str">
        <f aca="false">IF(V139="","",EDATE(V139,Settings!$S$6))</f>
        <v/>
      </c>
      <c r="X139" s="17"/>
      <c r="Y139" s="17"/>
      <c r="Z139" s="17"/>
    </row>
    <row r="140" customFormat="false" ht="15" hidden="false" customHeight="false" outlineLevel="0" collapsed="false">
      <c r="A140" s="17"/>
      <c r="B140" s="17"/>
      <c r="C140" s="17"/>
      <c r="D140" s="17"/>
      <c r="E140" s="42"/>
      <c r="F140" s="17"/>
      <c r="G140" s="17"/>
      <c r="H140" s="17"/>
      <c r="I140" s="49" t="str">
        <f aca="false">IF(H140="","",IFERROR(INDEX(Settings!$G$2:$G$4,MATCH(H140,Settings!$F$2:$F$4,0)),""))</f>
        <v/>
      </c>
      <c r="J140" s="40"/>
      <c r="K140" s="50"/>
      <c r="L140" s="17"/>
      <c r="M140" s="40"/>
      <c r="N140" s="40"/>
      <c r="O140" s="45" t="str">
        <f aca="false">IF(N140="","",WORKDAY(N140,Settings!$S$4))</f>
        <v/>
      </c>
      <c r="P140" s="17"/>
      <c r="Q140" s="44" t="str">
        <f aca="true">IF(C140="","",IF(P140="Backed out",IF(S140="Paid","Refunded – closed",IF(R140="","Refund – log reason first","Refund in progress")),IF(K140="","Awaiting payment",IF(N140="",IF(M140="","Schedule free video","Free video in production"),IF(P140="Approved","Active",IF(TODAY()&gt;O140,"Active – plan went ahead","Decision pending – "&amp;NETWORKDAYS(TODAY(),O140)&amp;" working day(s) left"))))))</f>
        <v/>
      </c>
      <c r="R140" s="17"/>
      <c r="S140" s="17"/>
      <c r="T140" s="50"/>
      <c r="U140" s="40"/>
      <c r="V140" s="40"/>
      <c r="W140" s="45" t="str">
        <f aca="false">IF(V140="","",EDATE(V140,Settings!$S$6))</f>
        <v/>
      </c>
      <c r="X140" s="17"/>
      <c r="Y140" s="17"/>
      <c r="Z140" s="17"/>
    </row>
    <row r="141" customFormat="false" ht="15" hidden="false" customHeight="false" outlineLevel="0" collapsed="false">
      <c r="A141" s="17"/>
      <c r="B141" s="17"/>
      <c r="C141" s="17"/>
      <c r="D141" s="17"/>
      <c r="E141" s="42"/>
      <c r="F141" s="17"/>
      <c r="G141" s="17"/>
      <c r="H141" s="17"/>
      <c r="I141" s="49" t="str">
        <f aca="false">IF(H141="","",IFERROR(INDEX(Settings!$G$2:$G$4,MATCH(H141,Settings!$F$2:$F$4,0)),""))</f>
        <v/>
      </c>
      <c r="J141" s="40"/>
      <c r="K141" s="50"/>
      <c r="L141" s="17"/>
      <c r="M141" s="40"/>
      <c r="N141" s="40"/>
      <c r="O141" s="45" t="str">
        <f aca="false">IF(N141="","",WORKDAY(N141,Settings!$S$4))</f>
        <v/>
      </c>
      <c r="P141" s="17"/>
      <c r="Q141" s="44" t="str">
        <f aca="true">IF(C141="","",IF(P141="Backed out",IF(S141="Paid","Refunded – closed",IF(R141="","Refund – log reason first","Refund in progress")),IF(K141="","Awaiting payment",IF(N141="",IF(M141="","Schedule free video","Free video in production"),IF(P141="Approved","Active",IF(TODAY()&gt;O141,"Active – plan went ahead","Decision pending – "&amp;NETWORKDAYS(TODAY(),O141)&amp;" working day(s) left"))))))</f>
        <v/>
      </c>
      <c r="R141" s="17"/>
      <c r="S141" s="17"/>
      <c r="T141" s="50"/>
      <c r="U141" s="40"/>
      <c r="V141" s="40"/>
      <c r="W141" s="45" t="str">
        <f aca="false">IF(V141="","",EDATE(V141,Settings!$S$6))</f>
        <v/>
      </c>
      <c r="X141" s="17"/>
      <c r="Y141" s="17"/>
      <c r="Z141" s="17"/>
    </row>
    <row r="142" customFormat="false" ht="15" hidden="false" customHeight="false" outlineLevel="0" collapsed="false">
      <c r="A142" s="17"/>
      <c r="B142" s="17"/>
      <c r="C142" s="17"/>
      <c r="D142" s="17"/>
      <c r="E142" s="42"/>
      <c r="F142" s="17"/>
      <c r="G142" s="17"/>
      <c r="H142" s="17"/>
      <c r="I142" s="49" t="str">
        <f aca="false">IF(H142="","",IFERROR(INDEX(Settings!$G$2:$G$4,MATCH(H142,Settings!$F$2:$F$4,0)),""))</f>
        <v/>
      </c>
      <c r="J142" s="40"/>
      <c r="K142" s="50"/>
      <c r="L142" s="17"/>
      <c r="M142" s="40"/>
      <c r="N142" s="40"/>
      <c r="O142" s="45" t="str">
        <f aca="false">IF(N142="","",WORKDAY(N142,Settings!$S$4))</f>
        <v/>
      </c>
      <c r="P142" s="17"/>
      <c r="Q142" s="44" t="str">
        <f aca="true">IF(C142="","",IF(P142="Backed out",IF(S142="Paid","Refunded – closed",IF(R142="","Refund – log reason first","Refund in progress")),IF(K142="","Awaiting payment",IF(N142="",IF(M142="","Schedule free video","Free video in production"),IF(P142="Approved","Active",IF(TODAY()&gt;O142,"Active – plan went ahead","Decision pending – "&amp;NETWORKDAYS(TODAY(),O142)&amp;" working day(s) left"))))))</f>
        <v/>
      </c>
      <c r="R142" s="17"/>
      <c r="S142" s="17"/>
      <c r="T142" s="50"/>
      <c r="U142" s="40"/>
      <c r="V142" s="40"/>
      <c r="W142" s="45" t="str">
        <f aca="false">IF(V142="","",EDATE(V142,Settings!$S$6))</f>
        <v/>
      </c>
      <c r="X142" s="17"/>
      <c r="Y142" s="17"/>
      <c r="Z142" s="17"/>
    </row>
    <row r="143" customFormat="false" ht="15" hidden="false" customHeight="false" outlineLevel="0" collapsed="false">
      <c r="A143" s="17"/>
      <c r="B143" s="17"/>
      <c r="C143" s="17"/>
      <c r="D143" s="17"/>
      <c r="E143" s="42"/>
      <c r="F143" s="17"/>
      <c r="G143" s="17"/>
      <c r="H143" s="17"/>
      <c r="I143" s="49" t="str">
        <f aca="false">IF(H143="","",IFERROR(INDEX(Settings!$G$2:$G$4,MATCH(H143,Settings!$F$2:$F$4,0)),""))</f>
        <v/>
      </c>
      <c r="J143" s="40"/>
      <c r="K143" s="50"/>
      <c r="L143" s="17"/>
      <c r="M143" s="40"/>
      <c r="N143" s="40"/>
      <c r="O143" s="45" t="str">
        <f aca="false">IF(N143="","",WORKDAY(N143,Settings!$S$4))</f>
        <v/>
      </c>
      <c r="P143" s="17"/>
      <c r="Q143" s="44" t="str">
        <f aca="true">IF(C143="","",IF(P143="Backed out",IF(S143="Paid","Refunded – closed",IF(R143="","Refund – log reason first","Refund in progress")),IF(K143="","Awaiting payment",IF(N143="",IF(M143="","Schedule free video","Free video in production"),IF(P143="Approved","Active",IF(TODAY()&gt;O143,"Active – plan went ahead","Decision pending – "&amp;NETWORKDAYS(TODAY(),O143)&amp;" working day(s) left"))))))</f>
        <v/>
      </c>
      <c r="R143" s="17"/>
      <c r="S143" s="17"/>
      <c r="T143" s="50"/>
      <c r="U143" s="40"/>
      <c r="V143" s="40"/>
      <c r="W143" s="45" t="str">
        <f aca="false">IF(V143="","",EDATE(V143,Settings!$S$6))</f>
        <v/>
      </c>
      <c r="X143" s="17"/>
      <c r="Y143" s="17"/>
      <c r="Z143" s="17"/>
    </row>
    <row r="144" customFormat="false" ht="15" hidden="false" customHeight="false" outlineLevel="0" collapsed="false">
      <c r="A144" s="17"/>
      <c r="B144" s="17"/>
      <c r="C144" s="17"/>
      <c r="D144" s="17"/>
      <c r="E144" s="42"/>
      <c r="F144" s="17"/>
      <c r="G144" s="17"/>
      <c r="H144" s="17"/>
      <c r="I144" s="49" t="str">
        <f aca="false">IF(H144="","",IFERROR(INDEX(Settings!$G$2:$G$4,MATCH(H144,Settings!$F$2:$F$4,0)),""))</f>
        <v/>
      </c>
      <c r="J144" s="40"/>
      <c r="K144" s="50"/>
      <c r="L144" s="17"/>
      <c r="M144" s="40"/>
      <c r="N144" s="40"/>
      <c r="O144" s="45" t="str">
        <f aca="false">IF(N144="","",WORKDAY(N144,Settings!$S$4))</f>
        <v/>
      </c>
      <c r="P144" s="17"/>
      <c r="Q144" s="44" t="str">
        <f aca="true">IF(C144="","",IF(P144="Backed out",IF(S144="Paid","Refunded – closed",IF(R144="","Refund – log reason first","Refund in progress")),IF(K144="","Awaiting payment",IF(N144="",IF(M144="","Schedule free video","Free video in production"),IF(P144="Approved","Active",IF(TODAY()&gt;O144,"Active – plan went ahead","Decision pending – "&amp;NETWORKDAYS(TODAY(),O144)&amp;" working day(s) left"))))))</f>
        <v/>
      </c>
      <c r="R144" s="17"/>
      <c r="S144" s="17"/>
      <c r="T144" s="50"/>
      <c r="U144" s="40"/>
      <c r="V144" s="40"/>
      <c r="W144" s="45" t="str">
        <f aca="false">IF(V144="","",EDATE(V144,Settings!$S$6))</f>
        <v/>
      </c>
      <c r="X144" s="17"/>
      <c r="Y144" s="17"/>
      <c r="Z144" s="17"/>
    </row>
    <row r="145" customFormat="false" ht="15" hidden="false" customHeight="false" outlineLevel="0" collapsed="false">
      <c r="A145" s="17"/>
      <c r="B145" s="17"/>
      <c r="C145" s="17"/>
      <c r="D145" s="17"/>
      <c r="E145" s="42"/>
      <c r="F145" s="17"/>
      <c r="G145" s="17"/>
      <c r="H145" s="17"/>
      <c r="I145" s="49" t="str">
        <f aca="false">IF(H145="","",IFERROR(INDEX(Settings!$G$2:$G$4,MATCH(H145,Settings!$F$2:$F$4,0)),""))</f>
        <v/>
      </c>
      <c r="J145" s="40"/>
      <c r="K145" s="50"/>
      <c r="L145" s="17"/>
      <c r="M145" s="40"/>
      <c r="N145" s="40"/>
      <c r="O145" s="45" t="str">
        <f aca="false">IF(N145="","",WORKDAY(N145,Settings!$S$4))</f>
        <v/>
      </c>
      <c r="P145" s="17"/>
      <c r="Q145" s="44" t="str">
        <f aca="true">IF(C145="","",IF(P145="Backed out",IF(S145="Paid","Refunded – closed",IF(R145="","Refund – log reason first","Refund in progress")),IF(K145="","Awaiting payment",IF(N145="",IF(M145="","Schedule free video","Free video in production"),IF(P145="Approved","Active",IF(TODAY()&gt;O145,"Active – plan went ahead","Decision pending – "&amp;NETWORKDAYS(TODAY(),O145)&amp;" working day(s) left"))))))</f>
        <v/>
      </c>
      <c r="R145" s="17"/>
      <c r="S145" s="17"/>
      <c r="T145" s="50"/>
      <c r="U145" s="40"/>
      <c r="V145" s="40"/>
      <c r="W145" s="45" t="str">
        <f aca="false">IF(V145="","",EDATE(V145,Settings!$S$6))</f>
        <v/>
      </c>
      <c r="X145" s="17"/>
      <c r="Y145" s="17"/>
      <c r="Z145" s="17"/>
    </row>
    <row r="146" customFormat="false" ht="15" hidden="false" customHeight="false" outlineLevel="0" collapsed="false">
      <c r="A146" s="17"/>
      <c r="B146" s="17"/>
      <c r="C146" s="17"/>
      <c r="D146" s="17"/>
      <c r="E146" s="42"/>
      <c r="F146" s="17"/>
      <c r="G146" s="17"/>
      <c r="H146" s="17"/>
      <c r="I146" s="49" t="str">
        <f aca="false">IF(H146="","",IFERROR(INDEX(Settings!$G$2:$G$4,MATCH(H146,Settings!$F$2:$F$4,0)),""))</f>
        <v/>
      </c>
      <c r="J146" s="40"/>
      <c r="K146" s="50"/>
      <c r="L146" s="17"/>
      <c r="M146" s="40"/>
      <c r="N146" s="40"/>
      <c r="O146" s="45" t="str">
        <f aca="false">IF(N146="","",WORKDAY(N146,Settings!$S$4))</f>
        <v/>
      </c>
      <c r="P146" s="17"/>
      <c r="Q146" s="44" t="str">
        <f aca="true">IF(C146="","",IF(P146="Backed out",IF(S146="Paid","Refunded – closed",IF(R146="","Refund – log reason first","Refund in progress")),IF(K146="","Awaiting payment",IF(N146="",IF(M146="","Schedule free video","Free video in production"),IF(P146="Approved","Active",IF(TODAY()&gt;O146,"Active – plan went ahead","Decision pending – "&amp;NETWORKDAYS(TODAY(),O146)&amp;" working day(s) left"))))))</f>
        <v/>
      </c>
      <c r="R146" s="17"/>
      <c r="S146" s="17"/>
      <c r="T146" s="50"/>
      <c r="U146" s="40"/>
      <c r="V146" s="40"/>
      <c r="W146" s="45" t="str">
        <f aca="false">IF(V146="","",EDATE(V146,Settings!$S$6))</f>
        <v/>
      </c>
      <c r="X146" s="17"/>
      <c r="Y146" s="17"/>
      <c r="Z146" s="17"/>
    </row>
    <row r="147" customFormat="false" ht="15" hidden="false" customHeight="false" outlineLevel="0" collapsed="false">
      <c r="A147" s="17"/>
      <c r="B147" s="17"/>
      <c r="C147" s="17"/>
      <c r="D147" s="17"/>
      <c r="E147" s="42"/>
      <c r="F147" s="17"/>
      <c r="G147" s="17"/>
      <c r="H147" s="17"/>
      <c r="I147" s="49" t="str">
        <f aca="false">IF(H147="","",IFERROR(INDEX(Settings!$G$2:$G$4,MATCH(H147,Settings!$F$2:$F$4,0)),""))</f>
        <v/>
      </c>
      <c r="J147" s="40"/>
      <c r="K147" s="50"/>
      <c r="L147" s="17"/>
      <c r="M147" s="40"/>
      <c r="N147" s="40"/>
      <c r="O147" s="45" t="str">
        <f aca="false">IF(N147="","",WORKDAY(N147,Settings!$S$4))</f>
        <v/>
      </c>
      <c r="P147" s="17"/>
      <c r="Q147" s="44" t="str">
        <f aca="true">IF(C147="","",IF(P147="Backed out",IF(S147="Paid","Refunded – closed",IF(R147="","Refund – log reason first","Refund in progress")),IF(K147="","Awaiting payment",IF(N147="",IF(M147="","Schedule free video","Free video in production"),IF(P147="Approved","Active",IF(TODAY()&gt;O147,"Active – plan went ahead","Decision pending – "&amp;NETWORKDAYS(TODAY(),O147)&amp;" working day(s) left"))))))</f>
        <v/>
      </c>
      <c r="R147" s="17"/>
      <c r="S147" s="17"/>
      <c r="T147" s="50"/>
      <c r="U147" s="40"/>
      <c r="V147" s="40"/>
      <c r="W147" s="45" t="str">
        <f aca="false">IF(V147="","",EDATE(V147,Settings!$S$6))</f>
        <v/>
      </c>
      <c r="X147" s="17"/>
      <c r="Y147" s="17"/>
      <c r="Z147" s="17"/>
    </row>
    <row r="148" customFormat="false" ht="15" hidden="false" customHeight="false" outlineLevel="0" collapsed="false">
      <c r="A148" s="17"/>
      <c r="B148" s="17"/>
      <c r="C148" s="17"/>
      <c r="D148" s="17"/>
      <c r="E148" s="42"/>
      <c r="F148" s="17"/>
      <c r="G148" s="17"/>
      <c r="H148" s="17"/>
      <c r="I148" s="49" t="str">
        <f aca="false">IF(H148="","",IFERROR(INDEX(Settings!$G$2:$G$4,MATCH(H148,Settings!$F$2:$F$4,0)),""))</f>
        <v/>
      </c>
      <c r="J148" s="40"/>
      <c r="K148" s="50"/>
      <c r="L148" s="17"/>
      <c r="M148" s="40"/>
      <c r="N148" s="40"/>
      <c r="O148" s="45" t="str">
        <f aca="false">IF(N148="","",WORKDAY(N148,Settings!$S$4))</f>
        <v/>
      </c>
      <c r="P148" s="17"/>
      <c r="Q148" s="44" t="str">
        <f aca="true">IF(C148="","",IF(P148="Backed out",IF(S148="Paid","Refunded – closed",IF(R148="","Refund – log reason first","Refund in progress")),IF(K148="","Awaiting payment",IF(N148="",IF(M148="","Schedule free video","Free video in production"),IF(P148="Approved","Active",IF(TODAY()&gt;O148,"Active – plan went ahead","Decision pending – "&amp;NETWORKDAYS(TODAY(),O148)&amp;" working day(s) left"))))))</f>
        <v/>
      </c>
      <c r="R148" s="17"/>
      <c r="S148" s="17"/>
      <c r="T148" s="50"/>
      <c r="U148" s="40"/>
      <c r="V148" s="40"/>
      <c r="W148" s="45" t="str">
        <f aca="false">IF(V148="","",EDATE(V148,Settings!$S$6))</f>
        <v/>
      </c>
      <c r="X148" s="17"/>
      <c r="Y148" s="17"/>
      <c r="Z148" s="17"/>
    </row>
    <row r="149" customFormat="false" ht="15" hidden="false" customHeight="false" outlineLevel="0" collapsed="false">
      <c r="A149" s="17"/>
      <c r="B149" s="17"/>
      <c r="C149" s="17"/>
      <c r="D149" s="17"/>
      <c r="E149" s="42"/>
      <c r="F149" s="17"/>
      <c r="G149" s="17"/>
      <c r="H149" s="17"/>
      <c r="I149" s="49" t="str">
        <f aca="false">IF(H149="","",IFERROR(INDEX(Settings!$G$2:$G$4,MATCH(H149,Settings!$F$2:$F$4,0)),""))</f>
        <v/>
      </c>
      <c r="J149" s="40"/>
      <c r="K149" s="50"/>
      <c r="L149" s="17"/>
      <c r="M149" s="40"/>
      <c r="N149" s="40"/>
      <c r="O149" s="45" t="str">
        <f aca="false">IF(N149="","",WORKDAY(N149,Settings!$S$4))</f>
        <v/>
      </c>
      <c r="P149" s="17"/>
      <c r="Q149" s="44" t="str">
        <f aca="true">IF(C149="","",IF(P149="Backed out",IF(S149="Paid","Refunded – closed",IF(R149="","Refund – log reason first","Refund in progress")),IF(K149="","Awaiting payment",IF(N149="",IF(M149="","Schedule free video","Free video in production"),IF(P149="Approved","Active",IF(TODAY()&gt;O149,"Active – plan went ahead","Decision pending – "&amp;NETWORKDAYS(TODAY(),O149)&amp;" working day(s) left"))))))</f>
        <v/>
      </c>
      <c r="R149" s="17"/>
      <c r="S149" s="17"/>
      <c r="T149" s="50"/>
      <c r="U149" s="40"/>
      <c r="V149" s="40"/>
      <c r="W149" s="45" t="str">
        <f aca="false">IF(V149="","",EDATE(V149,Settings!$S$6))</f>
        <v/>
      </c>
      <c r="X149" s="17"/>
      <c r="Y149" s="17"/>
      <c r="Z149" s="17"/>
    </row>
    <row r="150" customFormat="false" ht="15" hidden="false" customHeight="false" outlineLevel="0" collapsed="false">
      <c r="A150" s="17"/>
      <c r="B150" s="17"/>
      <c r="C150" s="17"/>
      <c r="D150" s="17"/>
      <c r="E150" s="42"/>
      <c r="F150" s="17"/>
      <c r="G150" s="17"/>
      <c r="H150" s="17"/>
      <c r="I150" s="49" t="str">
        <f aca="false">IF(H150="","",IFERROR(INDEX(Settings!$G$2:$G$4,MATCH(H150,Settings!$F$2:$F$4,0)),""))</f>
        <v/>
      </c>
      <c r="J150" s="40"/>
      <c r="K150" s="50"/>
      <c r="L150" s="17"/>
      <c r="M150" s="40"/>
      <c r="N150" s="40"/>
      <c r="O150" s="45" t="str">
        <f aca="false">IF(N150="","",WORKDAY(N150,Settings!$S$4))</f>
        <v/>
      </c>
      <c r="P150" s="17"/>
      <c r="Q150" s="44" t="str">
        <f aca="true">IF(C150="","",IF(P150="Backed out",IF(S150="Paid","Refunded – closed",IF(R150="","Refund – log reason first","Refund in progress")),IF(K150="","Awaiting payment",IF(N150="",IF(M150="","Schedule free video","Free video in production"),IF(P150="Approved","Active",IF(TODAY()&gt;O150,"Active – plan went ahead","Decision pending – "&amp;NETWORKDAYS(TODAY(),O150)&amp;" working day(s) left"))))))</f>
        <v/>
      </c>
      <c r="R150" s="17"/>
      <c r="S150" s="17"/>
      <c r="T150" s="50"/>
      <c r="U150" s="40"/>
      <c r="V150" s="40"/>
      <c r="W150" s="45" t="str">
        <f aca="false">IF(V150="","",EDATE(V150,Settings!$S$6))</f>
        <v/>
      </c>
      <c r="X150" s="17"/>
      <c r="Y150" s="17"/>
      <c r="Z150" s="17"/>
    </row>
    <row r="151" customFormat="false" ht="15" hidden="false" customHeight="false" outlineLevel="0" collapsed="false">
      <c r="A151" s="17"/>
      <c r="B151" s="17"/>
      <c r="C151" s="17"/>
      <c r="D151" s="17"/>
      <c r="E151" s="42"/>
      <c r="F151" s="17"/>
      <c r="G151" s="17"/>
      <c r="H151" s="17"/>
      <c r="I151" s="49" t="str">
        <f aca="false">IF(H151="","",IFERROR(INDEX(Settings!$G$2:$G$4,MATCH(H151,Settings!$F$2:$F$4,0)),""))</f>
        <v/>
      </c>
      <c r="J151" s="40"/>
      <c r="K151" s="50"/>
      <c r="L151" s="17"/>
      <c r="M151" s="40"/>
      <c r="N151" s="40"/>
      <c r="O151" s="45" t="str">
        <f aca="false">IF(N151="","",WORKDAY(N151,Settings!$S$4))</f>
        <v/>
      </c>
      <c r="P151" s="17"/>
      <c r="Q151" s="44" t="str">
        <f aca="true">IF(C151="","",IF(P151="Backed out",IF(S151="Paid","Refunded – closed",IF(R151="","Refund – log reason first","Refund in progress")),IF(K151="","Awaiting payment",IF(N151="",IF(M151="","Schedule free video","Free video in production"),IF(P151="Approved","Active",IF(TODAY()&gt;O151,"Active – plan went ahead","Decision pending – "&amp;NETWORKDAYS(TODAY(),O151)&amp;" working day(s) left"))))))</f>
        <v/>
      </c>
      <c r="R151" s="17"/>
      <c r="S151" s="17"/>
      <c r="T151" s="50"/>
      <c r="U151" s="40"/>
      <c r="V151" s="40"/>
      <c r="W151" s="45" t="str">
        <f aca="false">IF(V151="","",EDATE(V151,Settings!$S$6))</f>
        <v/>
      </c>
      <c r="X151" s="17"/>
      <c r="Y151" s="17"/>
      <c r="Z151" s="17"/>
    </row>
    <row r="152" customFormat="false" ht="15" hidden="false" customHeight="false" outlineLevel="0" collapsed="false">
      <c r="A152" s="17"/>
      <c r="B152" s="17"/>
      <c r="C152" s="17"/>
      <c r="D152" s="17"/>
      <c r="E152" s="42"/>
      <c r="F152" s="17"/>
      <c r="G152" s="17"/>
      <c r="H152" s="17"/>
      <c r="I152" s="49" t="str">
        <f aca="false">IF(H152="","",IFERROR(INDEX(Settings!$G$2:$G$4,MATCH(H152,Settings!$F$2:$F$4,0)),""))</f>
        <v/>
      </c>
      <c r="J152" s="40"/>
      <c r="K152" s="50"/>
      <c r="L152" s="17"/>
      <c r="M152" s="40"/>
      <c r="N152" s="40"/>
      <c r="O152" s="45" t="str">
        <f aca="false">IF(N152="","",WORKDAY(N152,Settings!$S$4))</f>
        <v/>
      </c>
      <c r="P152" s="17"/>
      <c r="Q152" s="44" t="str">
        <f aca="true">IF(C152="","",IF(P152="Backed out",IF(S152="Paid","Refunded – closed",IF(R152="","Refund – log reason first","Refund in progress")),IF(K152="","Awaiting payment",IF(N152="",IF(M152="","Schedule free video","Free video in production"),IF(P152="Approved","Active",IF(TODAY()&gt;O152,"Active – plan went ahead","Decision pending – "&amp;NETWORKDAYS(TODAY(),O152)&amp;" working day(s) left"))))))</f>
        <v/>
      </c>
      <c r="R152" s="17"/>
      <c r="S152" s="17"/>
      <c r="T152" s="50"/>
      <c r="U152" s="40"/>
      <c r="V152" s="40"/>
      <c r="W152" s="45" t="str">
        <f aca="false">IF(V152="","",EDATE(V152,Settings!$S$6))</f>
        <v/>
      </c>
      <c r="X152" s="17"/>
      <c r="Y152" s="17"/>
      <c r="Z152" s="17"/>
    </row>
    <row r="153" customFormat="false" ht="15" hidden="false" customHeight="false" outlineLevel="0" collapsed="false">
      <c r="A153" s="17"/>
      <c r="B153" s="17"/>
      <c r="C153" s="17"/>
      <c r="D153" s="17"/>
      <c r="E153" s="42"/>
      <c r="F153" s="17"/>
      <c r="G153" s="17"/>
      <c r="H153" s="17"/>
      <c r="I153" s="49" t="str">
        <f aca="false">IF(H153="","",IFERROR(INDEX(Settings!$G$2:$G$4,MATCH(H153,Settings!$F$2:$F$4,0)),""))</f>
        <v/>
      </c>
      <c r="J153" s="40"/>
      <c r="K153" s="50"/>
      <c r="L153" s="17"/>
      <c r="M153" s="40"/>
      <c r="N153" s="40"/>
      <c r="O153" s="45" t="str">
        <f aca="false">IF(N153="","",WORKDAY(N153,Settings!$S$4))</f>
        <v/>
      </c>
      <c r="P153" s="17"/>
      <c r="Q153" s="44" t="str">
        <f aca="true">IF(C153="","",IF(P153="Backed out",IF(S153="Paid","Refunded – closed",IF(R153="","Refund – log reason first","Refund in progress")),IF(K153="","Awaiting payment",IF(N153="",IF(M153="","Schedule free video","Free video in production"),IF(P153="Approved","Active",IF(TODAY()&gt;O153,"Active – plan went ahead","Decision pending – "&amp;NETWORKDAYS(TODAY(),O153)&amp;" working day(s) left"))))))</f>
        <v/>
      </c>
      <c r="R153" s="17"/>
      <c r="S153" s="17"/>
      <c r="T153" s="50"/>
      <c r="U153" s="40"/>
      <c r="V153" s="40"/>
      <c r="W153" s="45" t="str">
        <f aca="false">IF(V153="","",EDATE(V153,Settings!$S$6))</f>
        <v/>
      </c>
      <c r="X153" s="17"/>
      <c r="Y153" s="17"/>
      <c r="Z153" s="17"/>
    </row>
    <row r="154" customFormat="false" ht="15" hidden="false" customHeight="false" outlineLevel="0" collapsed="false">
      <c r="A154" s="17"/>
      <c r="B154" s="17"/>
      <c r="C154" s="17"/>
      <c r="D154" s="17"/>
      <c r="E154" s="42"/>
      <c r="F154" s="17"/>
      <c r="G154" s="17"/>
      <c r="H154" s="17"/>
      <c r="I154" s="49" t="str">
        <f aca="false">IF(H154="","",IFERROR(INDEX(Settings!$G$2:$G$4,MATCH(H154,Settings!$F$2:$F$4,0)),""))</f>
        <v/>
      </c>
      <c r="J154" s="40"/>
      <c r="K154" s="50"/>
      <c r="L154" s="17"/>
      <c r="M154" s="40"/>
      <c r="N154" s="40"/>
      <c r="O154" s="45" t="str">
        <f aca="false">IF(N154="","",WORKDAY(N154,Settings!$S$4))</f>
        <v/>
      </c>
      <c r="P154" s="17"/>
      <c r="Q154" s="44" t="str">
        <f aca="true">IF(C154="","",IF(P154="Backed out",IF(S154="Paid","Refunded – closed",IF(R154="","Refund – log reason first","Refund in progress")),IF(K154="","Awaiting payment",IF(N154="",IF(M154="","Schedule free video","Free video in production"),IF(P154="Approved","Active",IF(TODAY()&gt;O154,"Active – plan went ahead","Decision pending – "&amp;NETWORKDAYS(TODAY(),O154)&amp;" working day(s) left"))))))</f>
        <v/>
      </c>
      <c r="R154" s="17"/>
      <c r="S154" s="17"/>
      <c r="T154" s="50"/>
      <c r="U154" s="40"/>
      <c r="V154" s="40"/>
      <c r="W154" s="45" t="str">
        <f aca="false">IF(V154="","",EDATE(V154,Settings!$S$6))</f>
        <v/>
      </c>
      <c r="X154" s="17"/>
      <c r="Y154" s="17"/>
      <c r="Z154" s="17"/>
    </row>
    <row r="155" customFormat="false" ht="15" hidden="false" customHeight="false" outlineLevel="0" collapsed="false">
      <c r="A155" s="17"/>
      <c r="B155" s="17"/>
      <c r="C155" s="17"/>
      <c r="D155" s="17"/>
      <c r="E155" s="42"/>
      <c r="F155" s="17"/>
      <c r="G155" s="17"/>
      <c r="H155" s="17"/>
      <c r="I155" s="49" t="str">
        <f aca="false">IF(H155="","",IFERROR(INDEX(Settings!$G$2:$G$4,MATCH(H155,Settings!$F$2:$F$4,0)),""))</f>
        <v/>
      </c>
      <c r="J155" s="40"/>
      <c r="K155" s="50"/>
      <c r="L155" s="17"/>
      <c r="M155" s="40"/>
      <c r="N155" s="40"/>
      <c r="O155" s="45" t="str">
        <f aca="false">IF(N155="","",WORKDAY(N155,Settings!$S$4))</f>
        <v/>
      </c>
      <c r="P155" s="17"/>
      <c r="Q155" s="44" t="str">
        <f aca="true">IF(C155="","",IF(P155="Backed out",IF(S155="Paid","Refunded – closed",IF(R155="","Refund – log reason first","Refund in progress")),IF(K155="","Awaiting payment",IF(N155="",IF(M155="","Schedule free video","Free video in production"),IF(P155="Approved","Active",IF(TODAY()&gt;O155,"Active – plan went ahead","Decision pending – "&amp;NETWORKDAYS(TODAY(),O155)&amp;" working day(s) left"))))))</f>
        <v/>
      </c>
      <c r="R155" s="17"/>
      <c r="S155" s="17"/>
      <c r="T155" s="50"/>
      <c r="U155" s="40"/>
      <c r="V155" s="40"/>
      <c r="W155" s="45" t="str">
        <f aca="false">IF(V155="","",EDATE(V155,Settings!$S$6))</f>
        <v/>
      </c>
      <c r="X155" s="17"/>
      <c r="Y155" s="17"/>
      <c r="Z155" s="17"/>
    </row>
    <row r="156" customFormat="false" ht="15" hidden="false" customHeight="false" outlineLevel="0" collapsed="false">
      <c r="A156" s="17"/>
      <c r="B156" s="17"/>
      <c r="C156" s="17"/>
      <c r="D156" s="17"/>
      <c r="E156" s="42"/>
      <c r="F156" s="17"/>
      <c r="G156" s="17"/>
      <c r="H156" s="17"/>
      <c r="I156" s="49" t="str">
        <f aca="false">IF(H156="","",IFERROR(INDEX(Settings!$G$2:$G$4,MATCH(H156,Settings!$F$2:$F$4,0)),""))</f>
        <v/>
      </c>
      <c r="J156" s="40"/>
      <c r="K156" s="50"/>
      <c r="L156" s="17"/>
      <c r="M156" s="40"/>
      <c r="N156" s="40"/>
      <c r="O156" s="45" t="str">
        <f aca="false">IF(N156="","",WORKDAY(N156,Settings!$S$4))</f>
        <v/>
      </c>
      <c r="P156" s="17"/>
      <c r="Q156" s="44" t="str">
        <f aca="true">IF(C156="","",IF(P156="Backed out",IF(S156="Paid","Refunded – closed",IF(R156="","Refund – log reason first","Refund in progress")),IF(K156="","Awaiting payment",IF(N156="",IF(M156="","Schedule free video","Free video in production"),IF(P156="Approved","Active",IF(TODAY()&gt;O156,"Active – plan went ahead","Decision pending – "&amp;NETWORKDAYS(TODAY(),O156)&amp;" working day(s) left"))))))</f>
        <v/>
      </c>
      <c r="R156" s="17"/>
      <c r="S156" s="17"/>
      <c r="T156" s="50"/>
      <c r="U156" s="40"/>
      <c r="V156" s="40"/>
      <c r="W156" s="45" t="str">
        <f aca="false">IF(V156="","",EDATE(V156,Settings!$S$6))</f>
        <v/>
      </c>
      <c r="X156" s="17"/>
      <c r="Y156" s="17"/>
      <c r="Z156" s="17"/>
    </row>
    <row r="157" customFormat="false" ht="15" hidden="false" customHeight="false" outlineLevel="0" collapsed="false">
      <c r="A157" s="17"/>
      <c r="B157" s="17"/>
      <c r="C157" s="17"/>
      <c r="D157" s="17"/>
      <c r="E157" s="42"/>
      <c r="F157" s="17"/>
      <c r="G157" s="17"/>
      <c r="H157" s="17"/>
      <c r="I157" s="49" t="str">
        <f aca="false">IF(H157="","",IFERROR(INDEX(Settings!$G$2:$G$4,MATCH(H157,Settings!$F$2:$F$4,0)),""))</f>
        <v/>
      </c>
      <c r="J157" s="40"/>
      <c r="K157" s="50"/>
      <c r="L157" s="17"/>
      <c r="M157" s="40"/>
      <c r="N157" s="40"/>
      <c r="O157" s="45" t="str">
        <f aca="false">IF(N157="","",WORKDAY(N157,Settings!$S$4))</f>
        <v/>
      </c>
      <c r="P157" s="17"/>
      <c r="Q157" s="44" t="str">
        <f aca="true">IF(C157="","",IF(P157="Backed out",IF(S157="Paid","Refunded – closed",IF(R157="","Refund – log reason first","Refund in progress")),IF(K157="","Awaiting payment",IF(N157="",IF(M157="","Schedule free video","Free video in production"),IF(P157="Approved","Active",IF(TODAY()&gt;O157,"Active – plan went ahead","Decision pending – "&amp;NETWORKDAYS(TODAY(),O157)&amp;" working day(s) left"))))))</f>
        <v/>
      </c>
      <c r="R157" s="17"/>
      <c r="S157" s="17"/>
      <c r="T157" s="50"/>
      <c r="U157" s="40"/>
      <c r="V157" s="40"/>
      <c r="W157" s="45" t="str">
        <f aca="false">IF(V157="","",EDATE(V157,Settings!$S$6))</f>
        <v/>
      </c>
      <c r="X157" s="17"/>
      <c r="Y157" s="17"/>
      <c r="Z157" s="17"/>
    </row>
    <row r="158" customFormat="false" ht="15" hidden="false" customHeight="false" outlineLevel="0" collapsed="false">
      <c r="A158" s="17"/>
      <c r="B158" s="17"/>
      <c r="C158" s="17"/>
      <c r="D158" s="17"/>
      <c r="E158" s="42"/>
      <c r="F158" s="17"/>
      <c r="G158" s="17"/>
      <c r="H158" s="17"/>
      <c r="I158" s="49" t="str">
        <f aca="false">IF(H158="","",IFERROR(INDEX(Settings!$G$2:$G$4,MATCH(H158,Settings!$F$2:$F$4,0)),""))</f>
        <v/>
      </c>
      <c r="J158" s="40"/>
      <c r="K158" s="50"/>
      <c r="L158" s="17"/>
      <c r="M158" s="40"/>
      <c r="N158" s="40"/>
      <c r="O158" s="45" t="str">
        <f aca="false">IF(N158="","",WORKDAY(N158,Settings!$S$4))</f>
        <v/>
      </c>
      <c r="P158" s="17"/>
      <c r="Q158" s="44" t="str">
        <f aca="true">IF(C158="","",IF(P158="Backed out",IF(S158="Paid","Refunded – closed",IF(R158="","Refund – log reason first","Refund in progress")),IF(K158="","Awaiting payment",IF(N158="",IF(M158="","Schedule free video","Free video in production"),IF(P158="Approved","Active",IF(TODAY()&gt;O158,"Active – plan went ahead","Decision pending – "&amp;NETWORKDAYS(TODAY(),O158)&amp;" working day(s) left"))))))</f>
        <v/>
      </c>
      <c r="R158" s="17"/>
      <c r="S158" s="17"/>
      <c r="T158" s="50"/>
      <c r="U158" s="40"/>
      <c r="V158" s="40"/>
      <c r="W158" s="45" t="str">
        <f aca="false">IF(V158="","",EDATE(V158,Settings!$S$6))</f>
        <v/>
      </c>
      <c r="X158" s="17"/>
      <c r="Y158" s="17"/>
      <c r="Z158" s="17"/>
    </row>
    <row r="159" customFormat="false" ht="15" hidden="false" customHeight="false" outlineLevel="0" collapsed="false">
      <c r="A159" s="17"/>
      <c r="B159" s="17"/>
      <c r="C159" s="17"/>
      <c r="D159" s="17"/>
      <c r="E159" s="42"/>
      <c r="F159" s="17"/>
      <c r="G159" s="17"/>
      <c r="H159" s="17"/>
      <c r="I159" s="49" t="str">
        <f aca="false">IF(H159="","",IFERROR(INDEX(Settings!$G$2:$G$4,MATCH(H159,Settings!$F$2:$F$4,0)),""))</f>
        <v/>
      </c>
      <c r="J159" s="40"/>
      <c r="K159" s="50"/>
      <c r="L159" s="17"/>
      <c r="M159" s="40"/>
      <c r="N159" s="40"/>
      <c r="O159" s="45" t="str">
        <f aca="false">IF(N159="","",WORKDAY(N159,Settings!$S$4))</f>
        <v/>
      </c>
      <c r="P159" s="17"/>
      <c r="Q159" s="44" t="str">
        <f aca="true">IF(C159="","",IF(P159="Backed out",IF(S159="Paid","Refunded – closed",IF(R159="","Refund – log reason first","Refund in progress")),IF(K159="","Awaiting payment",IF(N159="",IF(M159="","Schedule free video","Free video in production"),IF(P159="Approved","Active",IF(TODAY()&gt;O159,"Active – plan went ahead","Decision pending – "&amp;NETWORKDAYS(TODAY(),O159)&amp;" working day(s) left"))))))</f>
        <v/>
      </c>
      <c r="R159" s="17"/>
      <c r="S159" s="17"/>
      <c r="T159" s="50"/>
      <c r="U159" s="40"/>
      <c r="V159" s="40"/>
      <c r="W159" s="45" t="str">
        <f aca="false">IF(V159="","",EDATE(V159,Settings!$S$6))</f>
        <v/>
      </c>
      <c r="X159" s="17"/>
      <c r="Y159" s="17"/>
      <c r="Z159" s="17"/>
    </row>
    <row r="160" customFormat="false" ht="15" hidden="false" customHeight="false" outlineLevel="0" collapsed="false">
      <c r="A160" s="17"/>
      <c r="B160" s="17"/>
      <c r="C160" s="17"/>
      <c r="D160" s="17"/>
      <c r="E160" s="42"/>
      <c r="F160" s="17"/>
      <c r="G160" s="17"/>
      <c r="H160" s="17"/>
      <c r="I160" s="49" t="str">
        <f aca="false">IF(H160="","",IFERROR(INDEX(Settings!$G$2:$G$4,MATCH(H160,Settings!$F$2:$F$4,0)),""))</f>
        <v/>
      </c>
      <c r="J160" s="40"/>
      <c r="K160" s="50"/>
      <c r="L160" s="17"/>
      <c r="M160" s="40"/>
      <c r="N160" s="40"/>
      <c r="O160" s="45" t="str">
        <f aca="false">IF(N160="","",WORKDAY(N160,Settings!$S$4))</f>
        <v/>
      </c>
      <c r="P160" s="17"/>
      <c r="Q160" s="44" t="str">
        <f aca="true">IF(C160="","",IF(P160="Backed out",IF(S160="Paid","Refunded – closed",IF(R160="","Refund – log reason first","Refund in progress")),IF(K160="","Awaiting payment",IF(N160="",IF(M160="","Schedule free video","Free video in production"),IF(P160="Approved","Active",IF(TODAY()&gt;O160,"Active – plan went ahead","Decision pending – "&amp;NETWORKDAYS(TODAY(),O160)&amp;" working day(s) left"))))))</f>
        <v/>
      </c>
      <c r="R160" s="17"/>
      <c r="S160" s="17"/>
      <c r="T160" s="50"/>
      <c r="U160" s="40"/>
      <c r="V160" s="40"/>
      <c r="W160" s="45" t="str">
        <f aca="false">IF(V160="","",EDATE(V160,Settings!$S$6))</f>
        <v/>
      </c>
      <c r="X160" s="17"/>
      <c r="Y160" s="17"/>
      <c r="Z160" s="17"/>
    </row>
    <row r="161" customFormat="false" ht="15" hidden="false" customHeight="false" outlineLevel="0" collapsed="false">
      <c r="A161" s="17"/>
      <c r="B161" s="17"/>
      <c r="C161" s="17"/>
      <c r="D161" s="17"/>
      <c r="E161" s="42"/>
      <c r="F161" s="17"/>
      <c r="G161" s="17"/>
      <c r="H161" s="17"/>
      <c r="I161" s="49" t="str">
        <f aca="false">IF(H161="","",IFERROR(INDEX(Settings!$G$2:$G$4,MATCH(H161,Settings!$F$2:$F$4,0)),""))</f>
        <v/>
      </c>
      <c r="J161" s="40"/>
      <c r="K161" s="50"/>
      <c r="L161" s="17"/>
      <c r="M161" s="40"/>
      <c r="N161" s="40"/>
      <c r="O161" s="45" t="str">
        <f aca="false">IF(N161="","",WORKDAY(N161,Settings!$S$4))</f>
        <v/>
      </c>
      <c r="P161" s="17"/>
      <c r="Q161" s="44" t="str">
        <f aca="true">IF(C161="","",IF(P161="Backed out",IF(S161="Paid","Refunded – closed",IF(R161="","Refund – log reason first","Refund in progress")),IF(K161="","Awaiting payment",IF(N161="",IF(M161="","Schedule free video","Free video in production"),IF(P161="Approved","Active",IF(TODAY()&gt;O161,"Active – plan went ahead","Decision pending – "&amp;NETWORKDAYS(TODAY(),O161)&amp;" working day(s) left"))))))</f>
        <v/>
      </c>
      <c r="R161" s="17"/>
      <c r="S161" s="17"/>
      <c r="T161" s="50"/>
      <c r="U161" s="40"/>
      <c r="V161" s="40"/>
      <c r="W161" s="45" t="str">
        <f aca="false">IF(V161="","",EDATE(V161,Settings!$S$6))</f>
        <v/>
      </c>
      <c r="X161" s="17"/>
      <c r="Y161" s="17"/>
      <c r="Z161" s="17"/>
    </row>
    <row r="162" customFormat="false" ht="15" hidden="false" customHeight="false" outlineLevel="0" collapsed="false">
      <c r="A162" s="17"/>
      <c r="B162" s="17"/>
      <c r="C162" s="17"/>
      <c r="D162" s="17"/>
      <c r="E162" s="42"/>
      <c r="F162" s="17"/>
      <c r="G162" s="17"/>
      <c r="H162" s="17"/>
      <c r="I162" s="49" t="str">
        <f aca="false">IF(H162="","",IFERROR(INDEX(Settings!$G$2:$G$4,MATCH(H162,Settings!$F$2:$F$4,0)),""))</f>
        <v/>
      </c>
      <c r="J162" s="40"/>
      <c r="K162" s="50"/>
      <c r="L162" s="17"/>
      <c r="M162" s="40"/>
      <c r="N162" s="40"/>
      <c r="O162" s="45" t="str">
        <f aca="false">IF(N162="","",WORKDAY(N162,Settings!$S$4))</f>
        <v/>
      </c>
      <c r="P162" s="17"/>
      <c r="Q162" s="44" t="str">
        <f aca="true">IF(C162="","",IF(P162="Backed out",IF(S162="Paid","Refunded – closed",IF(R162="","Refund – log reason first","Refund in progress")),IF(K162="","Awaiting payment",IF(N162="",IF(M162="","Schedule free video","Free video in production"),IF(P162="Approved","Active",IF(TODAY()&gt;O162,"Active – plan went ahead","Decision pending – "&amp;NETWORKDAYS(TODAY(),O162)&amp;" working day(s) left"))))))</f>
        <v/>
      </c>
      <c r="R162" s="17"/>
      <c r="S162" s="17"/>
      <c r="T162" s="50"/>
      <c r="U162" s="40"/>
      <c r="V162" s="40"/>
      <c r="W162" s="45" t="str">
        <f aca="false">IF(V162="","",EDATE(V162,Settings!$S$6))</f>
        <v/>
      </c>
      <c r="X162" s="17"/>
      <c r="Y162" s="17"/>
      <c r="Z162" s="17"/>
    </row>
    <row r="163" customFormat="false" ht="15" hidden="false" customHeight="false" outlineLevel="0" collapsed="false">
      <c r="A163" s="17"/>
      <c r="B163" s="17"/>
      <c r="C163" s="17"/>
      <c r="D163" s="17"/>
      <c r="E163" s="42"/>
      <c r="F163" s="17"/>
      <c r="G163" s="17"/>
      <c r="H163" s="17"/>
      <c r="I163" s="49" t="str">
        <f aca="false">IF(H163="","",IFERROR(INDEX(Settings!$G$2:$G$4,MATCH(H163,Settings!$F$2:$F$4,0)),""))</f>
        <v/>
      </c>
      <c r="J163" s="40"/>
      <c r="K163" s="50"/>
      <c r="L163" s="17"/>
      <c r="M163" s="40"/>
      <c r="N163" s="40"/>
      <c r="O163" s="45" t="str">
        <f aca="false">IF(N163="","",WORKDAY(N163,Settings!$S$4))</f>
        <v/>
      </c>
      <c r="P163" s="17"/>
      <c r="Q163" s="44" t="str">
        <f aca="true">IF(C163="","",IF(P163="Backed out",IF(S163="Paid","Refunded – closed",IF(R163="","Refund – log reason first","Refund in progress")),IF(K163="","Awaiting payment",IF(N163="",IF(M163="","Schedule free video","Free video in production"),IF(P163="Approved","Active",IF(TODAY()&gt;O163,"Active – plan went ahead","Decision pending – "&amp;NETWORKDAYS(TODAY(),O163)&amp;" working day(s) left"))))))</f>
        <v/>
      </c>
      <c r="R163" s="17"/>
      <c r="S163" s="17"/>
      <c r="T163" s="50"/>
      <c r="U163" s="40"/>
      <c r="V163" s="40"/>
      <c r="W163" s="45" t="str">
        <f aca="false">IF(V163="","",EDATE(V163,Settings!$S$6))</f>
        <v/>
      </c>
      <c r="X163" s="17"/>
      <c r="Y163" s="17"/>
      <c r="Z163" s="17"/>
    </row>
    <row r="164" customFormat="false" ht="15" hidden="false" customHeight="false" outlineLevel="0" collapsed="false">
      <c r="A164" s="17"/>
      <c r="B164" s="17"/>
      <c r="C164" s="17"/>
      <c r="D164" s="17"/>
      <c r="E164" s="42"/>
      <c r="F164" s="17"/>
      <c r="G164" s="17"/>
      <c r="H164" s="17"/>
      <c r="I164" s="49" t="str">
        <f aca="false">IF(H164="","",IFERROR(INDEX(Settings!$G$2:$G$4,MATCH(H164,Settings!$F$2:$F$4,0)),""))</f>
        <v/>
      </c>
      <c r="J164" s="40"/>
      <c r="K164" s="50"/>
      <c r="L164" s="17"/>
      <c r="M164" s="40"/>
      <c r="N164" s="40"/>
      <c r="O164" s="45" t="str">
        <f aca="false">IF(N164="","",WORKDAY(N164,Settings!$S$4))</f>
        <v/>
      </c>
      <c r="P164" s="17"/>
      <c r="Q164" s="44" t="str">
        <f aca="true">IF(C164="","",IF(P164="Backed out",IF(S164="Paid","Refunded – closed",IF(R164="","Refund – log reason first","Refund in progress")),IF(K164="","Awaiting payment",IF(N164="",IF(M164="","Schedule free video","Free video in production"),IF(P164="Approved","Active",IF(TODAY()&gt;O164,"Active – plan went ahead","Decision pending – "&amp;NETWORKDAYS(TODAY(),O164)&amp;" working day(s) left"))))))</f>
        <v/>
      </c>
      <c r="R164" s="17"/>
      <c r="S164" s="17"/>
      <c r="T164" s="50"/>
      <c r="U164" s="40"/>
      <c r="V164" s="40"/>
      <c r="W164" s="45" t="str">
        <f aca="false">IF(V164="","",EDATE(V164,Settings!$S$6))</f>
        <v/>
      </c>
      <c r="X164" s="17"/>
      <c r="Y164" s="17"/>
      <c r="Z164" s="17"/>
    </row>
    <row r="165" customFormat="false" ht="15" hidden="false" customHeight="false" outlineLevel="0" collapsed="false">
      <c r="A165" s="17"/>
      <c r="B165" s="17"/>
      <c r="C165" s="17"/>
      <c r="D165" s="17"/>
      <c r="E165" s="42"/>
      <c r="F165" s="17"/>
      <c r="G165" s="17"/>
      <c r="H165" s="17"/>
      <c r="I165" s="49" t="str">
        <f aca="false">IF(H165="","",IFERROR(INDEX(Settings!$G$2:$G$4,MATCH(H165,Settings!$F$2:$F$4,0)),""))</f>
        <v/>
      </c>
      <c r="J165" s="40"/>
      <c r="K165" s="50"/>
      <c r="L165" s="17"/>
      <c r="M165" s="40"/>
      <c r="N165" s="40"/>
      <c r="O165" s="45" t="str">
        <f aca="false">IF(N165="","",WORKDAY(N165,Settings!$S$4))</f>
        <v/>
      </c>
      <c r="P165" s="17"/>
      <c r="Q165" s="44" t="str">
        <f aca="true">IF(C165="","",IF(P165="Backed out",IF(S165="Paid","Refunded – closed",IF(R165="","Refund – log reason first","Refund in progress")),IF(K165="","Awaiting payment",IF(N165="",IF(M165="","Schedule free video","Free video in production"),IF(P165="Approved","Active",IF(TODAY()&gt;O165,"Active – plan went ahead","Decision pending – "&amp;NETWORKDAYS(TODAY(),O165)&amp;" working day(s) left"))))))</f>
        <v/>
      </c>
      <c r="R165" s="17"/>
      <c r="S165" s="17"/>
      <c r="T165" s="50"/>
      <c r="U165" s="40"/>
      <c r="V165" s="40"/>
      <c r="W165" s="45" t="str">
        <f aca="false">IF(V165="","",EDATE(V165,Settings!$S$6))</f>
        <v/>
      </c>
      <c r="X165" s="17"/>
      <c r="Y165" s="17"/>
      <c r="Z165" s="17"/>
    </row>
    <row r="166" customFormat="false" ht="15" hidden="false" customHeight="false" outlineLevel="0" collapsed="false">
      <c r="A166" s="17"/>
      <c r="B166" s="17"/>
      <c r="C166" s="17"/>
      <c r="D166" s="17"/>
      <c r="E166" s="42"/>
      <c r="F166" s="17"/>
      <c r="G166" s="17"/>
      <c r="H166" s="17"/>
      <c r="I166" s="49" t="str">
        <f aca="false">IF(H166="","",IFERROR(INDEX(Settings!$G$2:$G$4,MATCH(H166,Settings!$F$2:$F$4,0)),""))</f>
        <v/>
      </c>
      <c r="J166" s="40"/>
      <c r="K166" s="50"/>
      <c r="L166" s="17"/>
      <c r="M166" s="40"/>
      <c r="N166" s="40"/>
      <c r="O166" s="45" t="str">
        <f aca="false">IF(N166="","",WORKDAY(N166,Settings!$S$4))</f>
        <v/>
      </c>
      <c r="P166" s="17"/>
      <c r="Q166" s="44" t="str">
        <f aca="true">IF(C166="","",IF(P166="Backed out",IF(S166="Paid","Refunded – closed",IF(R166="","Refund – log reason first","Refund in progress")),IF(K166="","Awaiting payment",IF(N166="",IF(M166="","Schedule free video","Free video in production"),IF(P166="Approved","Active",IF(TODAY()&gt;O166,"Active – plan went ahead","Decision pending – "&amp;NETWORKDAYS(TODAY(),O166)&amp;" working day(s) left"))))))</f>
        <v/>
      </c>
      <c r="R166" s="17"/>
      <c r="S166" s="17"/>
      <c r="T166" s="50"/>
      <c r="U166" s="40"/>
      <c r="V166" s="40"/>
      <c r="W166" s="45" t="str">
        <f aca="false">IF(V166="","",EDATE(V166,Settings!$S$6))</f>
        <v/>
      </c>
      <c r="X166" s="17"/>
      <c r="Y166" s="17"/>
      <c r="Z166" s="17"/>
    </row>
    <row r="167" customFormat="false" ht="15" hidden="false" customHeight="false" outlineLevel="0" collapsed="false">
      <c r="A167" s="17"/>
      <c r="B167" s="17"/>
      <c r="C167" s="17"/>
      <c r="D167" s="17"/>
      <c r="E167" s="42"/>
      <c r="F167" s="17"/>
      <c r="G167" s="17"/>
      <c r="H167" s="17"/>
      <c r="I167" s="49" t="str">
        <f aca="false">IF(H167="","",IFERROR(INDEX(Settings!$G$2:$G$4,MATCH(H167,Settings!$F$2:$F$4,0)),""))</f>
        <v/>
      </c>
      <c r="J167" s="40"/>
      <c r="K167" s="50"/>
      <c r="L167" s="17"/>
      <c r="M167" s="40"/>
      <c r="N167" s="40"/>
      <c r="O167" s="45" t="str">
        <f aca="false">IF(N167="","",WORKDAY(N167,Settings!$S$4))</f>
        <v/>
      </c>
      <c r="P167" s="17"/>
      <c r="Q167" s="44" t="str">
        <f aca="true">IF(C167="","",IF(P167="Backed out",IF(S167="Paid","Refunded – closed",IF(R167="","Refund – log reason first","Refund in progress")),IF(K167="","Awaiting payment",IF(N167="",IF(M167="","Schedule free video","Free video in production"),IF(P167="Approved","Active",IF(TODAY()&gt;O167,"Active – plan went ahead","Decision pending – "&amp;NETWORKDAYS(TODAY(),O167)&amp;" working day(s) left"))))))</f>
        <v/>
      </c>
      <c r="R167" s="17"/>
      <c r="S167" s="17"/>
      <c r="T167" s="50"/>
      <c r="U167" s="40"/>
      <c r="V167" s="40"/>
      <c r="W167" s="45" t="str">
        <f aca="false">IF(V167="","",EDATE(V167,Settings!$S$6))</f>
        <v/>
      </c>
      <c r="X167" s="17"/>
      <c r="Y167" s="17"/>
      <c r="Z167" s="17"/>
    </row>
    <row r="168" customFormat="false" ht="15" hidden="false" customHeight="false" outlineLevel="0" collapsed="false">
      <c r="A168" s="17"/>
      <c r="B168" s="17"/>
      <c r="C168" s="17"/>
      <c r="D168" s="17"/>
      <c r="E168" s="42"/>
      <c r="F168" s="17"/>
      <c r="G168" s="17"/>
      <c r="H168" s="17"/>
      <c r="I168" s="49" t="str">
        <f aca="false">IF(H168="","",IFERROR(INDEX(Settings!$G$2:$G$4,MATCH(H168,Settings!$F$2:$F$4,0)),""))</f>
        <v/>
      </c>
      <c r="J168" s="40"/>
      <c r="K168" s="50"/>
      <c r="L168" s="17"/>
      <c r="M168" s="40"/>
      <c r="N168" s="40"/>
      <c r="O168" s="45" t="str">
        <f aca="false">IF(N168="","",WORKDAY(N168,Settings!$S$4))</f>
        <v/>
      </c>
      <c r="P168" s="17"/>
      <c r="Q168" s="44" t="str">
        <f aca="true">IF(C168="","",IF(P168="Backed out",IF(S168="Paid","Refunded – closed",IF(R168="","Refund – log reason first","Refund in progress")),IF(K168="","Awaiting payment",IF(N168="",IF(M168="","Schedule free video","Free video in production"),IF(P168="Approved","Active",IF(TODAY()&gt;O168,"Active – plan went ahead","Decision pending – "&amp;NETWORKDAYS(TODAY(),O168)&amp;" working day(s) left"))))))</f>
        <v/>
      </c>
      <c r="R168" s="17"/>
      <c r="S168" s="17"/>
      <c r="T168" s="50"/>
      <c r="U168" s="40"/>
      <c r="V168" s="40"/>
      <c r="W168" s="45" t="str">
        <f aca="false">IF(V168="","",EDATE(V168,Settings!$S$6))</f>
        <v/>
      </c>
      <c r="X168" s="17"/>
      <c r="Y168" s="17"/>
      <c r="Z168" s="17"/>
    </row>
    <row r="169" customFormat="false" ht="15" hidden="false" customHeight="false" outlineLevel="0" collapsed="false">
      <c r="A169" s="17"/>
      <c r="B169" s="17"/>
      <c r="C169" s="17"/>
      <c r="D169" s="17"/>
      <c r="E169" s="42"/>
      <c r="F169" s="17"/>
      <c r="G169" s="17"/>
      <c r="H169" s="17"/>
      <c r="I169" s="49" t="str">
        <f aca="false">IF(H169="","",IFERROR(INDEX(Settings!$G$2:$G$4,MATCH(H169,Settings!$F$2:$F$4,0)),""))</f>
        <v/>
      </c>
      <c r="J169" s="40"/>
      <c r="K169" s="50"/>
      <c r="L169" s="17"/>
      <c r="M169" s="40"/>
      <c r="N169" s="40"/>
      <c r="O169" s="45" t="str">
        <f aca="false">IF(N169="","",WORKDAY(N169,Settings!$S$4))</f>
        <v/>
      </c>
      <c r="P169" s="17"/>
      <c r="Q169" s="44" t="str">
        <f aca="true">IF(C169="","",IF(P169="Backed out",IF(S169="Paid","Refunded – closed",IF(R169="","Refund – log reason first","Refund in progress")),IF(K169="","Awaiting payment",IF(N169="",IF(M169="","Schedule free video","Free video in production"),IF(P169="Approved","Active",IF(TODAY()&gt;O169,"Active – plan went ahead","Decision pending – "&amp;NETWORKDAYS(TODAY(),O169)&amp;" working day(s) left"))))))</f>
        <v/>
      </c>
      <c r="R169" s="17"/>
      <c r="S169" s="17"/>
      <c r="T169" s="50"/>
      <c r="U169" s="40"/>
      <c r="V169" s="40"/>
      <c r="W169" s="45" t="str">
        <f aca="false">IF(V169="","",EDATE(V169,Settings!$S$6))</f>
        <v/>
      </c>
      <c r="X169" s="17"/>
      <c r="Y169" s="17"/>
      <c r="Z169" s="17"/>
    </row>
    <row r="170" customFormat="false" ht="15" hidden="false" customHeight="false" outlineLevel="0" collapsed="false">
      <c r="A170" s="17"/>
      <c r="B170" s="17"/>
      <c r="C170" s="17"/>
      <c r="D170" s="17"/>
      <c r="E170" s="42"/>
      <c r="F170" s="17"/>
      <c r="G170" s="17"/>
      <c r="H170" s="17"/>
      <c r="I170" s="49" t="str">
        <f aca="false">IF(H170="","",IFERROR(INDEX(Settings!$G$2:$G$4,MATCH(H170,Settings!$F$2:$F$4,0)),""))</f>
        <v/>
      </c>
      <c r="J170" s="40"/>
      <c r="K170" s="50"/>
      <c r="L170" s="17"/>
      <c r="M170" s="40"/>
      <c r="N170" s="40"/>
      <c r="O170" s="45" t="str">
        <f aca="false">IF(N170="","",WORKDAY(N170,Settings!$S$4))</f>
        <v/>
      </c>
      <c r="P170" s="17"/>
      <c r="Q170" s="44" t="str">
        <f aca="true">IF(C170="","",IF(P170="Backed out",IF(S170="Paid","Refunded – closed",IF(R170="","Refund – log reason first","Refund in progress")),IF(K170="","Awaiting payment",IF(N170="",IF(M170="","Schedule free video","Free video in production"),IF(P170="Approved","Active",IF(TODAY()&gt;O170,"Active – plan went ahead","Decision pending – "&amp;NETWORKDAYS(TODAY(),O170)&amp;" working day(s) left"))))))</f>
        <v/>
      </c>
      <c r="R170" s="17"/>
      <c r="S170" s="17"/>
      <c r="T170" s="50"/>
      <c r="U170" s="40"/>
      <c r="V170" s="40"/>
      <c r="W170" s="45" t="str">
        <f aca="false">IF(V170="","",EDATE(V170,Settings!$S$6))</f>
        <v/>
      </c>
      <c r="X170" s="17"/>
      <c r="Y170" s="17"/>
      <c r="Z170" s="17"/>
    </row>
    <row r="171" customFormat="false" ht="15" hidden="false" customHeight="false" outlineLevel="0" collapsed="false">
      <c r="A171" s="17"/>
      <c r="B171" s="17"/>
      <c r="C171" s="17"/>
      <c r="D171" s="17"/>
      <c r="E171" s="42"/>
      <c r="F171" s="17"/>
      <c r="G171" s="17"/>
      <c r="H171" s="17"/>
      <c r="I171" s="49" t="str">
        <f aca="false">IF(H171="","",IFERROR(INDEX(Settings!$G$2:$G$4,MATCH(H171,Settings!$F$2:$F$4,0)),""))</f>
        <v/>
      </c>
      <c r="J171" s="40"/>
      <c r="K171" s="50"/>
      <c r="L171" s="17"/>
      <c r="M171" s="40"/>
      <c r="N171" s="40"/>
      <c r="O171" s="45" t="str">
        <f aca="false">IF(N171="","",WORKDAY(N171,Settings!$S$4))</f>
        <v/>
      </c>
      <c r="P171" s="17"/>
      <c r="Q171" s="44" t="str">
        <f aca="true">IF(C171="","",IF(P171="Backed out",IF(S171="Paid","Refunded – closed",IF(R171="","Refund – log reason first","Refund in progress")),IF(K171="","Awaiting payment",IF(N171="",IF(M171="","Schedule free video","Free video in production"),IF(P171="Approved","Active",IF(TODAY()&gt;O171,"Active – plan went ahead","Decision pending – "&amp;NETWORKDAYS(TODAY(),O171)&amp;" working day(s) left"))))))</f>
        <v/>
      </c>
      <c r="R171" s="17"/>
      <c r="S171" s="17"/>
      <c r="T171" s="50"/>
      <c r="U171" s="40"/>
      <c r="V171" s="40"/>
      <c r="W171" s="45" t="str">
        <f aca="false">IF(V171="","",EDATE(V171,Settings!$S$6))</f>
        <v/>
      </c>
      <c r="X171" s="17"/>
      <c r="Y171" s="17"/>
      <c r="Z171" s="17"/>
    </row>
    <row r="172" customFormat="false" ht="15" hidden="false" customHeight="false" outlineLevel="0" collapsed="false">
      <c r="A172" s="17"/>
      <c r="B172" s="17"/>
      <c r="C172" s="17"/>
      <c r="D172" s="17"/>
      <c r="E172" s="42"/>
      <c r="F172" s="17"/>
      <c r="G172" s="17"/>
      <c r="H172" s="17"/>
      <c r="I172" s="49" t="str">
        <f aca="false">IF(H172="","",IFERROR(INDEX(Settings!$G$2:$G$4,MATCH(H172,Settings!$F$2:$F$4,0)),""))</f>
        <v/>
      </c>
      <c r="J172" s="40"/>
      <c r="K172" s="50"/>
      <c r="L172" s="17"/>
      <c r="M172" s="40"/>
      <c r="N172" s="40"/>
      <c r="O172" s="45" t="str">
        <f aca="false">IF(N172="","",WORKDAY(N172,Settings!$S$4))</f>
        <v/>
      </c>
      <c r="P172" s="17"/>
      <c r="Q172" s="44" t="str">
        <f aca="true">IF(C172="","",IF(P172="Backed out",IF(S172="Paid","Refunded – closed",IF(R172="","Refund – log reason first","Refund in progress")),IF(K172="","Awaiting payment",IF(N172="",IF(M172="","Schedule free video","Free video in production"),IF(P172="Approved","Active",IF(TODAY()&gt;O172,"Active – plan went ahead","Decision pending – "&amp;NETWORKDAYS(TODAY(),O172)&amp;" working day(s) left"))))))</f>
        <v/>
      </c>
      <c r="R172" s="17"/>
      <c r="S172" s="17"/>
      <c r="T172" s="50"/>
      <c r="U172" s="40"/>
      <c r="V172" s="40"/>
      <c r="W172" s="45" t="str">
        <f aca="false">IF(V172="","",EDATE(V172,Settings!$S$6))</f>
        <v/>
      </c>
      <c r="X172" s="17"/>
      <c r="Y172" s="17"/>
      <c r="Z172" s="17"/>
    </row>
    <row r="173" customFormat="false" ht="15" hidden="false" customHeight="false" outlineLevel="0" collapsed="false">
      <c r="A173" s="17"/>
      <c r="B173" s="17"/>
      <c r="C173" s="17"/>
      <c r="D173" s="17"/>
      <c r="E173" s="42"/>
      <c r="F173" s="17"/>
      <c r="G173" s="17"/>
      <c r="H173" s="17"/>
      <c r="I173" s="49" t="str">
        <f aca="false">IF(H173="","",IFERROR(INDEX(Settings!$G$2:$G$4,MATCH(H173,Settings!$F$2:$F$4,0)),""))</f>
        <v/>
      </c>
      <c r="J173" s="40"/>
      <c r="K173" s="50"/>
      <c r="L173" s="17"/>
      <c r="M173" s="40"/>
      <c r="N173" s="40"/>
      <c r="O173" s="45" t="str">
        <f aca="false">IF(N173="","",WORKDAY(N173,Settings!$S$4))</f>
        <v/>
      </c>
      <c r="P173" s="17"/>
      <c r="Q173" s="44" t="str">
        <f aca="true">IF(C173="","",IF(P173="Backed out",IF(S173="Paid","Refunded – closed",IF(R173="","Refund – log reason first","Refund in progress")),IF(K173="","Awaiting payment",IF(N173="",IF(M173="","Schedule free video","Free video in production"),IF(P173="Approved","Active",IF(TODAY()&gt;O173,"Active – plan went ahead","Decision pending – "&amp;NETWORKDAYS(TODAY(),O173)&amp;" working day(s) left"))))))</f>
        <v/>
      </c>
      <c r="R173" s="17"/>
      <c r="S173" s="17"/>
      <c r="T173" s="50"/>
      <c r="U173" s="40"/>
      <c r="V173" s="40"/>
      <c r="W173" s="45" t="str">
        <f aca="false">IF(V173="","",EDATE(V173,Settings!$S$6))</f>
        <v/>
      </c>
      <c r="X173" s="17"/>
      <c r="Y173" s="17"/>
      <c r="Z173" s="17"/>
    </row>
    <row r="174" customFormat="false" ht="15" hidden="false" customHeight="false" outlineLevel="0" collapsed="false">
      <c r="A174" s="17"/>
      <c r="B174" s="17"/>
      <c r="C174" s="17"/>
      <c r="D174" s="17"/>
      <c r="E174" s="42"/>
      <c r="F174" s="17"/>
      <c r="G174" s="17"/>
      <c r="H174" s="17"/>
      <c r="I174" s="49" t="str">
        <f aca="false">IF(H174="","",IFERROR(INDEX(Settings!$G$2:$G$4,MATCH(H174,Settings!$F$2:$F$4,0)),""))</f>
        <v/>
      </c>
      <c r="J174" s="40"/>
      <c r="K174" s="50"/>
      <c r="L174" s="17"/>
      <c r="M174" s="40"/>
      <c r="N174" s="40"/>
      <c r="O174" s="45" t="str">
        <f aca="false">IF(N174="","",WORKDAY(N174,Settings!$S$4))</f>
        <v/>
      </c>
      <c r="P174" s="17"/>
      <c r="Q174" s="44" t="str">
        <f aca="true">IF(C174="","",IF(P174="Backed out",IF(S174="Paid","Refunded – closed",IF(R174="","Refund – log reason first","Refund in progress")),IF(K174="","Awaiting payment",IF(N174="",IF(M174="","Schedule free video","Free video in production"),IF(P174="Approved","Active",IF(TODAY()&gt;O174,"Active – plan went ahead","Decision pending – "&amp;NETWORKDAYS(TODAY(),O174)&amp;" working day(s) left"))))))</f>
        <v/>
      </c>
      <c r="R174" s="17"/>
      <c r="S174" s="17"/>
      <c r="T174" s="50"/>
      <c r="U174" s="40"/>
      <c r="V174" s="40"/>
      <c r="W174" s="45" t="str">
        <f aca="false">IF(V174="","",EDATE(V174,Settings!$S$6))</f>
        <v/>
      </c>
      <c r="X174" s="17"/>
      <c r="Y174" s="17"/>
      <c r="Z174" s="17"/>
    </row>
    <row r="175" customFormat="false" ht="15" hidden="false" customHeight="false" outlineLevel="0" collapsed="false">
      <c r="A175" s="17"/>
      <c r="B175" s="17"/>
      <c r="C175" s="17"/>
      <c r="D175" s="17"/>
      <c r="E175" s="42"/>
      <c r="F175" s="17"/>
      <c r="G175" s="17"/>
      <c r="H175" s="17"/>
      <c r="I175" s="49" t="str">
        <f aca="false">IF(H175="","",IFERROR(INDEX(Settings!$G$2:$G$4,MATCH(H175,Settings!$F$2:$F$4,0)),""))</f>
        <v/>
      </c>
      <c r="J175" s="40"/>
      <c r="K175" s="50"/>
      <c r="L175" s="17"/>
      <c r="M175" s="40"/>
      <c r="N175" s="40"/>
      <c r="O175" s="45" t="str">
        <f aca="false">IF(N175="","",WORKDAY(N175,Settings!$S$4))</f>
        <v/>
      </c>
      <c r="P175" s="17"/>
      <c r="Q175" s="44" t="str">
        <f aca="true">IF(C175="","",IF(P175="Backed out",IF(S175="Paid","Refunded – closed",IF(R175="","Refund – log reason first","Refund in progress")),IF(K175="","Awaiting payment",IF(N175="",IF(M175="","Schedule free video","Free video in production"),IF(P175="Approved","Active",IF(TODAY()&gt;O175,"Active – plan went ahead","Decision pending – "&amp;NETWORKDAYS(TODAY(),O175)&amp;" working day(s) left"))))))</f>
        <v/>
      </c>
      <c r="R175" s="17"/>
      <c r="S175" s="17"/>
      <c r="T175" s="50"/>
      <c r="U175" s="40"/>
      <c r="V175" s="40"/>
      <c r="W175" s="45" t="str">
        <f aca="false">IF(V175="","",EDATE(V175,Settings!$S$6))</f>
        <v/>
      </c>
      <c r="X175" s="17"/>
      <c r="Y175" s="17"/>
      <c r="Z175" s="17"/>
    </row>
    <row r="176" customFormat="false" ht="15" hidden="false" customHeight="false" outlineLevel="0" collapsed="false">
      <c r="A176" s="17"/>
      <c r="B176" s="17"/>
      <c r="C176" s="17"/>
      <c r="D176" s="17"/>
      <c r="E176" s="42"/>
      <c r="F176" s="17"/>
      <c r="G176" s="17"/>
      <c r="H176" s="17"/>
      <c r="I176" s="49" t="str">
        <f aca="false">IF(H176="","",IFERROR(INDEX(Settings!$G$2:$G$4,MATCH(H176,Settings!$F$2:$F$4,0)),""))</f>
        <v/>
      </c>
      <c r="J176" s="40"/>
      <c r="K176" s="50"/>
      <c r="L176" s="17"/>
      <c r="M176" s="40"/>
      <c r="N176" s="40"/>
      <c r="O176" s="45" t="str">
        <f aca="false">IF(N176="","",WORKDAY(N176,Settings!$S$4))</f>
        <v/>
      </c>
      <c r="P176" s="17"/>
      <c r="Q176" s="44" t="str">
        <f aca="true">IF(C176="","",IF(P176="Backed out",IF(S176="Paid","Refunded – closed",IF(R176="","Refund – log reason first","Refund in progress")),IF(K176="","Awaiting payment",IF(N176="",IF(M176="","Schedule free video","Free video in production"),IF(P176="Approved","Active",IF(TODAY()&gt;O176,"Active – plan went ahead","Decision pending – "&amp;NETWORKDAYS(TODAY(),O176)&amp;" working day(s) left"))))))</f>
        <v/>
      </c>
      <c r="R176" s="17"/>
      <c r="S176" s="17"/>
      <c r="T176" s="50"/>
      <c r="U176" s="40"/>
      <c r="V176" s="40"/>
      <c r="W176" s="45" t="str">
        <f aca="false">IF(V176="","",EDATE(V176,Settings!$S$6))</f>
        <v/>
      </c>
      <c r="X176" s="17"/>
      <c r="Y176" s="17"/>
      <c r="Z176" s="17"/>
    </row>
    <row r="177" customFormat="false" ht="15" hidden="false" customHeight="false" outlineLevel="0" collapsed="false">
      <c r="A177" s="17"/>
      <c r="B177" s="17"/>
      <c r="C177" s="17"/>
      <c r="D177" s="17"/>
      <c r="E177" s="42"/>
      <c r="F177" s="17"/>
      <c r="G177" s="17"/>
      <c r="H177" s="17"/>
      <c r="I177" s="49" t="str">
        <f aca="false">IF(H177="","",IFERROR(INDEX(Settings!$G$2:$G$4,MATCH(H177,Settings!$F$2:$F$4,0)),""))</f>
        <v/>
      </c>
      <c r="J177" s="40"/>
      <c r="K177" s="50"/>
      <c r="L177" s="17"/>
      <c r="M177" s="40"/>
      <c r="N177" s="40"/>
      <c r="O177" s="45" t="str">
        <f aca="false">IF(N177="","",WORKDAY(N177,Settings!$S$4))</f>
        <v/>
      </c>
      <c r="P177" s="17"/>
      <c r="Q177" s="44" t="str">
        <f aca="true">IF(C177="","",IF(P177="Backed out",IF(S177="Paid","Refunded – closed",IF(R177="","Refund – log reason first","Refund in progress")),IF(K177="","Awaiting payment",IF(N177="",IF(M177="","Schedule free video","Free video in production"),IF(P177="Approved","Active",IF(TODAY()&gt;O177,"Active – plan went ahead","Decision pending – "&amp;NETWORKDAYS(TODAY(),O177)&amp;" working day(s) left"))))))</f>
        <v/>
      </c>
      <c r="R177" s="17"/>
      <c r="S177" s="17"/>
      <c r="T177" s="50"/>
      <c r="U177" s="40"/>
      <c r="V177" s="40"/>
      <c r="W177" s="45" t="str">
        <f aca="false">IF(V177="","",EDATE(V177,Settings!$S$6))</f>
        <v/>
      </c>
      <c r="X177" s="17"/>
      <c r="Y177" s="17"/>
      <c r="Z177" s="17"/>
    </row>
    <row r="178" customFormat="false" ht="15" hidden="false" customHeight="false" outlineLevel="0" collapsed="false">
      <c r="A178" s="17"/>
      <c r="B178" s="17"/>
      <c r="C178" s="17"/>
      <c r="D178" s="17"/>
      <c r="E178" s="42"/>
      <c r="F178" s="17"/>
      <c r="G178" s="17"/>
      <c r="H178" s="17"/>
      <c r="I178" s="49" t="str">
        <f aca="false">IF(H178="","",IFERROR(INDEX(Settings!$G$2:$G$4,MATCH(H178,Settings!$F$2:$F$4,0)),""))</f>
        <v/>
      </c>
      <c r="J178" s="40"/>
      <c r="K178" s="50"/>
      <c r="L178" s="17"/>
      <c r="M178" s="40"/>
      <c r="N178" s="40"/>
      <c r="O178" s="45" t="str">
        <f aca="false">IF(N178="","",WORKDAY(N178,Settings!$S$4))</f>
        <v/>
      </c>
      <c r="P178" s="17"/>
      <c r="Q178" s="44" t="str">
        <f aca="true">IF(C178="","",IF(P178="Backed out",IF(S178="Paid","Refunded – closed",IF(R178="","Refund – log reason first","Refund in progress")),IF(K178="","Awaiting payment",IF(N178="",IF(M178="","Schedule free video","Free video in production"),IF(P178="Approved","Active",IF(TODAY()&gt;O178,"Active – plan went ahead","Decision pending – "&amp;NETWORKDAYS(TODAY(),O178)&amp;" working day(s) left"))))))</f>
        <v/>
      </c>
      <c r="R178" s="17"/>
      <c r="S178" s="17"/>
      <c r="T178" s="50"/>
      <c r="U178" s="40"/>
      <c r="V178" s="40"/>
      <c r="W178" s="45" t="str">
        <f aca="false">IF(V178="","",EDATE(V178,Settings!$S$6))</f>
        <v/>
      </c>
      <c r="X178" s="17"/>
      <c r="Y178" s="17"/>
      <c r="Z178" s="17"/>
    </row>
    <row r="179" customFormat="false" ht="15" hidden="false" customHeight="false" outlineLevel="0" collapsed="false">
      <c r="A179" s="17"/>
      <c r="B179" s="17"/>
      <c r="C179" s="17"/>
      <c r="D179" s="17"/>
      <c r="E179" s="42"/>
      <c r="F179" s="17"/>
      <c r="G179" s="17"/>
      <c r="H179" s="17"/>
      <c r="I179" s="49" t="str">
        <f aca="false">IF(H179="","",IFERROR(INDEX(Settings!$G$2:$G$4,MATCH(H179,Settings!$F$2:$F$4,0)),""))</f>
        <v/>
      </c>
      <c r="J179" s="40"/>
      <c r="K179" s="50"/>
      <c r="L179" s="17"/>
      <c r="M179" s="40"/>
      <c r="N179" s="40"/>
      <c r="O179" s="45" t="str">
        <f aca="false">IF(N179="","",WORKDAY(N179,Settings!$S$4))</f>
        <v/>
      </c>
      <c r="P179" s="17"/>
      <c r="Q179" s="44" t="str">
        <f aca="true">IF(C179="","",IF(P179="Backed out",IF(S179="Paid","Refunded – closed",IF(R179="","Refund – log reason first","Refund in progress")),IF(K179="","Awaiting payment",IF(N179="",IF(M179="","Schedule free video","Free video in production"),IF(P179="Approved","Active",IF(TODAY()&gt;O179,"Active – plan went ahead","Decision pending – "&amp;NETWORKDAYS(TODAY(),O179)&amp;" working day(s) left"))))))</f>
        <v/>
      </c>
      <c r="R179" s="17"/>
      <c r="S179" s="17"/>
      <c r="T179" s="50"/>
      <c r="U179" s="40"/>
      <c r="V179" s="40"/>
      <c r="W179" s="45" t="str">
        <f aca="false">IF(V179="","",EDATE(V179,Settings!$S$6))</f>
        <v/>
      </c>
      <c r="X179" s="17"/>
      <c r="Y179" s="17"/>
      <c r="Z179" s="17"/>
    </row>
    <row r="180" customFormat="false" ht="15" hidden="false" customHeight="false" outlineLevel="0" collapsed="false">
      <c r="A180" s="17"/>
      <c r="B180" s="17"/>
      <c r="C180" s="17"/>
      <c r="D180" s="17"/>
      <c r="E180" s="42"/>
      <c r="F180" s="17"/>
      <c r="G180" s="17"/>
      <c r="H180" s="17"/>
      <c r="I180" s="49" t="str">
        <f aca="false">IF(H180="","",IFERROR(INDEX(Settings!$G$2:$G$4,MATCH(H180,Settings!$F$2:$F$4,0)),""))</f>
        <v/>
      </c>
      <c r="J180" s="40"/>
      <c r="K180" s="50"/>
      <c r="L180" s="17"/>
      <c r="M180" s="40"/>
      <c r="N180" s="40"/>
      <c r="O180" s="45" t="str">
        <f aca="false">IF(N180="","",WORKDAY(N180,Settings!$S$4))</f>
        <v/>
      </c>
      <c r="P180" s="17"/>
      <c r="Q180" s="44" t="str">
        <f aca="true">IF(C180="","",IF(P180="Backed out",IF(S180="Paid","Refunded – closed",IF(R180="","Refund – log reason first","Refund in progress")),IF(K180="","Awaiting payment",IF(N180="",IF(M180="","Schedule free video","Free video in production"),IF(P180="Approved","Active",IF(TODAY()&gt;O180,"Active – plan went ahead","Decision pending – "&amp;NETWORKDAYS(TODAY(),O180)&amp;" working day(s) left"))))))</f>
        <v/>
      </c>
      <c r="R180" s="17"/>
      <c r="S180" s="17"/>
      <c r="T180" s="50"/>
      <c r="U180" s="40"/>
      <c r="V180" s="40"/>
      <c r="W180" s="45" t="str">
        <f aca="false">IF(V180="","",EDATE(V180,Settings!$S$6))</f>
        <v/>
      </c>
      <c r="X180" s="17"/>
      <c r="Y180" s="17"/>
      <c r="Z180" s="17"/>
    </row>
    <row r="181" customFormat="false" ht="15" hidden="false" customHeight="false" outlineLevel="0" collapsed="false">
      <c r="A181" s="17"/>
      <c r="B181" s="17"/>
      <c r="C181" s="17"/>
      <c r="D181" s="17"/>
      <c r="E181" s="42"/>
      <c r="F181" s="17"/>
      <c r="G181" s="17"/>
      <c r="H181" s="17"/>
      <c r="I181" s="49" t="str">
        <f aca="false">IF(H181="","",IFERROR(INDEX(Settings!$G$2:$G$4,MATCH(H181,Settings!$F$2:$F$4,0)),""))</f>
        <v/>
      </c>
      <c r="J181" s="40"/>
      <c r="K181" s="50"/>
      <c r="L181" s="17"/>
      <c r="M181" s="40"/>
      <c r="N181" s="40"/>
      <c r="O181" s="45" t="str">
        <f aca="false">IF(N181="","",WORKDAY(N181,Settings!$S$4))</f>
        <v/>
      </c>
      <c r="P181" s="17"/>
      <c r="Q181" s="44" t="str">
        <f aca="true">IF(C181="","",IF(P181="Backed out",IF(S181="Paid","Refunded – closed",IF(R181="","Refund – log reason first","Refund in progress")),IF(K181="","Awaiting payment",IF(N181="",IF(M181="","Schedule free video","Free video in production"),IF(P181="Approved","Active",IF(TODAY()&gt;O181,"Active – plan went ahead","Decision pending – "&amp;NETWORKDAYS(TODAY(),O181)&amp;" working day(s) left"))))))</f>
        <v/>
      </c>
      <c r="R181" s="17"/>
      <c r="S181" s="17"/>
      <c r="T181" s="50"/>
      <c r="U181" s="40"/>
      <c r="V181" s="40"/>
      <c r="W181" s="45" t="str">
        <f aca="false">IF(V181="","",EDATE(V181,Settings!$S$6))</f>
        <v/>
      </c>
      <c r="X181" s="17"/>
      <c r="Y181" s="17"/>
      <c r="Z181" s="17"/>
    </row>
    <row r="182" customFormat="false" ht="15" hidden="false" customHeight="false" outlineLevel="0" collapsed="false">
      <c r="A182" s="17"/>
      <c r="B182" s="17"/>
      <c r="C182" s="17"/>
      <c r="D182" s="17"/>
      <c r="E182" s="42"/>
      <c r="F182" s="17"/>
      <c r="G182" s="17"/>
      <c r="H182" s="17"/>
      <c r="I182" s="49" t="str">
        <f aca="false">IF(H182="","",IFERROR(INDEX(Settings!$G$2:$G$4,MATCH(H182,Settings!$F$2:$F$4,0)),""))</f>
        <v/>
      </c>
      <c r="J182" s="40"/>
      <c r="K182" s="50"/>
      <c r="L182" s="17"/>
      <c r="M182" s="40"/>
      <c r="N182" s="40"/>
      <c r="O182" s="45" t="str">
        <f aca="false">IF(N182="","",WORKDAY(N182,Settings!$S$4))</f>
        <v/>
      </c>
      <c r="P182" s="17"/>
      <c r="Q182" s="44" t="str">
        <f aca="true">IF(C182="","",IF(P182="Backed out",IF(S182="Paid","Refunded – closed",IF(R182="","Refund – log reason first","Refund in progress")),IF(K182="","Awaiting payment",IF(N182="",IF(M182="","Schedule free video","Free video in production"),IF(P182="Approved","Active",IF(TODAY()&gt;O182,"Active – plan went ahead","Decision pending – "&amp;NETWORKDAYS(TODAY(),O182)&amp;" working day(s) left"))))))</f>
        <v/>
      </c>
      <c r="R182" s="17"/>
      <c r="S182" s="17"/>
      <c r="T182" s="50"/>
      <c r="U182" s="40"/>
      <c r="V182" s="40"/>
      <c r="W182" s="45" t="str">
        <f aca="false">IF(V182="","",EDATE(V182,Settings!$S$6))</f>
        <v/>
      </c>
      <c r="X182" s="17"/>
      <c r="Y182" s="17"/>
      <c r="Z182" s="17"/>
    </row>
    <row r="183" customFormat="false" ht="15" hidden="false" customHeight="false" outlineLevel="0" collapsed="false">
      <c r="A183" s="17"/>
      <c r="B183" s="17"/>
      <c r="C183" s="17"/>
      <c r="D183" s="17"/>
      <c r="E183" s="42"/>
      <c r="F183" s="17"/>
      <c r="G183" s="17"/>
      <c r="H183" s="17"/>
      <c r="I183" s="49" t="str">
        <f aca="false">IF(H183="","",IFERROR(INDEX(Settings!$G$2:$G$4,MATCH(H183,Settings!$F$2:$F$4,0)),""))</f>
        <v/>
      </c>
      <c r="J183" s="40"/>
      <c r="K183" s="50"/>
      <c r="L183" s="17"/>
      <c r="M183" s="40"/>
      <c r="N183" s="40"/>
      <c r="O183" s="45" t="str">
        <f aca="false">IF(N183="","",WORKDAY(N183,Settings!$S$4))</f>
        <v/>
      </c>
      <c r="P183" s="17"/>
      <c r="Q183" s="44" t="str">
        <f aca="true">IF(C183="","",IF(P183="Backed out",IF(S183="Paid","Refunded – closed",IF(R183="","Refund – log reason first","Refund in progress")),IF(K183="","Awaiting payment",IF(N183="",IF(M183="","Schedule free video","Free video in production"),IF(P183="Approved","Active",IF(TODAY()&gt;O183,"Active – plan went ahead","Decision pending – "&amp;NETWORKDAYS(TODAY(),O183)&amp;" working day(s) left"))))))</f>
        <v/>
      </c>
      <c r="R183" s="17"/>
      <c r="S183" s="17"/>
      <c r="T183" s="50"/>
      <c r="U183" s="40"/>
      <c r="V183" s="40"/>
      <c r="W183" s="45" t="str">
        <f aca="false">IF(V183="","",EDATE(V183,Settings!$S$6))</f>
        <v/>
      </c>
      <c r="X183" s="17"/>
      <c r="Y183" s="17"/>
      <c r="Z183" s="17"/>
    </row>
    <row r="184" customFormat="false" ht="15" hidden="false" customHeight="false" outlineLevel="0" collapsed="false">
      <c r="A184" s="17"/>
      <c r="B184" s="17"/>
      <c r="C184" s="17"/>
      <c r="D184" s="17"/>
      <c r="E184" s="42"/>
      <c r="F184" s="17"/>
      <c r="G184" s="17"/>
      <c r="H184" s="17"/>
      <c r="I184" s="49" t="str">
        <f aca="false">IF(H184="","",IFERROR(INDEX(Settings!$G$2:$G$4,MATCH(H184,Settings!$F$2:$F$4,0)),""))</f>
        <v/>
      </c>
      <c r="J184" s="40"/>
      <c r="K184" s="50"/>
      <c r="L184" s="17"/>
      <c r="M184" s="40"/>
      <c r="N184" s="40"/>
      <c r="O184" s="45" t="str">
        <f aca="false">IF(N184="","",WORKDAY(N184,Settings!$S$4))</f>
        <v/>
      </c>
      <c r="P184" s="17"/>
      <c r="Q184" s="44" t="str">
        <f aca="true">IF(C184="","",IF(P184="Backed out",IF(S184="Paid","Refunded – closed",IF(R184="","Refund – log reason first","Refund in progress")),IF(K184="","Awaiting payment",IF(N184="",IF(M184="","Schedule free video","Free video in production"),IF(P184="Approved","Active",IF(TODAY()&gt;O184,"Active – plan went ahead","Decision pending – "&amp;NETWORKDAYS(TODAY(),O184)&amp;" working day(s) left"))))))</f>
        <v/>
      </c>
      <c r="R184" s="17"/>
      <c r="S184" s="17"/>
      <c r="T184" s="50"/>
      <c r="U184" s="40"/>
      <c r="V184" s="40"/>
      <c r="W184" s="45" t="str">
        <f aca="false">IF(V184="","",EDATE(V184,Settings!$S$6))</f>
        <v/>
      </c>
      <c r="X184" s="17"/>
      <c r="Y184" s="17"/>
      <c r="Z184" s="17"/>
    </row>
    <row r="185" customFormat="false" ht="15" hidden="false" customHeight="false" outlineLevel="0" collapsed="false">
      <c r="A185" s="17"/>
      <c r="B185" s="17"/>
      <c r="C185" s="17"/>
      <c r="D185" s="17"/>
      <c r="E185" s="42"/>
      <c r="F185" s="17"/>
      <c r="G185" s="17"/>
      <c r="H185" s="17"/>
      <c r="I185" s="49" t="str">
        <f aca="false">IF(H185="","",IFERROR(INDEX(Settings!$G$2:$G$4,MATCH(H185,Settings!$F$2:$F$4,0)),""))</f>
        <v/>
      </c>
      <c r="J185" s="40"/>
      <c r="K185" s="50"/>
      <c r="L185" s="17"/>
      <c r="M185" s="40"/>
      <c r="N185" s="40"/>
      <c r="O185" s="45" t="str">
        <f aca="false">IF(N185="","",WORKDAY(N185,Settings!$S$4))</f>
        <v/>
      </c>
      <c r="P185" s="17"/>
      <c r="Q185" s="44" t="str">
        <f aca="true">IF(C185="","",IF(P185="Backed out",IF(S185="Paid","Refunded – closed",IF(R185="","Refund – log reason first","Refund in progress")),IF(K185="","Awaiting payment",IF(N185="",IF(M185="","Schedule free video","Free video in production"),IF(P185="Approved","Active",IF(TODAY()&gt;O185,"Active – plan went ahead","Decision pending – "&amp;NETWORKDAYS(TODAY(),O185)&amp;" working day(s) left"))))))</f>
        <v/>
      </c>
      <c r="R185" s="17"/>
      <c r="S185" s="17"/>
      <c r="T185" s="50"/>
      <c r="U185" s="40"/>
      <c r="V185" s="40"/>
      <c r="W185" s="45" t="str">
        <f aca="false">IF(V185="","",EDATE(V185,Settings!$S$6))</f>
        <v/>
      </c>
      <c r="X185" s="17"/>
      <c r="Y185" s="17"/>
      <c r="Z185" s="17"/>
    </row>
    <row r="186" customFormat="false" ht="15" hidden="false" customHeight="false" outlineLevel="0" collapsed="false">
      <c r="A186" s="17"/>
      <c r="B186" s="17"/>
      <c r="C186" s="17"/>
      <c r="D186" s="17"/>
      <c r="E186" s="42"/>
      <c r="F186" s="17"/>
      <c r="G186" s="17"/>
      <c r="H186" s="17"/>
      <c r="I186" s="49" t="str">
        <f aca="false">IF(H186="","",IFERROR(INDEX(Settings!$G$2:$G$4,MATCH(H186,Settings!$F$2:$F$4,0)),""))</f>
        <v/>
      </c>
      <c r="J186" s="40"/>
      <c r="K186" s="50"/>
      <c r="L186" s="17"/>
      <c r="M186" s="40"/>
      <c r="N186" s="40"/>
      <c r="O186" s="45" t="str">
        <f aca="false">IF(N186="","",WORKDAY(N186,Settings!$S$4))</f>
        <v/>
      </c>
      <c r="P186" s="17"/>
      <c r="Q186" s="44" t="str">
        <f aca="true">IF(C186="","",IF(P186="Backed out",IF(S186="Paid","Refunded – closed",IF(R186="","Refund – log reason first","Refund in progress")),IF(K186="","Awaiting payment",IF(N186="",IF(M186="","Schedule free video","Free video in production"),IF(P186="Approved","Active",IF(TODAY()&gt;O186,"Active – plan went ahead","Decision pending – "&amp;NETWORKDAYS(TODAY(),O186)&amp;" working day(s) left"))))))</f>
        <v/>
      </c>
      <c r="R186" s="17"/>
      <c r="S186" s="17"/>
      <c r="T186" s="50"/>
      <c r="U186" s="40"/>
      <c r="V186" s="40"/>
      <c r="W186" s="45" t="str">
        <f aca="false">IF(V186="","",EDATE(V186,Settings!$S$6))</f>
        <v/>
      </c>
      <c r="X186" s="17"/>
      <c r="Y186" s="17"/>
      <c r="Z186" s="17"/>
    </row>
    <row r="187" customFormat="false" ht="15" hidden="false" customHeight="false" outlineLevel="0" collapsed="false">
      <c r="A187" s="17"/>
      <c r="B187" s="17"/>
      <c r="C187" s="17"/>
      <c r="D187" s="17"/>
      <c r="E187" s="42"/>
      <c r="F187" s="17"/>
      <c r="G187" s="17"/>
      <c r="H187" s="17"/>
      <c r="I187" s="49" t="str">
        <f aca="false">IF(H187="","",IFERROR(INDEX(Settings!$G$2:$G$4,MATCH(H187,Settings!$F$2:$F$4,0)),""))</f>
        <v/>
      </c>
      <c r="J187" s="40"/>
      <c r="K187" s="50"/>
      <c r="L187" s="17"/>
      <c r="M187" s="40"/>
      <c r="N187" s="40"/>
      <c r="O187" s="45" t="str">
        <f aca="false">IF(N187="","",WORKDAY(N187,Settings!$S$4))</f>
        <v/>
      </c>
      <c r="P187" s="17"/>
      <c r="Q187" s="44" t="str">
        <f aca="true">IF(C187="","",IF(P187="Backed out",IF(S187="Paid","Refunded – closed",IF(R187="","Refund – log reason first","Refund in progress")),IF(K187="","Awaiting payment",IF(N187="",IF(M187="","Schedule free video","Free video in production"),IF(P187="Approved","Active",IF(TODAY()&gt;O187,"Active – plan went ahead","Decision pending – "&amp;NETWORKDAYS(TODAY(),O187)&amp;" working day(s) left"))))))</f>
        <v/>
      </c>
      <c r="R187" s="17"/>
      <c r="S187" s="17"/>
      <c r="T187" s="50"/>
      <c r="U187" s="40"/>
      <c r="V187" s="40"/>
      <c r="W187" s="45" t="str">
        <f aca="false">IF(V187="","",EDATE(V187,Settings!$S$6))</f>
        <v/>
      </c>
      <c r="X187" s="17"/>
      <c r="Y187" s="17"/>
      <c r="Z187" s="17"/>
    </row>
    <row r="188" customFormat="false" ht="15" hidden="false" customHeight="false" outlineLevel="0" collapsed="false">
      <c r="A188" s="17"/>
      <c r="B188" s="17"/>
      <c r="C188" s="17"/>
      <c r="D188" s="17"/>
      <c r="E188" s="42"/>
      <c r="F188" s="17"/>
      <c r="G188" s="17"/>
      <c r="H188" s="17"/>
      <c r="I188" s="49" t="str">
        <f aca="false">IF(H188="","",IFERROR(INDEX(Settings!$G$2:$G$4,MATCH(H188,Settings!$F$2:$F$4,0)),""))</f>
        <v/>
      </c>
      <c r="J188" s="40"/>
      <c r="K188" s="50"/>
      <c r="L188" s="17"/>
      <c r="M188" s="40"/>
      <c r="N188" s="40"/>
      <c r="O188" s="45" t="str">
        <f aca="false">IF(N188="","",WORKDAY(N188,Settings!$S$4))</f>
        <v/>
      </c>
      <c r="P188" s="17"/>
      <c r="Q188" s="44" t="str">
        <f aca="true">IF(C188="","",IF(P188="Backed out",IF(S188="Paid","Refunded – closed",IF(R188="","Refund – log reason first","Refund in progress")),IF(K188="","Awaiting payment",IF(N188="",IF(M188="","Schedule free video","Free video in production"),IF(P188="Approved","Active",IF(TODAY()&gt;O188,"Active – plan went ahead","Decision pending – "&amp;NETWORKDAYS(TODAY(),O188)&amp;" working day(s) left"))))))</f>
        <v/>
      </c>
      <c r="R188" s="17"/>
      <c r="S188" s="17"/>
      <c r="T188" s="50"/>
      <c r="U188" s="40"/>
      <c r="V188" s="40"/>
      <c r="W188" s="45" t="str">
        <f aca="false">IF(V188="","",EDATE(V188,Settings!$S$6))</f>
        <v/>
      </c>
      <c r="X188" s="17"/>
      <c r="Y188" s="17"/>
      <c r="Z188" s="17"/>
    </row>
    <row r="189" customFormat="false" ht="15" hidden="false" customHeight="false" outlineLevel="0" collapsed="false">
      <c r="A189" s="17"/>
      <c r="B189" s="17"/>
      <c r="C189" s="17"/>
      <c r="D189" s="17"/>
      <c r="E189" s="42"/>
      <c r="F189" s="17"/>
      <c r="G189" s="17"/>
      <c r="H189" s="17"/>
      <c r="I189" s="49" t="str">
        <f aca="false">IF(H189="","",IFERROR(INDEX(Settings!$G$2:$G$4,MATCH(H189,Settings!$F$2:$F$4,0)),""))</f>
        <v/>
      </c>
      <c r="J189" s="40"/>
      <c r="K189" s="50"/>
      <c r="L189" s="17"/>
      <c r="M189" s="40"/>
      <c r="N189" s="40"/>
      <c r="O189" s="45" t="str">
        <f aca="false">IF(N189="","",WORKDAY(N189,Settings!$S$4))</f>
        <v/>
      </c>
      <c r="P189" s="17"/>
      <c r="Q189" s="44" t="str">
        <f aca="true">IF(C189="","",IF(P189="Backed out",IF(S189="Paid","Refunded – closed",IF(R189="","Refund – log reason first","Refund in progress")),IF(K189="","Awaiting payment",IF(N189="",IF(M189="","Schedule free video","Free video in production"),IF(P189="Approved","Active",IF(TODAY()&gt;O189,"Active – plan went ahead","Decision pending – "&amp;NETWORKDAYS(TODAY(),O189)&amp;" working day(s) left"))))))</f>
        <v/>
      </c>
      <c r="R189" s="17"/>
      <c r="S189" s="17"/>
      <c r="T189" s="50"/>
      <c r="U189" s="40"/>
      <c r="V189" s="40"/>
      <c r="W189" s="45" t="str">
        <f aca="false">IF(V189="","",EDATE(V189,Settings!$S$6))</f>
        <v/>
      </c>
      <c r="X189" s="17"/>
      <c r="Y189" s="17"/>
      <c r="Z189" s="17"/>
    </row>
    <row r="190" customFormat="false" ht="15" hidden="false" customHeight="false" outlineLevel="0" collapsed="false">
      <c r="A190" s="17"/>
      <c r="B190" s="17"/>
      <c r="C190" s="17"/>
      <c r="D190" s="17"/>
      <c r="E190" s="42"/>
      <c r="F190" s="17"/>
      <c r="G190" s="17"/>
      <c r="H190" s="17"/>
      <c r="I190" s="49" t="str">
        <f aca="false">IF(H190="","",IFERROR(INDEX(Settings!$G$2:$G$4,MATCH(H190,Settings!$F$2:$F$4,0)),""))</f>
        <v/>
      </c>
      <c r="J190" s="40"/>
      <c r="K190" s="50"/>
      <c r="L190" s="17"/>
      <c r="M190" s="40"/>
      <c r="N190" s="40"/>
      <c r="O190" s="45" t="str">
        <f aca="false">IF(N190="","",WORKDAY(N190,Settings!$S$4))</f>
        <v/>
      </c>
      <c r="P190" s="17"/>
      <c r="Q190" s="44" t="str">
        <f aca="true">IF(C190="","",IF(P190="Backed out",IF(S190="Paid","Refunded – closed",IF(R190="","Refund – log reason first","Refund in progress")),IF(K190="","Awaiting payment",IF(N190="",IF(M190="","Schedule free video","Free video in production"),IF(P190="Approved","Active",IF(TODAY()&gt;O190,"Active – plan went ahead","Decision pending – "&amp;NETWORKDAYS(TODAY(),O190)&amp;" working day(s) left"))))))</f>
        <v/>
      </c>
      <c r="R190" s="17"/>
      <c r="S190" s="17"/>
      <c r="T190" s="50"/>
      <c r="U190" s="40"/>
      <c r="V190" s="40"/>
      <c r="W190" s="45" t="str">
        <f aca="false">IF(V190="","",EDATE(V190,Settings!$S$6))</f>
        <v/>
      </c>
      <c r="X190" s="17"/>
      <c r="Y190" s="17"/>
      <c r="Z190" s="17"/>
    </row>
    <row r="191" customFormat="false" ht="15" hidden="false" customHeight="false" outlineLevel="0" collapsed="false">
      <c r="A191" s="17"/>
      <c r="B191" s="17"/>
      <c r="C191" s="17"/>
      <c r="D191" s="17"/>
      <c r="E191" s="42"/>
      <c r="F191" s="17"/>
      <c r="G191" s="17"/>
      <c r="H191" s="17"/>
      <c r="I191" s="49" t="str">
        <f aca="false">IF(H191="","",IFERROR(INDEX(Settings!$G$2:$G$4,MATCH(H191,Settings!$F$2:$F$4,0)),""))</f>
        <v/>
      </c>
      <c r="J191" s="40"/>
      <c r="K191" s="50"/>
      <c r="L191" s="17"/>
      <c r="M191" s="40"/>
      <c r="N191" s="40"/>
      <c r="O191" s="45" t="str">
        <f aca="false">IF(N191="","",WORKDAY(N191,Settings!$S$4))</f>
        <v/>
      </c>
      <c r="P191" s="17"/>
      <c r="Q191" s="44" t="str">
        <f aca="true">IF(C191="","",IF(P191="Backed out",IF(S191="Paid","Refunded – closed",IF(R191="","Refund – log reason first","Refund in progress")),IF(K191="","Awaiting payment",IF(N191="",IF(M191="","Schedule free video","Free video in production"),IF(P191="Approved","Active",IF(TODAY()&gt;O191,"Active – plan went ahead","Decision pending – "&amp;NETWORKDAYS(TODAY(),O191)&amp;" working day(s) left"))))))</f>
        <v/>
      </c>
      <c r="R191" s="17"/>
      <c r="S191" s="17"/>
      <c r="T191" s="50"/>
      <c r="U191" s="40"/>
      <c r="V191" s="40"/>
      <c r="W191" s="45" t="str">
        <f aca="false">IF(V191="","",EDATE(V191,Settings!$S$6))</f>
        <v/>
      </c>
      <c r="X191" s="17"/>
      <c r="Y191" s="17"/>
      <c r="Z191" s="17"/>
    </row>
    <row r="192" customFormat="false" ht="15" hidden="false" customHeight="false" outlineLevel="0" collapsed="false">
      <c r="A192" s="17"/>
      <c r="B192" s="17"/>
      <c r="C192" s="17"/>
      <c r="D192" s="17"/>
      <c r="E192" s="42"/>
      <c r="F192" s="17"/>
      <c r="G192" s="17"/>
      <c r="H192" s="17"/>
      <c r="I192" s="49" t="str">
        <f aca="false">IF(H192="","",IFERROR(INDEX(Settings!$G$2:$G$4,MATCH(H192,Settings!$F$2:$F$4,0)),""))</f>
        <v/>
      </c>
      <c r="J192" s="40"/>
      <c r="K192" s="50"/>
      <c r="L192" s="17"/>
      <c r="M192" s="40"/>
      <c r="N192" s="40"/>
      <c r="O192" s="45" t="str">
        <f aca="false">IF(N192="","",WORKDAY(N192,Settings!$S$4))</f>
        <v/>
      </c>
      <c r="P192" s="17"/>
      <c r="Q192" s="44" t="str">
        <f aca="true">IF(C192="","",IF(P192="Backed out",IF(S192="Paid","Refunded – closed",IF(R192="","Refund – log reason first","Refund in progress")),IF(K192="","Awaiting payment",IF(N192="",IF(M192="","Schedule free video","Free video in production"),IF(P192="Approved","Active",IF(TODAY()&gt;O192,"Active – plan went ahead","Decision pending – "&amp;NETWORKDAYS(TODAY(),O192)&amp;" working day(s) left"))))))</f>
        <v/>
      </c>
      <c r="R192" s="17"/>
      <c r="S192" s="17"/>
      <c r="T192" s="50"/>
      <c r="U192" s="40"/>
      <c r="V192" s="40"/>
      <c r="W192" s="45" t="str">
        <f aca="false">IF(V192="","",EDATE(V192,Settings!$S$6))</f>
        <v/>
      </c>
      <c r="X192" s="17"/>
      <c r="Y192" s="17"/>
      <c r="Z192" s="17"/>
    </row>
    <row r="193" customFormat="false" ht="15" hidden="false" customHeight="false" outlineLevel="0" collapsed="false">
      <c r="A193" s="17"/>
      <c r="B193" s="17"/>
      <c r="C193" s="17"/>
      <c r="D193" s="17"/>
      <c r="E193" s="42"/>
      <c r="F193" s="17"/>
      <c r="G193" s="17"/>
      <c r="H193" s="17"/>
      <c r="I193" s="49" t="str">
        <f aca="false">IF(H193="","",IFERROR(INDEX(Settings!$G$2:$G$4,MATCH(H193,Settings!$F$2:$F$4,0)),""))</f>
        <v/>
      </c>
      <c r="J193" s="40"/>
      <c r="K193" s="50"/>
      <c r="L193" s="17"/>
      <c r="M193" s="40"/>
      <c r="N193" s="40"/>
      <c r="O193" s="45" t="str">
        <f aca="false">IF(N193="","",WORKDAY(N193,Settings!$S$4))</f>
        <v/>
      </c>
      <c r="P193" s="17"/>
      <c r="Q193" s="44" t="str">
        <f aca="true">IF(C193="","",IF(P193="Backed out",IF(S193="Paid","Refunded – closed",IF(R193="","Refund – log reason first","Refund in progress")),IF(K193="","Awaiting payment",IF(N193="",IF(M193="","Schedule free video","Free video in production"),IF(P193="Approved","Active",IF(TODAY()&gt;O193,"Active – plan went ahead","Decision pending – "&amp;NETWORKDAYS(TODAY(),O193)&amp;" working day(s) left"))))))</f>
        <v/>
      </c>
      <c r="R193" s="17"/>
      <c r="S193" s="17"/>
      <c r="T193" s="50"/>
      <c r="U193" s="40"/>
      <c r="V193" s="40"/>
      <c r="W193" s="45" t="str">
        <f aca="false">IF(V193="","",EDATE(V193,Settings!$S$6))</f>
        <v/>
      </c>
      <c r="X193" s="17"/>
      <c r="Y193" s="17"/>
      <c r="Z193" s="17"/>
    </row>
    <row r="194" customFormat="false" ht="15" hidden="false" customHeight="false" outlineLevel="0" collapsed="false">
      <c r="A194" s="17"/>
      <c r="B194" s="17"/>
      <c r="C194" s="17"/>
      <c r="D194" s="17"/>
      <c r="E194" s="42"/>
      <c r="F194" s="17"/>
      <c r="G194" s="17"/>
      <c r="H194" s="17"/>
      <c r="I194" s="49" t="str">
        <f aca="false">IF(H194="","",IFERROR(INDEX(Settings!$G$2:$G$4,MATCH(H194,Settings!$F$2:$F$4,0)),""))</f>
        <v/>
      </c>
      <c r="J194" s="40"/>
      <c r="K194" s="50"/>
      <c r="L194" s="17"/>
      <c r="M194" s="40"/>
      <c r="N194" s="40"/>
      <c r="O194" s="45" t="str">
        <f aca="false">IF(N194="","",WORKDAY(N194,Settings!$S$4))</f>
        <v/>
      </c>
      <c r="P194" s="17"/>
      <c r="Q194" s="44" t="str">
        <f aca="true">IF(C194="","",IF(P194="Backed out",IF(S194="Paid","Refunded – closed",IF(R194="","Refund – log reason first","Refund in progress")),IF(K194="","Awaiting payment",IF(N194="",IF(M194="","Schedule free video","Free video in production"),IF(P194="Approved","Active",IF(TODAY()&gt;O194,"Active – plan went ahead","Decision pending – "&amp;NETWORKDAYS(TODAY(),O194)&amp;" working day(s) left"))))))</f>
        <v/>
      </c>
      <c r="R194" s="17"/>
      <c r="S194" s="17"/>
      <c r="T194" s="50"/>
      <c r="U194" s="40"/>
      <c r="V194" s="40"/>
      <c r="W194" s="45" t="str">
        <f aca="false">IF(V194="","",EDATE(V194,Settings!$S$6))</f>
        <v/>
      </c>
      <c r="X194" s="17"/>
      <c r="Y194" s="17"/>
      <c r="Z194" s="17"/>
    </row>
    <row r="195" customFormat="false" ht="15" hidden="false" customHeight="false" outlineLevel="0" collapsed="false">
      <c r="A195" s="17"/>
      <c r="B195" s="17"/>
      <c r="C195" s="17"/>
      <c r="D195" s="17"/>
      <c r="E195" s="42"/>
      <c r="F195" s="17"/>
      <c r="G195" s="17"/>
      <c r="H195" s="17"/>
      <c r="I195" s="49" t="str">
        <f aca="false">IF(H195="","",IFERROR(INDEX(Settings!$G$2:$G$4,MATCH(H195,Settings!$F$2:$F$4,0)),""))</f>
        <v/>
      </c>
      <c r="J195" s="40"/>
      <c r="K195" s="50"/>
      <c r="L195" s="17"/>
      <c r="M195" s="40"/>
      <c r="N195" s="40"/>
      <c r="O195" s="45" t="str">
        <f aca="false">IF(N195="","",WORKDAY(N195,Settings!$S$4))</f>
        <v/>
      </c>
      <c r="P195" s="17"/>
      <c r="Q195" s="44" t="str">
        <f aca="true">IF(C195="","",IF(P195="Backed out",IF(S195="Paid","Refunded – closed",IF(R195="","Refund – log reason first","Refund in progress")),IF(K195="","Awaiting payment",IF(N195="",IF(M195="","Schedule free video","Free video in production"),IF(P195="Approved","Active",IF(TODAY()&gt;O195,"Active – plan went ahead","Decision pending – "&amp;NETWORKDAYS(TODAY(),O195)&amp;" working day(s) left"))))))</f>
        <v/>
      </c>
      <c r="R195" s="17"/>
      <c r="S195" s="17"/>
      <c r="T195" s="50"/>
      <c r="U195" s="40"/>
      <c r="V195" s="40"/>
      <c r="W195" s="45" t="str">
        <f aca="false">IF(V195="","",EDATE(V195,Settings!$S$6))</f>
        <v/>
      </c>
      <c r="X195" s="17"/>
      <c r="Y195" s="17"/>
      <c r="Z195" s="17"/>
    </row>
    <row r="196" customFormat="false" ht="15" hidden="false" customHeight="false" outlineLevel="0" collapsed="false">
      <c r="A196" s="17"/>
      <c r="B196" s="17"/>
      <c r="C196" s="17"/>
      <c r="D196" s="17"/>
      <c r="E196" s="42"/>
      <c r="F196" s="17"/>
      <c r="G196" s="17"/>
      <c r="H196" s="17"/>
      <c r="I196" s="49" t="str">
        <f aca="false">IF(H196="","",IFERROR(INDEX(Settings!$G$2:$G$4,MATCH(H196,Settings!$F$2:$F$4,0)),""))</f>
        <v/>
      </c>
      <c r="J196" s="40"/>
      <c r="K196" s="50"/>
      <c r="L196" s="17"/>
      <c r="M196" s="40"/>
      <c r="N196" s="40"/>
      <c r="O196" s="45" t="str">
        <f aca="false">IF(N196="","",WORKDAY(N196,Settings!$S$4))</f>
        <v/>
      </c>
      <c r="P196" s="17"/>
      <c r="Q196" s="44" t="str">
        <f aca="true">IF(C196="","",IF(P196="Backed out",IF(S196="Paid","Refunded – closed",IF(R196="","Refund – log reason first","Refund in progress")),IF(K196="","Awaiting payment",IF(N196="",IF(M196="","Schedule free video","Free video in production"),IF(P196="Approved","Active",IF(TODAY()&gt;O196,"Active – plan went ahead","Decision pending – "&amp;NETWORKDAYS(TODAY(),O196)&amp;" working day(s) left"))))))</f>
        <v/>
      </c>
      <c r="R196" s="17"/>
      <c r="S196" s="17"/>
      <c r="T196" s="50"/>
      <c r="U196" s="40"/>
      <c r="V196" s="40"/>
      <c r="W196" s="45" t="str">
        <f aca="false">IF(V196="","",EDATE(V196,Settings!$S$6))</f>
        <v/>
      </c>
      <c r="X196" s="17"/>
      <c r="Y196" s="17"/>
      <c r="Z196" s="17"/>
    </row>
    <row r="197" customFormat="false" ht="15" hidden="false" customHeight="false" outlineLevel="0" collapsed="false">
      <c r="A197" s="17"/>
      <c r="B197" s="17"/>
      <c r="C197" s="17"/>
      <c r="D197" s="17"/>
      <c r="E197" s="42"/>
      <c r="F197" s="17"/>
      <c r="G197" s="17"/>
      <c r="H197" s="17"/>
      <c r="I197" s="49" t="str">
        <f aca="false">IF(H197="","",IFERROR(INDEX(Settings!$G$2:$G$4,MATCH(H197,Settings!$F$2:$F$4,0)),""))</f>
        <v/>
      </c>
      <c r="J197" s="40"/>
      <c r="K197" s="50"/>
      <c r="L197" s="17"/>
      <c r="M197" s="40"/>
      <c r="N197" s="40"/>
      <c r="O197" s="45" t="str">
        <f aca="false">IF(N197="","",WORKDAY(N197,Settings!$S$4))</f>
        <v/>
      </c>
      <c r="P197" s="17"/>
      <c r="Q197" s="44" t="str">
        <f aca="true">IF(C197="","",IF(P197="Backed out",IF(S197="Paid","Refunded – closed",IF(R197="","Refund – log reason first","Refund in progress")),IF(K197="","Awaiting payment",IF(N197="",IF(M197="","Schedule free video","Free video in production"),IF(P197="Approved","Active",IF(TODAY()&gt;O197,"Active – plan went ahead","Decision pending – "&amp;NETWORKDAYS(TODAY(),O197)&amp;" working day(s) left"))))))</f>
        <v/>
      </c>
      <c r="R197" s="17"/>
      <c r="S197" s="17"/>
      <c r="T197" s="50"/>
      <c r="U197" s="40"/>
      <c r="V197" s="40"/>
      <c r="W197" s="45" t="str">
        <f aca="false">IF(V197="","",EDATE(V197,Settings!$S$6))</f>
        <v/>
      </c>
      <c r="X197" s="17"/>
      <c r="Y197" s="17"/>
      <c r="Z197" s="17"/>
    </row>
    <row r="198" customFormat="false" ht="15" hidden="false" customHeight="false" outlineLevel="0" collapsed="false">
      <c r="A198" s="17"/>
      <c r="B198" s="17"/>
      <c r="C198" s="17"/>
      <c r="D198" s="17"/>
      <c r="E198" s="42"/>
      <c r="F198" s="17"/>
      <c r="G198" s="17"/>
      <c r="H198" s="17"/>
      <c r="I198" s="49" t="str">
        <f aca="false">IF(H198="","",IFERROR(INDEX(Settings!$G$2:$G$4,MATCH(H198,Settings!$F$2:$F$4,0)),""))</f>
        <v/>
      </c>
      <c r="J198" s="40"/>
      <c r="K198" s="50"/>
      <c r="L198" s="17"/>
      <c r="M198" s="40"/>
      <c r="N198" s="40"/>
      <c r="O198" s="45" t="str">
        <f aca="false">IF(N198="","",WORKDAY(N198,Settings!$S$4))</f>
        <v/>
      </c>
      <c r="P198" s="17"/>
      <c r="Q198" s="44" t="str">
        <f aca="true">IF(C198="","",IF(P198="Backed out",IF(S198="Paid","Refunded – closed",IF(R198="","Refund – log reason first","Refund in progress")),IF(K198="","Awaiting payment",IF(N198="",IF(M198="","Schedule free video","Free video in production"),IF(P198="Approved","Active",IF(TODAY()&gt;O198,"Active – plan went ahead","Decision pending – "&amp;NETWORKDAYS(TODAY(),O198)&amp;" working day(s) left"))))))</f>
        <v/>
      </c>
      <c r="R198" s="17"/>
      <c r="S198" s="17"/>
      <c r="T198" s="50"/>
      <c r="U198" s="40"/>
      <c r="V198" s="40"/>
      <c r="W198" s="45" t="str">
        <f aca="false">IF(V198="","",EDATE(V198,Settings!$S$6))</f>
        <v/>
      </c>
      <c r="X198" s="17"/>
      <c r="Y198" s="17"/>
      <c r="Z198" s="17"/>
    </row>
    <row r="199" customFormat="false" ht="15" hidden="false" customHeight="false" outlineLevel="0" collapsed="false">
      <c r="A199" s="17"/>
      <c r="B199" s="17"/>
      <c r="C199" s="17"/>
      <c r="D199" s="17"/>
      <c r="E199" s="42"/>
      <c r="F199" s="17"/>
      <c r="G199" s="17"/>
      <c r="H199" s="17"/>
      <c r="I199" s="49" t="str">
        <f aca="false">IF(H199="","",IFERROR(INDEX(Settings!$G$2:$G$4,MATCH(H199,Settings!$F$2:$F$4,0)),""))</f>
        <v/>
      </c>
      <c r="J199" s="40"/>
      <c r="K199" s="50"/>
      <c r="L199" s="17"/>
      <c r="M199" s="40"/>
      <c r="N199" s="40"/>
      <c r="O199" s="45" t="str">
        <f aca="false">IF(N199="","",WORKDAY(N199,Settings!$S$4))</f>
        <v/>
      </c>
      <c r="P199" s="17"/>
      <c r="Q199" s="44" t="str">
        <f aca="true">IF(C199="","",IF(P199="Backed out",IF(S199="Paid","Refunded – closed",IF(R199="","Refund – log reason first","Refund in progress")),IF(K199="","Awaiting payment",IF(N199="",IF(M199="","Schedule free video","Free video in production"),IF(P199="Approved","Active",IF(TODAY()&gt;O199,"Active – plan went ahead","Decision pending – "&amp;NETWORKDAYS(TODAY(),O199)&amp;" working day(s) left"))))))</f>
        <v/>
      </c>
      <c r="R199" s="17"/>
      <c r="S199" s="17"/>
      <c r="T199" s="50"/>
      <c r="U199" s="40"/>
      <c r="V199" s="40"/>
      <c r="W199" s="45" t="str">
        <f aca="false">IF(V199="","",EDATE(V199,Settings!$S$6))</f>
        <v/>
      </c>
      <c r="X199" s="17"/>
      <c r="Y199" s="17"/>
      <c r="Z199" s="17"/>
    </row>
    <row r="200" customFormat="false" ht="15" hidden="false" customHeight="false" outlineLevel="0" collapsed="false">
      <c r="A200" s="17"/>
      <c r="B200" s="17"/>
      <c r="C200" s="17"/>
      <c r="D200" s="17"/>
      <c r="E200" s="42"/>
      <c r="F200" s="17"/>
      <c r="G200" s="17"/>
      <c r="H200" s="17"/>
      <c r="I200" s="49" t="str">
        <f aca="false">IF(H200="","",IFERROR(INDEX(Settings!$G$2:$G$4,MATCH(H200,Settings!$F$2:$F$4,0)),""))</f>
        <v/>
      </c>
      <c r="J200" s="40"/>
      <c r="K200" s="50"/>
      <c r="L200" s="17"/>
      <c r="M200" s="40"/>
      <c r="N200" s="40"/>
      <c r="O200" s="45" t="str">
        <f aca="false">IF(N200="","",WORKDAY(N200,Settings!$S$4))</f>
        <v/>
      </c>
      <c r="P200" s="17"/>
      <c r="Q200" s="44" t="str">
        <f aca="true">IF(C200="","",IF(P200="Backed out",IF(S200="Paid","Refunded – closed",IF(R200="","Refund – log reason first","Refund in progress")),IF(K200="","Awaiting payment",IF(N200="",IF(M200="","Schedule free video","Free video in production"),IF(P200="Approved","Active",IF(TODAY()&gt;O200,"Active – plan went ahead","Decision pending – "&amp;NETWORKDAYS(TODAY(),O200)&amp;" working day(s) left"))))))</f>
        <v/>
      </c>
      <c r="R200" s="17"/>
      <c r="S200" s="17"/>
      <c r="T200" s="50"/>
      <c r="U200" s="40"/>
      <c r="V200" s="40"/>
      <c r="W200" s="45" t="str">
        <f aca="false">IF(V200="","",EDATE(V200,Settings!$S$6))</f>
        <v/>
      </c>
      <c r="X200" s="17"/>
      <c r="Y200" s="17"/>
      <c r="Z200" s="17"/>
    </row>
    <row r="201" customFormat="false" ht="15" hidden="false" customHeight="false" outlineLevel="0" collapsed="false">
      <c r="A201" s="17"/>
      <c r="B201" s="17"/>
      <c r="C201" s="17"/>
      <c r="D201" s="17"/>
      <c r="E201" s="42"/>
      <c r="F201" s="17"/>
      <c r="G201" s="17"/>
      <c r="H201" s="17"/>
      <c r="I201" s="49" t="str">
        <f aca="false">IF(H201="","",IFERROR(INDEX(Settings!$G$2:$G$4,MATCH(H201,Settings!$F$2:$F$4,0)),""))</f>
        <v/>
      </c>
      <c r="J201" s="40"/>
      <c r="K201" s="50"/>
      <c r="L201" s="17"/>
      <c r="M201" s="40"/>
      <c r="N201" s="40"/>
      <c r="O201" s="45" t="str">
        <f aca="false">IF(N201="","",WORKDAY(N201,Settings!$S$4))</f>
        <v/>
      </c>
      <c r="P201" s="17"/>
      <c r="Q201" s="44" t="str">
        <f aca="true">IF(C201="","",IF(P201="Backed out",IF(S201="Paid","Refunded – closed",IF(R201="","Refund – log reason first","Refund in progress")),IF(K201="","Awaiting payment",IF(N201="",IF(M201="","Schedule free video","Free video in production"),IF(P201="Approved","Active",IF(TODAY()&gt;O201,"Active – plan went ahead","Decision pending – "&amp;NETWORKDAYS(TODAY(),O201)&amp;" working day(s) left"))))))</f>
        <v/>
      </c>
      <c r="R201" s="17"/>
      <c r="S201" s="17"/>
      <c r="T201" s="50"/>
      <c r="U201" s="40"/>
      <c r="V201" s="40"/>
      <c r="W201" s="45" t="str">
        <f aca="false">IF(V201="","",EDATE(V201,Settings!$S$6))</f>
        <v/>
      </c>
      <c r="X201" s="17"/>
      <c r="Y201" s="17"/>
      <c r="Z201" s="17"/>
    </row>
    <row r="202" customFormat="false" ht="15" hidden="false" customHeight="false" outlineLevel="0" collapsed="false">
      <c r="A202" s="17"/>
      <c r="B202" s="17"/>
      <c r="C202" s="17"/>
      <c r="D202" s="17"/>
      <c r="E202" s="42"/>
      <c r="F202" s="17"/>
      <c r="G202" s="17"/>
      <c r="H202" s="17"/>
      <c r="I202" s="49" t="str">
        <f aca="false">IF(H202="","",IFERROR(INDEX(Settings!$G$2:$G$4,MATCH(H202,Settings!$F$2:$F$4,0)),""))</f>
        <v/>
      </c>
      <c r="J202" s="40"/>
      <c r="K202" s="50"/>
      <c r="L202" s="17"/>
      <c r="M202" s="40"/>
      <c r="N202" s="40"/>
      <c r="O202" s="45" t="str">
        <f aca="false">IF(N202="","",WORKDAY(N202,Settings!$S$4))</f>
        <v/>
      </c>
      <c r="P202" s="17"/>
      <c r="Q202" s="44" t="str">
        <f aca="true">IF(C202="","",IF(P202="Backed out",IF(S202="Paid","Refunded – closed",IF(R202="","Refund – log reason first","Refund in progress")),IF(K202="","Awaiting payment",IF(N202="",IF(M202="","Schedule free video","Free video in production"),IF(P202="Approved","Active",IF(TODAY()&gt;O202,"Active – plan went ahead","Decision pending – "&amp;NETWORKDAYS(TODAY(),O202)&amp;" working day(s) left"))))))</f>
        <v/>
      </c>
      <c r="R202" s="17"/>
      <c r="S202" s="17"/>
      <c r="T202" s="50"/>
      <c r="U202" s="40"/>
      <c r="V202" s="40"/>
      <c r="W202" s="45" t="str">
        <f aca="false">IF(V202="","",EDATE(V202,Settings!$S$6))</f>
        <v/>
      </c>
      <c r="X202" s="17"/>
      <c r="Y202" s="17"/>
      <c r="Z202" s="17"/>
    </row>
    <row r="203" customFormat="false" ht="15" hidden="false" customHeight="false" outlineLevel="0" collapsed="false">
      <c r="A203" s="17"/>
      <c r="B203" s="17"/>
      <c r="C203" s="17"/>
      <c r="D203" s="17"/>
      <c r="E203" s="42"/>
      <c r="F203" s="17"/>
      <c r="G203" s="17"/>
      <c r="H203" s="17"/>
      <c r="I203" s="49" t="str">
        <f aca="false">IF(H203="","",IFERROR(INDEX(Settings!$G$2:$G$4,MATCH(H203,Settings!$F$2:$F$4,0)),""))</f>
        <v/>
      </c>
      <c r="J203" s="40"/>
      <c r="K203" s="50"/>
      <c r="L203" s="17"/>
      <c r="M203" s="40"/>
      <c r="N203" s="40"/>
      <c r="O203" s="45" t="str">
        <f aca="false">IF(N203="","",WORKDAY(N203,Settings!$S$4))</f>
        <v/>
      </c>
      <c r="P203" s="17"/>
      <c r="Q203" s="44" t="str">
        <f aca="true">IF(C203="","",IF(P203="Backed out",IF(S203="Paid","Refunded – closed",IF(R203="","Refund – log reason first","Refund in progress")),IF(K203="","Awaiting payment",IF(N203="",IF(M203="","Schedule free video","Free video in production"),IF(P203="Approved","Active",IF(TODAY()&gt;O203,"Active – plan went ahead","Decision pending – "&amp;NETWORKDAYS(TODAY(),O203)&amp;" working day(s) left"))))))</f>
        <v/>
      </c>
      <c r="R203" s="17"/>
      <c r="S203" s="17"/>
      <c r="T203" s="50"/>
      <c r="U203" s="40"/>
      <c r="V203" s="40"/>
      <c r="W203" s="45" t="str">
        <f aca="false">IF(V203="","",EDATE(V203,Settings!$S$6))</f>
        <v/>
      </c>
      <c r="X203" s="17"/>
      <c r="Y203" s="17"/>
      <c r="Z203" s="17"/>
    </row>
    <row r="204" customFormat="false" ht="15" hidden="false" customHeight="false" outlineLevel="0" collapsed="false">
      <c r="A204" s="17"/>
      <c r="B204" s="17"/>
      <c r="C204" s="17"/>
      <c r="D204" s="17"/>
      <c r="E204" s="42"/>
      <c r="F204" s="17"/>
      <c r="G204" s="17"/>
      <c r="H204" s="17"/>
      <c r="I204" s="49" t="str">
        <f aca="false">IF(H204="","",IFERROR(INDEX(Settings!$G$2:$G$4,MATCH(H204,Settings!$F$2:$F$4,0)),""))</f>
        <v/>
      </c>
      <c r="J204" s="40"/>
      <c r="K204" s="50"/>
      <c r="L204" s="17"/>
      <c r="M204" s="40"/>
      <c r="N204" s="40"/>
      <c r="O204" s="45" t="str">
        <f aca="false">IF(N204="","",WORKDAY(N204,Settings!$S$4))</f>
        <v/>
      </c>
      <c r="P204" s="17"/>
      <c r="Q204" s="44" t="str">
        <f aca="true">IF(C204="","",IF(P204="Backed out",IF(S204="Paid","Refunded – closed",IF(R204="","Refund – log reason first","Refund in progress")),IF(K204="","Awaiting payment",IF(N204="",IF(M204="","Schedule free video","Free video in production"),IF(P204="Approved","Active",IF(TODAY()&gt;O204,"Active – plan went ahead","Decision pending – "&amp;NETWORKDAYS(TODAY(),O204)&amp;" working day(s) left"))))))</f>
        <v/>
      </c>
      <c r="R204" s="17"/>
      <c r="S204" s="17"/>
      <c r="T204" s="50"/>
      <c r="U204" s="40"/>
      <c r="V204" s="40"/>
      <c r="W204" s="45" t="str">
        <f aca="false">IF(V204="","",EDATE(V204,Settings!$S$6))</f>
        <v/>
      </c>
      <c r="X204" s="17"/>
      <c r="Y204" s="17"/>
      <c r="Z204" s="17"/>
    </row>
    <row r="205" customFormat="false" ht="15" hidden="false" customHeight="false" outlineLevel="0" collapsed="false">
      <c r="A205" s="17"/>
      <c r="B205" s="17"/>
      <c r="C205" s="17"/>
      <c r="D205" s="17"/>
      <c r="E205" s="42"/>
      <c r="F205" s="17"/>
      <c r="G205" s="17"/>
      <c r="H205" s="17"/>
      <c r="I205" s="49" t="str">
        <f aca="false">IF(H205="","",IFERROR(INDEX(Settings!$G$2:$G$4,MATCH(H205,Settings!$F$2:$F$4,0)),""))</f>
        <v/>
      </c>
      <c r="J205" s="40"/>
      <c r="K205" s="50"/>
      <c r="L205" s="17"/>
      <c r="M205" s="40"/>
      <c r="N205" s="40"/>
      <c r="O205" s="45" t="str">
        <f aca="false">IF(N205="","",WORKDAY(N205,Settings!$S$4))</f>
        <v/>
      </c>
      <c r="P205" s="17"/>
      <c r="Q205" s="44" t="str">
        <f aca="true">IF(C205="","",IF(P205="Backed out",IF(S205="Paid","Refunded – closed",IF(R205="","Refund – log reason first","Refund in progress")),IF(K205="","Awaiting payment",IF(N205="",IF(M205="","Schedule free video","Free video in production"),IF(P205="Approved","Active",IF(TODAY()&gt;O205,"Active – plan went ahead","Decision pending – "&amp;NETWORKDAYS(TODAY(),O205)&amp;" working day(s) left"))))))</f>
        <v/>
      </c>
      <c r="R205" s="17"/>
      <c r="S205" s="17"/>
      <c r="T205" s="50"/>
      <c r="U205" s="40"/>
      <c r="V205" s="40"/>
      <c r="W205" s="45" t="str">
        <f aca="false">IF(V205="","",EDATE(V205,Settings!$S$6))</f>
        <v/>
      </c>
      <c r="X205" s="17"/>
      <c r="Y205" s="17"/>
      <c r="Z205" s="17"/>
    </row>
    <row r="206" customFormat="false" ht="15" hidden="false" customHeight="false" outlineLevel="0" collapsed="false">
      <c r="A206" s="17"/>
      <c r="B206" s="17"/>
      <c r="C206" s="17"/>
      <c r="D206" s="17"/>
      <c r="E206" s="42"/>
      <c r="F206" s="17"/>
      <c r="G206" s="17"/>
      <c r="H206" s="17"/>
      <c r="I206" s="49" t="str">
        <f aca="false">IF(H206="","",IFERROR(INDEX(Settings!$G$2:$G$4,MATCH(H206,Settings!$F$2:$F$4,0)),""))</f>
        <v/>
      </c>
      <c r="J206" s="40"/>
      <c r="K206" s="50"/>
      <c r="L206" s="17"/>
      <c r="M206" s="40"/>
      <c r="N206" s="40"/>
      <c r="O206" s="45" t="str">
        <f aca="false">IF(N206="","",WORKDAY(N206,Settings!$S$4))</f>
        <v/>
      </c>
      <c r="P206" s="17"/>
      <c r="Q206" s="44" t="str">
        <f aca="true">IF(C206="","",IF(P206="Backed out",IF(S206="Paid","Refunded – closed",IF(R206="","Refund – log reason first","Refund in progress")),IF(K206="","Awaiting payment",IF(N206="",IF(M206="","Schedule free video","Free video in production"),IF(P206="Approved","Active",IF(TODAY()&gt;O206,"Active – plan went ahead","Decision pending – "&amp;NETWORKDAYS(TODAY(),O206)&amp;" working day(s) left"))))))</f>
        <v/>
      </c>
      <c r="R206" s="17"/>
      <c r="S206" s="17"/>
      <c r="T206" s="50"/>
      <c r="U206" s="40"/>
      <c r="V206" s="40"/>
      <c r="W206" s="45" t="str">
        <f aca="false">IF(V206="","",EDATE(V206,Settings!$S$6))</f>
        <v/>
      </c>
      <c r="X206" s="17"/>
      <c r="Y206" s="17"/>
      <c r="Z206" s="17"/>
    </row>
    <row r="207" customFormat="false" ht="15" hidden="false" customHeight="false" outlineLevel="0" collapsed="false">
      <c r="A207" s="17"/>
      <c r="B207" s="17"/>
      <c r="C207" s="17"/>
      <c r="D207" s="17"/>
      <c r="E207" s="42"/>
      <c r="F207" s="17"/>
      <c r="G207" s="17"/>
      <c r="H207" s="17"/>
      <c r="I207" s="49" t="str">
        <f aca="false">IF(H207="","",IFERROR(INDEX(Settings!$G$2:$G$4,MATCH(H207,Settings!$F$2:$F$4,0)),""))</f>
        <v/>
      </c>
      <c r="J207" s="40"/>
      <c r="K207" s="50"/>
      <c r="L207" s="17"/>
      <c r="M207" s="40"/>
      <c r="N207" s="40"/>
      <c r="O207" s="45" t="str">
        <f aca="false">IF(N207="","",WORKDAY(N207,Settings!$S$4))</f>
        <v/>
      </c>
      <c r="P207" s="17"/>
      <c r="Q207" s="44" t="str">
        <f aca="true">IF(C207="","",IF(P207="Backed out",IF(S207="Paid","Refunded – closed",IF(R207="","Refund – log reason first","Refund in progress")),IF(K207="","Awaiting payment",IF(N207="",IF(M207="","Schedule free video","Free video in production"),IF(P207="Approved","Active",IF(TODAY()&gt;O207,"Active – plan went ahead","Decision pending – "&amp;NETWORKDAYS(TODAY(),O207)&amp;" working day(s) left"))))))</f>
        <v/>
      </c>
      <c r="R207" s="17"/>
      <c r="S207" s="17"/>
      <c r="T207" s="50"/>
      <c r="U207" s="40"/>
      <c r="V207" s="40"/>
      <c r="W207" s="45" t="str">
        <f aca="false">IF(V207="","",EDATE(V207,Settings!$S$6))</f>
        <v/>
      </c>
      <c r="X207" s="17"/>
      <c r="Y207" s="17"/>
      <c r="Z207" s="17"/>
    </row>
    <row r="208" customFormat="false" ht="15" hidden="false" customHeight="false" outlineLevel="0" collapsed="false">
      <c r="A208" s="17"/>
      <c r="B208" s="17"/>
      <c r="C208" s="17"/>
      <c r="D208" s="17"/>
      <c r="E208" s="42"/>
      <c r="F208" s="17"/>
      <c r="G208" s="17"/>
      <c r="H208" s="17"/>
      <c r="I208" s="49" t="str">
        <f aca="false">IF(H208="","",IFERROR(INDEX(Settings!$G$2:$G$4,MATCH(H208,Settings!$F$2:$F$4,0)),""))</f>
        <v/>
      </c>
      <c r="J208" s="40"/>
      <c r="K208" s="50"/>
      <c r="L208" s="17"/>
      <c r="M208" s="40"/>
      <c r="N208" s="40"/>
      <c r="O208" s="45" t="str">
        <f aca="false">IF(N208="","",WORKDAY(N208,Settings!$S$4))</f>
        <v/>
      </c>
      <c r="P208" s="17"/>
      <c r="Q208" s="44" t="str">
        <f aca="true">IF(C208="","",IF(P208="Backed out",IF(S208="Paid","Refunded – closed",IF(R208="","Refund – log reason first","Refund in progress")),IF(K208="","Awaiting payment",IF(N208="",IF(M208="","Schedule free video","Free video in production"),IF(P208="Approved","Active",IF(TODAY()&gt;O208,"Active – plan went ahead","Decision pending – "&amp;NETWORKDAYS(TODAY(),O208)&amp;" working day(s) left"))))))</f>
        <v/>
      </c>
      <c r="R208" s="17"/>
      <c r="S208" s="17"/>
      <c r="T208" s="50"/>
      <c r="U208" s="40"/>
      <c r="V208" s="40"/>
      <c r="W208" s="45" t="str">
        <f aca="false">IF(V208="","",EDATE(V208,Settings!$S$6))</f>
        <v/>
      </c>
      <c r="X208" s="17"/>
      <c r="Y208" s="17"/>
      <c r="Z208" s="17"/>
    </row>
    <row r="209" customFormat="false" ht="15" hidden="false" customHeight="false" outlineLevel="0" collapsed="false">
      <c r="A209" s="17"/>
      <c r="B209" s="17"/>
      <c r="C209" s="17"/>
      <c r="D209" s="17"/>
      <c r="E209" s="42"/>
      <c r="F209" s="17"/>
      <c r="G209" s="17"/>
      <c r="H209" s="17"/>
      <c r="I209" s="49" t="str">
        <f aca="false">IF(H209="","",IFERROR(INDEX(Settings!$G$2:$G$4,MATCH(H209,Settings!$F$2:$F$4,0)),""))</f>
        <v/>
      </c>
      <c r="J209" s="40"/>
      <c r="K209" s="50"/>
      <c r="L209" s="17"/>
      <c r="M209" s="40"/>
      <c r="N209" s="40"/>
      <c r="O209" s="45" t="str">
        <f aca="false">IF(N209="","",WORKDAY(N209,Settings!$S$4))</f>
        <v/>
      </c>
      <c r="P209" s="17"/>
      <c r="Q209" s="44" t="str">
        <f aca="true">IF(C209="","",IF(P209="Backed out",IF(S209="Paid","Refunded – closed",IF(R209="","Refund – log reason first","Refund in progress")),IF(K209="","Awaiting payment",IF(N209="",IF(M209="","Schedule free video","Free video in production"),IF(P209="Approved","Active",IF(TODAY()&gt;O209,"Active – plan went ahead","Decision pending – "&amp;NETWORKDAYS(TODAY(),O209)&amp;" working day(s) left"))))))</f>
        <v/>
      </c>
      <c r="R209" s="17"/>
      <c r="S209" s="17"/>
      <c r="T209" s="50"/>
      <c r="U209" s="40"/>
      <c r="V209" s="40"/>
      <c r="W209" s="45" t="str">
        <f aca="false">IF(V209="","",EDATE(V209,Settings!$S$6))</f>
        <v/>
      </c>
      <c r="X209" s="17"/>
      <c r="Y209" s="17"/>
      <c r="Z209" s="17"/>
    </row>
    <row r="210" customFormat="false" ht="15" hidden="false" customHeight="false" outlineLevel="0" collapsed="false">
      <c r="A210" s="17"/>
      <c r="B210" s="17"/>
      <c r="C210" s="17"/>
      <c r="D210" s="17"/>
      <c r="E210" s="42"/>
      <c r="F210" s="17"/>
      <c r="G210" s="17"/>
      <c r="H210" s="17"/>
      <c r="I210" s="49" t="str">
        <f aca="false">IF(H210="","",IFERROR(INDEX(Settings!$G$2:$G$4,MATCH(H210,Settings!$F$2:$F$4,0)),""))</f>
        <v/>
      </c>
      <c r="J210" s="40"/>
      <c r="K210" s="50"/>
      <c r="L210" s="17"/>
      <c r="M210" s="40"/>
      <c r="N210" s="40"/>
      <c r="O210" s="45" t="str">
        <f aca="false">IF(N210="","",WORKDAY(N210,Settings!$S$4))</f>
        <v/>
      </c>
      <c r="P210" s="17"/>
      <c r="Q210" s="44" t="str">
        <f aca="true">IF(C210="","",IF(P210="Backed out",IF(S210="Paid","Refunded – closed",IF(R210="","Refund – log reason first","Refund in progress")),IF(K210="","Awaiting payment",IF(N210="",IF(M210="","Schedule free video","Free video in production"),IF(P210="Approved","Active",IF(TODAY()&gt;O210,"Active – plan went ahead","Decision pending – "&amp;NETWORKDAYS(TODAY(),O210)&amp;" working day(s) left"))))))</f>
        <v/>
      </c>
      <c r="R210" s="17"/>
      <c r="S210" s="17"/>
      <c r="T210" s="50"/>
      <c r="U210" s="40"/>
      <c r="V210" s="40"/>
      <c r="W210" s="45" t="str">
        <f aca="false">IF(V210="","",EDATE(V210,Settings!$S$6))</f>
        <v/>
      </c>
      <c r="X210" s="17"/>
      <c r="Y210" s="17"/>
      <c r="Z210" s="17"/>
    </row>
    <row r="211" customFormat="false" ht="15" hidden="false" customHeight="false" outlineLevel="0" collapsed="false">
      <c r="A211" s="17"/>
      <c r="B211" s="17"/>
      <c r="C211" s="17"/>
      <c r="D211" s="17"/>
      <c r="E211" s="42"/>
      <c r="F211" s="17"/>
      <c r="G211" s="17"/>
      <c r="H211" s="17"/>
      <c r="I211" s="49" t="str">
        <f aca="false">IF(H211="","",IFERROR(INDEX(Settings!$G$2:$G$4,MATCH(H211,Settings!$F$2:$F$4,0)),""))</f>
        <v/>
      </c>
      <c r="J211" s="40"/>
      <c r="K211" s="50"/>
      <c r="L211" s="17"/>
      <c r="M211" s="40"/>
      <c r="N211" s="40"/>
      <c r="O211" s="45" t="str">
        <f aca="false">IF(N211="","",WORKDAY(N211,Settings!$S$4))</f>
        <v/>
      </c>
      <c r="P211" s="17"/>
      <c r="Q211" s="44" t="str">
        <f aca="true">IF(C211="","",IF(P211="Backed out",IF(S211="Paid","Refunded – closed",IF(R211="","Refund – log reason first","Refund in progress")),IF(K211="","Awaiting payment",IF(N211="",IF(M211="","Schedule free video","Free video in production"),IF(P211="Approved","Active",IF(TODAY()&gt;O211,"Active – plan went ahead","Decision pending – "&amp;NETWORKDAYS(TODAY(),O211)&amp;" working day(s) left"))))))</f>
        <v/>
      </c>
      <c r="R211" s="17"/>
      <c r="S211" s="17"/>
      <c r="T211" s="50"/>
      <c r="U211" s="40"/>
      <c r="V211" s="40"/>
      <c r="W211" s="45" t="str">
        <f aca="false">IF(V211="","",EDATE(V211,Settings!$S$6))</f>
        <v/>
      </c>
      <c r="X211" s="17"/>
      <c r="Y211" s="17"/>
      <c r="Z211" s="17"/>
    </row>
    <row r="212" customFormat="false" ht="15" hidden="false" customHeight="false" outlineLevel="0" collapsed="false">
      <c r="A212" s="17"/>
      <c r="B212" s="17"/>
      <c r="C212" s="17"/>
      <c r="D212" s="17"/>
      <c r="E212" s="42"/>
      <c r="F212" s="17"/>
      <c r="G212" s="17"/>
      <c r="H212" s="17"/>
      <c r="I212" s="49" t="str">
        <f aca="false">IF(H212="","",IFERROR(INDEX(Settings!$G$2:$G$4,MATCH(H212,Settings!$F$2:$F$4,0)),""))</f>
        <v/>
      </c>
      <c r="J212" s="40"/>
      <c r="K212" s="50"/>
      <c r="L212" s="17"/>
      <c r="M212" s="40"/>
      <c r="N212" s="40"/>
      <c r="O212" s="45" t="str">
        <f aca="false">IF(N212="","",WORKDAY(N212,Settings!$S$4))</f>
        <v/>
      </c>
      <c r="P212" s="17"/>
      <c r="Q212" s="44" t="str">
        <f aca="true">IF(C212="","",IF(P212="Backed out",IF(S212="Paid","Refunded – closed",IF(R212="","Refund – log reason first","Refund in progress")),IF(K212="","Awaiting payment",IF(N212="",IF(M212="","Schedule free video","Free video in production"),IF(P212="Approved","Active",IF(TODAY()&gt;O212,"Active – plan went ahead","Decision pending – "&amp;NETWORKDAYS(TODAY(),O212)&amp;" working day(s) left"))))))</f>
        <v/>
      </c>
      <c r="R212" s="17"/>
      <c r="S212" s="17"/>
      <c r="T212" s="50"/>
      <c r="U212" s="40"/>
      <c r="V212" s="40"/>
      <c r="W212" s="45" t="str">
        <f aca="false">IF(V212="","",EDATE(V212,Settings!$S$6))</f>
        <v/>
      </c>
      <c r="X212" s="17"/>
      <c r="Y212" s="17"/>
      <c r="Z212" s="17"/>
    </row>
    <row r="213" customFormat="false" ht="15" hidden="false" customHeight="false" outlineLevel="0" collapsed="false">
      <c r="A213" s="17"/>
      <c r="B213" s="17"/>
      <c r="C213" s="17"/>
      <c r="D213" s="17"/>
      <c r="E213" s="42"/>
      <c r="F213" s="17"/>
      <c r="G213" s="17"/>
      <c r="H213" s="17"/>
      <c r="I213" s="49" t="str">
        <f aca="false">IF(H213="","",IFERROR(INDEX(Settings!$G$2:$G$4,MATCH(H213,Settings!$F$2:$F$4,0)),""))</f>
        <v/>
      </c>
      <c r="J213" s="40"/>
      <c r="K213" s="50"/>
      <c r="L213" s="17"/>
      <c r="M213" s="40"/>
      <c r="N213" s="40"/>
      <c r="O213" s="45" t="str">
        <f aca="false">IF(N213="","",WORKDAY(N213,Settings!$S$4))</f>
        <v/>
      </c>
      <c r="P213" s="17"/>
      <c r="Q213" s="44" t="str">
        <f aca="true">IF(C213="","",IF(P213="Backed out",IF(S213="Paid","Refunded – closed",IF(R213="","Refund – log reason first","Refund in progress")),IF(K213="","Awaiting payment",IF(N213="",IF(M213="","Schedule free video","Free video in production"),IF(P213="Approved","Active",IF(TODAY()&gt;O213,"Active – plan went ahead","Decision pending – "&amp;NETWORKDAYS(TODAY(),O213)&amp;" working day(s) left"))))))</f>
        <v/>
      </c>
      <c r="R213" s="17"/>
      <c r="S213" s="17"/>
      <c r="T213" s="50"/>
      <c r="U213" s="40"/>
      <c r="V213" s="40"/>
      <c r="W213" s="45" t="str">
        <f aca="false">IF(V213="","",EDATE(V213,Settings!$S$6))</f>
        <v/>
      </c>
      <c r="X213" s="17"/>
      <c r="Y213" s="17"/>
      <c r="Z213" s="17"/>
    </row>
    <row r="214" customFormat="false" ht="15" hidden="false" customHeight="false" outlineLevel="0" collapsed="false">
      <c r="A214" s="17"/>
      <c r="B214" s="17"/>
      <c r="C214" s="17"/>
      <c r="D214" s="17"/>
      <c r="E214" s="42"/>
      <c r="F214" s="17"/>
      <c r="G214" s="17"/>
      <c r="H214" s="17"/>
      <c r="I214" s="49" t="str">
        <f aca="false">IF(H214="","",IFERROR(INDEX(Settings!$G$2:$G$4,MATCH(H214,Settings!$F$2:$F$4,0)),""))</f>
        <v/>
      </c>
      <c r="J214" s="40"/>
      <c r="K214" s="50"/>
      <c r="L214" s="17"/>
      <c r="M214" s="40"/>
      <c r="N214" s="40"/>
      <c r="O214" s="45" t="str">
        <f aca="false">IF(N214="","",WORKDAY(N214,Settings!$S$4))</f>
        <v/>
      </c>
      <c r="P214" s="17"/>
      <c r="Q214" s="44" t="str">
        <f aca="true">IF(C214="","",IF(P214="Backed out",IF(S214="Paid","Refunded – closed",IF(R214="","Refund – log reason first","Refund in progress")),IF(K214="","Awaiting payment",IF(N214="",IF(M214="","Schedule free video","Free video in production"),IF(P214="Approved","Active",IF(TODAY()&gt;O214,"Active – plan went ahead","Decision pending – "&amp;NETWORKDAYS(TODAY(),O214)&amp;" working day(s) left"))))))</f>
        <v/>
      </c>
      <c r="R214" s="17"/>
      <c r="S214" s="17"/>
      <c r="T214" s="50"/>
      <c r="U214" s="40"/>
      <c r="V214" s="40"/>
      <c r="W214" s="45" t="str">
        <f aca="false">IF(V214="","",EDATE(V214,Settings!$S$6))</f>
        <v/>
      </c>
      <c r="X214" s="17"/>
      <c r="Y214" s="17"/>
      <c r="Z214" s="17"/>
    </row>
    <row r="215" customFormat="false" ht="15" hidden="false" customHeight="false" outlineLevel="0" collapsed="false">
      <c r="A215" s="17"/>
      <c r="B215" s="17"/>
      <c r="C215" s="17"/>
      <c r="D215" s="17"/>
      <c r="E215" s="42"/>
      <c r="F215" s="17"/>
      <c r="G215" s="17"/>
      <c r="H215" s="17"/>
      <c r="I215" s="49" t="str">
        <f aca="false">IF(H215="","",IFERROR(INDEX(Settings!$G$2:$G$4,MATCH(H215,Settings!$F$2:$F$4,0)),""))</f>
        <v/>
      </c>
      <c r="J215" s="40"/>
      <c r="K215" s="50"/>
      <c r="L215" s="17"/>
      <c r="M215" s="40"/>
      <c r="N215" s="40"/>
      <c r="O215" s="45" t="str">
        <f aca="false">IF(N215="","",WORKDAY(N215,Settings!$S$4))</f>
        <v/>
      </c>
      <c r="P215" s="17"/>
      <c r="Q215" s="44" t="str">
        <f aca="true">IF(C215="","",IF(P215="Backed out",IF(S215="Paid","Refunded – closed",IF(R215="","Refund – log reason first","Refund in progress")),IF(K215="","Awaiting payment",IF(N215="",IF(M215="","Schedule free video","Free video in production"),IF(P215="Approved","Active",IF(TODAY()&gt;O215,"Active – plan went ahead","Decision pending – "&amp;NETWORKDAYS(TODAY(),O215)&amp;" working day(s) left"))))))</f>
        <v/>
      </c>
      <c r="R215" s="17"/>
      <c r="S215" s="17"/>
      <c r="T215" s="50"/>
      <c r="U215" s="40"/>
      <c r="V215" s="40"/>
      <c r="W215" s="45" t="str">
        <f aca="false">IF(V215="","",EDATE(V215,Settings!$S$6))</f>
        <v/>
      </c>
      <c r="X215" s="17"/>
      <c r="Y215" s="17"/>
      <c r="Z215" s="17"/>
    </row>
    <row r="216" customFormat="false" ht="15" hidden="false" customHeight="false" outlineLevel="0" collapsed="false">
      <c r="A216" s="17"/>
      <c r="B216" s="17"/>
      <c r="C216" s="17"/>
      <c r="D216" s="17"/>
      <c r="E216" s="42"/>
      <c r="F216" s="17"/>
      <c r="G216" s="17"/>
      <c r="H216" s="17"/>
      <c r="I216" s="49" t="str">
        <f aca="false">IF(H216="","",IFERROR(INDEX(Settings!$G$2:$G$4,MATCH(H216,Settings!$F$2:$F$4,0)),""))</f>
        <v/>
      </c>
      <c r="J216" s="40"/>
      <c r="K216" s="50"/>
      <c r="L216" s="17"/>
      <c r="M216" s="40"/>
      <c r="N216" s="40"/>
      <c r="O216" s="45" t="str">
        <f aca="false">IF(N216="","",WORKDAY(N216,Settings!$S$4))</f>
        <v/>
      </c>
      <c r="P216" s="17"/>
      <c r="Q216" s="44" t="str">
        <f aca="true">IF(C216="","",IF(P216="Backed out",IF(S216="Paid","Refunded – closed",IF(R216="","Refund – log reason first","Refund in progress")),IF(K216="","Awaiting payment",IF(N216="",IF(M216="","Schedule free video","Free video in production"),IF(P216="Approved","Active",IF(TODAY()&gt;O216,"Active – plan went ahead","Decision pending – "&amp;NETWORKDAYS(TODAY(),O216)&amp;" working day(s) left"))))))</f>
        <v/>
      </c>
      <c r="R216" s="17"/>
      <c r="S216" s="17"/>
      <c r="T216" s="50"/>
      <c r="U216" s="40"/>
      <c r="V216" s="40"/>
      <c r="W216" s="45" t="str">
        <f aca="false">IF(V216="","",EDATE(V216,Settings!$S$6))</f>
        <v/>
      </c>
      <c r="X216" s="17"/>
      <c r="Y216" s="17"/>
      <c r="Z216" s="17"/>
    </row>
    <row r="217" customFormat="false" ht="15" hidden="false" customHeight="false" outlineLevel="0" collapsed="false">
      <c r="A217" s="17"/>
      <c r="B217" s="17"/>
      <c r="C217" s="17"/>
      <c r="D217" s="17"/>
      <c r="E217" s="42"/>
      <c r="F217" s="17"/>
      <c r="G217" s="17"/>
      <c r="H217" s="17"/>
      <c r="I217" s="49" t="str">
        <f aca="false">IF(H217="","",IFERROR(INDEX(Settings!$G$2:$G$4,MATCH(H217,Settings!$F$2:$F$4,0)),""))</f>
        <v/>
      </c>
      <c r="J217" s="40"/>
      <c r="K217" s="50"/>
      <c r="L217" s="17"/>
      <c r="M217" s="40"/>
      <c r="N217" s="40"/>
      <c r="O217" s="45" t="str">
        <f aca="false">IF(N217="","",WORKDAY(N217,Settings!$S$4))</f>
        <v/>
      </c>
      <c r="P217" s="17"/>
      <c r="Q217" s="44" t="str">
        <f aca="true">IF(C217="","",IF(P217="Backed out",IF(S217="Paid","Refunded – closed",IF(R217="","Refund – log reason first","Refund in progress")),IF(K217="","Awaiting payment",IF(N217="",IF(M217="","Schedule free video","Free video in production"),IF(P217="Approved","Active",IF(TODAY()&gt;O217,"Active – plan went ahead","Decision pending – "&amp;NETWORKDAYS(TODAY(),O217)&amp;" working day(s) left"))))))</f>
        <v/>
      </c>
      <c r="R217" s="17"/>
      <c r="S217" s="17"/>
      <c r="T217" s="50"/>
      <c r="U217" s="40"/>
      <c r="V217" s="40"/>
      <c r="W217" s="45" t="str">
        <f aca="false">IF(V217="","",EDATE(V217,Settings!$S$6))</f>
        <v/>
      </c>
      <c r="X217" s="17"/>
      <c r="Y217" s="17"/>
      <c r="Z217" s="17"/>
    </row>
    <row r="218" customFormat="false" ht="15" hidden="false" customHeight="false" outlineLevel="0" collapsed="false">
      <c r="A218" s="17"/>
      <c r="B218" s="17"/>
      <c r="C218" s="17"/>
      <c r="D218" s="17"/>
      <c r="E218" s="42"/>
      <c r="F218" s="17"/>
      <c r="G218" s="17"/>
      <c r="H218" s="17"/>
      <c r="I218" s="49" t="str">
        <f aca="false">IF(H218="","",IFERROR(INDEX(Settings!$G$2:$G$4,MATCH(H218,Settings!$F$2:$F$4,0)),""))</f>
        <v/>
      </c>
      <c r="J218" s="40"/>
      <c r="K218" s="50"/>
      <c r="L218" s="17"/>
      <c r="M218" s="40"/>
      <c r="N218" s="40"/>
      <c r="O218" s="45" t="str">
        <f aca="false">IF(N218="","",WORKDAY(N218,Settings!$S$4))</f>
        <v/>
      </c>
      <c r="P218" s="17"/>
      <c r="Q218" s="44" t="str">
        <f aca="true">IF(C218="","",IF(P218="Backed out",IF(S218="Paid","Refunded – closed",IF(R218="","Refund – log reason first","Refund in progress")),IF(K218="","Awaiting payment",IF(N218="",IF(M218="","Schedule free video","Free video in production"),IF(P218="Approved","Active",IF(TODAY()&gt;O218,"Active – plan went ahead","Decision pending – "&amp;NETWORKDAYS(TODAY(),O218)&amp;" working day(s) left"))))))</f>
        <v/>
      </c>
      <c r="R218" s="17"/>
      <c r="S218" s="17"/>
      <c r="T218" s="50"/>
      <c r="U218" s="40"/>
      <c r="V218" s="40"/>
      <c r="W218" s="45" t="str">
        <f aca="false">IF(V218="","",EDATE(V218,Settings!$S$6))</f>
        <v/>
      </c>
      <c r="X218" s="17"/>
      <c r="Y218" s="17"/>
      <c r="Z218" s="17"/>
    </row>
    <row r="219" customFormat="false" ht="15" hidden="false" customHeight="false" outlineLevel="0" collapsed="false">
      <c r="A219" s="17"/>
      <c r="B219" s="17"/>
      <c r="C219" s="17"/>
      <c r="D219" s="17"/>
      <c r="E219" s="42"/>
      <c r="F219" s="17"/>
      <c r="G219" s="17"/>
      <c r="H219" s="17"/>
      <c r="I219" s="49" t="str">
        <f aca="false">IF(H219="","",IFERROR(INDEX(Settings!$G$2:$G$4,MATCH(H219,Settings!$F$2:$F$4,0)),""))</f>
        <v/>
      </c>
      <c r="J219" s="40"/>
      <c r="K219" s="50"/>
      <c r="L219" s="17"/>
      <c r="M219" s="40"/>
      <c r="N219" s="40"/>
      <c r="O219" s="45" t="str">
        <f aca="false">IF(N219="","",WORKDAY(N219,Settings!$S$4))</f>
        <v/>
      </c>
      <c r="P219" s="17"/>
      <c r="Q219" s="44" t="str">
        <f aca="true">IF(C219="","",IF(P219="Backed out",IF(S219="Paid","Refunded – closed",IF(R219="","Refund – log reason first","Refund in progress")),IF(K219="","Awaiting payment",IF(N219="",IF(M219="","Schedule free video","Free video in production"),IF(P219="Approved","Active",IF(TODAY()&gt;O219,"Active – plan went ahead","Decision pending – "&amp;NETWORKDAYS(TODAY(),O219)&amp;" working day(s) left"))))))</f>
        <v/>
      </c>
      <c r="R219" s="17"/>
      <c r="S219" s="17"/>
      <c r="T219" s="50"/>
      <c r="U219" s="40"/>
      <c r="V219" s="40"/>
      <c r="W219" s="45" t="str">
        <f aca="false">IF(V219="","",EDATE(V219,Settings!$S$6))</f>
        <v/>
      </c>
      <c r="X219" s="17"/>
      <c r="Y219" s="17"/>
      <c r="Z219" s="17"/>
    </row>
    <row r="220" customFormat="false" ht="15" hidden="false" customHeight="false" outlineLevel="0" collapsed="false">
      <c r="A220" s="17"/>
      <c r="B220" s="17"/>
      <c r="C220" s="17"/>
      <c r="D220" s="17"/>
      <c r="E220" s="42"/>
      <c r="F220" s="17"/>
      <c r="G220" s="17"/>
      <c r="H220" s="17"/>
      <c r="I220" s="49" t="str">
        <f aca="false">IF(H220="","",IFERROR(INDEX(Settings!$G$2:$G$4,MATCH(H220,Settings!$F$2:$F$4,0)),""))</f>
        <v/>
      </c>
      <c r="J220" s="40"/>
      <c r="K220" s="50"/>
      <c r="L220" s="17"/>
      <c r="M220" s="40"/>
      <c r="N220" s="40"/>
      <c r="O220" s="45" t="str">
        <f aca="false">IF(N220="","",WORKDAY(N220,Settings!$S$4))</f>
        <v/>
      </c>
      <c r="P220" s="17"/>
      <c r="Q220" s="44" t="str">
        <f aca="true">IF(C220="","",IF(P220="Backed out",IF(S220="Paid","Refunded – closed",IF(R220="","Refund – log reason first","Refund in progress")),IF(K220="","Awaiting payment",IF(N220="",IF(M220="","Schedule free video","Free video in production"),IF(P220="Approved","Active",IF(TODAY()&gt;O220,"Active – plan went ahead","Decision pending – "&amp;NETWORKDAYS(TODAY(),O220)&amp;" working day(s) left"))))))</f>
        <v/>
      </c>
      <c r="R220" s="17"/>
      <c r="S220" s="17"/>
      <c r="T220" s="50"/>
      <c r="U220" s="40"/>
      <c r="V220" s="40"/>
      <c r="W220" s="45" t="str">
        <f aca="false">IF(V220="","",EDATE(V220,Settings!$S$6))</f>
        <v/>
      </c>
      <c r="X220" s="17"/>
      <c r="Y220" s="17"/>
      <c r="Z220" s="17"/>
    </row>
    <row r="221" customFormat="false" ht="15" hidden="false" customHeight="false" outlineLevel="0" collapsed="false">
      <c r="A221" s="17"/>
      <c r="B221" s="17"/>
      <c r="C221" s="17"/>
      <c r="D221" s="17"/>
      <c r="E221" s="42"/>
      <c r="F221" s="17"/>
      <c r="G221" s="17"/>
      <c r="H221" s="17"/>
      <c r="I221" s="49" t="str">
        <f aca="false">IF(H221="","",IFERROR(INDEX(Settings!$G$2:$G$4,MATCH(H221,Settings!$F$2:$F$4,0)),""))</f>
        <v/>
      </c>
      <c r="J221" s="40"/>
      <c r="K221" s="50"/>
      <c r="L221" s="17"/>
      <c r="M221" s="40"/>
      <c r="N221" s="40"/>
      <c r="O221" s="45" t="str">
        <f aca="false">IF(N221="","",WORKDAY(N221,Settings!$S$4))</f>
        <v/>
      </c>
      <c r="P221" s="17"/>
      <c r="Q221" s="44" t="str">
        <f aca="true">IF(C221="","",IF(P221="Backed out",IF(S221="Paid","Refunded – closed",IF(R221="","Refund – log reason first","Refund in progress")),IF(K221="","Awaiting payment",IF(N221="",IF(M221="","Schedule free video","Free video in production"),IF(P221="Approved","Active",IF(TODAY()&gt;O221,"Active – plan went ahead","Decision pending – "&amp;NETWORKDAYS(TODAY(),O221)&amp;" working day(s) left"))))))</f>
        <v/>
      </c>
      <c r="R221" s="17"/>
      <c r="S221" s="17"/>
      <c r="T221" s="50"/>
      <c r="U221" s="40"/>
      <c r="V221" s="40"/>
      <c r="W221" s="45" t="str">
        <f aca="false">IF(V221="","",EDATE(V221,Settings!$S$6))</f>
        <v/>
      </c>
      <c r="X221" s="17"/>
      <c r="Y221" s="17"/>
      <c r="Z221" s="17"/>
    </row>
    <row r="222" customFormat="false" ht="15" hidden="false" customHeight="false" outlineLevel="0" collapsed="false">
      <c r="A222" s="17"/>
      <c r="B222" s="17"/>
      <c r="C222" s="17"/>
      <c r="D222" s="17"/>
      <c r="E222" s="42"/>
      <c r="F222" s="17"/>
      <c r="G222" s="17"/>
      <c r="H222" s="17"/>
      <c r="I222" s="49" t="str">
        <f aca="false">IF(H222="","",IFERROR(INDEX(Settings!$G$2:$G$4,MATCH(H222,Settings!$F$2:$F$4,0)),""))</f>
        <v/>
      </c>
      <c r="J222" s="40"/>
      <c r="K222" s="50"/>
      <c r="L222" s="17"/>
      <c r="M222" s="40"/>
      <c r="N222" s="40"/>
      <c r="O222" s="45" t="str">
        <f aca="false">IF(N222="","",WORKDAY(N222,Settings!$S$4))</f>
        <v/>
      </c>
      <c r="P222" s="17"/>
      <c r="Q222" s="44" t="str">
        <f aca="true">IF(C222="","",IF(P222="Backed out",IF(S222="Paid","Refunded – closed",IF(R222="","Refund – log reason first","Refund in progress")),IF(K222="","Awaiting payment",IF(N222="",IF(M222="","Schedule free video","Free video in production"),IF(P222="Approved","Active",IF(TODAY()&gt;O222,"Active – plan went ahead","Decision pending – "&amp;NETWORKDAYS(TODAY(),O222)&amp;" working day(s) left"))))))</f>
        <v/>
      </c>
      <c r="R222" s="17"/>
      <c r="S222" s="17"/>
      <c r="T222" s="50"/>
      <c r="U222" s="40"/>
      <c r="V222" s="40"/>
      <c r="W222" s="45" t="str">
        <f aca="false">IF(V222="","",EDATE(V222,Settings!$S$6))</f>
        <v/>
      </c>
      <c r="X222" s="17"/>
      <c r="Y222" s="17"/>
      <c r="Z222" s="17"/>
    </row>
    <row r="223" customFormat="false" ht="15" hidden="false" customHeight="false" outlineLevel="0" collapsed="false">
      <c r="A223" s="17"/>
      <c r="B223" s="17"/>
      <c r="C223" s="17"/>
      <c r="D223" s="17"/>
      <c r="E223" s="42"/>
      <c r="F223" s="17"/>
      <c r="G223" s="17"/>
      <c r="H223" s="17"/>
      <c r="I223" s="49" t="str">
        <f aca="false">IF(H223="","",IFERROR(INDEX(Settings!$G$2:$G$4,MATCH(H223,Settings!$F$2:$F$4,0)),""))</f>
        <v/>
      </c>
      <c r="J223" s="40"/>
      <c r="K223" s="50"/>
      <c r="L223" s="17"/>
      <c r="M223" s="40"/>
      <c r="N223" s="40"/>
      <c r="O223" s="45" t="str">
        <f aca="false">IF(N223="","",WORKDAY(N223,Settings!$S$4))</f>
        <v/>
      </c>
      <c r="P223" s="17"/>
      <c r="Q223" s="44" t="str">
        <f aca="true">IF(C223="","",IF(P223="Backed out",IF(S223="Paid","Refunded – closed",IF(R223="","Refund – log reason first","Refund in progress")),IF(K223="","Awaiting payment",IF(N223="",IF(M223="","Schedule free video","Free video in production"),IF(P223="Approved","Active",IF(TODAY()&gt;O223,"Active – plan went ahead","Decision pending – "&amp;NETWORKDAYS(TODAY(),O223)&amp;" working day(s) left"))))))</f>
        <v/>
      </c>
      <c r="R223" s="17"/>
      <c r="S223" s="17"/>
      <c r="T223" s="50"/>
      <c r="U223" s="40"/>
      <c r="V223" s="40"/>
      <c r="W223" s="45" t="str">
        <f aca="false">IF(V223="","",EDATE(V223,Settings!$S$6))</f>
        <v/>
      </c>
      <c r="X223" s="17"/>
      <c r="Y223" s="17"/>
      <c r="Z223" s="17"/>
    </row>
    <row r="224" customFormat="false" ht="15" hidden="false" customHeight="false" outlineLevel="0" collapsed="false">
      <c r="A224" s="17"/>
      <c r="B224" s="17"/>
      <c r="C224" s="17"/>
      <c r="D224" s="17"/>
      <c r="E224" s="42"/>
      <c r="F224" s="17"/>
      <c r="G224" s="17"/>
      <c r="H224" s="17"/>
      <c r="I224" s="49" t="str">
        <f aca="false">IF(H224="","",IFERROR(INDEX(Settings!$G$2:$G$4,MATCH(H224,Settings!$F$2:$F$4,0)),""))</f>
        <v/>
      </c>
      <c r="J224" s="40"/>
      <c r="K224" s="50"/>
      <c r="L224" s="17"/>
      <c r="M224" s="40"/>
      <c r="N224" s="40"/>
      <c r="O224" s="45" t="str">
        <f aca="false">IF(N224="","",WORKDAY(N224,Settings!$S$4))</f>
        <v/>
      </c>
      <c r="P224" s="17"/>
      <c r="Q224" s="44" t="str">
        <f aca="true">IF(C224="","",IF(P224="Backed out",IF(S224="Paid","Refunded – closed",IF(R224="","Refund – log reason first","Refund in progress")),IF(K224="","Awaiting payment",IF(N224="",IF(M224="","Schedule free video","Free video in production"),IF(P224="Approved","Active",IF(TODAY()&gt;O224,"Active – plan went ahead","Decision pending – "&amp;NETWORKDAYS(TODAY(),O224)&amp;" working day(s) left"))))))</f>
        <v/>
      </c>
      <c r="R224" s="17"/>
      <c r="S224" s="17"/>
      <c r="T224" s="50"/>
      <c r="U224" s="40"/>
      <c r="V224" s="40"/>
      <c r="W224" s="45" t="str">
        <f aca="false">IF(V224="","",EDATE(V224,Settings!$S$6))</f>
        <v/>
      </c>
      <c r="X224" s="17"/>
      <c r="Y224" s="17"/>
      <c r="Z224" s="17"/>
    </row>
    <row r="225" customFormat="false" ht="15" hidden="false" customHeight="false" outlineLevel="0" collapsed="false">
      <c r="A225" s="17"/>
      <c r="B225" s="17"/>
      <c r="C225" s="17"/>
      <c r="D225" s="17"/>
      <c r="E225" s="42"/>
      <c r="F225" s="17"/>
      <c r="G225" s="17"/>
      <c r="H225" s="17"/>
      <c r="I225" s="49" t="str">
        <f aca="false">IF(H225="","",IFERROR(INDEX(Settings!$G$2:$G$4,MATCH(H225,Settings!$F$2:$F$4,0)),""))</f>
        <v/>
      </c>
      <c r="J225" s="40"/>
      <c r="K225" s="50"/>
      <c r="L225" s="17"/>
      <c r="M225" s="40"/>
      <c r="N225" s="40"/>
      <c r="O225" s="45" t="str">
        <f aca="false">IF(N225="","",WORKDAY(N225,Settings!$S$4))</f>
        <v/>
      </c>
      <c r="P225" s="17"/>
      <c r="Q225" s="44" t="str">
        <f aca="true">IF(C225="","",IF(P225="Backed out",IF(S225="Paid","Refunded – closed",IF(R225="","Refund – log reason first","Refund in progress")),IF(K225="","Awaiting payment",IF(N225="",IF(M225="","Schedule free video","Free video in production"),IF(P225="Approved","Active",IF(TODAY()&gt;O225,"Active – plan went ahead","Decision pending – "&amp;NETWORKDAYS(TODAY(),O225)&amp;" working day(s) left"))))))</f>
        <v/>
      </c>
      <c r="R225" s="17"/>
      <c r="S225" s="17"/>
      <c r="T225" s="50"/>
      <c r="U225" s="40"/>
      <c r="V225" s="40"/>
      <c r="W225" s="45" t="str">
        <f aca="false">IF(V225="","",EDATE(V225,Settings!$S$6))</f>
        <v/>
      </c>
      <c r="X225" s="17"/>
      <c r="Y225" s="17"/>
      <c r="Z225" s="17"/>
    </row>
    <row r="226" customFormat="false" ht="15" hidden="false" customHeight="false" outlineLevel="0" collapsed="false">
      <c r="A226" s="17"/>
      <c r="B226" s="17"/>
      <c r="C226" s="17"/>
      <c r="D226" s="17"/>
      <c r="E226" s="42"/>
      <c r="F226" s="17"/>
      <c r="G226" s="17"/>
      <c r="H226" s="17"/>
      <c r="I226" s="49" t="str">
        <f aca="false">IF(H226="","",IFERROR(INDEX(Settings!$G$2:$G$4,MATCH(H226,Settings!$F$2:$F$4,0)),""))</f>
        <v/>
      </c>
      <c r="J226" s="40"/>
      <c r="K226" s="50"/>
      <c r="L226" s="17"/>
      <c r="M226" s="40"/>
      <c r="N226" s="40"/>
      <c r="O226" s="45" t="str">
        <f aca="false">IF(N226="","",WORKDAY(N226,Settings!$S$4))</f>
        <v/>
      </c>
      <c r="P226" s="17"/>
      <c r="Q226" s="44" t="str">
        <f aca="true">IF(C226="","",IF(P226="Backed out",IF(S226="Paid","Refunded – closed",IF(R226="","Refund – log reason first","Refund in progress")),IF(K226="","Awaiting payment",IF(N226="",IF(M226="","Schedule free video","Free video in production"),IF(P226="Approved","Active",IF(TODAY()&gt;O226,"Active – plan went ahead","Decision pending – "&amp;NETWORKDAYS(TODAY(),O226)&amp;" working day(s) left"))))))</f>
        <v/>
      </c>
      <c r="R226" s="17"/>
      <c r="S226" s="17"/>
      <c r="T226" s="50"/>
      <c r="U226" s="40"/>
      <c r="V226" s="40"/>
      <c r="W226" s="45" t="str">
        <f aca="false">IF(V226="","",EDATE(V226,Settings!$S$6))</f>
        <v/>
      </c>
      <c r="X226" s="17"/>
      <c r="Y226" s="17"/>
      <c r="Z226" s="17"/>
    </row>
    <row r="227" customFormat="false" ht="15" hidden="false" customHeight="false" outlineLevel="0" collapsed="false">
      <c r="A227" s="17"/>
      <c r="B227" s="17"/>
      <c r="C227" s="17"/>
      <c r="D227" s="17"/>
      <c r="E227" s="42"/>
      <c r="F227" s="17"/>
      <c r="G227" s="17"/>
      <c r="H227" s="17"/>
      <c r="I227" s="49" t="str">
        <f aca="false">IF(H227="","",IFERROR(INDEX(Settings!$G$2:$G$4,MATCH(H227,Settings!$F$2:$F$4,0)),""))</f>
        <v/>
      </c>
      <c r="J227" s="40"/>
      <c r="K227" s="50"/>
      <c r="L227" s="17"/>
      <c r="M227" s="40"/>
      <c r="N227" s="40"/>
      <c r="O227" s="45" t="str">
        <f aca="false">IF(N227="","",WORKDAY(N227,Settings!$S$4))</f>
        <v/>
      </c>
      <c r="P227" s="17"/>
      <c r="Q227" s="44" t="str">
        <f aca="true">IF(C227="","",IF(P227="Backed out",IF(S227="Paid","Refunded – closed",IF(R227="","Refund – log reason first","Refund in progress")),IF(K227="","Awaiting payment",IF(N227="",IF(M227="","Schedule free video","Free video in production"),IF(P227="Approved","Active",IF(TODAY()&gt;O227,"Active – plan went ahead","Decision pending – "&amp;NETWORKDAYS(TODAY(),O227)&amp;" working day(s) left"))))))</f>
        <v/>
      </c>
      <c r="R227" s="17"/>
      <c r="S227" s="17"/>
      <c r="T227" s="50"/>
      <c r="U227" s="40"/>
      <c r="V227" s="40"/>
      <c r="W227" s="45" t="str">
        <f aca="false">IF(V227="","",EDATE(V227,Settings!$S$6))</f>
        <v/>
      </c>
      <c r="X227" s="17"/>
      <c r="Y227" s="17"/>
      <c r="Z227" s="17"/>
    </row>
    <row r="228" customFormat="false" ht="15" hidden="false" customHeight="false" outlineLevel="0" collapsed="false">
      <c r="A228" s="17"/>
      <c r="B228" s="17"/>
      <c r="C228" s="17"/>
      <c r="D228" s="17"/>
      <c r="E228" s="42"/>
      <c r="F228" s="17"/>
      <c r="G228" s="17"/>
      <c r="H228" s="17"/>
      <c r="I228" s="49" t="str">
        <f aca="false">IF(H228="","",IFERROR(INDEX(Settings!$G$2:$G$4,MATCH(H228,Settings!$F$2:$F$4,0)),""))</f>
        <v/>
      </c>
      <c r="J228" s="40"/>
      <c r="K228" s="50"/>
      <c r="L228" s="17"/>
      <c r="M228" s="40"/>
      <c r="N228" s="40"/>
      <c r="O228" s="45" t="str">
        <f aca="false">IF(N228="","",WORKDAY(N228,Settings!$S$4))</f>
        <v/>
      </c>
      <c r="P228" s="17"/>
      <c r="Q228" s="44" t="str">
        <f aca="true">IF(C228="","",IF(P228="Backed out",IF(S228="Paid","Refunded – closed",IF(R228="","Refund – log reason first","Refund in progress")),IF(K228="","Awaiting payment",IF(N228="",IF(M228="","Schedule free video","Free video in production"),IF(P228="Approved","Active",IF(TODAY()&gt;O228,"Active – plan went ahead","Decision pending – "&amp;NETWORKDAYS(TODAY(),O228)&amp;" working day(s) left"))))))</f>
        <v/>
      </c>
      <c r="R228" s="17"/>
      <c r="S228" s="17"/>
      <c r="T228" s="50"/>
      <c r="U228" s="40"/>
      <c r="V228" s="40"/>
      <c r="W228" s="45" t="str">
        <f aca="false">IF(V228="","",EDATE(V228,Settings!$S$6))</f>
        <v/>
      </c>
      <c r="X228" s="17"/>
      <c r="Y228" s="17"/>
      <c r="Z228" s="17"/>
    </row>
    <row r="229" customFormat="false" ht="15" hidden="false" customHeight="false" outlineLevel="0" collapsed="false">
      <c r="A229" s="17"/>
      <c r="B229" s="17"/>
      <c r="C229" s="17"/>
      <c r="D229" s="17"/>
      <c r="E229" s="42"/>
      <c r="F229" s="17"/>
      <c r="G229" s="17"/>
      <c r="H229" s="17"/>
      <c r="I229" s="49" t="str">
        <f aca="false">IF(H229="","",IFERROR(INDEX(Settings!$G$2:$G$4,MATCH(H229,Settings!$F$2:$F$4,0)),""))</f>
        <v/>
      </c>
      <c r="J229" s="40"/>
      <c r="K229" s="50"/>
      <c r="L229" s="17"/>
      <c r="M229" s="40"/>
      <c r="N229" s="40"/>
      <c r="O229" s="45" t="str">
        <f aca="false">IF(N229="","",WORKDAY(N229,Settings!$S$4))</f>
        <v/>
      </c>
      <c r="P229" s="17"/>
      <c r="Q229" s="44" t="str">
        <f aca="true">IF(C229="","",IF(P229="Backed out",IF(S229="Paid","Refunded – closed",IF(R229="","Refund – log reason first","Refund in progress")),IF(K229="","Awaiting payment",IF(N229="",IF(M229="","Schedule free video","Free video in production"),IF(P229="Approved","Active",IF(TODAY()&gt;O229,"Active – plan went ahead","Decision pending – "&amp;NETWORKDAYS(TODAY(),O229)&amp;" working day(s) left"))))))</f>
        <v/>
      </c>
      <c r="R229" s="17"/>
      <c r="S229" s="17"/>
      <c r="T229" s="50"/>
      <c r="U229" s="40"/>
      <c r="V229" s="40"/>
      <c r="W229" s="45" t="str">
        <f aca="false">IF(V229="","",EDATE(V229,Settings!$S$6))</f>
        <v/>
      </c>
      <c r="X229" s="17"/>
      <c r="Y229" s="17"/>
      <c r="Z229" s="17"/>
    </row>
    <row r="230" customFormat="false" ht="15" hidden="false" customHeight="false" outlineLevel="0" collapsed="false">
      <c r="A230" s="17"/>
      <c r="B230" s="17"/>
      <c r="C230" s="17"/>
      <c r="D230" s="17"/>
      <c r="E230" s="42"/>
      <c r="F230" s="17"/>
      <c r="G230" s="17"/>
      <c r="H230" s="17"/>
      <c r="I230" s="49" t="str">
        <f aca="false">IF(H230="","",IFERROR(INDEX(Settings!$G$2:$G$4,MATCH(H230,Settings!$F$2:$F$4,0)),""))</f>
        <v/>
      </c>
      <c r="J230" s="40"/>
      <c r="K230" s="50"/>
      <c r="L230" s="17"/>
      <c r="M230" s="40"/>
      <c r="N230" s="40"/>
      <c r="O230" s="45" t="str">
        <f aca="false">IF(N230="","",WORKDAY(N230,Settings!$S$4))</f>
        <v/>
      </c>
      <c r="P230" s="17"/>
      <c r="Q230" s="44" t="str">
        <f aca="true">IF(C230="","",IF(P230="Backed out",IF(S230="Paid","Refunded – closed",IF(R230="","Refund – log reason first","Refund in progress")),IF(K230="","Awaiting payment",IF(N230="",IF(M230="","Schedule free video","Free video in production"),IF(P230="Approved","Active",IF(TODAY()&gt;O230,"Active – plan went ahead","Decision pending – "&amp;NETWORKDAYS(TODAY(),O230)&amp;" working day(s) left"))))))</f>
        <v/>
      </c>
      <c r="R230" s="17"/>
      <c r="S230" s="17"/>
      <c r="T230" s="50"/>
      <c r="U230" s="40"/>
      <c r="V230" s="40"/>
      <c r="W230" s="45" t="str">
        <f aca="false">IF(V230="","",EDATE(V230,Settings!$S$6))</f>
        <v/>
      </c>
      <c r="X230" s="17"/>
      <c r="Y230" s="17"/>
      <c r="Z230" s="17"/>
    </row>
    <row r="231" customFormat="false" ht="15" hidden="false" customHeight="false" outlineLevel="0" collapsed="false">
      <c r="A231" s="17"/>
      <c r="B231" s="17"/>
      <c r="C231" s="17"/>
      <c r="D231" s="17"/>
      <c r="E231" s="42"/>
      <c r="F231" s="17"/>
      <c r="G231" s="17"/>
      <c r="H231" s="17"/>
      <c r="I231" s="49" t="str">
        <f aca="false">IF(H231="","",IFERROR(INDEX(Settings!$G$2:$G$4,MATCH(H231,Settings!$F$2:$F$4,0)),""))</f>
        <v/>
      </c>
      <c r="J231" s="40"/>
      <c r="K231" s="50"/>
      <c r="L231" s="17"/>
      <c r="M231" s="40"/>
      <c r="N231" s="40"/>
      <c r="O231" s="45" t="str">
        <f aca="false">IF(N231="","",WORKDAY(N231,Settings!$S$4))</f>
        <v/>
      </c>
      <c r="P231" s="17"/>
      <c r="Q231" s="44" t="str">
        <f aca="true">IF(C231="","",IF(P231="Backed out",IF(S231="Paid","Refunded – closed",IF(R231="","Refund – log reason first","Refund in progress")),IF(K231="","Awaiting payment",IF(N231="",IF(M231="","Schedule free video","Free video in production"),IF(P231="Approved","Active",IF(TODAY()&gt;O231,"Active – plan went ahead","Decision pending – "&amp;NETWORKDAYS(TODAY(),O231)&amp;" working day(s) left"))))))</f>
        <v/>
      </c>
      <c r="R231" s="17"/>
      <c r="S231" s="17"/>
      <c r="T231" s="50"/>
      <c r="U231" s="40"/>
      <c r="V231" s="40"/>
      <c r="W231" s="45" t="str">
        <f aca="false">IF(V231="","",EDATE(V231,Settings!$S$6))</f>
        <v/>
      </c>
      <c r="X231" s="17"/>
      <c r="Y231" s="17"/>
      <c r="Z231" s="17"/>
    </row>
    <row r="232" customFormat="false" ht="15" hidden="false" customHeight="false" outlineLevel="0" collapsed="false">
      <c r="A232" s="17"/>
      <c r="B232" s="17"/>
      <c r="C232" s="17"/>
      <c r="D232" s="17"/>
      <c r="E232" s="42"/>
      <c r="F232" s="17"/>
      <c r="G232" s="17"/>
      <c r="H232" s="17"/>
      <c r="I232" s="49" t="str">
        <f aca="false">IF(H232="","",IFERROR(INDEX(Settings!$G$2:$G$4,MATCH(H232,Settings!$F$2:$F$4,0)),""))</f>
        <v/>
      </c>
      <c r="J232" s="40"/>
      <c r="K232" s="50"/>
      <c r="L232" s="17"/>
      <c r="M232" s="40"/>
      <c r="N232" s="40"/>
      <c r="O232" s="45" t="str">
        <f aca="false">IF(N232="","",WORKDAY(N232,Settings!$S$4))</f>
        <v/>
      </c>
      <c r="P232" s="17"/>
      <c r="Q232" s="44" t="str">
        <f aca="true">IF(C232="","",IF(P232="Backed out",IF(S232="Paid","Refunded – closed",IF(R232="","Refund – log reason first","Refund in progress")),IF(K232="","Awaiting payment",IF(N232="",IF(M232="","Schedule free video","Free video in production"),IF(P232="Approved","Active",IF(TODAY()&gt;O232,"Active – plan went ahead","Decision pending – "&amp;NETWORKDAYS(TODAY(),O232)&amp;" working day(s) left"))))))</f>
        <v/>
      </c>
      <c r="R232" s="17"/>
      <c r="S232" s="17"/>
      <c r="T232" s="50"/>
      <c r="U232" s="40"/>
      <c r="V232" s="40"/>
      <c r="W232" s="45" t="str">
        <f aca="false">IF(V232="","",EDATE(V232,Settings!$S$6))</f>
        <v/>
      </c>
      <c r="X232" s="17"/>
      <c r="Y232" s="17"/>
      <c r="Z232" s="17"/>
    </row>
    <row r="233" customFormat="false" ht="15" hidden="false" customHeight="false" outlineLevel="0" collapsed="false">
      <c r="A233" s="17"/>
      <c r="B233" s="17"/>
      <c r="C233" s="17"/>
      <c r="D233" s="17"/>
      <c r="E233" s="42"/>
      <c r="F233" s="17"/>
      <c r="G233" s="17"/>
      <c r="H233" s="17"/>
      <c r="I233" s="49" t="str">
        <f aca="false">IF(H233="","",IFERROR(INDEX(Settings!$G$2:$G$4,MATCH(H233,Settings!$F$2:$F$4,0)),""))</f>
        <v/>
      </c>
      <c r="J233" s="40"/>
      <c r="K233" s="50"/>
      <c r="L233" s="17"/>
      <c r="M233" s="40"/>
      <c r="N233" s="40"/>
      <c r="O233" s="45" t="str">
        <f aca="false">IF(N233="","",WORKDAY(N233,Settings!$S$4))</f>
        <v/>
      </c>
      <c r="P233" s="17"/>
      <c r="Q233" s="44" t="str">
        <f aca="true">IF(C233="","",IF(P233="Backed out",IF(S233="Paid","Refunded – closed",IF(R233="","Refund – log reason first","Refund in progress")),IF(K233="","Awaiting payment",IF(N233="",IF(M233="","Schedule free video","Free video in production"),IF(P233="Approved","Active",IF(TODAY()&gt;O233,"Active – plan went ahead","Decision pending – "&amp;NETWORKDAYS(TODAY(),O233)&amp;" working day(s) left"))))))</f>
        <v/>
      </c>
      <c r="R233" s="17"/>
      <c r="S233" s="17"/>
      <c r="T233" s="50"/>
      <c r="U233" s="40"/>
      <c r="V233" s="40"/>
      <c r="W233" s="45" t="str">
        <f aca="false">IF(V233="","",EDATE(V233,Settings!$S$6))</f>
        <v/>
      </c>
      <c r="X233" s="17"/>
      <c r="Y233" s="17"/>
      <c r="Z233" s="17"/>
    </row>
    <row r="234" customFormat="false" ht="15" hidden="false" customHeight="false" outlineLevel="0" collapsed="false">
      <c r="A234" s="17"/>
      <c r="B234" s="17"/>
      <c r="C234" s="17"/>
      <c r="D234" s="17"/>
      <c r="E234" s="42"/>
      <c r="F234" s="17"/>
      <c r="G234" s="17"/>
      <c r="H234" s="17"/>
      <c r="I234" s="49" t="str">
        <f aca="false">IF(H234="","",IFERROR(INDEX(Settings!$G$2:$G$4,MATCH(H234,Settings!$F$2:$F$4,0)),""))</f>
        <v/>
      </c>
      <c r="J234" s="40"/>
      <c r="K234" s="50"/>
      <c r="L234" s="17"/>
      <c r="M234" s="40"/>
      <c r="N234" s="40"/>
      <c r="O234" s="45" t="str">
        <f aca="false">IF(N234="","",WORKDAY(N234,Settings!$S$4))</f>
        <v/>
      </c>
      <c r="P234" s="17"/>
      <c r="Q234" s="44" t="str">
        <f aca="true">IF(C234="","",IF(P234="Backed out",IF(S234="Paid","Refunded – closed",IF(R234="","Refund – log reason first","Refund in progress")),IF(K234="","Awaiting payment",IF(N234="",IF(M234="","Schedule free video","Free video in production"),IF(P234="Approved","Active",IF(TODAY()&gt;O234,"Active – plan went ahead","Decision pending – "&amp;NETWORKDAYS(TODAY(),O234)&amp;" working day(s) left"))))))</f>
        <v/>
      </c>
      <c r="R234" s="17"/>
      <c r="S234" s="17"/>
      <c r="T234" s="50"/>
      <c r="U234" s="40"/>
      <c r="V234" s="40"/>
      <c r="W234" s="45" t="str">
        <f aca="false">IF(V234="","",EDATE(V234,Settings!$S$6))</f>
        <v/>
      </c>
      <c r="X234" s="17"/>
      <c r="Y234" s="17"/>
      <c r="Z234" s="17"/>
    </row>
    <row r="235" customFormat="false" ht="15" hidden="false" customHeight="false" outlineLevel="0" collapsed="false">
      <c r="A235" s="17"/>
      <c r="B235" s="17"/>
      <c r="C235" s="17"/>
      <c r="D235" s="17"/>
      <c r="E235" s="42"/>
      <c r="F235" s="17"/>
      <c r="G235" s="17"/>
      <c r="H235" s="17"/>
      <c r="I235" s="49" t="str">
        <f aca="false">IF(H235="","",IFERROR(INDEX(Settings!$G$2:$G$4,MATCH(H235,Settings!$F$2:$F$4,0)),""))</f>
        <v/>
      </c>
      <c r="J235" s="40"/>
      <c r="K235" s="50"/>
      <c r="L235" s="17"/>
      <c r="M235" s="40"/>
      <c r="N235" s="40"/>
      <c r="O235" s="45" t="str">
        <f aca="false">IF(N235="","",WORKDAY(N235,Settings!$S$4))</f>
        <v/>
      </c>
      <c r="P235" s="17"/>
      <c r="Q235" s="44" t="str">
        <f aca="true">IF(C235="","",IF(P235="Backed out",IF(S235="Paid","Refunded – closed",IF(R235="","Refund – log reason first","Refund in progress")),IF(K235="","Awaiting payment",IF(N235="",IF(M235="","Schedule free video","Free video in production"),IF(P235="Approved","Active",IF(TODAY()&gt;O235,"Active – plan went ahead","Decision pending – "&amp;NETWORKDAYS(TODAY(),O235)&amp;" working day(s) left"))))))</f>
        <v/>
      </c>
      <c r="R235" s="17"/>
      <c r="S235" s="17"/>
      <c r="T235" s="50"/>
      <c r="U235" s="40"/>
      <c r="V235" s="40"/>
      <c r="W235" s="45" t="str">
        <f aca="false">IF(V235="","",EDATE(V235,Settings!$S$6))</f>
        <v/>
      </c>
      <c r="X235" s="17"/>
      <c r="Y235" s="17"/>
      <c r="Z235" s="17"/>
    </row>
    <row r="236" customFormat="false" ht="15" hidden="false" customHeight="false" outlineLevel="0" collapsed="false">
      <c r="A236" s="17"/>
      <c r="B236" s="17"/>
      <c r="C236" s="17"/>
      <c r="D236" s="17"/>
      <c r="E236" s="42"/>
      <c r="F236" s="17"/>
      <c r="G236" s="17"/>
      <c r="H236" s="17"/>
      <c r="I236" s="49" t="str">
        <f aca="false">IF(H236="","",IFERROR(INDEX(Settings!$G$2:$G$4,MATCH(H236,Settings!$F$2:$F$4,0)),""))</f>
        <v/>
      </c>
      <c r="J236" s="40"/>
      <c r="K236" s="50"/>
      <c r="L236" s="17"/>
      <c r="M236" s="40"/>
      <c r="N236" s="40"/>
      <c r="O236" s="45" t="str">
        <f aca="false">IF(N236="","",WORKDAY(N236,Settings!$S$4))</f>
        <v/>
      </c>
      <c r="P236" s="17"/>
      <c r="Q236" s="44" t="str">
        <f aca="true">IF(C236="","",IF(P236="Backed out",IF(S236="Paid","Refunded – closed",IF(R236="","Refund – log reason first","Refund in progress")),IF(K236="","Awaiting payment",IF(N236="",IF(M236="","Schedule free video","Free video in production"),IF(P236="Approved","Active",IF(TODAY()&gt;O236,"Active – plan went ahead","Decision pending – "&amp;NETWORKDAYS(TODAY(),O236)&amp;" working day(s) left"))))))</f>
        <v/>
      </c>
      <c r="R236" s="17"/>
      <c r="S236" s="17"/>
      <c r="T236" s="50"/>
      <c r="U236" s="40"/>
      <c r="V236" s="40"/>
      <c r="W236" s="45" t="str">
        <f aca="false">IF(V236="","",EDATE(V236,Settings!$S$6))</f>
        <v/>
      </c>
      <c r="X236" s="17"/>
      <c r="Y236" s="17"/>
      <c r="Z236" s="17"/>
    </row>
    <row r="237" customFormat="false" ht="15" hidden="false" customHeight="false" outlineLevel="0" collapsed="false">
      <c r="A237" s="17"/>
      <c r="B237" s="17"/>
      <c r="C237" s="17"/>
      <c r="D237" s="17"/>
      <c r="E237" s="42"/>
      <c r="F237" s="17"/>
      <c r="G237" s="17"/>
      <c r="H237" s="17"/>
      <c r="I237" s="49" t="str">
        <f aca="false">IF(H237="","",IFERROR(INDEX(Settings!$G$2:$G$4,MATCH(H237,Settings!$F$2:$F$4,0)),""))</f>
        <v/>
      </c>
      <c r="J237" s="40"/>
      <c r="K237" s="50"/>
      <c r="L237" s="17"/>
      <c r="M237" s="40"/>
      <c r="N237" s="40"/>
      <c r="O237" s="45" t="str">
        <f aca="false">IF(N237="","",WORKDAY(N237,Settings!$S$4))</f>
        <v/>
      </c>
      <c r="P237" s="17"/>
      <c r="Q237" s="44" t="str">
        <f aca="true">IF(C237="","",IF(P237="Backed out",IF(S237="Paid","Refunded – closed",IF(R237="","Refund – log reason first","Refund in progress")),IF(K237="","Awaiting payment",IF(N237="",IF(M237="","Schedule free video","Free video in production"),IF(P237="Approved","Active",IF(TODAY()&gt;O237,"Active – plan went ahead","Decision pending – "&amp;NETWORKDAYS(TODAY(),O237)&amp;" working day(s) left"))))))</f>
        <v/>
      </c>
      <c r="R237" s="17"/>
      <c r="S237" s="17"/>
      <c r="T237" s="50"/>
      <c r="U237" s="40"/>
      <c r="V237" s="40"/>
      <c r="W237" s="45" t="str">
        <f aca="false">IF(V237="","",EDATE(V237,Settings!$S$6))</f>
        <v/>
      </c>
      <c r="X237" s="17"/>
      <c r="Y237" s="17"/>
      <c r="Z237" s="17"/>
    </row>
    <row r="238" customFormat="false" ht="15" hidden="false" customHeight="false" outlineLevel="0" collapsed="false">
      <c r="A238" s="17"/>
      <c r="B238" s="17"/>
      <c r="C238" s="17"/>
      <c r="D238" s="17"/>
      <c r="E238" s="42"/>
      <c r="F238" s="17"/>
      <c r="G238" s="17"/>
      <c r="H238" s="17"/>
      <c r="I238" s="49" t="str">
        <f aca="false">IF(H238="","",IFERROR(INDEX(Settings!$G$2:$G$4,MATCH(H238,Settings!$F$2:$F$4,0)),""))</f>
        <v/>
      </c>
      <c r="J238" s="40"/>
      <c r="K238" s="50"/>
      <c r="L238" s="17"/>
      <c r="M238" s="40"/>
      <c r="N238" s="40"/>
      <c r="O238" s="45" t="str">
        <f aca="false">IF(N238="","",WORKDAY(N238,Settings!$S$4))</f>
        <v/>
      </c>
      <c r="P238" s="17"/>
      <c r="Q238" s="44" t="str">
        <f aca="true">IF(C238="","",IF(P238="Backed out",IF(S238="Paid","Refunded – closed",IF(R238="","Refund – log reason first","Refund in progress")),IF(K238="","Awaiting payment",IF(N238="",IF(M238="","Schedule free video","Free video in production"),IF(P238="Approved","Active",IF(TODAY()&gt;O238,"Active – plan went ahead","Decision pending – "&amp;NETWORKDAYS(TODAY(),O238)&amp;" working day(s) left"))))))</f>
        <v/>
      </c>
      <c r="R238" s="17"/>
      <c r="S238" s="17"/>
      <c r="T238" s="50"/>
      <c r="U238" s="40"/>
      <c r="V238" s="40"/>
      <c r="W238" s="45" t="str">
        <f aca="false">IF(V238="","",EDATE(V238,Settings!$S$6))</f>
        <v/>
      </c>
      <c r="X238" s="17"/>
      <c r="Y238" s="17"/>
      <c r="Z238" s="17"/>
    </row>
    <row r="239" customFormat="false" ht="15" hidden="false" customHeight="false" outlineLevel="0" collapsed="false">
      <c r="A239" s="17"/>
      <c r="B239" s="17"/>
      <c r="C239" s="17"/>
      <c r="D239" s="17"/>
      <c r="E239" s="42"/>
      <c r="F239" s="17"/>
      <c r="G239" s="17"/>
      <c r="H239" s="17"/>
      <c r="I239" s="49" t="str">
        <f aca="false">IF(H239="","",IFERROR(INDEX(Settings!$G$2:$G$4,MATCH(H239,Settings!$F$2:$F$4,0)),""))</f>
        <v/>
      </c>
      <c r="J239" s="40"/>
      <c r="K239" s="50"/>
      <c r="L239" s="17"/>
      <c r="M239" s="40"/>
      <c r="N239" s="40"/>
      <c r="O239" s="45" t="str">
        <f aca="false">IF(N239="","",WORKDAY(N239,Settings!$S$4))</f>
        <v/>
      </c>
      <c r="P239" s="17"/>
      <c r="Q239" s="44" t="str">
        <f aca="true">IF(C239="","",IF(P239="Backed out",IF(S239="Paid","Refunded – closed",IF(R239="","Refund – log reason first","Refund in progress")),IF(K239="","Awaiting payment",IF(N239="",IF(M239="","Schedule free video","Free video in production"),IF(P239="Approved","Active",IF(TODAY()&gt;O239,"Active – plan went ahead","Decision pending – "&amp;NETWORKDAYS(TODAY(),O239)&amp;" working day(s) left"))))))</f>
        <v/>
      </c>
      <c r="R239" s="17"/>
      <c r="S239" s="17"/>
      <c r="T239" s="50"/>
      <c r="U239" s="40"/>
      <c r="V239" s="40"/>
      <c r="W239" s="45" t="str">
        <f aca="false">IF(V239="","",EDATE(V239,Settings!$S$6))</f>
        <v/>
      </c>
      <c r="X239" s="17"/>
      <c r="Y239" s="17"/>
      <c r="Z239" s="17"/>
    </row>
    <row r="240" customFormat="false" ht="15" hidden="false" customHeight="false" outlineLevel="0" collapsed="false">
      <c r="A240" s="17"/>
      <c r="B240" s="17"/>
      <c r="C240" s="17"/>
      <c r="D240" s="17"/>
      <c r="E240" s="42"/>
      <c r="F240" s="17"/>
      <c r="G240" s="17"/>
      <c r="H240" s="17"/>
      <c r="I240" s="49" t="str">
        <f aca="false">IF(H240="","",IFERROR(INDEX(Settings!$G$2:$G$4,MATCH(H240,Settings!$F$2:$F$4,0)),""))</f>
        <v/>
      </c>
      <c r="J240" s="40"/>
      <c r="K240" s="50"/>
      <c r="L240" s="17"/>
      <c r="M240" s="40"/>
      <c r="N240" s="40"/>
      <c r="O240" s="45" t="str">
        <f aca="false">IF(N240="","",WORKDAY(N240,Settings!$S$4))</f>
        <v/>
      </c>
      <c r="P240" s="17"/>
      <c r="Q240" s="44" t="str">
        <f aca="true">IF(C240="","",IF(P240="Backed out",IF(S240="Paid","Refunded – closed",IF(R240="","Refund – log reason first","Refund in progress")),IF(K240="","Awaiting payment",IF(N240="",IF(M240="","Schedule free video","Free video in production"),IF(P240="Approved","Active",IF(TODAY()&gt;O240,"Active – plan went ahead","Decision pending – "&amp;NETWORKDAYS(TODAY(),O240)&amp;" working day(s) left"))))))</f>
        <v/>
      </c>
      <c r="R240" s="17"/>
      <c r="S240" s="17"/>
      <c r="T240" s="50"/>
      <c r="U240" s="40"/>
      <c r="V240" s="40"/>
      <c r="W240" s="45" t="str">
        <f aca="false">IF(V240="","",EDATE(V240,Settings!$S$6))</f>
        <v/>
      </c>
      <c r="X240" s="17"/>
      <c r="Y240" s="17"/>
      <c r="Z240" s="17"/>
    </row>
    <row r="241" customFormat="false" ht="15" hidden="false" customHeight="false" outlineLevel="0" collapsed="false">
      <c r="A241" s="17"/>
      <c r="B241" s="17"/>
      <c r="C241" s="17"/>
      <c r="D241" s="17"/>
      <c r="E241" s="42"/>
      <c r="F241" s="17"/>
      <c r="G241" s="17"/>
      <c r="H241" s="17"/>
      <c r="I241" s="49" t="str">
        <f aca="false">IF(H241="","",IFERROR(INDEX(Settings!$G$2:$G$4,MATCH(H241,Settings!$F$2:$F$4,0)),""))</f>
        <v/>
      </c>
      <c r="J241" s="40"/>
      <c r="K241" s="50"/>
      <c r="L241" s="17"/>
      <c r="M241" s="40"/>
      <c r="N241" s="40"/>
      <c r="O241" s="45" t="str">
        <f aca="false">IF(N241="","",WORKDAY(N241,Settings!$S$4))</f>
        <v/>
      </c>
      <c r="P241" s="17"/>
      <c r="Q241" s="44" t="str">
        <f aca="true">IF(C241="","",IF(P241="Backed out",IF(S241="Paid","Refunded – closed",IF(R241="","Refund – log reason first","Refund in progress")),IF(K241="","Awaiting payment",IF(N241="",IF(M241="","Schedule free video","Free video in production"),IF(P241="Approved","Active",IF(TODAY()&gt;O241,"Active – plan went ahead","Decision pending – "&amp;NETWORKDAYS(TODAY(),O241)&amp;" working day(s) left"))))))</f>
        <v/>
      </c>
      <c r="R241" s="17"/>
      <c r="S241" s="17"/>
      <c r="T241" s="50"/>
      <c r="U241" s="40"/>
      <c r="V241" s="40"/>
      <c r="W241" s="45" t="str">
        <f aca="false">IF(V241="","",EDATE(V241,Settings!$S$6))</f>
        <v/>
      </c>
      <c r="X241" s="17"/>
      <c r="Y241" s="17"/>
      <c r="Z241" s="17"/>
    </row>
    <row r="242" customFormat="false" ht="15" hidden="false" customHeight="false" outlineLevel="0" collapsed="false">
      <c r="A242" s="17"/>
      <c r="B242" s="17"/>
      <c r="C242" s="17"/>
      <c r="D242" s="17"/>
      <c r="E242" s="42"/>
      <c r="F242" s="17"/>
      <c r="G242" s="17"/>
      <c r="H242" s="17"/>
      <c r="I242" s="49" t="str">
        <f aca="false">IF(H242="","",IFERROR(INDEX(Settings!$G$2:$G$4,MATCH(H242,Settings!$F$2:$F$4,0)),""))</f>
        <v/>
      </c>
      <c r="J242" s="40"/>
      <c r="K242" s="50"/>
      <c r="L242" s="17"/>
      <c r="M242" s="40"/>
      <c r="N242" s="40"/>
      <c r="O242" s="45" t="str">
        <f aca="false">IF(N242="","",WORKDAY(N242,Settings!$S$4))</f>
        <v/>
      </c>
      <c r="P242" s="17"/>
      <c r="Q242" s="44" t="str">
        <f aca="true">IF(C242="","",IF(P242="Backed out",IF(S242="Paid","Refunded – closed",IF(R242="","Refund – log reason first","Refund in progress")),IF(K242="","Awaiting payment",IF(N242="",IF(M242="","Schedule free video","Free video in production"),IF(P242="Approved","Active",IF(TODAY()&gt;O242,"Active – plan went ahead","Decision pending – "&amp;NETWORKDAYS(TODAY(),O242)&amp;" working day(s) left"))))))</f>
        <v/>
      </c>
      <c r="R242" s="17"/>
      <c r="S242" s="17"/>
      <c r="T242" s="50"/>
      <c r="U242" s="40"/>
      <c r="V242" s="40"/>
      <c r="W242" s="45" t="str">
        <f aca="false">IF(V242="","",EDATE(V242,Settings!$S$6))</f>
        <v/>
      </c>
      <c r="X242" s="17"/>
      <c r="Y242" s="17"/>
      <c r="Z242" s="17"/>
    </row>
    <row r="243" customFormat="false" ht="15" hidden="false" customHeight="false" outlineLevel="0" collapsed="false">
      <c r="A243" s="17"/>
      <c r="B243" s="17"/>
      <c r="C243" s="17"/>
      <c r="D243" s="17"/>
      <c r="E243" s="42"/>
      <c r="F243" s="17"/>
      <c r="G243" s="17"/>
      <c r="H243" s="17"/>
      <c r="I243" s="49" t="str">
        <f aca="false">IF(H243="","",IFERROR(INDEX(Settings!$G$2:$G$4,MATCH(H243,Settings!$F$2:$F$4,0)),""))</f>
        <v/>
      </c>
      <c r="J243" s="40"/>
      <c r="K243" s="50"/>
      <c r="L243" s="17"/>
      <c r="M243" s="40"/>
      <c r="N243" s="40"/>
      <c r="O243" s="45" t="str">
        <f aca="false">IF(N243="","",WORKDAY(N243,Settings!$S$4))</f>
        <v/>
      </c>
      <c r="P243" s="17"/>
      <c r="Q243" s="44" t="str">
        <f aca="true">IF(C243="","",IF(P243="Backed out",IF(S243="Paid","Refunded – closed",IF(R243="","Refund – log reason first","Refund in progress")),IF(K243="","Awaiting payment",IF(N243="",IF(M243="","Schedule free video","Free video in production"),IF(P243="Approved","Active",IF(TODAY()&gt;O243,"Active – plan went ahead","Decision pending – "&amp;NETWORKDAYS(TODAY(),O243)&amp;" working day(s) left"))))))</f>
        <v/>
      </c>
      <c r="R243" s="17"/>
      <c r="S243" s="17"/>
      <c r="T243" s="50"/>
      <c r="U243" s="40"/>
      <c r="V243" s="40"/>
      <c r="W243" s="45" t="str">
        <f aca="false">IF(V243="","",EDATE(V243,Settings!$S$6))</f>
        <v/>
      </c>
      <c r="X243" s="17"/>
      <c r="Y243" s="17"/>
      <c r="Z243" s="17"/>
    </row>
    <row r="244" customFormat="false" ht="15" hidden="false" customHeight="false" outlineLevel="0" collapsed="false">
      <c r="A244" s="17"/>
      <c r="B244" s="17"/>
      <c r="C244" s="17"/>
      <c r="D244" s="17"/>
      <c r="E244" s="42"/>
      <c r="F244" s="17"/>
      <c r="G244" s="17"/>
      <c r="H244" s="17"/>
      <c r="I244" s="49" t="str">
        <f aca="false">IF(H244="","",IFERROR(INDEX(Settings!$G$2:$G$4,MATCH(H244,Settings!$F$2:$F$4,0)),""))</f>
        <v/>
      </c>
      <c r="J244" s="40"/>
      <c r="K244" s="50"/>
      <c r="L244" s="17"/>
      <c r="M244" s="40"/>
      <c r="N244" s="40"/>
      <c r="O244" s="45" t="str">
        <f aca="false">IF(N244="","",WORKDAY(N244,Settings!$S$4))</f>
        <v/>
      </c>
      <c r="P244" s="17"/>
      <c r="Q244" s="44" t="str">
        <f aca="true">IF(C244="","",IF(P244="Backed out",IF(S244="Paid","Refunded – closed",IF(R244="","Refund – log reason first","Refund in progress")),IF(K244="","Awaiting payment",IF(N244="",IF(M244="","Schedule free video","Free video in production"),IF(P244="Approved","Active",IF(TODAY()&gt;O244,"Active – plan went ahead","Decision pending – "&amp;NETWORKDAYS(TODAY(),O244)&amp;" working day(s) left"))))))</f>
        <v/>
      </c>
      <c r="R244" s="17"/>
      <c r="S244" s="17"/>
      <c r="T244" s="50"/>
      <c r="U244" s="40"/>
      <c r="V244" s="40"/>
      <c r="W244" s="45" t="str">
        <f aca="false">IF(V244="","",EDATE(V244,Settings!$S$6))</f>
        <v/>
      </c>
      <c r="X244" s="17"/>
      <c r="Y244" s="17"/>
      <c r="Z244" s="17"/>
    </row>
    <row r="245" customFormat="false" ht="15" hidden="false" customHeight="false" outlineLevel="0" collapsed="false">
      <c r="A245" s="17"/>
      <c r="B245" s="17"/>
      <c r="C245" s="17"/>
      <c r="D245" s="17"/>
      <c r="E245" s="42"/>
      <c r="F245" s="17"/>
      <c r="G245" s="17"/>
      <c r="H245" s="17"/>
      <c r="I245" s="49" t="str">
        <f aca="false">IF(H245="","",IFERROR(INDEX(Settings!$G$2:$G$4,MATCH(H245,Settings!$F$2:$F$4,0)),""))</f>
        <v/>
      </c>
      <c r="J245" s="40"/>
      <c r="K245" s="50"/>
      <c r="L245" s="17"/>
      <c r="M245" s="40"/>
      <c r="N245" s="40"/>
      <c r="O245" s="45" t="str">
        <f aca="false">IF(N245="","",WORKDAY(N245,Settings!$S$4))</f>
        <v/>
      </c>
      <c r="P245" s="17"/>
      <c r="Q245" s="44" t="str">
        <f aca="true">IF(C245="","",IF(P245="Backed out",IF(S245="Paid","Refunded – closed",IF(R245="","Refund – log reason first","Refund in progress")),IF(K245="","Awaiting payment",IF(N245="",IF(M245="","Schedule free video","Free video in production"),IF(P245="Approved","Active",IF(TODAY()&gt;O245,"Active – plan went ahead","Decision pending – "&amp;NETWORKDAYS(TODAY(),O245)&amp;" working day(s) left"))))))</f>
        <v/>
      </c>
      <c r="R245" s="17"/>
      <c r="S245" s="17"/>
      <c r="T245" s="50"/>
      <c r="U245" s="40"/>
      <c r="V245" s="40"/>
      <c r="W245" s="45" t="str">
        <f aca="false">IF(V245="","",EDATE(V245,Settings!$S$6))</f>
        <v/>
      </c>
      <c r="X245" s="17"/>
      <c r="Y245" s="17"/>
      <c r="Z245" s="17"/>
    </row>
    <row r="246" customFormat="false" ht="15" hidden="false" customHeight="false" outlineLevel="0" collapsed="false">
      <c r="A246" s="17"/>
      <c r="B246" s="17"/>
      <c r="C246" s="17"/>
      <c r="D246" s="17"/>
      <c r="E246" s="42"/>
      <c r="F246" s="17"/>
      <c r="G246" s="17"/>
      <c r="H246" s="17"/>
      <c r="I246" s="49" t="str">
        <f aca="false">IF(H246="","",IFERROR(INDEX(Settings!$G$2:$G$4,MATCH(H246,Settings!$F$2:$F$4,0)),""))</f>
        <v/>
      </c>
      <c r="J246" s="40"/>
      <c r="K246" s="50"/>
      <c r="L246" s="17"/>
      <c r="M246" s="40"/>
      <c r="N246" s="40"/>
      <c r="O246" s="45" t="str">
        <f aca="false">IF(N246="","",WORKDAY(N246,Settings!$S$4))</f>
        <v/>
      </c>
      <c r="P246" s="17"/>
      <c r="Q246" s="44" t="str">
        <f aca="true">IF(C246="","",IF(P246="Backed out",IF(S246="Paid","Refunded – closed",IF(R246="","Refund – log reason first","Refund in progress")),IF(K246="","Awaiting payment",IF(N246="",IF(M246="","Schedule free video","Free video in production"),IF(P246="Approved","Active",IF(TODAY()&gt;O246,"Active – plan went ahead","Decision pending – "&amp;NETWORKDAYS(TODAY(),O246)&amp;" working day(s) left"))))))</f>
        <v/>
      </c>
      <c r="R246" s="17"/>
      <c r="S246" s="17"/>
      <c r="T246" s="50"/>
      <c r="U246" s="40"/>
      <c r="V246" s="40"/>
      <c r="W246" s="45" t="str">
        <f aca="false">IF(V246="","",EDATE(V246,Settings!$S$6))</f>
        <v/>
      </c>
      <c r="X246" s="17"/>
      <c r="Y246" s="17"/>
      <c r="Z246" s="17"/>
    </row>
    <row r="247" customFormat="false" ht="15" hidden="false" customHeight="false" outlineLevel="0" collapsed="false">
      <c r="A247" s="17"/>
      <c r="B247" s="17"/>
      <c r="C247" s="17"/>
      <c r="D247" s="17"/>
      <c r="E247" s="42"/>
      <c r="F247" s="17"/>
      <c r="G247" s="17"/>
      <c r="H247" s="17"/>
      <c r="I247" s="49" t="str">
        <f aca="false">IF(H247="","",IFERROR(INDEX(Settings!$G$2:$G$4,MATCH(H247,Settings!$F$2:$F$4,0)),""))</f>
        <v/>
      </c>
      <c r="J247" s="40"/>
      <c r="K247" s="50"/>
      <c r="L247" s="17"/>
      <c r="M247" s="40"/>
      <c r="N247" s="40"/>
      <c r="O247" s="45" t="str">
        <f aca="false">IF(N247="","",WORKDAY(N247,Settings!$S$4))</f>
        <v/>
      </c>
      <c r="P247" s="17"/>
      <c r="Q247" s="44" t="str">
        <f aca="true">IF(C247="","",IF(P247="Backed out",IF(S247="Paid","Refunded – closed",IF(R247="","Refund – log reason first","Refund in progress")),IF(K247="","Awaiting payment",IF(N247="",IF(M247="","Schedule free video","Free video in production"),IF(P247="Approved","Active",IF(TODAY()&gt;O247,"Active – plan went ahead","Decision pending – "&amp;NETWORKDAYS(TODAY(),O247)&amp;" working day(s) left"))))))</f>
        <v/>
      </c>
      <c r="R247" s="17"/>
      <c r="S247" s="17"/>
      <c r="T247" s="50"/>
      <c r="U247" s="40"/>
      <c r="V247" s="40"/>
      <c r="W247" s="45" t="str">
        <f aca="false">IF(V247="","",EDATE(V247,Settings!$S$6))</f>
        <v/>
      </c>
      <c r="X247" s="17"/>
      <c r="Y247" s="17"/>
      <c r="Z247" s="17"/>
    </row>
    <row r="248" customFormat="false" ht="15" hidden="false" customHeight="false" outlineLevel="0" collapsed="false">
      <c r="A248" s="17"/>
      <c r="B248" s="17"/>
      <c r="C248" s="17"/>
      <c r="D248" s="17"/>
      <c r="E248" s="42"/>
      <c r="F248" s="17"/>
      <c r="G248" s="17"/>
      <c r="H248" s="17"/>
      <c r="I248" s="49" t="str">
        <f aca="false">IF(H248="","",IFERROR(INDEX(Settings!$G$2:$G$4,MATCH(H248,Settings!$F$2:$F$4,0)),""))</f>
        <v/>
      </c>
      <c r="J248" s="40"/>
      <c r="K248" s="50"/>
      <c r="L248" s="17"/>
      <c r="M248" s="40"/>
      <c r="N248" s="40"/>
      <c r="O248" s="45" t="str">
        <f aca="false">IF(N248="","",WORKDAY(N248,Settings!$S$4))</f>
        <v/>
      </c>
      <c r="P248" s="17"/>
      <c r="Q248" s="44" t="str">
        <f aca="true">IF(C248="","",IF(P248="Backed out",IF(S248="Paid","Refunded – closed",IF(R248="","Refund – log reason first","Refund in progress")),IF(K248="","Awaiting payment",IF(N248="",IF(M248="","Schedule free video","Free video in production"),IF(P248="Approved","Active",IF(TODAY()&gt;O248,"Active – plan went ahead","Decision pending – "&amp;NETWORKDAYS(TODAY(),O248)&amp;" working day(s) left"))))))</f>
        <v/>
      </c>
      <c r="R248" s="17"/>
      <c r="S248" s="17"/>
      <c r="T248" s="50"/>
      <c r="U248" s="40"/>
      <c r="V248" s="40"/>
      <c r="W248" s="45" t="str">
        <f aca="false">IF(V248="","",EDATE(V248,Settings!$S$6))</f>
        <v/>
      </c>
      <c r="X248" s="17"/>
      <c r="Y248" s="17"/>
      <c r="Z248" s="17"/>
    </row>
    <row r="249" customFormat="false" ht="15" hidden="false" customHeight="false" outlineLevel="0" collapsed="false">
      <c r="A249" s="17"/>
      <c r="B249" s="17"/>
      <c r="C249" s="17"/>
      <c r="D249" s="17"/>
      <c r="E249" s="42"/>
      <c r="F249" s="17"/>
      <c r="G249" s="17"/>
      <c r="H249" s="17"/>
      <c r="I249" s="49" t="str">
        <f aca="false">IF(H249="","",IFERROR(INDEX(Settings!$G$2:$G$4,MATCH(H249,Settings!$F$2:$F$4,0)),""))</f>
        <v/>
      </c>
      <c r="J249" s="40"/>
      <c r="K249" s="50"/>
      <c r="L249" s="17"/>
      <c r="M249" s="40"/>
      <c r="N249" s="40"/>
      <c r="O249" s="45" t="str">
        <f aca="false">IF(N249="","",WORKDAY(N249,Settings!$S$4))</f>
        <v/>
      </c>
      <c r="P249" s="17"/>
      <c r="Q249" s="44" t="str">
        <f aca="true">IF(C249="","",IF(P249="Backed out",IF(S249="Paid","Refunded – closed",IF(R249="","Refund – log reason first","Refund in progress")),IF(K249="","Awaiting payment",IF(N249="",IF(M249="","Schedule free video","Free video in production"),IF(P249="Approved","Active",IF(TODAY()&gt;O249,"Active – plan went ahead","Decision pending – "&amp;NETWORKDAYS(TODAY(),O249)&amp;" working day(s) left"))))))</f>
        <v/>
      </c>
      <c r="R249" s="17"/>
      <c r="S249" s="17"/>
      <c r="T249" s="50"/>
      <c r="U249" s="40"/>
      <c r="V249" s="40"/>
      <c r="W249" s="45" t="str">
        <f aca="false">IF(V249="","",EDATE(V249,Settings!$S$6))</f>
        <v/>
      </c>
      <c r="X249" s="17"/>
      <c r="Y249" s="17"/>
      <c r="Z249" s="17"/>
    </row>
    <row r="250" customFormat="false" ht="15" hidden="false" customHeight="false" outlineLevel="0" collapsed="false">
      <c r="A250" s="17"/>
      <c r="B250" s="17"/>
      <c r="C250" s="17"/>
      <c r="D250" s="17"/>
      <c r="E250" s="42"/>
      <c r="F250" s="17"/>
      <c r="G250" s="17"/>
      <c r="H250" s="17"/>
      <c r="I250" s="49" t="str">
        <f aca="false">IF(H250="","",IFERROR(INDEX(Settings!$G$2:$G$4,MATCH(H250,Settings!$F$2:$F$4,0)),""))</f>
        <v/>
      </c>
      <c r="J250" s="40"/>
      <c r="K250" s="50"/>
      <c r="L250" s="17"/>
      <c r="M250" s="40"/>
      <c r="N250" s="40"/>
      <c r="O250" s="45" t="str">
        <f aca="false">IF(N250="","",WORKDAY(N250,Settings!$S$4))</f>
        <v/>
      </c>
      <c r="P250" s="17"/>
      <c r="Q250" s="44" t="str">
        <f aca="true">IF(C250="","",IF(P250="Backed out",IF(S250="Paid","Refunded – closed",IF(R250="","Refund – log reason first","Refund in progress")),IF(K250="","Awaiting payment",IF(N250="",IF(M250="","Schedule free video","Free video in production"),IF(P250="Approved","Active",IF(TODAY()&gt;O250,"Active – plan went ahead","Decision pending – "&amp;NETWORKDAYS(TODAY(),O250)&amp;" working day(s) left"))))))</f>
        <v/>
      </c>
      <c r="R250" s="17"/>
      <c r="S250" s="17"/>
      <c r="T250" s="50"/>
      <c r="U250" s="40"/>
      <c r="V250" s="40"/>
      <c r="W250" s="45" t="str">
        <f aca="false">IF(V250="","",EDATE(V250,Settings!$S$6))</f>
        <v/>
      </c>
      <c r="X250" s="17"/>
      <c r="Y250" s="17"/>
      <c r="Z250" s="17"/>
    </row>
    <row r="251" customFormat="false" ht="15" hidden="false" customHeight="false" outlineLevel="0" collapsed="false">
      <c r="A251" s="17"/>
      <c r="B251" s="17"/>
      <c r="C251" s="17"/>
      <c r="D251" s="17"/>
      <c r="E251" s="42"/>
      <c r="F251" s="17"/>
      <c r="G251" s="17"/>
      <c r="H251" s="17"/>
      <c r="I251" s="49" t="str">
        <f aca="false">IF(H251="","",IFERROR(INDEX(Settings!$G$2:$G$4,MATCH(H251,Settings!$F$2:$F$4,0)),""))</f>
        <v/>
      </c>
      <c r="J251" s="40"/>
      <c r="K251" s="50"/>
      <c r="L251" s="17"/>
      <c r="M251" s="40"/>
      <c r="N251" s="40"/>
      <c r="O251" s="45" t="str">
        <f aca="false">IF(N251="","",WORKDAY(N251,Settings!$S$4))</f>
        <v/>
      </c>
      <c r="P251" s="17"/>
      <c r="Q251" s="44" t="str">
        <f aca="true">IF(C251="","",IF(P251="Backed out",IF(S251="Paid","Refunded – closed",IF(R251="","Refund – log reason first","Refund in progress")),IF(K251="","Awaiting payment",IF(N251="",IF(M251="","Schedule free video","Free video in production"),IF(P251="Approved","Active",IF(TODAY()&gt;O251,"Active – plan went ahead","Decision pending – "&amp;NETWORKDAYS(TODAY(),O251)&amp;" working day(s) left"))))))</f>
        <v/>
      </c>
      <c r="R251" s="17"/>
      <c r="S251" s="17"/>
      <c r="T251" s="50"/>
      <c r="U251" s="40"/>
      <c r="V251" s="40"/>
      <c r="W251" s="45" t="str">
        <f aca="false">IF(V251="","",EDATE(V251,Settings!$S$6))</f>
        <v/>
      </c>
      <c r="X251" s="17"/>
      <c r="Y251" s="17"/>
      <c r="Z251" s="17"/>
    </row>
    <row r="252" customFormat="false" ht="15" hidden="false" customHeight="false" outlineLevel="0" collapsed="false">
      <c r="A252" s="17"/>
      <c r="B252" s="17"/>
      <c r="C252" s="17"/>
      <c r="D252" s="17"/>
      <c r="E252" s="42"/>
      <c r="F252" s="17"/>
      <c r="G252" s="17"/>
      <c r="H252" s="17"/>
      <c r="I252" s="49" t="str">
        <f aca="false">IF(H252="","",IFERROR(INDEX(Settings!$G$2:$G$4,MATCH(H252,Settings!$F$2:$F$4,0)),""))</f>
        <v/>
      </c>
      <c r="J252" s="40"/>
      <c r="K252" s="50"/>
      <c r="L252" s="17"/>
      <c r="M252" s="40"/>
      <c r="N252" s="40"/>
      <c r="O252" s="45" t="str">
        <f aca="false">IF(N252="","",WORKDAY(N252,Settings!$S$4))</f>
        <v/>
      </c>
      <c r="P252" s="17"/>
      <c r="Q252" s="44" t="str">
        <f aca="true">IF(C252="","",IF(P252="Backed out",IF(S252="Paid","Refunded – closed",IF(R252="","Refund – log reason first","Refund in progress")),IF(K252="","Awaiting payment",IF(N252="",IF(M252="","Schedule free video","Free video in production"),IF(P252="Approved","Active",IF(TODAY()&gt;O252,"Active – plan went ahead","Decision pending – "&amp;NETWORKDAYS(TODAY(),O252)&amp;" working day(s) left"))))))</f>
        <v/>
      </c>
      <c r="R252" s="17"/>
      <c r="S252" s="17"/>
      <c r="T252" s="50"/>
      <c r="U252" s="40"/>
      <c r="V252" s="40"/>
      <c r="W252" s="45" t="str">
        <f aca="false">IF(V252="","",EDATE(V252,Settings!$S$6))</f>
        <v/>
      </c>
      <c r="X252" s="17"/>
      <c r="Y252" s="17"/>
      <c r="Z252" s="17"/>
    </row>
    <row r="253" customFormat="false" ht="15" hidden="false" customHeight="false" outlineLevel="0" collapsed="false">
      <c r="A253" s="17"/>
      <c r="B253" s="17"/>
      <c r="C253" s="17"/>
      <c r="D253" s="17"/>
      <c r="E253" s="42"/>
      <c r="F253" s="17"/>
      <c r="G253" s="17"/>
      <c r="H253" s="17"/>
      <c r="I253" s="49" t="str">
        <f aca="false">IF(H253="","",IFERROR(INDEX(Settings!$G$2:$G$4,MATCH(H253,Settings!$F$2:$F$4,0)),""))</f>
        <v/>
      </c>
      <c r="J253" s="40"/>
      <c r="K253" s="50"/>
      <c r="L253" s="17"/>
      <c r="M253" s="40"/>
      <c r="N253" s="40"/>
      <c r="O253" s="45" t="str">
        <f aca="false">IF(N253="","",WORKDAY(N253,Settings!$S$4))</f>
        <v/>
      </c>
      <c r="P253" s="17"/>
      <c r="Q253" s="44" t="str">
        <f aca="true">IF(C253="","",IF(P253="Backed out",IF(S253="Paid","Refunded – closed",IF(R253="","Refund – log reason first","Refund in progress")),IF(K253="","Awaiting payment",IF(N253="",IF(M253="","Schedule free video","Free video in production"),IF(P253="Approved","Active",IF(TODAY()&gt;O253,"Active – plan went ahead","Decision pending – "&amp;NETWORKDAYS(TODAY(),O253)&amp;" working day(s) left"))))))</f>
        <v/>
      </c>
      <c r="R253" s="17"/>
      <c r="S253" s="17"/>
      <c r="T253" s="50"/>
      <c r="U253" s="40"/>
      <c r="V253" s="40"/>
      <c r="W253" s="45" t="str">
        <f aca="false">IF(V253="","",EDATE(V253,Settings!$S$6))</f>
        <v/>
      </c>
      <c r="X253" s="17"/>
      <c r="Y253" s="17"/>
      <c r="Z253" s="17"/>
    </row>
    <row r="254" customFormat="false" ht="15" hidden="false" customHeight="false" outlineLevel="0" collapsed="false">
      <c r="A254" s="17"/>
      <c r="B254" s="17"/>
      <c r="C254" s="17"/>
      <c r="D254" s="17"/>
      <c r="E254" s="42"/>
      <c r="F254" s="17"/>
      <c r="G254" s="17"/>
      <c r="H254" s="17"/>
      <c r="I254" s="49" t="str">
        <f aca="false">IF(H254="","",IFERROR(INDEX(Settings!$G$2:$G$4,MATCH(H254,Settings!$F$2:$F$4,0)),""))</f>
        <v/>
      </c>
      <c r="J254" s="40"/>
      <c r="K254" s="50"/>
      <c r="L254" s="17"/>
      <c r="M254" s="40"/>
      <c r="N254" s="40"/>
      <c r="O254" s="45" t="str">
        <f aca="false">IF(N254="","",WORKDAY(N254,Settings!$S$4))</f>
        <v/>
      </c>
      <c r="P254" s="17"/>
      <c r="Q254" s="44" t="str">
        <f aca="true">IF(C254="","",IF(P254="Backed out",IF(S254="Paid","Refunded – closed",IF(R254="","Refund – log reason first","Refund in progress")),IF(K254="","Awaiting payment",IF(N254="",IF(M254="","Schedule free video","Free video in production"),IF(P254="Approved","Active",IF(TODAY()&gt;O254,"Active – plan went ahead","Decision pending – "&amp;NETWORKDAYS(TODAY(),O254)&amp;" working day(s) left"))))))</f>
        <v/>
      </c>
      <c r="R254" s="17"/>
      <c r="S254" s="17"/>
      <c r="T254" s="50"/>
      <c r="U254" s="40"/>
      <c r="V254" s="40"/>
      <c r="W254" s="45" t="str">
        <f aca="false">IF(V254="","",EDATE(V254,Settings!$S$6))</f>
        <v/>
      </c>
      <c r="X254" s="17"/>
      <c r="Y254" s="17"/>
      <c r="Z254" s="17"/>
    </row>
    <row r="255" customFormat="false" ht="15" hidden="false" customHeight="false" outlineLevel="0" collapsed="false">
      <c r="A255" s="17"/>
      <c r="B255" s="17"/>
      <c r="C255" s="17"/>
      <c r="D255" s="17"/>
      <c r="E255" s="42"/>
      <c r="F255" s="17"/>
      <c r="G255" s="17"/>
      <c r="H255" s="17"/>
      <c r="I255" s="49" t="str">
        <f aca="false">IF(H255="","",IFERROR(INDEX(Settings!$G$2:$G$4,MATCH(H255,Settings!$F$2:$F$4,0)),""))</f>
        <v/>
      </c>
      <c r="J255" s="40"/>
      <c r="K255" s="50"/>
      <c r="L255" s="17"/>
      <c r="M255" s="40"/>
      <c r="N255" s="40"/>
      <c r="O255" s="45" t="str">
        <f aca="false">IF(N255="","",WORKDAY(N255,Settings!$S$4))</f>
        <v/>
      </c>
      <c r="P255" s="17"/>
      <c r="Q255" s="44" t="str">
        <f aca="true">IF(C255="","",IF(P255="Backed out",IF(S255="Paid","Refunded – closed",IF(R255="","Refund – log reason first","Refund in progress")),IF(K255="","Awaiting payment",IF(N255="",IF(M255="","Schedule free video","Free video in production"),IF(P255="Approved","Active",IF(TODAY()&gt;O255,"Active – plan went ahead","Decision pending – "&amp;NETWORKDAYS(TODAY(),O255)&amp;" working day(s) left"))))))</f>
        <v/>
      </c>
      <c r="R255" s="17"/>
      <c r="S255" s="17"/>
      <c r="T255" s="50"/>
      <c r="U255" s="40"/>
      <c r="V255" s="40"/>
      <c r="W255" s="45" t="str">
        <f aca="false">IF(V255="","",EDATE(V255,Settings!$S$6))</f>
        <v/>
      </c>
      <c r="X255" s="17"/>
      <c r="Y255" s="17"/>
      <c r="Z255" s="17"/>
    </row>
    <row r="256" customFormat="false" ht="15" hidden="false" customHeight="false" outlineLevel="0" collapsed="false">
      <c r="A256" s="17"/>
      <c r="B256" s="17"/>
      <c r="C256" s="17"/>
      <c r="D256" s="17"/>
      <c r="E256" s="42"/>
      <c r="F256" s="17"/>
      <c r="G256" s="17"/>
      <c r="H256" s="17"/>
      <c r="I256" s="49" t="str">
        <f aca="false">IF(H256="","",IFERROR(INDEX(Settings!$G$2:$G$4,MATCH(H256,Settings!$F$2:$F$4,0)),""))</f>
        <v/>
      </c>
      <c r="J256" s="40"/>
      <c r="K256" s="50"/>
      <c r="L256" s="17"/>
      <c r="M256" s="40"/>
      <c r="N256" s="40"/>
      <c r="O256" s="45" t="str">
        <f aca="false">IF(N256="","",WORKDAY(N256,Settings!$S$4))</f>
        <v/>
      </c>
      <c r="P256" s="17"/>
      <c r="Q256" s="44" t="str">
        <f aca="true">IF(C256="","",IF(P256="Backed out",IF(S256="Paid","Refunded – closed",IF(R256="","Refund – log reason first","Refund in progress")),IF(K256="","Awaiting payment",IF(N256="",IF(M256="","Schedule free video","Free video in production"),IF(P256="Approved","Active",IF(TODAY()&gt;O256,"Active – plan went ahead","Decision pending – "&amp;NETWORKDAYS(TODAY(),O256)&amp;" working day(s) left"))))))</f>
        <v/>
      </c>
      <c r="R256" s="17"/>
      <c r="S256" s="17"/>
      <c r="T256" s="50"/>
      <c r="U256" s="40"/>
      <c r="V256" s="40"/>
      <c r="W256" s="45" t="str">
        <f aca="false">IF(V256="","",EDATE(V256,Settings!$S$6))</f>
        <v/>
      </c>
      <c r="X256" s="17"/>
      <c r="Y256" s="17"/>
      <c r="Z256" s="17"/>
    </row>
    <row r="257" customFormat="false" ht="15" hidden="false" customHeight="false" outlineLevel="0" collapsed="false">
      <c r="A257" s="17"/>
      <c r="B257" s="17"/>
      <c r="C257" s="17"/>
      <c r="D257" s="17"/>
      <c r="E257" s="42"/>
      <c r="F257" s="17"/>
      <c r="G257" s="17"/>
      <c r="H257" s="17"/>
      <c r="I257" s="49" t="str">
        <f aca="false">IF(H257="","",IFERROR(INDEX(Settings!$G$2:$G$4,MATCH(H257,Settings!$F$2:$F$4,0)),""))</f>
        <v/>
      </c>
      <c r="J257" s="40"/>
      <c r="K257" s="50"/>
      <c r="L257" s="17"/>
      <c r="M257" s="40"/>
      <c r="N257" s="40"/>
      <c r="O257" s="45" t="str">
        <f aca="false">IF(N257="","",WORKDAY(N257,Settings!$S$4))</f>
        <v/>
      </c>
      <c r="P257" s="17"/>
      <c r="Q257" s="44" t="str">
        <f aca="true">IF(C257="","",IF(P257="Backed out",IF(S257="Paid","Refunded – closed",IF(R257="","Refund – log reason first","Refund in progress")),IF(K257="","Awaiting payment",IF(N257="",IF(M257="","Schedule free video","Free video in production"),IF(P257="Approved","Active",IF(TODAY()&gt;O257,"Active – plan went ahead","Decision pending – "&amp;NETWORKDAYS(TODAY(),O257)&amp;" working day(s) left"))))))</f>
        <v/>
      </c>
      <c r="R257" s="17"/>
      <c r="S257" s="17"/>
      <c r="T257" s="50"/>
      <c r="U257" s="40"/>
      <c r="V257" s="40"/>
      <c r="W257" s="45" t="str">
        <f aca="false">IF(V257="","",EDATE(V257,Settings!$S$6))</f>
        <v/>
      </c>
      <c r="X257" s="17"/>
      <c r="Y257" s="17"/>
      <c r="Z257" s="17"/>
    </row>
    <row r="258" customFormat="false" ht="15" hidden="false" customHeight="false" outlineLevel="0" collapsed="false">
      <c r="A258" s="17"/>
      <c r="B258" s="17"/>
      <c r="C258" s="17"/>
      <c r="D258" s="17"/>
      <c r="E258" s="42"/>
      <c r="F258" s="17"/>
      <c r="G258" s="17"/>
      <c r="H258" s="17"/>
      <c r="I258" s="49" t="str">
        <f aca="false">IF(H258="","",IFERROR(INDEX(Settings!$G$2:$G$4,MATCH(H258,Settings!$F$2:$F$4,0)),""))</f>
        <v/>
      </c>
      <c r="J258" s="40"/>
      <c r="K258" s="50"/>
      <c r="L258" s="17"/>
      <c r="M258" s="40"/>
      <c r="N258" s="40"/>
      <c r="O258" s="45" t="str">
        <f aca="false">IF(N258="","",WORKDAY(N258,Settings!$S$4))</f>
        <v/>
      </c>
      <c r="P258" s="17"/>
      <c r="Q258" s="44" t="str">
        <f aca="true">IF(C258="","",IF(P258="Backed out",IF(S258="Paid","Refunded – closed",IF(R258="","Refund – log reason first","Refund in progress")),IF(K258="","Awaiting payment",IF(N258="",IF(M258="","Schedule free video","Free video in production"),IF(P258="Approved","Active",IF(TODAY()&gt;O258,"Active – plan went ahead","Decision pending – "&amp;NETWORKDAYS(TODAY(),O258)&amp;" working day(s) left"))))))</f>
        <v/>
      </c>
      <c r="R258" s="17"/>
      <c r="S258" s="17"/>
      <c r="T258" s="50"/>
      <c r="U258" s="40"/>
      <c r="V258" s="40"/>
      <c r="W258" s="45" t="str">
        <f aca="false">IF(V258="","",EDATE(V258,Settings!$S$6))</f>
        <v/>
      </c>
      <c r="X258" s="17"/>
      <c r="Y258" s="17"/>
      <c r="Z258" s="17"/>
    </row>
    <row r="259" customFormat="false" ht="15" hidden="false" customHeight="false" outlineLevel="0" collapsed="false">
      <c r="A259" s="17"/>
      <c r="B259" s="17"/>
      <c r="C259" s="17"/>
      <c r="D259" s="17"/>
      <c r="E259" s="42"/>
      <c r="F259" s="17"/>
      <c r="G259" s="17"/>
      <c r="H259" s="17"/>
      <c r="I259" s="49" t="str">
        <f aca="false">IF(H259="","",IFERROR(INDEX(Settings!$G$2:$G$4,MATCH(H259,Settings!$F$2:$F$4,0)),""))</f>
        <v/>
      </c>
      <c r="J259" s="40"/>
      <c r="K259" s="50"/>
      <c r="L259" s="17"/>
      <c r="M259" s="40"/>
      <c r="N259" s="40"/>
      <c r="O259" s="45" t="str">
        <f aca="false">IF(N259="","",WORKDAY(N259,Settings!$S$4))</f>
        <v/>
      </c>
      <c r="P259" s="17"/>
      <c r="Q259" s="44" t="str">
        <f aca="true">IF(C259="","",IF(P259="Backed out",IF(S259="Paid","Refunded – closed",IF(R259="","Refund – log reason first","Refund in progress")),IF(K259="","Awaiting payment",IF(N259="",IF(M259="","Schedule free video","Free video in production"),IF(P259="Approved","Active",IF(TODAY()&gt;O259,"Active – plan went ahead","Decision pending – "&amp;NETWORKDAYS(TODAY(),O259)&amp;" working day(s) left"))))))</f>
        <v/>
      </c>
      <c r="R259" s="17"/>
      <c r="S259" s="17"/>
      <c r="T259" s="50"/>
      <c r="U259" s="40"/>
      <c r="V259" s="40"/>
      <c r="W259" s="45" t="str">
        <f aca="false">IF(V259="","",EDATE(V259,Settings!$S$6))</f>
        <v/>
      </c>
      <c r="X259" s="17"/>
      <c r="Y259" s="17"/>
      <c r="Z259" s="17"/>
    </row>
    <row r="260" customFormat="false" ht="15" hidden="false" customHeight="false" outlineLevel="0" collapsed="false">
      <c r="A260" s="17"/>
      <c r="B260" s="17"/>
      <c r="C260" s="17"/>
      <c r="D260" s="17"/>
      <c r="E260" s="42"/>
      <c r="F260" s="17"/>
      <c r="G260" s="17"/>
      <c r="H260" s="17"/>
      <c r="I260" s="49" t="str">
        <f aca="false">IF(H260="","",IFERROR(INDEX(Settings!$G$2:$G$4,MATCH(H260,Settings!$F$2:$F$4,0)),""))</f>
        <v/>
      </c>
      <c r="J260" s="40"/>
      <c r="K260" s="50"/>
      <c r="L260" s="17"/>
      <c r="M260" s="40"/>
      <c r="N260" s="40"/>
      <c r="O260" s="45" t="str">
        <f aca="false">IF(N260="","",WORKDAY(N260,Settings!$S$4))</f>
        <v/>
      </c>
      <c r="P260" s="17"/>
      <c r="Q260" s="44" t="str">
        <f aca="true">IF(C260="","",IF(P260="Backed out",IF(S260="Paid","Refunded – closed",IF(R260="","Refund – log reason first","Refund in progress")),IF(K260="","Awaiting payment",IF(N260="",IF(M260="","Schedule free video","Free video in production"),IF(P260="Approved","Active",IF(TODAY()&gt;O260,"Active – plan went ahead","Decision pending – "&amp;NETWORKDAYS(TODAY(),O260)&amp;" working day(s) left"))))))</f>
        <v/>
      </c>
      <c r="R260" s="17"/>
      <c r="S260" s="17"/>
      <c r="T260" s="50"/>
      <c r="U260" s="40"/>
      <c r="V260" s="40"/>
      <c r="W260" s="45" t="str">
        <f aca="false">IF(V260="","",EDATE(V260,Settings!$S$6))</f>
        <v/>
      </c>
      <c r="X260" s="17"/>
      <c r="Y260" s="17"/>
      <c r="Z260" s="17"/>
    </row>
    <row r="261" customFormat="false" ht="15" hidden="false" customHeight="false" outlineLevel="0" collapsed="false">
      <c r="A261" s="17"/>
      <c r="B261" s="17"/>
      <c r="C261" s="17"/>
      <c r="D261" s="17"/>
      <c r="E261" s="42"/>
      <c r="F261" s="17"/>
      <c r="G261" s="17"/>
      <c r="H261" s="17"/>
      <c r="I261" s="49" t="str">
        <f aca="false">IF(H261="","",IFERROR(INDEX(Settings!$G$2:$G$4,MATCH(H261,Settings!$F$2:$F$4,0)),""))</f>
        <v/>
      </c>
      <c r="J261" s="40"/>
      <c r="K261" s="50"/>
      <c r="L261" s="17"/>
      <c r="M261" s="40"/>
      <c r="N261" s="40"/>
      <c r="O261" s="45" t="str">
        <f aca="false">IF(N261="","",WORKDAY(N261,Settings!$S$4))</f>
        <v/>
      </c>
      <c r="P261" s="17"/>
      <c r="Q261" s="44" t="str">
        <f aca="true">IF(C261="","",IF(P261="Backed out",IF(S261="Paid","Refunded – closed",IF(R261="","Refund – log reason first","Refund in progress")),IF(K261="","Awaiting payment",IF(N261="",IF(M261="","Schedule free video","Free video in production"),IF(P261="Approved","Active",IF(TODAY()&gt;O261,"Active – plan went ahead","Decision pending – "&amp;NETWORKDAYS(TODAY(),O261)&amp;" working day(s) left"))))))</f>
        <v/>
      </c>
      <c r="R261" s="17"/>
      <c r="S261" s="17"/>
      <c r="T261" s="50"/>
      <c r="U261" s="40"/>
      <c r="V261" s="40"/>
      <c r="W261" s="45" t="str">
        <f aca="false">IF(V261="","",EDATE(V261,Settings!$S$6))</f>
        <v/>
      </c>
      <c r="X261" s="17"/>
      <c r="Y261" s="17"/>
      <c r="Z261" s="17"/>
    </row>
    <row r="262" customFormat="false" ht="15" hidden="false" customHeight="false" outlineLevel="0" collapsed="false">
      <c r="A262" s="17"/>
      <c r="B262" s="17"/>
      <c r="C262" s="17"/>
      <c r="D262" s="17"/>
      <c r="E262" s="42"/>
      <c r="F262" s="17"/>
      <c r="G262" s="17"/>
      <c r="H262" s="17"/>
      <c r="I262" s="49" t="str">
        <f aca="false">IF(H262="","",IFERROR(INDEX(Settings!$G$2:$G$4,MATCH(H262,Settings!$F$2:$F$4,0)),""))</f>
        <v/>
      </c>
      <c r="J262" s="40"/>
      <c r="K262" s="50"/>
      <c r="L262" s="17"/>
      <c r="M262" s="40"/>
      <c r="N262" s="40"/>
      <c r="O262" s="45" t="str">
        <f aca="false">IF(N262="","",WORKDAY(N262,Settings!$S$4))</f>
        <v/>
      </c>
      <c r="P262" s="17"/>
      <c r="Q262" s="44" t="str">
        <f aca="true">IF(C262="","",IF(P262="Backed out",IF(S262="Paid","Refunded – closed",IF(R262="","Refund – log reason first","Refund in progress")),IF(K262="","Awaiting payment",IF(N262="",IF(M262="","Schedule free video","Free video in production"),IF(P262="Approved","Active",IF(TODAY()&gt;O262,"Active – plan went ahead","Decision pending – "&amp;NETWORKDAYS(TODAY(),O262)&amp;" working day(s) left"))))))</f>
        <v/>
      </c>
      <c r="R262" s="17"/>
      <c r="S262" s="17"/>
      <c r="T262" s="50"/>
      <c r="U262" s="40"/>
      <c r="V262" s="40"/>
      <c r="W262" s="45" t="str">
        <f aca="false">IF(V262="","",EDATE(V262,Settings!$S$6))</f>
        <v/>
      </c>
      <c r="X262" s="17"/>
      <c r="Y262" s="17"/>
      <c r="Z262" s="17"/>
    </row>
    <row r="263" customFormat="false" ht="15" hidden="false" customHeight="false" outlineLevel="0" collapsed="false">
      <c r="A263" s="17"/>
      <c r="B263" s="17"/>
      <c r="C263" s="17"/>
      <c r="D263" s="17"/>
      <c r="E263" s="42"/>
      <c r="F263" s="17"/>
      <c r="G263" s="17"/>
      <c r="H263" s="17"/>
      <c r="I263" s="49" t="str">
        <f aca="false">IF(H263="","",IFERROR(INDEX(Settings!$G$2:$G$4,MATCH(H263,Settings!$F$2:$F$4,0)),""))</f>
        <v/>
      </c>
      <c r="J263" s="40"/>
      <c r="K263" s="50"/>
      <c r="L263" s="17"/>
      <c r="M263" s="40"/>
      <c r="N263" s="40"/>
      <c r="O263" s="45" t="str">
        <f aca="false">IF(N263="","",WORKDAY(N263,Settings!$S$4))</f>
        <v/>
      </c>
      <c r="P263" s="17"/>
      <c r="Q263" s="44" t="str">
        <f aca="true">IF(C263="","",IF(P263="Backed out",IF(S263="Paid","Refunded – closed",IF(R263="","Refund – log reason first","Refund in progress")),IF(K263="","Awaiting payment",IF(N263="",IF(M263="","Schedule free video","Free video in production"),IF(P263="Approved","Active",IF(TODAY()&gt;O263,"Active – plan went ahead","Decision pending – "&amp;NETWORKDAYS(TODAY(),O263)&amp;" working day(s) left"))))))</f>
        <v/>
      </c>
      <c r="R263" s="17"/>
      <c r="S263" s="17"/>
      <c r="T263" s="50"/>
      <c r="U263" s="40"/>
      <c r="V263" s="40"/>
      <c r="W263" s="45" t="str">
        <f aca="false">IF(V263="","",EDATE(V263,Settings!$S$6))</f>
        <v/>
      </c>
      <c r="X263" s="17"/>
      <c r="Y263" s="17"/>
      <c r="Z263" s="17"/>
    </row>
    <row r="264" customFormat="false" ht="15" hidden="false" customHeight="false" outlineLevel="0" collapsed="false">
      <c r="A264" s="17"/>
      <c r="B264" s="17"/>
      <c r="C264" s="17"/>
      <c r="D264" s="17"/>
      <c r="E264" s="42"/>
      <c r="F264" s="17"/>
      <c r="G264" s="17"/>
      <c r="H264" s="17"/>
      <c r="I264" s="49" t="str">
        <f aca="false">IF(H264="","",IFERROR(INDEX(Settings!$G$2:$G$4,MATCH(H264,Settings!$F$2:$F$4,0)),""))</f>
        <v/>
      </c>
      <c r="J264" s="40"/>
      <c r="K264" s="50"/>
      <c r="L264" s="17"/>
      <c r="M264" s="40"/>
      <c r="N264" s="40"/>
      <c r="O264" s="45" t="str">
        <f aca="false">IF(N264="","",WORKDAY(N264,Settings!$S$4))</f>
        <v/>
      </c>
      <c r="P264" s="17"/>
      <c r="Q264" s="44" t="str">
        <f aca="true">IF(C264="","",IF(P264="Backed out",IF(S264="Paid","Refunded – closed",IF(R264="","Refund – log reason first","Refund in progress")),IF(K264="","Awaiting payment",IF(N264="",IF(M264="","Schedule free video","Free video in production"),IF(P264="Approved","Active",IF(TODAY()&gt;O264,"Active – plan went ahead","Decision pending – "&amp;NETWORKDAYS(TODAY(),O264)&amp;" working day(s) left"))))))</f>
        <v/>
      </c>
      <c r="R264" s="17"/>
      <c r="S264" s="17"/>
      <c r="T264" s="50"/>
      <c r="U264" s="40"/>
      <c r="V264" s="40"/>
      <c r="W264" s="45" t="str">
        <f aca="false">IF(V264="","",EDATE(V264,Settings!$S$6))</f>
        <v/>
      </c>
      <c r="X264" s="17"/>
      <c r="Y264" s="17"/>
      <c r="Z264" s="17"/>
    </row>
    <row r="265" customFormat="false" ht="15" hidden="false" customHeight="false" outlineLevel="0" collapsed="false">
      <c r="A265" s="17"/>
      <c r="B265" s="17"/>
      <c r="C265" s="17"/>
      <c r="D265" s="17"/>
      <c r="E265" s="42"/>
      <c r="F265" s="17"/>
      <c r="G265" s="17"/>
      <c r="H265" s="17"/>
      <c r="I265" s="49" t="str">
        <f aca="false">IF(H265="","",IFERROR(INDEX(Settings!$G$2:$G$4,MATCH(H265,Settings!$F$2:$F$4,0)),""))</f>
        <v/>
      </c>
      <c r="J265" s="40"/>
      <c r="K265" s="50"/>
      <c r="L265" s="17"/>
      <c r="M265" s="40"/>
      <c r="N265" s="40"/>
      <c r="O265" s="45" t="str">
        <f aca="false">IF(N265="","",WORKDAY(N265,Settings!$S$4))</f>
        <v/>
      </c>
      <c r="P265" s="17"/>
      <c r="Q265" s="44" t="str">
        <f aca="true">IF(C265="","",IF(P265="Backed out",IF(S265="Paid","Refunded – closed",IF(R265="","Refund – log reason first","Refund in progress")),IF(K265="","Awaiting payment",IF(N265="",IF(M265="","Schedule free video","Free video in production"),IF(P265="Approved","Active",IF(TODAY()&gt;O265,"Active – plan went ahead","Decision pending – "&amp;NETWORKDAYS(TODAY(),O265)&amp;" working day(s) left"))))))</f>
        <v/>
      </c>
      <c r="R265" s="17"/>
      <c r="S265" s="17"/>
      <c r="T265" s="50"/>
      <c r="U265" s="40"/>
      <c r="V265" s="40"/>
      <c r="W265" s="45" t="str">
        <f aca="false">IF(V265="","",EDATE(V265,Settings!$S$6))</f>
        <v/>
      </c>
      <c r="X265" s="17"/>
      <c r="Y265" s="17"/>
      <c r="Z265" s="17"/>
    </row>
    <row r="266" customFormat="false" ht="15" hidden="false" customHeight="false" outlineLevel="0" collapsed="false">
      <c r="A266" s="17"/>
      <c r="B266" s="17"/>
      <c r="C266" s="17"/>
      <c r="D266" s="17"/>
      <c r="E266" s="42"/>
      <c r="F266" s="17"/>
      <c r="G266" s="17"/>
      <c r="H266" s="17"/>
      <c r="I266" s="49" t="str">
        <f aca="false">IF(H266="","",IFERROR(INDEX(Settings!$G$2:$G$4,MATCH(H266,Settings!$F$2:$F$4,0)),""))</f>
        <v/>
      </c>
      <c r="J266" s="40"/>
      <c r="K266" s="50"/>
      <c r="L266" s="17"/>
      <c r="M266" s="40"/>
      <c r="N266" s="40"/>
      <c r="O266" s="45" t="str">
        <f aca="false">IF(N266="","",WORKDAY(N266,Settings!$S$4))</f>
        <v/>
      </c>
      <c r="P266" s="17"/>
      <c r="Q266" s="44" t="str">
        <f aca="true">IF(C266="","",IF(P266="Backed out",IF(S266="Paid","Refunded – closed",IF(R266="","Refund – log reason first","Refund in progress")),IF(K266="","Awaiting payment",IF(N266="",IF(M266="","Schedule free video","Free video in production"),IF(P266="Approved","Active",IF(TODAY()&gt;O266,"Active – plan went ahead","Decision pending – "&amp;NETWORKDAYS(TODAY(),O266)&amp;" working day(s) left"))))))</f>
        <v/>
      </c>
      <c r="R266" s="17"/>
      <c r="S266" s="17"/>
      <c r="T266" s="50"/>
      <c r="U266" s="40"/>
      <c r="V266" s="40"/>
      <c r="W266" s="45" t="str">
        <f aca="false">IF(V266="","",EDATE(V266,Settings!$S$6))</f>
        <v/>
      </c>
      <c r="X266" s="17"/>
      <c r="Y266" s="17"/>
      <c r="Z266" s="17"/>
    </row>
    <row r="267" customFormat="false" ht="15" hidden="false" customHeight="false" outlineLevel="0" collapsed="false">
      <c r="A267" s="17"/>
      <c r="B267" s="17"/>
      <c r="C267" s="17"/>
      <c r="D267" s="17"/>
      <c r="E267" s="42"/>
      <c r="F267" s="17"/>
      <c r="G267" s="17"/>
      <c r="H267" s="17"/>
      <c r="I267" s="49" t="str">
        <f aca="false">IF(H267="","",IFERROR(INDEX(Settings!$G$2:$G$4,MATCH(H267,Settings!$F$2:$F$4,0)),""))</f>
        <v/>
      </c>
      <c r="J267" s="40"/>
      <c r="K267" s="50"/>
      <c r="L267" s="17"/>
      <c r="M267" s="40"/>
      <c r="N267" s="40"/>
      <c r="O267" s="45" t="str">
        <f aca="false">IF(N267="","",WORKDAY(N267,Settings!$S$4))</f>
        <v/>
      </c>
      <c r="P267" s="17"/>
      <c r="Q267" s="44" t="str">
        <f aca="true">IF(C267="","",IF(P267="Backed out",IF(S267="Paid","Refunded – closed",IF(R267="","Refund – log reason first","Refund in progress")),IF(K267="","Awaiting payment",IF(N267="",IF(M267="","Schedule free video","Free video in production"),IF(P267="Approved","Active",IF(TODAY()&gt;O267,"Active – plan went ahead","Decision pending – "&amp;NETWORKDAYS(TODAY(),O267)&amp;" working day(s) left"))))))</f>
        <v/>
      </c>
      <c r="R267" s="17"/>
      <c r="S267" s="17"/>
      <c r="T267" s="50"/>
      <c r="U267" s="40"/>
      <c r="V267" s="40"/>
      <c r="W267" s="45" t="str">
        <f aca="false">IF(V267="","",EDATE(V267,Settings!$S$6))</f>
        <v/>
      </c>
      <c r="X267" s="17"/>
      <c r="Y267" s="17"/>
      <c r="Z267" s="17"/>
    </row>
    <row r="268" customFormat="false" ht="15" hidden="false" customHeight="false" outlineLevel="0" collapsed="false">
      <c r="A268" s="17"/>
      <c r="B268" s="17"/>
      <c r="C268" s="17"/>
      <c r="D268" s="17"/>
      <c r="E268" s="42"/>
      <c r="F268" s="17"/>
      <c r="G268" s="17"/>
      <c r="H268" s="17"/>
      <c r="I268" s="49" t="str">
        <f aca="false">IF(H268="","",IFERROR(INDEX(Settings!$G$2:$G$4,MATCH(H268,Settings!$F$2:$F$4,0)),""))</f>
        <v/>
      </c>
      <c r="J268" s="40"/>
      <c r="K268" s="50"/>
      <c r="L268" s="17"/>
      <c r="M268" s="40"/>
      <c r="N268" s="40"/>
      <c r="O268" s="45" t="str">
        <f aca="false">IF(N268="","",WORKDAY(N268,Settings!$S$4))</f>
        <v/>
      </c>
      <c r="P268" s="17"/>
      <c r="Q268" s="44" t="str">
        <f aca="true">IF(C268="","",IF(P268="Backed out",IF(S268="Paid","Refunded – closed",IF(R268="","Refund – log reason first","Refund in progress")),IF(K268="","Awaiting payment",IF(N268="",IF(M268="","Schedule free video","Free video in production"),IF(P268="Approved","Active",IF(TODAY()&gt;O268,"Active – plan went ahead","Decision pending – "&amp;NETWORKDAYS(TODAY(),O268)&amp;" working day(s) left"))))))</f>
        <v/>
      </c>
      <c r="R268" s="17"/>
      <c r="S268" s="17"/>
      <c r="T268" s="50"/>
      <c r="U268" s="40"/>
      <c r="V268" s="40"/>
      <c r="W268" s="45" t="str">
        <f aca="false">IF(V268="","",EDATE(V268,Settings!$S$6))</f>
        <v/>
      </c>
      <c r="X268" s="17"/>
      <c r="Y268" s="17"/>
      <c r="Z268" s="17"/>
    </row>
    <row r="269" customFormat="false" ht="15" hidden="false" customHeight="false" outlineLevel="0" collapsed="false">
      <c r="A269" s="17"/>
      <c r="B269" s="17"/>
      <c r="C269" s="17"/>
      <c r="D269" s="17"/>
      <c r="E269" s="42"/>
      <c r="F269" s="17"/>
      <c r="G269" s="17"/>
      <c r="H269" s="17"/>
      <c r="I269" s="49" t="str">
        <f aca="false">IF(H269="","",IFERROR(INDEX(Settings!$G$2:$G$4,MATCH(H269,Settings!$F$2:$F$4,0)),""))</f>
        <v/>
      </c>
      <c r="J269" s="40"/>
      <c r="K269" s="50"/>
      <c r="L269" s="17"/>
      <c r="M269" s="40"/>
      <c r="N269" s="40"/>
      <c r="O269" s="45" t="str">
        <f aca="false">IF(N269="","",WORKDAY(N269,Settings!$S$4))</f>
        <v/>
      </c>
      <c r="P269" s="17"/>
      <c r="Q269" s="44" t="str">
        <f aca="true">IF(C269="","",IF(P269="Backed out",IF(S269="Paid","Refunded – closed",IF(R269="","Refund – log reason first","Refund in progress")),IF(K269="","Awaiting payment",IF(N269="",IF(M269="","Schedule free video","Free video in production"),IF(P269="Approved","Active",IF(TODAY()&gt;O269,"Active – plan went ahead","Decision pending – "&amp;NETWORKDAYS(TODAY(),O269)&amp;" working day(s) left"))))))</f>
        <v/>
      </c>
      <c r="R269" s="17"/>
      <c r="S269" s="17"/>
      <c r="T269" s="50"/>
      <c r="U269" s="40"/>
      <c r="V269" s="40"/>
      <c r="W269" s="45" t="str">
        <f aca="false">IF(V269="","",EDATE(V269,Settings!$S$6))</f>
        <v/>
      </c>
      <c r="X269" s="17"/>
      <c r="Y269" s="17"/>
      <c r="Z269" s="17"/>
    </row>
    <row r="270" customFormat="false" ht="15" hidden="false" customHeight="false" outlineLevel="0" collapsed="false">
      <c r="A270" s="17"/>
      <c r="B270" s="17"/>
      <c r="C270" s="17"/>
      <c r="D270" s="17"/>
      <c r="E270" s="42"/>
      <c r="F270" s="17"/>
      <c r="G270" s="17"/>
      <c r="H270" s="17"/>
      <c r="I270" s="49" t="str">
        <f aca="false">IF(H270="","",IFERROR(INDEX(Settings!$G$2:$G$4,MATCH(H270,Settings!$F$2:$F$4,0)),""))</f>
        <v/>
      </c>
      <c r="J270" s="40"/>
      <c r="K270" s="50"/>
      <c r="L270" s="17"/>
      <c r="M270" s="40"/>
      <c r="N270" s="40"/>
      <c r="O270" s="45" t="str">
        <f aca="false">IF(N270="","",WORKDAY(N270,Settings!$S$4))</f>
        <v/>
      </c>
      <c r="P270" s="17"/>
      <c r="Q270" s="44" t="str">
        <f aca="true">IF(C270="","",IF(P270="Backed out",IF(S270="Paid","Refunded – closed",IF(R270="","Refund – log reason first","Refund in progress")),IF(K270="","Awaiting payment",IF(N270="",IF(M270="","Schedule free video","Free video in production"),IF(P270="Approved","Active",IF(TODAY()&gt;O270,"Active – plan went ahead","Decision pending – "&amp;NETWORKDAYS(TODAY(),O270)&amp;" working day(s) left"))))))</f>
        <v/>
      </c>
      <c r="R270" s="17"/>
      <c r="S270" s="17"/>
      <c r="T270" s="50"/>
      <c r="U270" s="40"/>
      <c r="V270" s="40"/>
      <c r="W270" s="45" t="str">
        <f aca="false">IF(V270="","",EDATE(V270,Settings!$S$6))</f>
        <v/>
      </c>
      <c r="X270" s="17"/>
      <c r="Y270" s="17"/>
      <c r="Z270" s="17"/>
    </row>
    <row r="271" customFormat="false" ht="15" hidden="false" customHeight="false" outlineLevel="0" collapsed="false">
      <c r="A271" s="17"/>
      <c r="B271" s="17"/>
      <c r="C271" s="17"/>
      <c r="D271" s="17"/>
      <c r="E271" s="42"/>
      <c r="F271" s="17"/>
      <c r="G271" s="17"/>
      <c r="H271" s="17"/>
      <c r="I271" s="49" t="str">
        <f aca="false">IF(H271="","",IFERROR(INDEX(Settings!$G$2:$G$4,MATCH(H271,Settings!$F$2:$F$4,0)),""))</f>
        <v/>
      </c>
      <c r="J271" s="40"/>
      <c r="K271" s="50"/>
      <c r="L271" s="17"/>
      <c r="M271" s="40"/>
      <c r="N271" s="40"/>
      <c r="O271" s="45" t="str">
        <f aca="false">IF(N271="","",WORKDAY(N271,Settings!$S$4))</f>
        <v/>
      </c>
      <c r="P271" s="17"/>
      <c r="Q271" s="44" t="str">
        <f aca="true">IF(C271="","",IF(P271="Backed out",IF(S271="Paid","Refunded – closed",IF(R271="","Refund – log reason first","Refund in progress")),IF(K271="","Awaiting payment",IF(N271="",IF(M271="","Schedule free video","Free video in production"),IF(P271="Approved","Active",IF(TODAY()&gt;O271,"Active – plan went ahead","Decision pending – "&amp;NETWORKDAYS(TODAY(),O271)&amp;" working day(s) left"))))))</f>
        <v/>
      </c>
      <c r="R271" s="17"/>
      <c r="S271" s="17"/>
      <c r="T271" s="50"/>
      <c r="U271" s="40"/>
      <c r="V271" s="40"/>
      <c r="W271" s="45" t="str">
        <f aca="false">IF(V271="","",EDATE(V271,Settings!$S$6))</f>
        <v/>
      </c>
      <c r="X271" s="17"/>
      <c r="Y271" s="17"/>
      <c r="Z271" s="17"/>
    </row>
    <row r="272" customFormat="false" ht="15" hidden="false" customHeight="false" outlineLevel="0" collapsed="false">
      <c r="A272" s="17"/>
      <c r="B272" s="17"/>
      <c r="C272" s="17"/>
      <c r="D272" s="17"/>
      <c r="E272" s="42"/>
      <c r="F272" s="17"/>
      <c r="G272" s="17"/>
      <c r="H272" s="17"/>
      <c r="I272" s="49" t="str">
        <f aca="false">IF(H272="","",IFERROR(INDEX(Settings!$G$2:$G$4,MATCH(H272,Settings!$F$2:$F$4,0)),""))</f>
        <v/>
      </c>
      <c r="J272" s="40"/>
      <c r="K272" s="50"/>
      <c r="L272" s="17"/>
      <c r="M272" s="40"/>
      <c r="N272" s="40"/>
      <c r="O272" s="45" t="str">
        <f aca="false">IF(N272="","",WORKDAY(N272,Settings!$S$4))</f>
        <v/>
      </c>
      <c r="P272" s="17"/>
      <c r="Q272" s="44" t="str">
        <f aca="true">IF(C272="","",IF(P272="Backed out",IF(S272="Paid","Refunded – closed",IF(R272="","Refund – log reason first","Refund in progress")),IF(K272="","Awaiting payment",IF(N272="",IF(M272="","Schedule free video","Free video in production"),IF(P272="Approved","Active",IF(TODAY()&gt;O272,"Active – plan went ahead","Decision pending – "&amp;NETWORKDAYS(TODAY(),O272)&amp;" working day(s) left"))))))</f>
        <v/>
      </c>
      <c r="R272" s="17"/>
      <c r="S272" s="17"/>
      <c r="T272" s="50"/>
      <c r="U272" s="40"/>
      <c r="V272" s="40"/>
      <c r="W272" s="45" t="str">
        <f aca="false">IF(V272="","",EDATE(V272,Settings!$S$6))</f>
        <v/>
      </c>
      <c r="X272" s="17"/>
      <c r="Y272" s="17"/>
      <c r="Z272" s="17"/>
    </row>
    <row r="273" customFormat="false" ht="15" hidden="false" customHeight="false" outlineLevel="0" collapsed="false">
      <c r="A273" s="17"/>
      <c r="B273" s="17"/>
      <c r="C273" s="17"/>
      <c r="D273" s="17"/>
      <c r="E273" s="42"/>
      <c r="F273" s="17"/>
      <c r="G273" s="17"/>
      <c r="H273" s="17"/>
      <c r="I273" s="49" t="str">
        <f aca="false">IF(H273="","",IFERROR(INDEX(Settings!$G$2:$G$4,MATCH(H273,Settings!$F$2:$F$4,0)),""))</f>
        <v/>
      </c>
      <c r="J273" s="40"/>
      <c r="K273" s="50"/>
      <c r="L273" s="17"/>
      <c r="M273" s="40"/>
      <c r="N273" s="40"/>
      <c r="O273" s="45" t="str">
        <f aca="false">IF(N273="","",WORKDAY(N273,Settings!$S$4))</f>
        <v/>
      </c>
      <c r="P273" s="17"/>
      <c r="Q273" s="44" t="str">
        <f aca="true">IF(C273="","",IF(P273="Backed out",IF(S273="Paid","Refunded – closed",IF(R273="","Refund – log reason first","Refund in progress")),IF(K273="","Awaiting payment",IF(N273="",IF(M273="","Schedule free video","Free video in production"),IF(P273="Approved","Active",IF(TODAY()&gt;O273,"Active – plan went ahead","Decision pending – "&amp;NETWORKDAYS(TODAY(),O273)&amp;" working day(s) left"))))))</f>
        <v/>
      </c>
      <c r="R273" s="17"/>
      <c r="S273" s="17"/>
      <c r="T273" s="50"/>
      <c r="U273" s="40"/>
      <c r="V273" s="40"/>
      <c r="W273" s="45" t="str">
        <f aca="false">IF(V273="","",EDATE(V273,Settings!$S$6))</f>
        <v/>
      </c>
      <c r="X273" s="17"/>
      <c r="Y273" s="17"/>
      <c r="Z273" s="17"/>
    </row>
    <row r="274" customFormat="false" ht="15" hidden="false" customHeight="false" outlineLevel="0" collapsed="false">
      <c r="A274" s="17"/>
      <c r="B274" s="17"/>
      <c r="C274" s="17"/>
      <c r="D274" s="17"/>
      <c r="E274" s="42"/>
      <c r="F274" s="17"/>
      <c r="G274" s="17"/>
      <c r="H274" s="17"/>
      <c r="I274" s="49" t="str">
        <f aca="false">IF(H274="","",IFERROR(INDEX(Settings!$G$2:$G$4,MATCH(H274,Settings!$F$2:$F$4,0)),""))</f>
        <v/>
      </c>
      <c r="J274" s="40"/>
      <c r="K274" s="50"/>
      <c r="L274" s="17"/>
      <c r="M274" s="40"/>
      <c r="N274" s="40"/>
      <c r="O274" s="45" t="str">
        <f aca="false">IF(N274="","",WORKDAY(N274,Settings!$S$4))</f>
        <v/>
      </c>
      <c r="P274" s="17"/>
      <c r="Q274" s="44" t="str">
        <f aca="true">IF(C274="","",IF(P274="Backed out",IF(S274="Paid","Refunded – closed",IF(R274="","Refund – log reason first","Refund in progress")),IF(K274="","Awaiting payment",IF(N274="",IF(M274="","Schedule free video","Free video in production"),IF(P274="Approved","Active",IF(TODAY()&gt;O274,"Active – plan went ahead","Decision pending – "&amp;NETWORKDAYS(TODAY(),O274)&amp;" working day(s) left"))))))</f>
        <v/>
      </c>
      <c r="R274" s="17"/>
      <c r="S274" s="17"/>
      <c r="T274" s="50"/>
      <c r="U274" s="40"/>
      <c r="V274" s="40"/>
      <c r="W274" s="45" t="str">
        <f aca="false">IF(V274="","",EDATE(V274,Settings!$S$6))</f>
        <v/>
      </c>
      <c r="X274" s="17"/>
      <c r="Y274" s="17"/>
      <c r="Z274" s="17"/>
    </row>
    <row r="275" customFormat="false" ht="15" hidden="false" customHeight="false" outlineLevel="0" collapsed="false">
      <c r="A275" s="17"/>
      <c r="B275" s="17"/>
      <c r="C275" s="17"/>
      <c r="D275" s="17"/>
      <c r="E275" s="42"/>
      <c r="F275" s="17"/>
      <c r="G275" s="17"/>
      <c r="H275" s="17"/>
      <c r="I275" s="49" t="str">
        <f aca="false">IF(H275="","",IFERROR(INDEX(Settings!$G$2:$G$4,MATCH(H275,Settings!$F$2:$F$4,0)),""))</f>
        <v/>
      </c>
      <c r="J275" s="40"/>
      <c r="K275" s="50"/>
      <c r="L275" s="17"/>
      <c r="M275" s="40"/>
      <c r="N275" s="40"/>
      <c r="O275" s="45" t="str">
        <f aca="false">IF(N275="","",WORKDAY(N275,Settings!$S$4))</f>
        <v/>
      </c>
      <c r="P275" s="17"/>
      <c r="Q275" s="44" t="str">
        <f aca="true">IF(C275="","",IF(P275="Backed out",IF(S275="Paid","Refunded – closed",IF(R275="","Refund – log reason first","Refund in progress")),IF(K275="","Awaiting payment",IF(N275="",IF(M275="","Schedule free video","Free video in production"),IF(P275="Approved","Active",IF(TODAY()&gt;O275,"Active – plan went ahead","Decision pending – "&amp;NETWORKDAYS(TODAY(),O275)&amp;" working day(s) left"))))))</f>
        <v/>
      </c>
      <c r="R275" s="17"/>
      <c r="S275" s="17"/>
      <c r="T275" s="50"/>
      <c r="U275" s="40"/>
      <c r="V275" s="40"/>
      <c r="W275" s="45" t="str">
        <f aca="false">IF(V275="","",EDATE(V275,Settings!$S$6))</f>
        <v/>
      </c>
      <c r="X275" s="17"/>
      <c r="Y275" s="17"/>
      <c r="Z275" s="17"/>
    </row>
    <row r="276" customFormat="false" ht="15" hidden="false" customHeight="false" outlineLevel="0" collapsed="false">
      <c r="A276" s="17"/>
      <c r="B276" s="17"/>
      <c r="C276" s="17"/>
      <c r="D276" s="17"/>
      <c r="E276" s="42"/>
      <c r="F276" s="17"/>
      <c r="G276" s="17"/>
      <c r="H276" s="17"/>
      <c r="I276" s="49" t="str">
        <f aca="false">IF(H276="","",IFERROR(INDEX(Settings!$G$2:$G$4,MATCH(H276,Settings!$F$2:$F$4,0)),""))</f>
        <v/>
      </c>
      <c r="J276" s="40"/>
      <c r="K276" s="50"/>
      <c r="L276" s="17"/>
      <c r="M276" s="40"/>
      <c r="N276" s="40"/>
      <c r="O276" s="45" t="str">
        <f aca="false">IF(N276="","",WORKDAY(N276,Settings!$S$4))</f>
        <v/>
      </c>
      <c r="P276" s="17"/>
      <c r="Q276" s="44" t="str">
        <f aca="true">IF(C276="","",IF(P276="Backed out",IF(S276="Paid","Refunded – closed",IF(R276="","Refund – log reason first","Refund in progress")),IF(K276="","Awaiting payment",IF(N276="",IF(M276="","Schedule free video","Free video in production"),IF(P276="Approved","Active",IF(TODAY()&gt;O276,"Active – plan went ahead","Decision pending – "&amp;NETWORKDAYS(TODAY(),O276)&amp;" working day(s) left"))))))</f>
        <v/>
      </c>
      <c r="R276" s="17"/>
      <c r="S276" s="17"/>
      <c r="T276" s="50"/>
      <c r="U276" s="40"/>
      <c r="V276" s="40"/>
      <c r="W276" s="45" t="str">
        <f aca="false">IF(V276="","",EDATE(V276,Settings!$S$6))</f>
        <v/>
      </c>
      <c r="X276" s="17"/>
      <c r="Y276" s="17"/>
      <c r="Z276" s="17"/>
    </row>
    <row r="277" customFormat="false" ht="15" hidden="false" customHeight="false" outlineLevel="0" collapsed="false">
      <c r="A277" s="17"/>
      <c r="B277" s="17"/>
      <c r="C277" s="17"/>
      <c r="D277" s="17"/>
      <c r="E277" s="42"/>
      <c r="F277" s="17"/>
      <c r="G277" s="17"/>
      <c r="H277" s="17"/>
      <c r="I277" s="49" t="str">
        <f aca="false">IF(H277="","",IFERROR(INDEX(Settings!$G$2:$G$4,MATCH(H277,Settings!$F$2:$F$4,0)),""))</f>
        <v/>
      </c>
      <c r="J277" s="40"/>
      <c r="K277" s="50"/>
      <c r="L277" s="17"/>
      <c r="M277" s="40"/>
      <c r="N277" s="40"/>
      <c r="O277" s="45" t="str">
        <f aca="false">IF(N277="","",WORKDAY(N277,Settings!$S$4))</f>
        <v/>
      </c>
      <c r="P277" s="17"/>
      <c r="Q277" s="44" t="str">
        <f aca="true">IF(C277="","",IF(P277="Backed out",IF(S277="Paid","Refunded – closed",IF(R277="","Refund – log reason first","Refund in progress")),IF(K277="","Awaiting payment",IF(N277="",IF(M277="","Schedule free video","Free video in production"),IF(P277="Approved","Active",IF(TODAY()&gt;O277,"Active – plan went ahead","Decision pending – "&amp;NETWORKDAYS(TODAY(),O277)&amp;" working day(s) left"))))))</f>
        <v/>
      </c>
      <c r="R277" s="17"/>
      <c r="S277" s="17"/>
      <c r="T277" s="50"/>
      <c r="U277" s="40"/>
      <c r="V277" s="40"/>
      <c r="W277" s="45" t="str">
        <f aca="false">IF(V277="","",EDATE(V277,Settings!$S$6))</f>
        <v/>
      </c>
      <c r="X277" s="17"/>
      <c r="Y277" s="17"/>
      <c r="Z277" s="17"/>
    </row>
    <row r="278" customFormat="false" ht="15" hidden="false" customHeight="false" outlineLevel="0" collapsed="false">
      <c r="A278" s="17"/>
      <c r="B278" s="17"/>
      <c r="C278" s="17"/>
      <c r="D278" s="17"/>
      <c r="E278" s="42"/>
      <c r="F278" s="17"/>
      <c r="G278" s="17"/>
      <c r="H278" s="17"/>
      <c r="I278" s="49" t="str">
        <f aca="false">IF(H278="","",IFERROR(INDEX(Settings!$G$2:$G$4,MATCH(H278,Settings!$F$2:$F$4,0)),""))</f>
        <v/>
      </c>
      <c r="J278" s="40"/>
      <c r="K278" s="50"/>
      <c r="L278" s="17"/>
      <c r="M278" s="40"/>
      <c r="N278" s="40"/>
      <c r="O278" s="45" t="str">
        <f aca="false">IF(N278="","",WORKDAY(N278,Settings!$S$4))</f>
        <v/>
      </c>
      <c r="P278" s="17"/>
      <c r="Q278" s="44" t="str">
        <f aca="true">IF(C278="","",IF(P278="Backed out",IF(S278="Paid","Refunded – closed",IF(R278="","Refund – log reason first","Refund in progress")),IF(K278="","Awaiting payment",IF(N278="",IF(M278="","Schedule free video","Free video in production"),IF(P278="Approved","Active",IF(TODAY()&gt;O278,"Active – plan went ahead","Decision pending – "&amp;NETWORKDAYS(TODAY(),O278)&amp;" working day(s) left"))))))</f>
        <v/>
      </c>
      <c r="R278" s="17"/>
      <c r="S278" s="17"/>
      <c r="T278" s="50"/>
      <c r="U278" s="40"/>
      <c r="V278" s="40"/>
      <c r="W278" s="45" t="str">
        <f aca="false">IF(V278="","",EDATE(V278,Settings!$S$6))</f>
        <v/>
      </c>
      <c r="X278" s="17"/>
      <c r="Y278" s="17"/>
      <c r="Z278" s="17"/>
    </row>
    <row r="279" customFormat="false" ht="15" hidden="false" customHeight="false" outlineLevel="0" collapsed="false">
      <c r="A279" s="17"/>
      <c r="B279" s="17"/>
      <c r="C279" s="17"/>
      <c r="D279" s="17"/>
      <c r="E279" s="42"/>
      <c r="F279" s="17"/>
      <c r="G279" s="17"/>
      <c r="H279" s="17"/>
      <c r="I279" s="49" t="str">
        <f aca="false">IF(H279="","",IFERROR(INDEX(Settings!$G$2:$G$4,MATCH(H279,Settings!$F$2:$F$4,0)),""))</f>
        <v/>
      </c>
      <c r="J279" s="40"/>
      <c r="K279" s="50"/>
      <c r="L279" s="17"/>
      <c r="M279" s="40"/>
      <c r="N279" s="40"/>
      <c r="O279" s="45" t="str">
        <f aca="false">IF(N279="","",WORKDAY(N279,Settings!$S$4))</f>
        <v/>
      </c>
      <c r="P279" s="17"/>
      <c r="Q279" s="44" t="str">
        <f aca="true">IF(C279="","",IF(P279="Backed out",IF(S279="Paid","Refunded – closed",IF(R279="","Refund – log reason first","Refund in progress")),IF(K279="","Awaiting payment",IF(N279="",IF(M279="","Schedule free video","Free video in production"),IF(P279="Approved","Active",IF(TODAY()&gt;O279,"Active – plan went ahead","Decision pending – "&amp;NETWORKDAYS(TODAY(),O279)&amp;" working day(s) left"))))))</f>
        <v/>
      </c>
      <c r="R279" s="17"/>
      <c r="S279" s="17"/>
      <c r="T279" s="50"/>
      <c r="U279" s="40"/>
      <c r="V279" s="40"/>
      <c r="W279" s="45" t="str">
        <f aca="false">IF(V279="","",EDATE(V279,Settings!$S$6))</f>
        <v/>
      </c>
      <c r="X279" s="17"/>
      <c r="Y279" s="17"/>
      <c r="Z279" s="17"/>
    </row>
    <row r="280" customFormat="false" ht="15" hidden="false" customHeight="false" outlineLevel="0" collapsed="false">
      <c r="A280" s="17"/>
      <c r="B280" s="17"/>
      <c r="C280" s="17"/>
      <c r="D280" s="17"/>
      <c r="E280" s="42"/>
      <c r="F280" s="17"/>
      <c r="G280" s="17"/>
      <c r="H280" s="17"/>
      <c r="I280" s="49" t="str">
        <f aca="false">IF(H280="","",IFERROR(INDEX(Settings!$G$2:$G$4,MATCH(H280,Settings!$F$2:$F$4,0)),""))</f>
        <v/>
      </c>
      <c r="J280" s="40"/>
      <c r="K280" s="50"/>
      <c r="L280" s="17"/>
      <c r="M280" s="40"/>
      <c r="N280" s="40"/>
      <c r="O280" s="45" t="str">
        <f aca="false">IF(N280="","",WORKDAY(N280,Settings!$S$4))</f>
        <v/>
      </c>
      <c r="P280" s="17"/>
      <c r="Q280" s="44" t="str">
        <f aca="true">IF(C280="","",IF(P280="Backed out",IF(S280="Paid","Refunded – closed",IF(R280="","Refund – log reason first","Refund in progress")),IF(K280="","Awaiting payment",IF(N280="",IF(M280="","Schedule free video","Free video in production"),IF(P280="Approved","Active",IF(TODAY()&gt;O280,"Active – plan went ahead","Decision pending – "&amp;NETWORKDAYS(TODAY(),O280)&amp;" working day(s) left"))))))</f>
        <v/>
      </c>
      <c r="R280" s="17"/>
      <c r="S280" s="17"/>
      <c r="T280" s="50"/>
      <c r="U280" s="40"/>
      <c r="V280" s="40"/>
      <c r="W280" s="45" t="str">
        <f aca="false">IF(V280="","",EDATE(V280,Settings!$S$6))</f>
        <v/>
      </c>
      <c r="X280" s="17"/>
      <c r="Y280" s="17"/>
      <c r="Z280" s="17"/>
    </row>
    <row r="281" customFormat="false" ht="15" hidden="false" customHeight="false" outlineLevel="0" collapsed="false">
      <c r="A281" s="17"/>
      <c r="B281" s="17"/>
      <c r="C281" s="17"/>
      <c r="D281" s="17"/>
      <c r="E281" s="42"/>
      <c r="F281" s="17"/>
      <c r="G281" s="17"/>
      <c r="H281" s="17"/>
      <c r="I281" s="49" t="str">
        <f aca="false">IF(H281="","",IFERROR(INDEX(Settings!$G$2:$G$4,MATCH(H281,Settings!$F$2:$F$4,0)),""))</f>
        <v/>
      </c>
      <c r="J281" s="40"/>
      <c r="K281" s="50"/>
      <c r="L281" s="17"/>
      <c r="M281" s="40"/>
      <c r="N281" s="40"/>
      <c r="O281" s="45" t="str">
        <f aca="false">IF(N281="","",WORKDAY(N281,Settings!$S$4))</f>
        <v/>
      </c>
      <c r="P281" s="17"/>
      <c r="Q281" s="44" t="str">
        <f aca="true">IF(C281="","",IF(P281="Backed out",IF(S281="Paid","Refunded – closed",IF(R281="","Refund – log reason first","Refund in progress")),IF(K281="","Awaiting payment",IF(N281="",IF(M281="","Schedule free video","Free video in production"),IF(P281="Approved","Active",IF(TODAY()&gt;O281,"Active – plan went ahead","Decision pending – "&amp;NETWORKDAYS(TODAY(),O281)&amp;" working day(s) left"))))))</f>
        <v/>
      </c>
      <c r="R281" s="17"/>
      <c r="S281" s="17"/>
      <c r="T281" s="50"/>
      <c r="U281" s="40"/>
      <c r="V281" s="40"/>
      <c r="W281" s="45" t="str">
        <f aca="false">IF(V281="","",EDATE(V281,Settings!$S$6))</f>
        <v/>
      </c>
      <c r="X281" s="17"/>
      <c r="Y281" s="17"/>
      <c r="Z281" s="17"/>
    </row>
    <row r="282" customFormat="false" ht="15" hidden="false" customHeight="false" outlineLevel="0" collapsed="false">
      <c r="A282" s="17"/>
      <c r="B282" s="17"/>
      <c r="C282" s="17"/>
      <c r="D282" s="17"/>
      <c r="E282" s="42"/>
      <c r="F282" s="17"/>
      <c r="G282" s="17"/>
      <c r="H282" s="17"/>
      <c r="I282" s="49" t="str">
        <f aca="false">IF(H282="","",IFERROR(INDEX(Settings!$G$2:$G$4,MATCH(H282,Settings!$F$2:$F$4,0)),""))</f>
        <v/>
      </c>
      <c r="J282" s="40"/>
      <c r="K282" s="50"/>
      <c r="L282" s="17"/>
      <c r="M282" s="40"/>
      <c r="N282" s="40"/>
      <c r="O282" s="45" t="str">
        <f aca="false">IF(N282="","",WORKDAY(N282,Settings!$S$4))</f>
        <v/>
      </c>
      <c r="P282" s="17"/>
      <c r="Q282" s="44" t="str">
        <f aca="true">IF(C282="","",IF(P282="Backed out",IF(S282="Paid","Refunded – closed",IF(R282="","Refund – log reason first","Refund in progress")),IF(K282="","Awaiting payment",IF(N282="",IF(M282="","Schedule free video","Free video in production"),IF(P282="Approved","Active",IF(TODAY()&gt;O282,"Active – plan went ahead","Decision pending – "&amp;NETWORKDAYS(TODAY(),O282)&amp;" working day(s) left"))))))</f>
        <v/>
      </c>
      <c r="R282" s="17"/>
      <c r="S282" s="17"/>
      <c r="T282" s="50"/>
      <c r="U282" s="40"/>
      <c r="V282" s="40"/>
      <c r="W282" s="45" t="str">
        <f aca="false">IF(V282="","",EDATE(V282,Settings!$S$6))</f>
        <v/>
      </c>
      <c r="X282" s="17"/>
      <c r="Y282" s="17"/>
      <c r="Z282" s="17"/>
    </row>
    <row r="283" customFormat="false" ht="15" hidden="false" customHeight="false" outlineLevel="0" collapsed="false">
      <c r="A283" s="17"/>
      <c r="B283" s="17"/>
      <c r="C283" s="17"/>
      <c r="D283" s="17"/>
      <c r="E283" s="42"/>
      <c r="F283" s="17"/>
      <c r="G283" s="17"/>
      <c r="H283" s="17"/>
      <c r="I283" s="49" t="str">
        <f aca="false">IF(H283="","",IFERROR(INDEX(Settings!$G$2:$G$4,MATCH(H283,Settings!$F$2:$F$4,0)),""))</f>
        <v/>
      </c>
      <c r="J283" s="40"/>
      <c r="K283" s="50"/>
      <c r="L283" s="17"/>
      <c r="M283" s="40"/>
      <c r="N283" s="40"/>
      <c r="O283" s="45" t="str">
        <f aca="false">IF(N283="","",WORKDAY(N283,Settings!$S$4))</f>
        <v/>
      </c>
      <c r="P283" s="17"/>
      <c r="Q283" s="44" t="str">
        <f aca="true">IF(C283="","",IF(P283="Backed out",IF(S283="Paid","Refunded – closed",IF(R283="","Refund – log reason first","Refund in progress")),IF(K283="","Awaiting payment",IF(N283="",IF(M283="","Schedule free video","Free video in production"),IF(P283="Approved","Active",IF(TODAY()&gt;O283,"Active – plan went ahead","Decision pending – "&amp;NETWORKDAYS(TODAY(),O283)&amp;" working day(s) left"))))))</f>
        <v/>
      </c>
      <c r="R283" s="17"/>
      <c r="S283" s="17"/>
      <c r="T283" s="50"/>
      <c r="U283" s="40"/>
      <c r="V283" s="40"/>
      <c r="W283" s="45" t="str">
        <f aca="false">IF(V283="","",EDATE(V283,Settings!$S$6))</f>
        <v/>
      </c>
      <c r="X283" s="17"/>
      <c r="Y283" s="17"/>
      <c r="Z283" s="17"/>
    </row>
    <row r="284" customFormat="false" ht="15" hidden="false" customHeight="false" outlineLevel="0" collapsed="false">
      <c r="A284" s="17"/>
      <c r="B284" s="17"/>
      <c r="C284" s="17"/>
      <c r="D284" s="17"/>
      <c r="E284" s="42"/>
      <c r="F284" s="17"/>
      <c r="G284" s="17"/>
      <c r="H284" s="17"/>
      <c r="I284" s="49" t="str">
        <f aca="false">IF(H284="","",IFERROR(INDEX(Settings!$G$2:$G$4,MATCH(H284,Settings!$F$2:$F$4,0)),""))</f>
        <v/>
      </c>
      <c r="J284" s="40"/>
      <c r="K284" s="50"/>
      <c r="L284" s="17"/>
      <c r="M284" s="40"/>
      <c r="N284" s="40"/>
      <c r="O284" s="45" t="str">
        <f aca="false">IF(N284="","",WORKDAY(N284,Settings!$S$4))</f>
        <v/>
      </c>
      <c r="P284" s="17"/>
      <c r="Q284" s="44" t="str">
        <f aca="true">IF(C284="","",IF(P284="Backed out",IF(S284="Paid","Refunded – closed",IF(R284="","Refund – log reason first","Refund in progress")),IF(K284="","Awaiting payment",IF(N284="",IF(M284="","Schedule free video","Free video in production"),IF(P284="Approved","Active",IF(TODAY()&gt;O284,"Active – plan went ahead","Decision pending – "&amp;NETWORKDAYS(TODAY(),O284)&amp;" working day(s) left"))))))</f>
        <v/>
      </c>
      <c r="R284" s="17"/>
      <c r="S284" s="17"/>
      <c r="T284" s="50"/>
      <c r="U284" s="40"/>
      <c r="V284" s="40"/>
      <c r="W284" s="45" t="str">
        <f aca="false">IF(V284="","",EDATE(V284,Settings!$S$6))</f>
        <v/>
      </c>
      <c r="X284" s="17"/>
      <c r="Y284" s="17"/>
      <c r="Z284" s="17"/>
    </row>
    <row r="285" customFormat="false" ht="15" hidden="false" customHeight="false" outlineLevel="0" collapsed="false">
      <c r="A285" s="17"/>
      <c r="B285" s="17"/>
      <c r="C285" s="17"/>
      <c r="D285" s="17"/>
      <c r="E285" s="42"/>
      <c r="F285" s="17"/>
      <c r="G285" s="17"/>
      <c r="H285" s="17"/>
      <c r="I285" s="49" t="str">
        <f aca="false">IF(H285="","",IFERROR(INDEX(Settings!$G$2:$G$4,MATCH(H285,Settings!$F$2:$F$4,0)),""))</f>
        <v/>
      </c>
      <c r="J285" s="40"/>
      <c r="K285" s="50"/>
      <c r="L285" s="17"/>
      <c r="M285" s="40"/>
      <c r="N285" s="40"/>
      <c r="O285" s="45" t="str">
        <f aca="false">IF(N285="","",WORKDAY(N285,Settings!$S$4))</f>
        <v/>
      </c>
      <c r="P285" s="17"/>
      <c r="Q285" s="44" t="str">
        <f aca="true">IF(C285="","",IF(P285="Backed out",IF(S285="Paid","Refunded – closed",IF(R285="","Refund – log reason first","Refund in progress")),IF(K285="","Awaiting payment",IF(N285="",IF(M285="","Schedule free video","Free video in production"),IF(P285="Approved","Active",IF(TODAY()&gt;O285,"Active – plan went ahead","Decision pending – "&amp;NETWORKDAYS(TODAY(),O285)&amp;" working day(s) left"))))))</f>
        <v/>
      </c>
      <c r="R285" s="17"/>
      <c r="S285" s="17"/>
      <c r="T285" s="50"/>
      <c r="U285" s="40"/>
      <c r="V285" s="40"/>
      <c r="W285" s="45" t="str">
        <f aca="false">IF(V285="","",EDATE(V285,Settings!$S$6))</f>
        <v/>
      </c>
      <c r="X285" s="17"/>
      <c r="Y285" s="17"/>
      <c r="Z285" s="17"/>
    </row>
    <row r="286" customFormat="false" ht="15" hidden="false" customHeight="false" outlineLevel="0" collapsed="false">
      <c r="A286" s="17"/>
      <c r="B286" s="17"/>
      <c r="C286" s="17"/>
      <c r="D286" s="17"/>
      <c r="E286" s="42"/>
      <c r="F286" s="17"/>
      <c r="G286" s="17"/>
      <c r="H286" s="17"/>
      <c r="I286" s="49" t="str">
        <f aca="false">IF(H286="","",IFERROR(INDEX(Settings!$G$2:$G$4,MATCH(H286,Settings!$F$2:$F$4,0)),""))</f>
        <v/>
      </c>
      <c r="J286" s="40"/>
      <c r="K286" s="50"/>
      <c r="L286" s="17"/>
      <c r="M286" s="40"/>
      <c r="N286" s="40"/>
      <c r="O286" s="45" t="str">
        <f aca="false">IF(N286="","",WORKDAY(N286,Settings!$S$4))</f>
        <v/>
      </c>
      <c r="P286" s="17"/>
      <c r="Q286" s="44" t="str">
        <f aca="true">IF(C286="","",IF(P286="Backed out",IF(S286="Paid","Refunded – closed",IF(R286="","Refund – log reason first","Refund in progress")),IF(K286="","Awaiting payment",IF(N286="",IF(M286="","Schedule free video","Free video in production"),IF(P286="Approved","Active",IF(TODAY()&gt;O286,"Active – plan went ahead","Decision pending – "&amp;NETWORKDAYS(TODAY(),O286)&amp;" working day(s) left"))))))</f>
        <v/>
      </c>
      <c r="R286" s="17"/>
      <c r="S286" s="17"/>
      <c r="T286" s="50"/>
      <c r="U286" s="40"/>
      <c r="V286" s="40"/>
      <c r="W286" s="45" t="str">
        <f aca="false">IF(V286="","",EDATE(V286,Settings!$S$6))</f>
        <v/>
      </c>
      <c r="X286" s="17"/>
      <c r="Y286" s="17"/>
      <c r="Z286" s="17"/>
    </row>
    <row r="287" customFormat="false" ht="15" hidden="false" customHeight="false" outlineLevel="0" collapsed="false">
      <c r="A287" s="17"/>
      <c r="B287" s="17"/>
      <c r="C287" s="17"/>
      <c r="D287" s="17"/>
      <c r="E287" s="42"/>
      <c r="F287" s="17"/>
      <c r="G287" s="17"/>
      <c r="H287" s="17"/>
      <c r="I287" s="49" t="str">
        <f aca="false">IF(H287="","",IFERROR(INDEX(Settings!$G$2:$G$4,MATCH(H287,Settings!$F$2:$F$4,0)),""))</f>
        <v/>
      </c>
      <c r="J287" s="40"/>
      <c r="K287" s="50"/>
      <c r="L287" s="17"/>
      <c r="M287" s="40"/>
      <c r="N287" s="40"/>
      <c r="O287" s="45" t="str">
        <f aca="false">IF(N287="","",WORKDAY(N287,Settings!$S$4))</f>
        <v/>
      </c>
      <c r="P287" s="17"/>
      <c r="Q287" s="44" t="str">
        <f aca="true">IF(C287="","",IF(P287="Backed out",IF(S287="Paid","Refunded – closed",IF(R287="","Refund – log reason first","Refund in progress")),IF(K287="","Awaiting payment",IF(N287="",IF(M287="","Schedule free video","Free video in production"),IF(P287="Approved","Active",IF(TODAY()&gt;O287,"Active – plan went ahead","Decision pending – "&amp;NETWORKDAYS(TODAY(),O287)&amp;" working day(s) left"))))))</f>
        <v/>
      </c>
      <c r="R287" s="17"/>
      <c r="S287" s="17"/>
      <c r="T287" s="50"/>
      <c r="U287" s="40"/>
      <c r="V287" s="40"/>
      <c r="W287" s="45" t="str">
        <f aca="false">IF(V287="","",EDATE(V287,Settings!$S$6))</f>
        <v/>
      </c>
      <c r="X287" s="17"/>
      <c r="Y287" s="17"/>
      <c r="Z287" s="17"/>
    </row>
    <row r="288" customFormat="false" ht="15" hidden="false" customHeight="false" outlineLevel="0" collapsed="false">
      <c r="A288" s="17"/>
      <c r="B288" s="17"/>
      <c r="C288" s="17"/>
      <c r="D288" s="17"/>
      <c r="E288" s="42"/>
      <c r="F288" s="17"/>
      <c r="G288" s="17"/>
      <c r="H288" s="17"/>
      <c r="I288" s="49" t="str">
        <f aca="false">IF(H288="","",IFERROR(INDEX(Settings!$G$2:$G$4,MATCH(H288,Settings!$F$2:$F$4,0)),""))</f>
        <v/>
      </c>
      <c r="J288" s="40"/>
      <c r="K288" s="50"/>
      <c r="L288" s="17"/>
      <c r="M288" s="40"/>
      <c r="N288" s="40"/>
      <c r="O288" s="45" t="str">
        <f aca="false">IF(N288="","",WORKDAY(N288,Settings!$S$4))</f>
        <v/>
      </c>
      <c r="P288" s="17"/>
      <c r="Q288" s="44" t="str">
        <f aca="true">IF(C288="","",IF(P288="Backed out",IF(S288="Paid","Refunded – closed",IF(R288="","Refund – log reason first","Refund in progress")),IF(K288="","Awaiting payment",IF(N288="",IF(M288="","Schedule free video","Free video in production"),IF(P288="Approved","Active",IF(TODAY()&gt;O288,"Active – plan went ahead","Decision pending – "&amp;NETWORKDAYS(TODAY(),O288)&amp;" working day(s) left"))))))</f>
        <v/>
      </c>
      <c r="R288" s="17"/>
      <c r="S288" s="17"/>
      <c r="T288" s="50"/>
      <c r="U288" s="40"/>
      <c r="V288" s="40"/>
      <c r="W288" s="45" t="str">
        <f aca="false">IF(V288="","",EDATE(V288,Settings!$S$6))</f>
        <v/>
      </c>
      <c r="X288" s="17"/>
      <c r="Y288" s="17"/>
      <c r="Z288" s="17"/>
    </row>
    <row r="289" customFormat="false" ht="15" hidden="false" customHeight="false" outlineLevel="0" collapsed="false">
      <c r="A289" s="17"/>
      <c r="B289" s="17"/>
      <c r="C289" s="17"/>
      <c r="D289" s="17"/>
      <c r="E289" s="42"/>
      <c r="F289" s="17"/>
      <c r="G289" s="17"/>
      <c r="H289" s="17"/>
      <c r="I289" s="49" t="str">
        <f aca="false">IF(H289="","",IFERROR(INDEX(Settings!$G$2:$G$4,MATCH(H289,Settings!$F$2:$F$4,0)),""))</f>
        <v/>
      </c>
      <c r="J289" s="40"/>
      <c r="K289" s="50"/>
      <c r="L289" s="17"/>
      <c r="M289" s="40"/>
      <c r="N289" s="40"/>
      <c r="O289" s="45" t="str">
        <f aca="false">IF(N289="","",WORKDAY(N289,Settings!$S$4))</f>
        <v/>
      </c>
      <c r="P289" s="17"/>
      <c r="Q289" s="44" t="str">
        <f aca="true">IF(C289="","",IF(P289="Backed out",IF(S289="Paid","Refunded – closed",IF(R289="","Refund – log reason first","Refund in progress")),IF(K289="","Awaiting payment",IF(N289="",IF(M289="","Schedule free video","Free video in production"),IF(P289="Approved","Active",IF(TODAY()&gt;O289,"Active – plan went ahead","Decision pending – "&amp;NETWORKDAYS(TODAY(),O289)&amp;" working day(s) left"))))))</f>
        <v/>
      </c>
      <c r="R289" s="17"/>
      <c r="S289" s="17"/>
      <c r="T289" s="50"/>
      <c r="U289" s="40"/>
      <c r="V289" s="40"/>
      <c r="W289" s="45" t="str">
        <f aca="false">IF(V289="","",EDATE(V289,Settings!$S$6))</f>
        <v/>
      </c>
      <c r="X289" s="17"/>
      <c r="Y289" s="17"/>
      <c r="Z289" s="17"/>
    </row>
    <row r="290" customFormat="false" ht="15" hidden="false" customHeight="false" outlineLevel="0" collapsed="false">
      <c r="A290" s="17"/>
      <c r="B290" s="17"/>
      <c r="C290" s="17"/>
      <c r="D290" s="17"/>
      <c r="E290" s="42"/>
      <c r="F290" s="17"/>
      <c r="G290" s="17"/>
      <c r="H290" s="17"/>
      <c r="I290" s="49" t="str">
        <f aca="false">IF(H290="","",IFERROR(INDEX(Settings!$G$2:$G$4,MATCH(H290,Settings!$F$2:$F$4,0)),""))</f>
        <v/>
      </c>
      <c r="J290" s="40"/>
      <c r="K290" s="50"/>
      <c r="L290" s="17"/>
      <c r="M290" s="40"/>
      <c r="N290" s="40"/>
      <c r="O290" s="45" t="str">
        <f aca="false">IF(N290="","",WORKDAY(N290,Settings!$S$4))</f>
        <v/>
      </c>
      <c r="P290" s="17"/>
      <c r="Q290" s="44" t="str">
        <f aca="true">IF(C290="","",IF(P290="Backed out",IF(S290="Paid","Refunded – closed",IF(R290="","Refund – log reason first","Refund in progress")),IF(K290="","Awaiting payment",IF(N290="",IF(M290="","Schedule free video","Free video in production"),IF(P290="Approved","Active",IF(TODAY()&gt;O290,"Active – plan went ahead","Decision pending – "&amp;NETWORKDAYS(TODAY(),O290)&amp;" working day(s) left"))))))</f>
        <v/>
      </c>
      <c r="R290" s="17"/>
      <c r="S290" s="17"/>
      <c r="T290" s="50"/>
      <c r="U290" s="40"/>
      <c r="V290" s="40"/>
      <c r="W290" s="45" t="str">
        <f aca="false">IF(V290="","",EDATE(V290,Settings!$S$6))</f>
        <v/>
      </c>
      <c r="X290" s="17"/>
      <c r="Y290" s="17"/>
      <c r="Z290" s="17"/>
    </row>
    <row r="291" customFormat="false" ht="15" hidden="false" customHeight="false" outlineLevel="0" collapsed="false">
      <c r="A291" s="17"/>
      <c r="B291" s="17"/>
      <c r="C291" s="17"/>
      <c r="D291" s="17"/>
      <c r="E291" s="42"/>
      <c r="F291" s="17"/>
      <c r="G291" s="17"/>
      <c r="H291" s="17"/>
      <c r="I291" s="49" t="str">
        <f aca="false">IF(H291="","",IFERROR(INDEX(Settings!$G$2:$G$4,MATCH(H291,Settings!$F$2:$F$4,0)),""))</f>
        <v/>
      </c>
      <c r="J291" s="40"/>
      <c r="K291" s="50"/>
      <c r="L291" s="17"/>
      <c r="M291" s="40"/>
      <c r="N291" s="40"/>
      <c r="O291" s="45" t="str">
        <f aca="false">IF(N291="","",WORKDAY(N291,Settings!$S$4))</f>
        <v/>
      </c>
      <c r="P291" s="17"/>
      <c r="Q291" s="44" t="str">
        <f aca="true">IF(C291="","",IF(P291="Backed out",IF(S291="Paid","Refunded – closed",IF(R291="","Refund – log reason first","Refund in progress")),IF(K291="","Awaiting payment",IF(N291="",IF(M291="","Schedule free video","Free video in production"),IF(P291="Approved","Active",IF(TODAY()&gt;O291,"Active – plan went ahead","Decision pending – "&amp;NETWORKDAYS(TODAY(),O291)&amp;" working day(s) left"))))))</f>
        <v/>
      </c>
      <c r="R291" s="17"/>
      <c r="S291" s="17"/>
      <c r="T291" s="50"/>
      <c r="U291" s="40"/>
      <c r="V291" s="40"/>
      <c r="W291" s="45" t="str">
        <f aca="false">IF(V291="","",EDATE(V291,Settings!$S$6))</f>
        <v/>
      </c>
      <c r="X291" s="17"/>
      <c r="Y291" s="17"/>
      <c r="Z291" s="17"/>
    </row>
    <row r="292" customFormat="false" ht="15" hidden="false" customHeight="false" outlineLevel="0" collapsed="false">
      <c r="A292" s="17"/>
      <c r="B292" s="17"/>
      <c r="C292" s="17"/>
      <c r="D292" s="17"/>
      <c r="E292" s="42"/>
      <c r="F292" s="17"/>
      <c r="G292" s="17"/>
      <c r="H292" s="17"/>
      <c r="I292" s="49" t="str">
        <f aca="false">IF(H292="","",IFERROR(INDEX(Settings!$G$2:$G$4,MATCH(H292,Settings!$F$2:$F$4,0)),""))</f>
        <v/>
      </c>
      <c r="J292" s="40"/>
      <c r="K292" s="50"/>
      <c r="L292" s="17"/>
      <c r="M292" s="40"/>
      <c r="N292" s="40"/>
      <c r="O292" s="45" t="str">
        <f aca="false">IF(N292="","",WORKDAY(N292,Settings!$S$4))</f>
        <v/>
      </c>
      <c r="P292" s="17"/>
      <c r="Q292" s="44" t="str">
        <f aca="true">IF(C292="","",IF(P292="Backed out",IF(S292="Paid","Refunded – closed",IF(R292="","Refund – log reason first","Refund in progress")),IF(K292="","Awaiting payment",IF(N292="",IF(M292="","Schedule free video","Free video in production"),IF(P292="Approved","Active",IF(TODAY()&gt;O292,"Active – plan went ahead","Decision pending – "&amp;NETWORKDAYS(TODAY(),O292)&amp;" working day(s) left"))))))</f>
        <v/>
      </c>
      <c r="R292" s="17"/>
      <c r="S292" s="17"/>
      <c r="T292" s="50"/>
      <c r="U292" s="40"/>
      <c r="V292" s="40"/>
      <c r="W292" s="45" t="str">
        <f aca="false">IF(V292="","",EDATE(V292,Settings!$S$6))</f>
        <v/>
      </c>
      <c r="X292" s="17"/>
      <c r="Y292" s="17"/>
      <c r="Z292" s="17"/>
    </row>
    <row r="293" customFormat="false" ht="15" hidden="false" customHeight="false" outlineLevel="0" collapsed="false">
      <c r="A293" s="17"/>
      <c r="B293" s="17"/>
      <c r="C293" s="17"/>
      <c r="D293" s="17"/>
      <c r="E293" s="42"/>
      <c r="F293" s="17"/>
      <c r="G293" s="17"/>
      <c r="H293" s="17"/>
      <c r="I293" s="49" t="str">
        <f aca="false">IF(H293="","",IFERROR(INDEX(Settings!$G$2:$G$4,MATCH(H293,Settings!$F$2:$F$4,0)),""))</f>
        <v/>
      </c>
      <c r="J293" s="40"/>
      <c r="K293" s="50"/>
      <c r="L293" s="17"/>
      <c r="M293" s="40"/>
      <c r="N293" s="40"/>
      <c r="O293" s="45" t="str">
        <f aca="false">IF(N293="","",WORKDAY(N293,Settings!$S$4))</f>
        <v/>
      </c>
      <c r="P293" s="17"/>
      <c r="Q293" s="44" t="str">
        <f aca="true">IF(C293="","",IF(P293="Backed out",IF(S293="Paid","Refunded – closed",IF(R293="","Refund – log reason first","Refund in progress")),IF(K293="","Awaiting payment",IF(N293="",IF(M293="","Schedule free video","Free video in production"),IF(P293="Approved","Active",IF(TODAY()&gt;O293,"Active – plan went ahead","Decision pending – "&amp;NETWORKDAYS(TODAY(),O293)&amp;" working day(s) left"))))))</f>
        <v/>
      </c>
      <c r="R293" s="17"/>
      <c r="S293" s="17"/>
      <c r="T293" s="50"/>
      <c r="U293" s="40"/>
      <c r="V293" s="40"/>
      <c r="W293" s="45" t="str">
        <f aca="false">IF(V293="","",EDATE(V293,Settings!$S$6))</f>
        <v/>
      </c>
      <c r="X293" s="17"/>
      <c r="Y293" s="17"/>
      <c r="Z293" s="17"/>
    </row>
    <row r="294" customFormat="false" ht="15" hidden="false" customHeight="false" outlineLevel="0" collapsed="false">
      <c r="A294" s="17"/>
      <c r="B294" s="17"/>
      <c r="C294" s="17"/>
      <c r="D294" s="17"/>
      <c r="E294" s="42"/>
      <c r="F294" s="17"/>
      <c r="G294" s="17"/>
      <c r="H294" s="17"/>
      <c r="I294" s="49" t="str">
        <f aca="false">IF(H294="","",IFERROR(INDEX(Settings!$G$2:$G$4,MATCH(H294,Settings!$F$2:$F$4,0)),""))</f>
        <v/>
      </c>
      <c r="J294" s="40"/>
      <c r="K294" s="50"/>
      <c r="L294" s="17"/>
      <c r="M294" s="40"/>
      <c r="N294" s="40"/>
      <c r="O294" s="45" t="str">
        <f aca="false">IF(N294="","",WORKDAY(N294,Settings!$S$4))</f>
        <v/>
      </c>
      <c r="P294" s="17"/>
      <c r="Q294" s="44" t="str">
        <f aca="true">IF(C294="","",IF(P294="Backed out",IF(S294="Paid","Refunded – closed",IF(R294="","Refund – log reason first","Refund in progress")),IF(K294="","Awaiting payment",IF(N294="",IF(M294="","Schedule free video","Free video in production"),IF(P294="Approved","Active",IF(TODAY()&gt;O294,"Active – plan went ahead","Decision pending – "&amp;NETWORKDAYS(TODAY(),O294)&amp;" working day(s) left"))))))</f>
        <v/>
      </c>
      <c r="R294" s="17"/>
      <c r="S294" s="17"/>
      <c r="T294" s="50"/>
      <c r="U294" s="40"/>
      <c r="V294" s="40"/>
      <c r="W294" s="45" t="str">
        <f aca="false">IF(V294="","",EDATE(V294,Settings!$S$6))</f>
        <v/>
      </c>
      <c r="X294" s="17"/>
      <c r="Y294" s="17"/>
      <c r="Z294" s="17"/>
    </row>
    <row r="295" customFormat="false" ht="15" hidden="false" customHeight="false" outlineLevel="0" collapsed="false">
      <c r="A295" s="17"/>
      <c r="B295" s="17"/>
      <c r="C295" s="17"/>
      <c r="D295" s="17"/>
      <c r="E295" s="42"/>
      <c r="F295" s="17"/>
      <c r="G295" s="17"/>
      <c r="H295" s="17"/>
      <c r="I295" s="49" t="str">
        <f aca="false">IF(H295="","",IFERROR(INDEX(Settings!$G$2:$G$4,MATCH(H295,Settings!$F$2:$F$4,0)),""))</f>
        <v/>
      </c>
      <c r="J295" s="40"/>
      <c r="K295" s="50"/>
      <c r="L295" s="17"/>
      <c r="M295" s="40"/>
      <c r="N295" s="40"/>
      <c r="O295" s="45" t="str">
        <f aca="false">IF(N295="","",WORKDAY(N295,Settings!$S$4))</f>
        <v/>
      </c>
      <c r="P295" s="17"/>
      <c r="Q295" s="44" t="str">
        <f aca="true">IF(C295="","",IF(P295="Backed out",IF(S295="Paid","Refunded – closed",IF(R295="","Refund – log reason first","Refund in progress")),IF(K295="","Awaiting payment",IF(N295="",IF(M295="","Schedule free video","Free video in production"),IF(P295="Approved","Active",IF(TODAY()&gt;O295,"Active – plan went ahead","Decision pending – "&amp;NETWORKDAYS(TODAY(),O295)&amp;" working day(s) left"))))))</f>
        <v/>
      </c>
      <c r="R295" s="17"/>
      <c r="S295" s="17"/>
      <c r="T295" s="50"/>
      <c r="U295" s="40"/>
      <c r="V295" s="40"/>
      <c r="W295" s="45" t="str">
        <f aca="false">IF(V295="","",EDATE(V295,Settings!$S$6))</f>
        <v/>
      </c>
      <c r="X295" s="17"/>
      <c r="Y295" s="17"/>
      <c r="Z295" s="17"/>
    </row>
    <row r="296" customFormat="false" ht="15" hidden="false" customHeight="false" outlineLevel="0" collapsed="false">
      <c r="A296" s="17"/>
      <c r="B296" s="17"/>
      <c r="C296" s="17"/>
      <c r="D296" s="17"/>
      <c r="E296" s="42"/>
      <c r="F296" s="17"/>
      <c r="G296" s="17"/>
      <c r="H296" s="17"/>
      <c r="I296" s="49" t="str">
        <f aca="false">IF(H296="","",IFERROR(INDEX(Settings!$G$2:$G$4,MATCH(H296,Settings!$F$2:$F$4,0)),""))</f>
        <v/>
      </c>
      <c r="J296" s="40"/>
      <c r="K296" s="50"/>
      <c r="L296" s="17"/>
      <c r="M296" s="40"/>
      <c r="N296" s="40"/>
      <c r="O296" s="45" t="str">
        <f aca="false">IF(N296="","",WORKDAY(N296,Settings!$S$4))</f>
        <v/>
      </c>
      <c r="P296" s="17"/>
      <c r="Q296" s="44" t="str">
        <f aca="true">IF(C296="","",IF(P296="Backed out",IF(S296="Paid","Refunded – closed",IF(R296="","Refund – log reason first","Refund in progress")),IF(K296="","Awaiting payment",IF(N296="",IF(M296="","Schedule free video","Free video in production"),IF(P296="Approved","Active",IF(TODAY()&gt;O296,"Active – plan went ahead","Decision pending – "&amp;NETWORKDAYS(TODAY(),O296)&amp;" working day(s) left"))))))</f>
        <v/>
      </c>
      <c r="R296" s="17"/>
      <c r="S296" s="17"/>
      <c r="T296" s="50"/>
      <c r="U296" s="40"/>
      <c r="V296" s="40"/>
      <c r="W296" s="45" t="str">
        <f aca="false">IF(V296="","",EDATE(V296,Settings!$S$6))</f>
        <v/>
      </c>
      <c r="X296" s="17"/>
      <c r="Y296" s="17"/>
      <c r="Z296" s="17"/>
    </row>
    <row r="297" customFormat="false" ht="15" hidden="false" customHeight="false" outlineLevel="0" collapsed="false">
      <c r="A297" s="17"/>
      <c r="B297" s="17"/>
      <c r="C297" s="17"/>
      <c r="D297" s="17"/>
      <c r="E297" s="42"/>
      <c r="F297" s="17"/>
      <c r="G297" s="17"/>
      <c r="H297" s="17"/>
      <c r="I297" s="49" t="str">
        <f aca="false">IF(H297="","",IFERROR(INDEX(Settings!$G$2:$G$4,MATCH(H297,Settings!$F$2:$F$4,0)),""))</f>
        <v/>
      </c>
      <c r="J297" s="40"/>
      <c r="K297" s="50"/>
      <c r="L297" s="17"/>
      <c r="M297" s="40"/>
      <c r="N297" s="40"/>
      <c r="O297" s="45" t="str">
        <f aca="false">IF(N297="","",WORKDAY(N297,Settings!$S$4))</f>
        <v/>
      </c>
      <c r="P297" s="17"/>
      <c r="Q297" s="44" t="str">
        <f aca="true">IF(C297="","",IF(P297="Backed out",IF(S297="Paid","Refunded – closed",IF(R297="","Refund – log reason first","Refund in progress")),IF(K297="","Awaiting payment",IF(N297="",IF(M297="","Schedule free video","Free video in production"),IF(P297="Approved","Active",IF(TODAY()&gt;O297,"Active – plan went ahead","Decision pending – "&amp;NETWORKDAYS(TODAY(),O297)&amp;" working day(s) left"))))))</f>
        <v/>
      </c>
      <c r="R297" s="17"/>
      <c r="S297" s="17"/>
      <c r="T297" s="50"/>
      <c r="U297" s="40"/>
      <c r="V297" s="40"/>
      <c r="W297" s="45" t="str">
        <f aca="false">IF(V297="","",EDATE(V297,Settings!$S$6))</f>
        <v/>
      </c>
      <c r="X297" s="17"/>
      <c r="Y297" s="17"/>
      <c r="Z297" s="17"/>
    </row>
    <row r="298" customFormat="false" ht="15" hidden="false" customHeight="false" outlineLevel="0" collapsed="false">
      <c r="A298" s="17"/>
      <c r="B298" s="17"/>
      <c r="C298" s="17"/>
      <c r="D298" s="17"/>
      <c r="E298" s="42"/>
      <c r="F298" s="17"/>
      <c r="G298" s="17"/>
      <c r="H298" s="17"/>
      <c r="I298" s="49" t="str">
        <f aca="false">IF(H298="","",IFERROR(INDEX(Settings!$G$2:$G$4,MATCH(H298,Settings!$F$2:$F$4,0)),""))</f>
        <v/>
      </c>
      <c r="J298" s="40"/>
      <c r="K298" s="50"/>
      <c r="L298" s="17"/>
      <c r="M298" s="40"/>
      <c r="N298" s="40"/>
      <c r="O298" s="45" t="str">
        <f aca="false">IF(N298="","",WORKDAY(N298,Settings!$S$4))</f>
        <v/>
      </c>
      <c r="P298" s="17"/>
      <c r="Q298" s="44" t="str">
        <f aca="true">IF(C298="","",IF(P298="Backed out",IF(S298="Paid","Refunded – closed",IF(R298="","Refund – log reason first","Refund in progress")),IF(K298="","Awaiting payment",IF(N298="",IF(M298="","Schedule free video","Free video in production"),IF(P298="Approved","Active",IF(TODAY()&gt;O298,"Active – plan went ahead","Decision pending – "&amp;NETWORKDAYS(TODAY(),O298)&amp;" working day(s) left"))))))</f>
        <v/>
      </c>
      <c r="R298" s="17"/>
      <c r="S298" s="17"/>
      <c r="T298" s="50"/>
      <c r="U298" s="40"/>
      <c r="V298" s="40"/>
      <c r="W298" s="45" t="str">
        <f aca="false">IF(V298="","",EDATE(V298,Settings!$S$6))</f>
        <v/>
      </c>
      <c r="X298" s="17"/>
      <c r="Y298" s="17"/>
      <c r="Z298" s="17"/>
    </row>
    <row r="299" customFormat="false" ht="15" hidden="false" customHeight="false" outlineLevel="0" collapsed="false">
      <c r="A299" s="17"/>
      <c r="B299" s="17"/>
      <c r="C299" s="17"/>
      <c r="D299" s="17"/>
      <c r="E299" s="42"/>
      <c r="F299" s="17"/>
      <c r="G299" s="17"/>
      <c r="H299" s="17"/>
      <c r="I299" s="49" t="str">
        <f aca="false">IF(H299="","",IFERROR(INDEX(Settings!$G$2:$G$4,MATCH(H299,Settings!$F$2:$F$4,0)),""))</f>
        <v/>
      </c>
      <c r="J299" s="40"/>
      <c r="K299" s="50"/>
      <c r="L299" s="17"/>
      <c r="M299" s="40"/>
      <c r="N299" s="40"/>
      <c r="O299" s="45" t="str">
        <f aca="false">IF(N299="","",WORKDAY(N299,Settings!$S$4))</f>
        <v/>
      </c>
      <c r="P299" s="17"/>
      <c r="Q299" s="44" t="str">
        <f aca="true">IF(C299="","",IF(P299="Backed out",IF(S299="Paid","Refunded – closed",IF(R299="","Refund – log reason first","Refund in progress")),IF(K299="","Awaiting payment",IF(N299="",IF(M299="","Schedule free video","Free video in production"),IF(P299="Approved","Active",IF(TODAY()&gt;O299,"Active – plan went ahead","Decision pending – "&amp;NETWORKDAYS(TODAY(),O299)&amp;" working day(s) left"))))))</f>
        <v/>
      </c>
      <c r="R299" s="17"/>
      <c r="S299" s="17"/>
      <c r="T299" s="50"/>
      <c r="U299" s="40"/>
      <c r="V299" s="40"/>
      <c r="W299" s="45" t="str">
        <f aca="false">IF(V299="","",EDATE(V299,Settings!$S$6))</f>
        <v/>
      </c>
      <c r="X299" s="17"/>
      <c r="Y299" s="17"/>
      <c r="Z299" s="17"/>
    </row>
    <row r="300" customFormat="false" ht="15" hidden="false" customHeight="false" outlineLevel="0" collapsed="false">
      <c r="A300" s="17"/>
      <c r="B300" s="17"/>
      <c r="C300" s="17"/>
      <c r="D300" s="17"/>
      <c r="E300" s="42"/>
      <c r="F300" s="17"/>
      <c r="G300" s="17"/>
      <c r="H300" s="17"/>
      <c r="I300" s="49" t="str">
        <f aca="false">IF(H300="","",IFERROR(INDEX(Settings!$G$2:$G$4,MATCH(H300,Settings!$F$2:$F$4,0)),""))</f>
        <v/>
      </c>
      <c r="J300" s="40"/>
      <c r="K300" s="50"/>
      <c r="L300" s="17"/>
      <c r="M300" s="40"/>
      <c r="N300" s="40"/>
      <c r="O300" s="45" t="str">
        <f aca="false">IF(N300="","",WORKDAY(N300,Settings!$S$4))</f>
        <v/>
      </c>
      <c r="P300" s="17"/>
      <c r="Q300" s="44" t="str">
        <f aca="true">IF(C300="","",IF(P300="Backed out",IF(S300="Paid","Refunded – closed",IF(R300="","Refund – log reason first","Refund in progress")),IF(K300="","Awaiting payment",IF(N300="",IF(M300="","Schedule free video","Free video in production"),IF(P300="Approved","Active",IF(TODAY()&gt;O300,"Active – plan went ahead","Decision pending – "&amp;NETWORKDAYS(TODAY(),O300)&amp;" working day(s) left"))))))</f>
        <v/>
      </c>
      <c r="R300" s="17"/>
      <c r="S300" s="17"/>
      <c r="T300" s="50"/>
      <c r="U300" s="40"/>
      <c r="V300" s="40"/>
      <c r="W300" s="45" t="str">
        <f aca="false">IF(V300="","",EDATE(V300,Settings!$S$6))</f>
        <v/>
      </c>
      <c r="X300" s="17"/>
      <c r="Y300" s="17"/>
      <c r="Z300" s="17"/>
    </row>
    <row r="301" customFormat="false" ht="15" hidden="false" customHeight="false" outlineLevel="0" collapsed="false">
      <c r="A301" s="17"/>
      <c r="B301" s="17"/>
      <c r="C301" s="17"/>
      <c r="D301" s="17"/>
      <c r="E301" s="42"/>
      <c r="F301" s="17"/>
      <c r="G301" s="17"/>
      <c r="H301" s="17"/>
      <c r="I301" s="49" t="str">
        <f aca="false">IF(H301="","",IFERROR(INDEX(Settings!$G$2:$G$4,MATCH(H301,Settings!$F$2:$F$4,0)),""))</f>
        <v/>
      </c>
      <c r="J301" s="40"/>
      <c r="K301" s="50"/>
      <c r="L301" s="17"/>
      <c r="M301" s="40"/>
      <c r="N301" s="40"/>
      <c r="O301" s="45" t="str">
        <f aca="false">IF(N301="","",WORKDAY(N301,Settings!$S$4))</f>
        <v/>
      </c>
      <c r="P301" s="17"/>
      <c r="Q301" s="44" t="str">
        <f aca="true">IF(C301="","",IF(P301="Backed out",IF(S301="Paid","Refunded – closed",IF(R301="","Refund – log reason first","Refund in progress")),IF(K301="","Awaiting payment",IF(N301="",IF(M301="","Schedule free video","Free video in production"),IF(P301="Approved","Active",IF(TODAY()&gt;O301,"Active – plan went ahead","Decision pending – "&amp;NETWORKDAYS(TODAY(),O301)&amp;" working day(s) left"))))))</f>
        <v/>
      </c>
      <c r="R301" s="17"/>
      <c r="S301" s="17"/>
      <c r="T301" s="50"/>
      <c r="U301" s="40"/>
      <c r="V301" s="40"/>
      <c r="W301" s="45" t="str">
        <f aca="false">IF(V301="","",EDATE(V301,Settings!$S$6))</f>
        <v/>
      </c>
      <c r="X301" s="17"/>
      <c r="Y301" s="17"/>
      <c r="Z301" s="17"/>
    </row>
    <row r="302" customFormat="false" ht="15" hidden="false" customHeight="false" outlineLevel="0" collapsed="false">
      <c r="A302" s="17"/>
      <c r="B302" s="17"/>
      <c r="C302" s="17"/>
      <c r="D302" s="17"/>
      <c r="E302" s="42"/>
      <c r="F302" s="17"/>
      <c r="G302" s="17"/>
      <c r="H302" s="17"/>
      <c r="I302" s="49" t="str">
        <f aca="false">IF(H302="","",IFERROR(INDEX(Settings!$G$2:$G$4,MATCH(H302,Settings!$F$2:$F$4,0)),""))</f>
        <v/>
      </c>
      <c r="J302" s="40"/>
      <c r="K302" s="50"/>
      <c r="L302" s="17"/>
      <c r="M302" s="40"/>
      <c r="N302" s="40"/>
      <c r="O302" s="45" t="str">
        <f aca="false">IF(N302="","",WORKDAY(N302,Settings!$S$4))</f>
        <v/>
      </c>
      <c r="P302" s="17"/>
      <c r="Q302" s="44" t="str">
        <f aca="true">IF(C302="","",IF(P302="Backed out",IF(S302="Paid","Refunded – closed",IF(R302="","Refund – log reason first","Refund in progress")),IF(K302="","Awaiting payment",IF(N302="",IF(M302="","Schedule free video","Free video in production"),IF(P302="Approved","Active",IF(TODAY()&gt;O302,"Active – plan went ahead","Decision pending – "&amp;NETWORKDAYS(TODAY(),O302)&amp;" working day(s) left"))))))</f>
        <v/>
      </c>
      <c r="R302" s="17"/>
      <c r="S302" s="17"/>
      <c r="T302" s="50"/>
      <c r="U302" s="40"/>
      <c r="V302" s="40"/>
      <c r="W302" s="45" t="str">
        <f aca="false">IF(V302="","",EDATE(V302,Settings!$S$6))</f>
        <v/>
      </c>
      <c r="X302" s="17"/>
      <c r="Y302" s="17"/>
      <c r="Z302" s="17"/>
    </row>
    <row r="303" customFormat="false" ht="15" hidden="false" customHeight="false" outlineLevel="0" collapsed="false">
      <c r="A303" s="17"/>
      <c r="B303" s="17"/>
      <c r="C303" s="17"/>
      <c r="D303" s="17"/>
      <c r="E303" s="42"/>
      <c r="F303" s="17"/>
      <c r="G303" s="17"/>
      <c r="H303" s="17"/>
      <c r="I303" s="49" t="str">
        <f aca="false">IF(H303="","",IFERROR(INDEX(Settings!$G$2:$G$4,MATCH(H303,Settings!$F$2:$F$4,0)),""))</f>
        <v/>
      </c>
      <c r="J303" s="40"/>
      <c r="K303" s="50"/>
      <c r="L303" s="17"/>
      <c r="M303" s="40"/>
      <c r="N303" s="40"/>
      <c r="O303" s="45" t="str">
        <f aca="false">IF(N303="","",WORKDAY(N303,Settings!$S$4))</f>
        <v/>
      </c>
      <c r="P303" s="17"/>
      <c r="Q303" s="44" t="str">
        <f aca="true">IF(C303="","",IF(P303="Backed out",IF(S303="Paid","Refunded – closed",IF(R303="","Refund – log reason first","Refund in progress")),IF(K303="","Awaiting payment",IF(N303="",IF(M303="","Schedule free video","Free video in production"),IF(P303="Approved","Active",IF(TODAY()&gt;O303,"Active – plan went ahead","Decision pending – "&amp;NETWORKDAYS(TODAY(),O303)&amp;" working day(s) left"))))))</f>
        <v/>
      </c>
      <c r="R303" s="17"/>
      <c r="S303" s="17"/>
      <c r="T303" s="50"/>
      <c r="U303" s="40"/>
      <c r="V303" s="40"/>
      <c r="W303" s="45" t="str">
        <f aca="false">IF(V303="","",EDATE(V303,Settings!$S$6))</f>
        <v/>
      </c>
      <c r="X303" s="17"/>
      <c r="Y303" s="17"/>
      <c r="Z303" s="17"/>
    </row>
    <row r="304" customFormat="false" ht="15" hidden="false" customHeight="false" outlineLevel="0" collapsed="false">
      <c r="A304" s="17"/>
      <c r="B304" s="17"/>
      <c r="C304" s="17"/>
      <c r="D304" s="17"/>
      <c r="E304" s="42"/>
      <c r="F304" s="17"/>
      <c r="G304" s="17"/>
      <c r="H304" s="17"/>
      <c r="I304" s="49" t="str">
        <f aca="false">IF(H304="","",IFERROR(INDEX(Settings!$G$2:$G$4,MATCH(H304,Settings!$F$2:$F$4,0)),""))</f>
        <v/>
      </c>
      <c r="J304" s="40"/>
      <c r="K304" s="50"/>
      <c r="L304" s="17"/>
      <c r="M304" s="40"/>
      <c r="N304" s="40"/>
      <c r="O304" s="45" t="str">
        <f aca="false">IF(N304="","",WORKDAY(N304,Settings!$S$4))</f>
        <v/>
      </c>
      <c r="P304" s="17"/>
      <c r="Q304" s="44" t="str">
        <f aca="true">IF(C304="","",IF(P304="Backed out",IF(S304="Paid","Refunded – closed",IF(R304="","Refund – log reason first","Refund in progress")),IF(K304="","Awaiting payment",IF(N304="",IF(M304="","Schedule free video","Free video in production"),IF(P304="Approved","Active",IF(TODAY()&gt;O304,"Active – plan went ahead","Decision pending – "&amp;NETWORKDAYS(TODAY(),O304)&amp;" working day(s) left"))))))</f>
        <v/>
      </c>
      <c r="R304" s="17"/>
      <c r="S304" s="17"/>
      <c r="T304" s="50"/>
      <c r="U304" s="40"/>
      <c r="V304" s="40"/>
      <c r="W304" s="45" t="str">
        <f aca="false">IF(V304="","",EDATE(V304,Settings!$S$6))</f>
        <v/>
      </c>
      <c r="X304" s="17"/>
      <c r="Y304" s="17"/>
      <c r="Z304" s="17"/>
    </row>
    <row r="305" customFormat="false" ht="15" hidden="false" customHeight="false" outlineLevel="0" collapsed="false">
      <c r="A305" s="17"/>
      <c r="B305" s="17"/>
      <c r="C305" s="17"/>
      <c r="D305" s="17"/>
      <c r="E305" s="42"/>
      <c r="F305" s="17"/>
      <c r="G305" s="17"/>
      <c r="H305" s="17"/>
      <c r="I305" s="49" t="str">
        <f aca="false">IF(H305="","",IFERROR(INDEX(Settings!$G$2:$G$4,MATCH(H305,Settings!$F$2:$F$4,0)),""))</f>
        <v/>
      </c>
      <c r="J305" s="40"/>
      <c r="K305" s="50"/>
      <c r="L305" s="17"/>
      <c r="M305" s="40"/>
      <c r="N305" s="40"/>
      <c r="O305" s="45" t="str">
        <f aca="false">IF(N305="","",WORKDAY(N305,Settings!$S$4))</f>
        <v/>
      </c>
      <c r="P305" s="17"/>
      <c r="Q305" s="44" t="str">
        <f aca="true">IF(C305="","",IF(P305="Backed out",IF(S305="Paid","Refunded – closed",IF(R305="","Refund – log reason first","Refund in progress")),IF(K305="","Awaiting payment",IF(N305="",IF(M305="","Schedule free video","Free video in production"),IF(P305="Approved","Active",IF(TODAY()&gt;O305,"Active – plan went ahead","Decision pending – "&amp;NETWORKDAYS(TODAY(),O305)&amp;" working day(s) left"))))))</f>
        <v/>
      </c>
      <c r="R305" s="17"/>
      <c r="S305" s="17"/>
      <c r="T305" s="50"/>
      <c r="U305" s="40"/>
      <c r="V305" s="40"/>
      <c r="W305" s="45" t="str">
        <f aca="false">IF(V305="","",EDATE(V305,Settings!$S$6))</f>
        <v/>
      </c>
      <c r="X305" s="17"/>
      <c r="Y305" s="17"/>
      <c r="Z305" s="17"/>
    </row>
    <row r="306" customFormat="false" ht="15" hidden="false" customHeight="false" outlineLevel="0" collapsed="false">
      <c r="A306" s="17"/>
      <c r="B306" s="17"/>
      <c r="C306" s="17"/>
      <c r="D306" s="17"/>
      <c r="E306" s="42"/>
      <c r="F306" s="17"/>
      <c r="G306" s="17"/>
      <c r="H306" s="17"/>
      <c r="I306" s="49" t="str">
        <f aca="false">IF(H306="","",IFERROR(INDEX(Settings!$G$2:$G$4,MATCH(H306,Settings!$F$2:$F$4,0)),""))</f>
        <v/>
      </c>
      <c r="J306" s="40"/>
      <c r="K306" s="50"/>
      <c r="L306" s="17"/>
      <c r="M306" s="40"/>
      <c r="N306" s="40"/>
      <c r="O306" s="45" t="str">
        <f aca="false">IF(N306="","",WORKDAY(N306,Settings!$S$4))</f>
        <v/>
      </c>
      <c r="P306" s="17"/>
      <c r="Q306" s="44" t="str">
        <f aca="true">IF(C306="","",IF(P306="Backed out",IF(S306="Paid","Refunded – closed",IF(R306="","Refund – log reason first","Refund in progress")),IF(K306="","Awaiting payment",IF(N306="",IF(M306="","Schedule free video","Free video in production"),IF(P306="Approved","Active",IF(TODAY()&gt;O306,"Active – plan went ahead","Decision pending – "&amp;NETWORKDAYS(TODAY(),O306)&amp;" working day(s) left"))))))</f>
        <v/>
      </c>
      <c r="R306" s="17"/>
      <c r="S306" s="17"/>
      <c r="T306" s="50"/>
      <c r="U306" s="40"/>
      <c r="V306" s="40"/>
      <c r="W306" s="45" t="str">
        <f aca="false">IF(V306="","",EDATE(V306,Settings!$S$6))</f>
        <v/>
      </c>
      <c r="X306" s="17"/>
      <c r="Y306" s="17"/>
      <c r="Z306" s="17"/>
    </row>
    <row r="307" customFormat="false" ht="15" hidden="false" customHeight="false" outlineLevel="0" collapsed="false">
      <c r="A307" s="17"/>
      <c r="B307" s="17"/>
      <c r="C307" s="17"/>
      <c r="D307" s="17"/>
      <c r="E307" s="42"/>
      <c r="F307" s="17"/>
      <c r="G307" s="17"/>
      <c r="H307" s="17"/>
      <c r="I307" s="49" t="str">
        <f aca="false">IF(H307="","",IFERROR(INDEX(Settings!$G$2:$G$4,MATCH(H307,Settings!$F$2:$F$4,0)),""))</f>
        <v/>
      </c>
      <c r="J307" s="40"/>
      <c r="K307" s="50"/>
      <c r="L307" s="17"/>
      <c r="M307" s="40"/>
      <c r="N307" s="40"/>
      <c r="O307" s="45" t="str">
        <f aca="false">IF(N307="","",WORKDAY(N307,Settings!$S$4))</f>
        <v/>
      </c>
      <c r="P307" s="17"/>
      <c r="Q307" s="44" t="str">
        <f aca="true">IF(C307="","",IF(P307="Backed out",IF(S307="Paid","Refunded – closed",IF(R307="","Refund – log reason first","Refund in progress")),IF(K307="","Awaiting payment",IF(N307="",IF(M307="","Schedule free video","Free video in production"),IF(P307="Approved","Active",IF(TODAY()&gt;O307,"Active – plan went ahead","Decision pending – "&amp;NETWORKDAYS(TODAY(),O307)&amp;" working day(s) left"))))))</f>
        <v/>
      </c>
      <c r="R307" s="17"/>
      <c r="S307" s="17"/>
      <c r="T307" s="50"/>
      <c r="U307" s="40"/>
      <c r="V307" s="40"/>
      <c r="W307" s="45" t="str">
        <f aca="false">IF(V307="","",EDATE(V307,Settings!$S$6))</f>
        <v/>
      </c>
      <c r="X307" s="17"/>
      <c r="Y307" s="17"/>
      <c r="Z307" s="17"/>
    </row>
    <row r="308" customFormat="false" ht="15" hidden="false" customHeight="false" outlineLevel="0" collapsed="false">
      <c r="A308" s="17"/>
      <c r="B308" s="17"/>
      <c r="C308" s="17"/>
      <c r="D308" s="17"/>
      <c r="E308" s="42"/>
      <c r="F308" s="17"/>
      <c r="G308" s="17"/>
      <c r="H308" s="17"/>
      <c r="I308" s="49" t="str">
        <f aca="false">IF(H308="","",IFERROR(INDEX(Settings!$G$2:$G$4,MATCH(H308,Settings!$F$2:$F$4,0)),""))</f>
        <v/>
      </c>
      <c r="J308" s="40"/>
      <c r="K308" s="50"/>
      <c r="L308" s="17"/>
      <c r="M308" s="40"/>
      <c r="N308" s="40"/>
      <c r="O308" s="45" t="str">
        <f aca="false">IF(N308="","",WORKDAY(N308,Settings!$S$4))</f>
        <v/>
      </c>
      <c r="P308" s="17"/>
      <c r="Q308" s="44" t="str">
        <f aca="true">IF(C308="","",IF(P308="Backed out",IF(S308="Paid","Refunded – closed",IF(R308="","Refund – log reason first","Refund in progress")),IF(K308="","Awaiting payment",IF(N308="",IF(M308="","Schedule free video","Free video in production"),IF(P308="Approved","Active",IF(TODAY()&gt;O308,"Active – plan went ahead","Decision pending – "&amp;NETWORKDAYS(TODAY(),O308)&amp;" working day(s) left"))))))</f>
        <v/>
      </c>
      <c r="R308" s="17"/>
      <c r="S308" s="17"/>
      <c r="T308" s="50"/>
      <c r="U308" s="40"/>
      <c r="V308" s="40"/>
      <c r="W308" s="45" t="str">
        <f aca="false">IF(V308="","",EDATE(V308,Settings!$S$6))</f>
        <v/>
      </c>
      <c r="X308" s="17"/>
      <c r="Y308" s="17"/>
      <c r="Z308" s="17"/>
    </row>
    <row r="309" customFormat="false" ht="15" hidden="false" customHeight="false" outlineLevel="0" collapsed="false">
      <c r="A309" s="17"/>
      <c r="B309" s="17"/>
      <c r="C309" s="17"/>
      <c r="D309" s="17"/>
      <c r="E309" s="42"/>
      <c r="F309" s="17"/>
      <c r="G309" s="17"/>
      <c r="H309" s="17"/>
      <c r="I309" s="49" t="str">
        <f aca="false">IF(H309="","",IFERROR(INDEX(Settings!$G$2:$G$4,MATCH(H309,Settings!$F$2:$F$4,0)),""))</f>
        <v/>
      </c>
      <c r="J309" s="40"/>
      <c r="K309" s="50"/>
      <c r="L309" s="17"/>
      <c r="M309" s="40"/>
      <c r="N309" s="40"/>
      <c r="O309" s="45" t="str">
        <f aca="false">IF(N309="","",WORKDAY(N309,Settings!$S$4))</f>
        <v/>
      </c>
      <c r="P309" s="17"/>
      <c r="Q309" s="44" t="str">
        <f aca="true">IF(C309="","",IF(P309="Backed out",IF(S309="Paid","Refunded – closed",IF(R309="","Refund – log reason first","Refund in progress")),IF(K309="","Awaiting payment",IF(N309="",IF(M309="","Schedule free video","Free video in production"),IF(P309="Approved","Active",IF(TODAY()&gt;O309,"Active – plan went ahead","Decision pending – "&amp;NETWORKDAYS(TODAY(),O309)&amp;" working day(s) left"))))))</f>
        <v/>
      </c>
      <c r="R309" s="17"/>
      <c r="S309" s="17"/>
      <c r="T309" s="50"/>
      <c r="U309" s="40"/>
      <c r="V309" s="40"/>
      <c r="W309" s="45" t="str">
        <f aca="false">IF(V309="","",EDATE(V309,Settings!$S$6))</f>
        <v/>
      </c>
      <c r="X309" s="17"/>
      <c r="Y309" s="17"/>
      <c r="Z309" s="17"/>
    </row>
    <row r="310" customFormat="false" ht="15" hidden="false" customHeight="false" outlineLevel="0" collapsed="false">
      <c r="A310" s="17"/>
      <c r="B310" s="17"/>
      <c r="C310" s="17"/>
      <c r="D310" s="17"/>
      <c r="E310" s="42"/>
      <c r="F310" s="17"/>
      <c r="G310" s="17"/>
      <c r="H310" s="17"/>
      <c r="I310" s="49" t="str">
        <f aca="false">IF(H310="","",IFERROR(INDEX(Settings!$G$2:$G$4,MATCH(H310,Settings!$F$2:$F$4,0)),""))</f>
        <v/>
      </c>
      <c r="J310" s="40"/>
      <c r="K310" s="50"/>
      <c r="L310" s="17"/>
      <c r="M310" s="40"/>
      <c r="N310" s="40"/>
      <c r="O310" s="45" t="str">
        <f aca="false">IF(N310="","",WORKDAY(N310,Settings!$S$4))</f>
        <v/>
      </c>
      <c r="P310" s="17"/>
      <c r="Q310" s="44" t="str">
        <f aca="true">IF(C310="","",IF(P310="Backed out",IF(S310="Paid","Refunded – closed",IF(R310="","Refund – log reason first","Refund in progress")),IF(K310="","Awaiting payment",IF(N310="",IF(M310="","Schedule free video","Free video in production"),IF(P310="Approved","Active",IF(TODAY()&gt;O310,"Active – plan went ahead","Decision pending – "&amp;NETWORKDAYS(TODAY(),O310)&amp;" working day(s) left"))))))</f>
        <v/>
      </c>
      <c r="R310" s="17"/>
      <c r="S310" s="17"/>
      <c r="T310" s="50"/>
      <c r="U310" s="40"/>
      <c r="V310" s="40"/>
      <c r="W310" s="45" t="str">
        <f aca="false">IF(V310="","",EDATE(V310,Settings!$S$6))</f>
        <v/>
      </c>
      <c r="X310" s="17"/>
      <c r="Y310" s="17"/>
      <c r="Z310" s="17"/>
    </row>
    <row r="311" customFormat="false" ht="15" hidden="false" customHeight="false" outlineLevel="0" collapsed="false">
      <c r="A311" s="17"/>
      <c r="B311" s="17"/>
      <c r="C311" s="17"/>
      <c r="D311" s="17"/>
      <c r="E311" s="42"/>
      <c r="F311" s="17"/>
      <c r="G311" s="17"/>
      <c r="H311" s="17"/>
      <c r="I311" s="49" t="str">
        <f aca="false">IF(H311="","",IFERROR(INDEX(Settings!$G$2:$G$4,MATCH(H311,Settings!$F$2:$F$4,0)),""))</f>
        <v/>
      </c>
      <c r="J311" s="40"/>
      <c r="K311" s="50"/>
      <c r="L311" s="17"/>
      <c r="M311" s="40"/>
      <c r="N311" s="40"/>
      <c r="O311" s="45" t="str">
        <f aca="false">IF(N311="","",WORKDAY(N311,Settings!$S$4))</f>
        <v/>
      </c>
      <c r="P311" s="17"/>
      <c r="Q311" s="44" t="str">
        <f aca="true">IF(C311="","",IF(P311="Backed out",IF(S311="Paid","Refunded – closed",IF(R311="","Refund – log reason first","Refund in progress")),IF(K311="","Awaiting payment",IF(N311="",IF(M311="","Schedule free video","Free video in production"),IF(P311="Approved","Active",IF(TODAY()&gt;O311,"Active – plan went ahead","Decision pending – "&amp;NETWORKDAYS(TODAY(),O311)&amp;" working day(s) left"))))))</f>
        <v/>
      </c>
      <c r="R311" s="17"/>
      <c r="S311" s="17"/>
      <c r="T311" s="50"/>
      <c r="U311" s="40"/>
      <c r="V311" s="40"/>
      <c r="W311" s="45" t="str">
        <f aca="false">IF(V311="","",EDATE(V311,Settings!$S$6))</f>
        <v/>
      </c>
      <c r="X311" s="17"/>
      <c r="Y311" s="17"/>
      <c r="Z311" s="17"/>
    </row>
    <row r="312" customFormat="false" ht="15" hidden="false" customHeight="false" outlineLevel="0" collapsed="false">
      <c r="A312" s="17"/>
      <c r="B312" s="17"/>
      <c r="C312" s="17"/>
      <c r="D312" s="17"/>
      <c r="E312" s="42"/>
      <c r="F312" s="17"/>
      <c r="G312" s="17"/>
      <c r="H312" s="17"/>
      <c r="I312" s="49" t="str">
        <f aca="false">IF(H312="","",IFERROR(INDEX(Settings!$G$2:$G$4,MATCH(H312,Settings!$F$2:$F$4,0)),""))</f>
        <v/>
      </c>
      <c r="J312" s="40"/>
      <c r="K312" s="50"/>
      <c r="L312" s="17"/>
      <c r="M312" s="40"/>
      <c r="N312" s="40"/>
      <c r="O312" s="45" t="str">
        <f aca="false">IF(N312="","",WORKDAY(N312,Settings!$S$4))</f>
        <v/>
      </c>
      <c r="P312" s="17"/>
      <c r="Q312" s="44" t="str">
        <f aca="true">IF(C312="","",IF(P312="Backed out",IF(S312="Paid","Refunded – closed",IF(R312="","Refund – log reason first","Refund in progress")),IF(K312="","Awaiting payment",IF(N312="",IF(M312="","Schedule free video","Free video in production"),IF(P312="Approved","Active",IF(TODAY()&gt;O312,"Active – plan went ahead","Decision pending – "&amp;NETWORKDAYS(TODAY(),O312)&amp;" working day(s) left"))))))</f>
        <v/>
      </c>
      <c r="R312" s="17"/>
      <c r="S312" s="17"/>
      <c r="T312" s="50"/>
      <c r="U312" s="40"/>
      <c r="V312" s="40"/>
      <c r="W312" s="45" t="str">
        <f aca="false">IF(V312="","",EDATE(V312,Settings!$S$6))</f>
        <v/>
      </c>
      <c r="X312" s="17"/>
      <c r="Y312" s="17"/>
      <c r="Z312" s="17"/>
    </row>
    <row r="313" customFormat="false" ht="15" hidden="false" customHeight="false" outlineLevel="0" collapsed="false">
      <c r="A313" s="17"/>
      <c r="B313" s="17"/>
      <c r="C313" s="17"/>
      <c r="D313" s="17"/>
      <c r="E313" s="42"/>
      <c r="F313" s="17"/>
      <c r="G313" s="17"/>
      <c r="H313" s="17"/>
      <c r="I313" s="49" t="str">
        <f aca="false">IF(H313="","",IFERROR(INDEX(Settings!$G$2:$G$4,MATCH(H313,Settings!$F$2:$F$4,0)),""))</f>
        <v/>
      </c>
      <c r="J313" s="40"/>
      <c r="K313" s="50"/>
      <c r="L313" s="17"/>
      <c r="M313" s="40"/>
      <c r="N313" s="40"/>
      <c r="O313" s="45" t="str">
        <f aca="false">IF(N313="","",WORKDAY(N313,Settings!$S$4))</f>
        <v/>
      </c>
      <c r="P313" s="17"/>
      <c r="Q313" s="44" t="str">
        <f aca="true">IF(C313="","",IF(P313="Backed out",IF(S313="Paid","Refunded – closed",IF(R313="","Refund – log reason first","Refund in progress")),IF(K313="","Awaiting payment",IF(N313="",IF(M313="","Schedule free video","Free video in production"),IF(P313="Approved","Active",IF(TODAY()&gt;O313,"Active – plan went ahead","Decision pending – "&amp;NETWORKDAYS(TODAY(),O313)&amp;" working day(s) left"))))))</f>
        <v/>
      </c>
      <c r="R313" s="17"/>
      <c r="S313" s="17"/>
      <c r="T313" s="50"/>
      <c r="U313" s="40"/>
      <c r="V313" s="40"/>
      <c r="W313" s="45" t="str">
        <f aca="false">IF(V313="","",EDATE(V313,Settings!$S$6))</f>
        <v/>
      </c>
      <c r="X313" s="17"/>
      <c r="Y313" s="17"/>
      <c r="Z313" s="17"/>
    </row>
    <row r="314" customFormat="false" ht="15" hidden="false" customHeight="false" outlineLevel="0" collapsed="false">
      <c r="A314" s="17"/>
      <c r="B314" s="17"/>
      <c r="C314" s="17"/>
      <c r="D314" s="17"/>
      <c r="E314" s="42"/>
      <c r="F314" s="17"/>
      <c r="G314" s="17"/>
      <c r="H314" s="17"/>
      <c r="I314" s="49" t="str">
        <f aca="false">IF(H314="","",IFERROR(INDEX(Settings!$G$2:$G$4,MATCH(H314,Settings!$F$2:$F$4,0)),""))</f>
        <v/>
      </c>
      <c r="J314" s="40"/>
      <c r="K314" s="50"/>
      <c r="L314" s="17"/>
      <c r="M314" s="40"/>
      <c r="N314" s="40"/>
      <c r="O314" s="45" t="str">
        <f aca="false">IF(N314="","",WORKDAY(N314,Settings!$S$4))</f>
        <v/>
      </c>
      <c r="P314" s="17"/>
      <c r="Q314" s="44" t="str">
        <f aca="true">IF(C314="","",IF(P314="Backed out",IF(S314="Paid","Refunded – closed",IF(R314="","Refund – log reason first","Refund in progress")),IF(K314="","Awaiting payment",IF(N314="",IF(M314="","Schedule free video","Free video in production"),IF(P314="Approved","Active",IF(TODAY()&gt;O314,"Active – plan went ahead","Decision pending – "&amp;NETWORKDAYS(TODAY(),O314)&amp;" working day(s) left"))))))</f>
        <v/>
      </c>
      <c r="R314" s="17"/>
      <c r="S314" s="17"/>
      <c r="T314" s="50"/>
      <c r="U314" s="40"/>
      <c r="V314" s="40"/>
      <c r="W314" s="45" t="str">
        <f aca="false">IF(V314="","",EDATE(V314,Settings!$S$6))</f>
        <v/>
      </c>
      <c r="X314" s="17"/>
      <c r="Y314" s="17"/>
      <c r="Z314" s="17"/>
    </row>
    <row r="315" customFormat="false" ht="15" hidden="false" customHeight="false" outlineLevel="0" collapsed="false">
      <c r="A315" s="17"/>
      <c r="B315" s="17"/>
      <c r="C315" s="17"/>
      <c r="D315" s="17"/>
      <c r="E315" s="42"/>
      <c r="F315" s="17"/>
      <c r="G315" s="17"/>
      <c r="H315" s="17"/>
      <c r="I315" s="49" t="str">
        <f aca="false">IF(H315="","",IFERROR(INDEX(Settings!$G$2:$G$4,MATCH(H315,Settings!$F$2:$F$4,0)),""))</f>
        <v/>
      </c>
      <c r="J315" s="40"/>
      <c r="K315" s="50"/>
      <c r="L315" s="17"/>
      <c r="M315" s="40"/>
      <c r="N315" s="40"/>
      <c r="O315" s="45" t="str">
        <f aca="false">IF(N315="","",WORKDAY(N315,Settings!$S$4))</f>
        <v/>
      </c>
      <c r="P315" s="17"/>
      <c r="Q315" s="44" t="str">
        <f aca="true">IF(C315="","",IF(P315="Backed out",IF(S315="Paid","Refunded – closed",IF(R315="","Refund – log reason first","Refund in progress")),IF(K315="","Awaiting payment",IF(N315="",IF(M315="","Schedule free video","Free video in production"),IF(P315="Approved","Active",IF(TODAY()&gt;O315,"Active – plan went ahead","Decision pending – "&amp;NETWORKDAYS(TODAY(),O315)&amp;" working day(s) left"))))))</f>
        <v/>
      </c>
      <c r="R315" s="17"/>
      <c r="S315" s="17"/>
      <c r="T315" s="50"/>
      <c r="U315" s="40"/>
      <c r="V315" s="40"/>
      <c r="W315" s="45" t="str">
        <f aca="false">IF(V315="","",EDATE(V315,Settings!$S$6))</f>
        <v/>
      </c>
      <c r="X315" s="17"/>
      <c r="Y315" s="17"/>
      <c r="Z315" s="17"/>
    </row>
    <row r="316" customFormat="false" ht="15" hidden="false" customHeight="false" outlineLevel="0" collapsed="false">
      <c r="A316" s="17"/>
      <c r="B316" s="17"/>
      <c r="C316" s="17"/>
      <c r="D316" s="17"/>
      <c r="E316" s="42"/>
      <c r="F316" s="17"/>
      <c r="G316" s="17"/>
      <c r="H316" s="17"/>
      <c r="I316" s="49" t="str">
        <f aca="false">IF(H316="","",IFERROR(INDEX(Settings!$G$2:$G$4,MATCH(H316,Settings!$F$2:$F$4,0)),""))</f>
        <v/>
      </c>
      <c r="J316" s="40"/>
      <c r="K316" s="50"/>
      <c r="L316" s="17"/>
      <c r="M316" s="40"/>
      <c r="N316" s="40"/>
      <c r="O316" s="45" t="str">
        <f aca="false">IF(N316="","",WORKDAY(N316,Settings!$S$4))</f>
        <v/>
      </c>
      <c r="P316" s="17"/>
      <c r="Q316" s="44" t="str">
        <f aca="true">IF(C316="","",IF(P316="Backed out",IF(S316="Paid","Refunded – closed",IF(R316="","Refund – log reason first","Refund in progress")),IF(K316="","Awaiting payment",IF(N316="",IF(M316="","Schedule free video","Free video in production"),IF(P316="Approved","Active",IF(TODAY()&gt;O316,"Active – plan went ahead","Decision pending – "&amp;NETWORKDAYS(TODAY(),O316)&amp;" working day(s) left"))))))</f>
        <v/>
      </c>
      <c r="R316" s="17"/>
      <c r="S316" s="17"/>
      <c r="T316" s="50"/>
      <c r="U316" s="40"/>
      <c r="V316" s="40"/>
      <c r="W316" s="45" t="str">
        <f aca="false">IF(V316="","",EDATE(V316,Settings!$S$6))</f>
        <v/>
      </c>
      <c r="X316" s="17"/>
      <c r="Y316" s="17"/>
      <c r="Z316" s="17"/>
    </row>
    <row r="317" customFormat="false" ht="15" hidden="false" customHeight="false" outlineLevel="0" collapsed="false">
      <c r="A317" s="17"/>
      <c r="B317" s="17"/>
      <c r="C317" s="17"/>
      <c r="D317" s="17"/>
      <c r="E317" s="42"/>
      <c r="F317" s="17"/>
      <c r="G317" s="17"/>
      <c r="H317" s="17"/>
      <c r="I317" s="49" t="str">
        <f aca="false">IF(H317="","",IFERROR(INDEX(Settings!$G$2:$G$4,MATCH(H317,Settings!$F$2:$F$4,0)),""))</f>
        <v/>
      </c>
      <c r="J317" s="40"/>
      <c r="K317" s="50"/>
      <c r="L317" s="17"/>
      <c r="M317" s="40"/>
      <c r="N317" s="40"/>
      <c r="O317" s="45" t="str">
        <f aca="false">IF(N317="","",WORKDAY(N317,Settings!$S$4))</f>
        <v/>
      </c>
      <c r="P317" s="17"/>
      <c r="Q317" s="44" t="str">
        <f aca="true">IF(C317="","",IF(P317="Backed out",IF(S317="Paid","Refunded – closed",IF(R317="","Refund – log reason first","Refund in progress")),IF(K317="","Awaiting payment",IF(N317="",IF(M317="","Schedule free video","Free video in production"),IF(P317="Approved","Active",IF(TODAY()&gt;O317,"Active – plan went ahead","Decision pending – "&amp;NETWORKDAYS(TODAY(),O317)&amp;" working day(s) left"))))))</f>
        <v/>
      </c>
      <c r="R317" s="17"/>
      <c r="S317" s="17"/>
      <c r="T317" s="50"/>
      <c r="U317" s="40"/>
      <c r="V317" s="40"/>
      <c r="W317" s="45" t="str">
        <f aca="false">IF(V317="","",EDATE(V317,Settings!$S$6))</f>
        <v/>
      </c>
      <c r="X317" s="17"/>
      <c r="Y317" s="17"/>
      <c r="Z317" s="17"/>
    </row>
    <row r="318" customFormat="false" ht="15" hidden="false" customHeight="false" outlineLevel="0" collapsed="false">
      <c r="A318" s="17"/>
      <c r="B318" s="17"/>
      <c r="C318" s="17"/>
      <c r="D318" s="17"/>
      <c r="E318" s="42"/>
      <c r="F318" s="17"/>
      <c r="G318" s="17"/>
      <c r="H318" s="17"/>
      <c r="I318" s="49" t="str">
        <f aca="false">IF(H318="","",IFERROR(INDEX(Settings!$G$2:$G$4,MATCH(H318,Settings!$F$2:$F$4,0)),""))</f>
        <v/>
      </c>
      <c r="J318" s="40"/>
      <c r="K318" s="50"/>
      <c r="L318" s="17"/>
      <c r="M318" s="40"/>
      <c r="N318" s="40"/>
      <c r="O318" s="45" t="str">
        <f aca="false">IF(N318="","",WORKDAY(N318,Settings!$S$4))</f>
        <v/>
      </c>
      <c r="P318" s="17"/>
      <c r="Q318" s="44" t="str">
        <f aca="true">IF(C318="","",IF(P318="Backed out",IF(S318="Paid","Refunded – closed",IF(R318="","Refund – log reason first","Refund in progress")),IF(K318="","Awaiting payment",IF(N318="",IF(M318="","Schedule free video","Free video in production"),IF(P318="Approved","Active",IF(TODAY()&gt;O318,"Active – plan went ahead","Decision pending – "&amp;NETWORKDAYS(TODAY(),O318)&amp;" working day(s) left"))))))</f>
        <v/>
      </c>
      <c r="R318" s="17"/>
      <c r="S318" s="17"/>
      <c r="T318" s="50"/>
      <c r="U318" s="40"/>
      <c r="V318" s="40"/>
      <c r="W318" s="45" t="str">
        <f aca="false">IF(V318="","",EDATE(V318,Settings!$S$6))</f>
        <v/>
      </c>
      <c r="X318" s="17"/>
      <c r="Y318" s="17"/>
      <c r="Z318" s="17"/>
    </row>
    <row r="319" customFormat="false" ht="15" hidden="false" customHeight="false" outlineLevel="0" collapsed="false">
      <c r="A319" s="17"/>
      <c r="B319" s="17"/>
      <c r="C319" s="17"/>
      <c r="D319" s="17"/>
      <c r="E319" s="42"/>
      <c r="F319" s="17"/>
      <c r="G319" s="17"/>
      <c r="H319" s="17"/>
      <c r="I319" s="49" t="str">
        <f aca="false">IF(H319="","",IFERROR(INDEX(Settings!$G$2:$G$4,MATCH(H319,Settings!$F$2:$F$4,0)),""))</f>
        <v/>
      </c>
      <c r="J319" s="40"/>
      <c r="K319" s="50"/>
      <c r="L319" s="17"/>
      <c r="M319" s="40"/>
      <c r="N319" s="40"/>
      <c r="O319" s="45" t="str">
        <f aca="false">IF(N319="","",WORKDAY(N319,Settings!$S$4))</f>
        <v/>
      </c>
      <c r="P319" s="17"/>
      <c r="Q319" s="44" t="str">
        <f aca="true">IF(C319="","",IF(P319="Backed out",IF(S319="Paid","Refunded – closed",IF(R319="","Refund – log reason first","Refund in progress")),IF(K319="","Awaiting payment",IF(N319="",IF(M319="","Schedule free video","Free video in production"),IF(P319="Approved","Active",IF(TODAY()&gt;O319,"Active – plan went ahead","Decision pending – "&amp;NETWORKDAYS(TODAY(),O319)&amp;" working day(s) left"))))))</f>
        <v/>
      </c>
      <c r="R319" s="17"/>
      <c r="S319" s="17"/>
      <c r="T319" s="50"/>
      <c r="U319" s="40"/>
      <c r="V319" s="40"/>
      <c r="W319" s="45" t="str">
        <f aca="false">IF(V319="","",EDATE(V319,Settings!$S$6))</f>
        <v/>
      </c>
      <c r="X319" s="17"/>
      <c r="Y319" s="17"/>
      <c r="Z319" s="17"/>
    </row>
    <row r="320" customFormat="false" ht="15" hidden="false" customHeight="false" outlineLevel="0" collapsed="false">
      <c r="A320" s="17"/>
      <c r="B320" s="17"/>
      <c r="C320" s="17"/>
      <c r="D320" s="17"/>
      <c r="E320" s="42"/>
      <c r="F320" s="17"/>
      <c r="G320" s="17"/>
      <c r="H320" s="17"/>
      <c r="I320" s="49" t="str">
        <f aca="false">IF(H320="","",IFERROR(INDEX(Settings!$G$2:$G$4,MATCH(H320,Settings!$F$2:$F$4,0)),""))</f>
        <v/>
      </c>
      <c r="J320" s="40"/>
      <c r="K320" s="50"/>
      <c r="L320" s="17"/>
      <c r="M320" s="40"/>
      <c r="N320" s="40"/>
      <c r="O320" s="45" t="str">
        <f aca="false">IF(N320="","",WORKDAY(N320,Settings!$S$4))</f>
        <v/>
      </c>
      <c r="P320" s="17"/>
      <c r="Q320" s="44" t="str">
        <f aca="true">IF(C320="","",IF(P320="Backed out",IF(S320="Paid","Refunded – closed",IF(R320="","Refund – log reason first","Refund in progress")),IF(K320="","Awaiting payment",IF(N320="",IF(M320="","Schedule free video","Free video in production"),IF(P320="Approved","Active",IF(TODAY()&gt;O320,"Active – plan went ahead","Decision pending – "&amp;NETWORKDAYS(TODAY(),O320)&amp;" working day(s) left"))))))</f>
        <v/>
      </c>
      <c r="R320" s="17"/>
      <c r="S320" s="17"/>
      <c r="T320" s="50"/>
      <c r="U320" s="40"/>
      <c r="V320" s="40"/>
      <c r="W320" s="45" t="str">
        <f aca="false">IF(V320="","",EDATE(V320,Settings!$S$6))</f>
        <v/>
      </c>
      <c r="X320" s="17"/>
      <c r="Y320" s="17"/>
      <c r="Z320" s="17"/>
    </row>
    <row r="321" customFormat="false" ht="15" hidden="false" customHeight="false" outlineLevel="0" collapsed="false">
      <c r="A321" s="17"/>
      <c r="B321" s="17"/>
      <c r="C321" s="17"/>
      <c r="D321" s="17"/>
      <c r="E321" s="42"/>
      <c r="F321" s="17"/>
      <c r="G321" s="17"/>
      <c r="H321" s="17"/>
      <c r="I321" s="49" t="str">
        <f aca="false">IF(H321="","",IFERROR(INDEX(Settings!$G$2:$G$4,MATCH(H321,Settings!$F$2:$F$4,0)),""))</f>
        <v/>
      </c>
      <c r="J321" s="40"/>
      <c r="K321" s="50"/>
      <c r="L321" s="17"/>
      <c r="M321" s="40"/>
      <c r="N321" s="40"/>
      <c r="O321" s="45" t="str">
        <f aca="false">IF(N321="","",WORKDAY(N321,Settings!$S$4))</f>
        <v/>
      </c>
      <c r="P321" s="17"/>
      <c r="Q321" s="44" t="str">
        <f aca="true">IF(C321="","",IF(P321="Backed out",IF(S321="Paid","Refunded – closed",IF(R321="","Refund – log reason first","Refund in progress")),IF(K321="","Awaiting payment",IF(N321="",IF(M321="","Schedule free video","Free video in production"),IF(P321="Approved","Active",IF(TODAY()&gt;O321,"Active – plan went ahead","Decision pending – "&amp;NETWORKDAYS(TODAY(),O321)&amp;" working day(s) left"))))))</f>
        <v/>
      </c>
      <c r="R321" s="17"/>
      <c r="S321" s="17"/>
      <c r="T321" s="50"/>
      <c r="U321" s="40"/>
      <c r="V321" s="40"/>
      <c r="W321" s="45" t="str">
        <f aca="false">IF(V321="","",EDATE(V321,Settings!$S$6))</f>
        <v/>
      </c>
      <c r="X321" s="17"/>
      <c r="Y321" s="17"/>
      <c r="Z321" s="17"/>
    </row>
    <row r="322" customFormat="false" ht="15" hidden="false" customHeight="false" outlineLevel="0" collapsed="false">
      <c r="A322" s="17"/>
      <c r="B322" s="17"/>
      <c r="C322" s="17"/>
      <c r="D322" s="17"/>
      <c r="E322" s="42"/>
      <c r="F322" s="17"/>
      <c r="G322" s="17"/>
      <c r="H322" s="17"/>
      <c r="I322" s="49" t="str">
        <f aca="false">IF(H322="","",IFERROR(INDEX(Settings!$G$2:$G$4,MATCH(H322,Settings!$F$2:$F$4,0)),""))</f>
        <v/>
      </c>
      <c r="J322" s="40"/>
      <c r="K322" s="50"/>
      <c r="L322" s="17"/>
      <c r="M322" s="40"/>
      <c r="N322" s="40"/>
      <c r="O322" s="45" t="str">
        <f aca="false">IF(N322="","",WORKDAY(N322,Settings!$S$4))</f>
        <v/>
      </c>
      <c r="P322" s="17"/>
      <c r="Q322" s="44" t="str">
        <f aca="true">IF(C322="","",IF(P322="Backed out",IF(S322="Paid","Refunded – closed",IF(R322="","Refund – log reason first","Refund in progress")),IF(K322="","Awaiting payment",IF(N322="",IF(M322="","Schedule free video","Free video in production"),IF(P322="Approved","Active",IF(TODAY()&gt;O322,"Active – plan went ahead","Decision pending – "&amp;NETWORKDAYS(TODAY(),O322)&amp;" working day(s) left"))))))</f>
        <v/>
      </c>
      <c r="R322" s="17"/>
      <c r="S322" s="17"/>
      <c r="T322" s="50"/>
      <c r="U322" s="40"/>
      <c r="V322" s="40"/>
      <c r="W322" s="45" t="str">
        <f aca="false">IF(V322="","",EDATE(V322,Settings!$S$6))</f>
        <v/>
      </c>
      <c r="X322" s="17"/>
      <c r="Y322" s="17"/>
      <c r="Z322" s="17"/>
    </row>
    <row r="323" customFormat="false" ht="15" hidden="false" customHeight="false" outlineLevel="0" collapsed="false">
      <c r="A323" s="17"/>
      <c r="B323" s="17"/>
      <c r="C323" s="17"/>
      <c r="D323" s="17"/>
      <c r="E323" s="42"/>
      <c r="F323" s="17"/>
      <c r="G323" s="17"/>
      <c r="H323" s="17"/>
      <c r="I323" s="49" t="str">
        <f aca="false">IF(H323="","",IFERROR(INDEX(Settings!$G$2:$G$4,MATCH(H323,Settings!$F$2:$F$4,0)),""))</f>
        <v/>
      </c>
      <c r="J323" s="40"/>
      <c r="K323" s="50"/>
      <c r="L323" s="17"/>
      <c r="M323" s="40"/>
      <c r="N323" s="40"/>
      <c r="O323" s="45" t="str">
        <f aca="false">IF(N323="","",WORKDAY(N323,Settings!$S$4))</f>
        <v/>
      </c>
      <c r="P323" s="17"/>
      <c r="Q323" s="44" t="str">
        <f aca="true">IF(C323="","",IF(P323="Backed out",IF(S323="Paid","Refunded – closed",IF(R323="","Refund – log reason first","Refund in progress")),IF(K323="","Awaiting payment",IF(N323="",IF(M323="","Schedule free video","Free video in production"),IF(P323="Approved","Active",IF(TODAY()&gt;O323,"Active – plan went ahead","Decision pending – "&amp;NETWORKDAYS(TODAY(),O323)&amp;" working day(s) left"))))))</f>
        <v/>
      </c>
      <c r="R323" s="17"/>
      <c r="S323" s="17"/>
      <c r="T323" s="50"/>
      <c r="U323" s="40"/>
      <c r="V323" s="40"/>
      <c r="W323" s="45" t="str">
        <f aca="false">IF(V323="","",EDATE(V323,Settings!$S$6))</f>
        <v/>
      </c>
      <c r="X323" s="17"/>
      <c r="Y323" s="17"/>
      <c r="Z323" s="17"/>
    </row>
    <row r="324" customFormat="false" ht="15" hidden="false" customHeight="false" outlineLevel="0" collapsed="false">
      <c r="A324" s="17"/>
      <c r="B324" s="17"/>
      <c r="C324" s="17"/>
      <c r="D324" s="17"/>
      <c r="E324" s="42"/>
      <c r="F324" s="17"/>
      <c r="G324" s="17"/>
      <c r="H324" s="17"/>
      <c r="I324" s="49" t="str">
        <f aca="false">IF(H324="","",IFERROR(INDEX(Settings!$G$2:$G$4,MATCH(H324,Settings!$F$2:$F$4,0)),""))</f>
        <v/>
      </c>
      <c r="J324" s="40"/>
      <c r="K324" s="50"/>
      <c r="L324" s="17"/>
      <c r="M324" s="40"/>
      <c r="N324" s="40"/>
      <c r="O324" s="45" t="str">
        <f aca="false">IF(N324="","",WORKDAY(N324,Settings!$S$4))</f>
        <v/>
      </c>
      <c r="P324" s="17"/>
      <c r="Q324" s="44" t="str">
        <f aca="true">IF(C324="","",IF(P324="Backed out",IF(S324="Paid","Refunded – closed",IF(R324="","Refund – log reason first","Refund in progress")),IF(K324="","Awaiting payment",IF(N324="",IF(M324="","Schedule free video","Free video in production"),IF(P324="Approved","Active",IF(TODAY()&gt;O324,"Active – plan went ahead","Decision pending – "&amp;NETWORKDAYS(TODAY(),O324)&amp;" working day(s) left"))))))</f>
        <v/>
      </c>
      <c r="R324" s="17"/>
      <c r="S324" s="17"/>
      <c r="T324" s="50"/>
      <c r="U324" s="40"/>
      <c r="V324" s="40"/>
      <c r="W324" s="45" t="str">
        <f aca="false">IF(V324="","",EDATE(V324,Settings!$S$6))</f>
        <v/>
      </c>
      <c r="X324" s="17"/>
      <c r="Y324" s="17"/>
      <c r="Z324" s="17"/>
    </row>
    <row r="325" customFormat="false" ht="15" hidden="false" customHeight="false" outlineLevel="0" collapsed="false">
      <c r="A325" s="17"/>
      <c r="B325" s="17"/>
      <c r="C325" s="17"/>
      <c r="D325" s="17"/>
      <c r="E325" s="42"/>
      <c r="F325" s="17"/>
      <c r="G325" s="17"/>
      <c r="H325" s="17"/>
      <c r="I325" s="49" t="str">
        <f aca="false">IF(H325="","",IFERROR(INDEX(Settings!$G$2:$G$4,MATCH(H325,Settings!$F$2:$F$4,0)),""))</f>
        <v/>
      </c>
      <c r="J325" s="40"/>
      <c r="K325" s="50"/>
      <c r="L325" s="17"/>
      <c r="M325" s="40"/>
      <c r="N325" s="40"/>
      <c r="O325" s="45" t="str">
        <f aca="false">IF(N325="","",WORKDAY(N325,Settings!$S$4))</f>
        <v/>
      </c>
      <c r="P325" s="17"/>
      <c r="Q325" s="44" t="str">
        <f aca="true">IF(C325="","",IF(P325="Backed out",IF(S325="Paid","Refunded – closed",IF(R325="","Refund – log reason first","Refund in progress")),IF(K325="","Awaiting payment",IF(N325="",IF(M325="","Schedule free video","Free video in production"),IF(P325="Approved","Active",IF(TODAY()&gt;O325,"Active – plan went ahead","Decision pending – "&amp;NETWORKDAYS(TODAY(),O325)&amp;" working day(s) left"))))))</f>
        <v/>
      </c>
      <c r="R325" s="17"/>
      <c r="S325" s="17"/>
      <c r="T325" s="50"/>
      <c r="U325" s="40"/>
      <c r="V325" s="40"/>
      <c r="W325" s="45" t="str">
        <f aca="false">IF(V325="","",EDATE(V325,Settings!$S$6))</f>
        <v/>
      </c>
      <c r="X325" s="17"/>
      <c r="Y325" s="17"/>
      <c r="Z325" s="17"/>
    </row>
    <row r="326" customFormat="false" ht="15" hidden="false" customHeight="false" outlineLevel="0" collapsed="false">
      <c r="A326" s="17"/>
      <c r="B326" s="17"/>
      <c r="C326" s="17"/>
      <c r="D326" s="17"/>
      <c r="E326" s="42"/>
      <c r="F326" s="17"/>
      <c r="G326" s="17"/>
      <c r="H326" s="17"/>
      <c r="I326" s="49" t="str">
        <f aca="false">IF(H326="","",IFERROR(INDEX(Settings!$G$2:$G$4,MATCH(H326,Settings!$F$2:$F$4,0)),""))</f>
        <v/>
      </c>
      <c r="J326" s="40"/>
      <c r="K326" s="50"/>
      <c r="L326" s="17"/>
      <c r="M326" s="40"/>
      <c r="N326" s="40"/>
      <c r="O326" s="45" t="str">
        <f aca="false">IF(N326="","",WORKDAY(N326,Settings!$S$4))</f>
        <v/>
      </c>
      <c r="P326" s="17"/>
      <c r="Q326" s="44" t="str">
        <f aca="true">IF(C326="","",IF(P326="Backed out",IF(S326="Paid","Refunded – closed",IF(R326="","Refund – log reason first","Refund in progress")),IF(K326="","Awaiting payment",IF(N326="",IF(M326="","Schedule free video","Free video in production"),IF(P326="Approved","Active",IF(TODAY()&gt;O326,"Active – plan went ahead","Decision pending – "&amp;NETWORKDAYS(TODAY(),O326)&amp;" working day(s) left"))))))</f>
        <v/>
      </c>
      <c r="R326" s="17"/>
      <c r="S326" s="17"/>
      <c r="T326" s="50"/>
      <c r="U326" s="40"/>
      <c r="V326" s="40"/>
      <c r="W326" s="45" t="str">
        <f aca="false">IF(V326="","",EDATE(V326,Settings!$S$6))</f>
        <v/>
      </c>
      <c r="X326" s="17"/>
      <c r="Y326" s="17"/>
      <c r="Z326" s="17"/>
    </row>
    <row r="327" customFormat="false" ht="15" hidden="false" customHeight="false" outlineLevel="0" collapsed="false">
      <c r="A327" s="17"/>
      <c r="B327" s="17"/>
      <c r="C327" s="17"/>
      <c r="D327" s="17"/>
      <c r="E327" s="42"/>
      <c r="F327" s="17"/>
      <c r="G327" s="17"/>
      <c r="H327" s="17"/>
      <c r="I327" s="49" t="str">
        <f aca="false">IF(H327="","",IFERROR(INDEX(Settings!$G$2:$G$4,MATCH(H327,Settings!$F$2:$F$4,0)),""))</f>
        <v/>
      </c>
      <c r="J327" s="40"/>
      <c r="K327" s="50"/>
      <c r="L327" s="17"/>
      <c r="M327" s="40"/>
      <c r="N327" s="40"/>
      <c r="O327" s="45" t="str">
        <f aca="false">IF(N327="","",WORKDAY(N327,Settings!$S$4))</f>
        <v/>
      </c>
      <c r="P327" s="17"/>
      <c r="Q327" s="44" t="str">
        <f aca="true">IF(C327="","",IF(P327="Backed out",IF(S327="Paid","Refunded – closed",IF(R327="","Refund – log reason first","Refund in progress")),IF(K327="","Awaiting payment",IF(N327="",IF(M327="","Schedule free video","Free video in production"),IF(P327="Approved","Active",IF(TODAY()&gt;O327,"Active – plan went ahead","Decision pending – "&amp;NETWORKDAYS(TODAY(),O327)&amp;" working day(s) left"))))))</f>
        <v/>
      </c>
      <c r="R327" s="17"/>
      <c r="S327" s="17"/>
      <c r="T327" s="50"/>
      <c r="U327" s="40"/>
      <c r="V327" s="40"/>
      <c r="W327" s="45" t="str">
        <f aca="false">IF(V327="","",EDATE(V327,Settings!$S$6))</f>
        <v/>
      </c>
      <c r="X327" s="17"/>
      <c r="Y327" s="17"/>
      <c r="Z327" s="17"/>
    </row>
    <row r="328" customFormat="false" ht="15" hidden="false" customHeight="false" outlineLevel="0" collapsed="false">
      <c r="A328" s="17"/>
      <c r="B328" s="17"/>
      <c r="C328" s="17"/>
      <c r="D328" s="17"/>
      <c r="E328" s="42"/>
      <c r="F328" s="17"/>
      <c r="G328" s="17"/>
      <c r="H328" s="17"/>
      <c r="I328" s="49" t="str">
        <f aca="false">IF(H328="","",IFERROR(INDEX(Settings!$G$2:$G$4,MATCH(H328,Settings!$F$2:$F$4,0)),""))</f>
        <v/>
      </c>
      <c r="J328" s="40"/>
      <c r="K328" s="50"/>
      <c r="L328" s="17"/>
      <c r="M328" s="40"/>
      <c r="N328" s="40"/>
      <c r="O328" s="45" t="str">
        <f aca="false">IF(N328="","",WORKDAY(N328,Settings!$S$4))</f>
        <v/>
      </c>
      <c r="P328" s="17"/>
      <c r="Q328" s="44" t="str">
        <f aca="true">IF(C328="","",IF(P328="Backed out",IF(S328="Paid","Refunded – closed",IF(R328="","Refund – log reason first","Refund in progress")),IF(K328="","Awaiting payment",IF(N328="",IF(M328="","Schedule free video","Free video in production"),IF(P328="Approved","Active",IF(TODAY()&gt;O328,"Active – plan went ahead","Decision pending – "&amp;NETWORKDAYS(TODAY(),O328)&amp;" working day(s) left"))))))</f>
        <v/>
      </c>
      <c r="R328" s="17"/>
      <c r="S328" s="17"/>
      <c r="T328" s="50"/>
      <c r="U328" s="40"/>
      <c r="V328" s="40"/>
      <c r="W328" s="45" t="str">
        <f aca="false">IF(V328="","",EDATE(V328,Settings!$S$6))</f>
        <v/>
      </c>
      <c r="X328" s="17"/>
      <c r="Y328" s="17"/>
      <c r="Z328" s="17"/>
    </row>
    <row r="329" customFormat="false" ht="15" hidden="false" customHeight="false" outlineLevel="0" collapsed="false">
      <c r="A329" s="17"/>
      <c r="B329" s="17"/>
      <c r="C329" s="17"/>
      <c r="D329" s="17"/>
      <c r="E329" s="42"/>
      <c r="F329" s="17"/>
      <c r="G329" s="17"/>
      <c r="H329" s="17"/>
      <c r="I329" s="49" t="str">
        <f aca="false">IF(H329="","",IFERROR(INDEX(Settings!$G$2:$G$4,MATCH(H329,Settings!$F$2:$F$4,0)),""))</f>
        <v/>
      </c>
      <c r="J329" s="40"/>
      <c r="K329" s="50"/>
      <c r="L329" s="17"/>
      <c r="M329" s="40"/>
      <c r="N329" s="40"/>
      <c r="O329" s="45" t="str">
        <f aca="false">IF(N329="","",WORKDAY(N329,Settings!$S$4))</f>
        <v/>
      </c>
      <c r="P329" s="17"/>
      <c r="Q329" s="44" t="str">
        <f aca="true">IF(C329="","",IF(P329="Backed out",IF(S329="Paid","Refunded – closed",IF(R329="","Refund – log reason first","Refund in progress")),IF(K329="","Awaiting payment",IF(N329="",IF(M329="","Schedule free video","Free video in production"),IF(P329="Approved","Active",IF(TODAY()&gt;O329,"Active – plan went ahead","Decision pending – "&amp;NETWORKDAYS(TODAY(),O329)&amp;" working day(s) left"))))))</f>
        <v/>
      </c>
      <c r="R329" s="17"/>
      <c r="S329" s="17"/>
      <c r="T329" s="50"/>
      <c r="U329" s="40"/>
      <c r="V329" s="40"/>
      <c r="W329" s="45" t="str">
        <f aca="false">IF(V329="","",EDATE(V329,Settings!$S$6))</f>
        <v/>
      </c>
      <c r="X329" s="17"/>
      <c r="Y329" s="17"/>
      <c r="Z329" s="17"/>
    </row>
    <row r="330" customFormat="false" ht="15" hidden="false" customHeight="false" outlineLevel="0" collapsed="false">
      <c r="A330" s="17"/>
      <c r="B330" s="17"/>
      <c r="C330" s="17"/>
      <c r="D330" s="17"/>
      <c r="E330" s="42"/>
      <c r="F330" s="17"/>
      <c r="G330" s="17"/>
      <c r="H330" s="17"/>
      <c r="I330" s="49" t="str">
        <f aca="false">IF(H330="","",IFERROR(INDEX(Settings!$G$2:$G$4,MATCH(H330,Settings!$F$2:$F$4,0)),""))</f>
        <v/>
      </c>
      <c r="J330" s="40"/>
      <c r="K330" s="50"/>
      <c r="L330" s="17"/>
      <c r="M330" s="40"/>
      <c r="N330" s="40"/>
      <c r="O330" s="45" t="str">
        <f aca="false">IF(N330="","",WORKDAY(N330,Settings!$S$4))</f>
        <v/>
      </c>
      <c r="P330" s="17"/>
      <c r="Q330" s="44" t="str">
        <f aca="true">IF(C330="","",IF(P330="Backed out",IF(S330="Paid","Refunded – closed",IF(R330="","Refund – log reason first","Refund in progress")),IF(K330="","Awaiting payment",IF(N330="",IF(M330="","Schedule free video","Free video in production"),IF(P330="Approved","Active",IF(TODAY()&gt;O330,"Active – plan went ahead","Decision pending – "&amp;NETWORKDAYS(TODAY(),O330)&amp;" working day(s) left"))))))</f>
        <v/>
      </c>
      <c r="R330" s="17"/>
      <c r="S330" s="17"/>
      <c r="T330" s="50"/>
      <c r="U330" s="40"/>
      <c r="V330" s="40"/>
      <c r="W330" s="45" t="str">
        <f aca="false">IF(V330="","",EDATE(V330,Settings!$S$6))</f>
        <v/>
      </c>
      <c r="X330" s="17"/>
      <c r="Y330" s="17"/>
      <c r="Z330" s="17"/>
    </row>
    <row r="331" customFormat="false" ht="15" hidden="false" customHeight="false" outlineLevel="0" collapsed="false">
      <c r="A331" s="17"/>
      <c r="B331" s="17"/>
      <c r="C331" s="17"/>
      <c r="D331" s="17"/>
      <c r="E331" s="42"/>
      <c r="F331" s="17"/>
      <c r="G331" s="17"/>
      <c r="H331" s="17"/>
      <c r="I331" s="49" t="str">
        <f aca="false">IF(H331="","",IFERROR(INDEX(Settings!$G$2:$G$4,MATCH(H331,Settings!$F$2:$F$4,0)),""))</f>
        <v/>
      </c>
      <c r="J331" s="40"/>
      <c r="K331" s="50"/>
      <c r="L331" s="17"/>
      <c r="M331" s="40"/>
      <c r="N331" s="40"/>
      <c r="O331" s="45" t="str">
        <f aca="false">IF(N331="","",WORKDAY(N331,Settings!$S$4))</f>
        <v/>
      </c>
      <c r="P331" s="17"/>
      <c r="Q331" s="44" t="str">
        <f aca="true">IF(C331="","",IF(P331="Backed out",IF(S331="Paid","Refunded – closed",IF(R331="","Refund – log reason first","Refund in progress")),IF(K331="","Awaiting payment",IF(N331="",IF(M331="","Schedule free video","Free video in production"),IF(P331="Approved","Active",IF(TODAY()&gt;O331,"Active – plan went ahead","Decision pending – "&amp;NETWORKDAYS(TODAY(),O331)&amp;" working day(s) left"))))))</f>
        <v/>
      </c>
      <c r="R331" s="17"/>
      <c r="S331" s="17"/>
      <c r="T331" s="50"/>
      <c r="U331" s="40"/>
      <c r="V331" s="40"/>
      <c r="W331" s="45" t="str">
        <f aca="false">IF(V331="","",EDATE(V331,Settings!$S$6))</f>
        <v/>
      </c>
      <c r="X331" s="17"/>
      <c r="Y331" s="17"/>
      <c r="Z331" s="17"/>
    </row>
    <row r="332" customFormat="false" ht="15" hidden="false" customHeight="false" outlineLevel="0" collapsed="false">
      <c r="A332" s="17"/>
      <c r="B332" s="17"/>
      <c r="C332" s="17"/>
      <c r="D332" s="17"/>
      <c r="E332" s="42"/>
      <c r="F332" s="17"/>
      <c r="G332" s="17"/>
      <c r="H332" s="17"/>
      <c r="I332" s="49" t="str">
        <f aca="false">IF(H332="","",IFERROR(INDEX(Settings!$G$2:$G$4,MATCH(H332,Settings!$F$2:$F$4,0)),""))</f>
        <v/>
      </c>
      <c r="J332" s="40"/>
      <c r="K332" s="50"/>
      <c r="L332" s="17"/>
      <c r="M332" s="40"/>
      <c r="N332" s="40"/>
      <c r="O332" s="45" t="str">
        <f aca="false">IF(N332="","",WORKDAY(N332,Settings!$S$4))</f>
        <v/>
      </c>
      <c r="P332" s="17"/>
      <c r="Q332" s="44" t="str">
        <f aca="true">IF(C332="","",IF(P332="Backed out",IF(S332="Paid","Refunded – closed",IF(R332="","Refund – log reason first","Refund in progress")),IF(K332="","Awaiting payment",IF(N332="",IF(M332="","Schedule free video","Free video in production"),IF(P332="Approved","Active",IF(TODAY()&gt;O332,"Active – plan went ahead","Decision pending – "&amp;NETWORKDAYS(TODAY(),O332)&amp;" working day(s) left"))))))</f>
        <v/>
      </c>
      <c r="R332" s="17"/>
      <c r="S332" s="17"/>
      <c r="T332" s="50"/>
      <c r="U332" s="40"/>
      <c r="V332" s="40"/>
      <c r="W332" s="45" t="str">
        <f aca="false">IF(V332="","",EDATE(V332,Settings!$S$6))</f>
        <v/>
      </c>
      <c r="X332" s="17"/>
      <c r="Y332" s="17"/>
      <c r="Z332" s="17"/>
    </row>
    <row r="333" customFormat="false" ht="15" hidden="false" customHeight="false" outlineLevel="0" collapsed="false">
      <c r="A333" s="17"/>
      <c r="B333" s="17"/>
      <c r="C333" s="17"/>
      <c r="D333" s="17"/>
      <c r="E333" s="42"/>
      <c r="F333" s="17"/>
      <c r="G333" s="17"/>
      <c r="H333" s="17"/>
      <c r="I333" s="49" t="str">
        <f aca="false">IF(H333="","",IFERROR(INDEX(Settings!$G$2:$G$4,MATCH(H333,Settings!$F$2:$F$4,0)),""))</f>
        <v/>
      </c>
      <c r="J333" s="40"/>
      <c r="K333" s="50"/>
      <c r="L333" s="17"/>
      <c r="M333" s="40"/>
      <c r="N333" s="40"/>
      <c r="O333" s="45" t="str">
        <f aca="false">IF(N333="","",WORKDAY(N333,Settings!$S$4))</f>
        <v/>
      </c>
      <c r="P333" s="17"/>
      <c r="Q333" s="44" t="str">
        <f aca="true">IF(C333="","",IF(P333="Backed out",IF(S333="Paid","Refunded – closed",IF(R333="","Refund – log reason first","Refund in progress")),IF(K333="","Awaiting payment",IF(N333="",IF(M333="","Schedule free video","Free video in production"),IF(P333="Approved","Active",IF(TODAY()&gt;O333,"Active – plan went ahead","Decision pending – "&amp;NETWORKDAYS(TODAY(),O333)&amp;" working day(s) left"))))))</f>
        <v/>
      </c>
      <c r="R333" s="17"/>
      <c r="S333" s="17"/>
      <c r="T333" s="50"/>
      <c r="U333" s="40"/>
      <c r="V333" s="40"/>
      <c r="W333" s="45" t="str">
        <f aca="false">IF(V333="","",EDATE(V333,Settings!$S$6))</f>
        <v/>
      </c>
      <c r="X333" s="17"/>
      <c r="Y333" s="17"/>
      <c r="Z333" s="17"/>
    </row>
    <row r="334" customFormat="false" ht="15" hidden="false" customHeight="false" outlineLevel="0" collapsed="false">
      <c r="A334" s="17"/>
      <c r="B334" s="17"/>
      <c r="C334" s="17"/>
      <c r="D334" s="17"/>
      <c r="E334" s="42"/>
      <c r="F334" s="17"/>
      <c r="G334" s="17"/>
      <c r="H334" s="17"/>
      <c r="I334" s="49" t="str">
        <f aca="false">IF(H334="","",IFERROR(INDEX(Settings!$G$2:$G$4,MATCH(H334,Settings!$F$2:$F$4,0)),""))</f>
        <v/>
      </c>
      <c r="J334" s="40"/>
      <c r="K334" s="50"/>
      <c r="L334" s="17"/>
      <c r="M334" s="40"/>
      <c r="N334" s="40"/>
      <c r="O334" s="45" t="str">
        <f aca="false">IF(N334="","",WORKDAY(N334,Settings!$S$4))</f>
        <v/>
      </c>
      <c r="P334" s="17"/>
      <c r="Q334" s="44" t="str">
        <f aca="true">IF(C334="","",IF(P334="Backed out",IF(S334="Paid","Refunded – closed",IF(R334="","Refund – log reason first","Refund in progress")),IF(K334="","Awaiting payment",IF(N334="",IF(M334="","Schedule free video","Free video in production"),IF(P334="Approved","Active",IF(TODAY()&gt;O334,"Active – plan went ahead","Decision pending – "&amp;NETWORKDAYS(TODAY(),O334)&amp;" working day(s) left"))))))</f>
        <v/>
      </c>
      <c r="R334" s="17"/>
      <c r="S334" s="17"/>
      <c r="T334" s="50"/>
      <c r="U334" s="40"/>
      <c r="V334" s="40"/>
      <c r="W334" s="45" t="str">
        <f aca="false">IF(V334="","",EDATE(V334,Settings!$S$6))</f>
        <v/>
      </c>
      <c r="X334" s="17"/>
      <c r="Y334" s="17"/>
      <c r="Z334" s="17"/>
    </row>
    <row r="335" customFormat="false" ht="15" hidden="false" customHeight="false" outlineLevel="0" collapsed="false">
      <c r="A335" s="17"/>
      <c r="B335" s="17"/>
      <c r="C335" s="17"/>
      <c r="D335" s="17"/>
      <c r="E335" s="42"/>
      <c r="F335" s="17"/>
      <c r="G335" s="17"/>
      <c r="H335" s="17"/>
      <c r="I335" s="49" t="str">
        <f aca="false">IF(H335="","",IFERROR(INDEX(Settings!$G$2:$G$4,MATCH(H335,Settings!$F$2:$F$4,0)),""))</f>
        <v/>
      </c>
      <c r="J335" s="40"/>
      <c r="K335" s="50"/>
      <c r="L335" s="17"/>
      <c r="M335" s="40"/>
      <c r="N335" s="40"/>
      <c r="O335" s="45" t="str">
        <f aca="false">IF(N335="","",WORKDAY(N335,Settings!$S$4))</f>
        <v/>
      </c>
      <c r="P335" s="17"/>
      <c r="Q335" s="44" t="str">
        <f aca="true">IF(C335="","",IF(P335="Backed out",IF(S335="Paid","Refunded – closed",IF(R335="","Refund – log reason first","Refund in progress")),IF(K335="","Awaiting payment",IF(N335="",IF(M335="","Schedule free video","Free video in production"),IF(P335="Approved","Active",IF(TODAY()&gt;O335,"Active – plan went ahead","Decision pending – "&amp;NETWORKDAYS(TODAY(),O335)&amp;" working day(s) left"))))))</f>
        <v/>
      </c>
      <c r="R335" s="17"/>
      <c r="S335" s="17"/>
      <c r="T335" s="50"/>
      <c r="U335" s="40"/>
      <c r="V335" s="40"/>
      <c r="W335" s="45" t="str">
        <f aca="false">IF(V335="","",EDATE(V335,Settings!$S$6))</f>
        <v/>
      </c>
      <c r="X335" s="17"/>
      <c r="Y335" s="17"/>
      <c r="Z335" s="17"/>
    </row>
    <row r="336" customFormat="false" ht="15" hidden="false" customHeight="false" outlineLevel="0" collapsed="false">
      <c r="A336" s="17"/>
      <c r="B336" s="17"/>
      <c r="C336" s="17"/>
      <c r="D336" s="17"/>
      <c r="E336" s="42"/>
      <c r="F336" s="17"/>
      <c r="G336" s="17"/>
      <c r="H336" s="17"/>
      <c r="I336" s="49" t="str">
        <f aca="false">IF(H336="","",IFERROR(INDEX(Settings!$G$2:$G$4,MATCH(H336,Settings!$F$2:$F$4,0)),""))</f>
        <v/>
      </c>
      <c r="J336" s="40"/>
      <c r="K336" s="50"/>
      <c r="L336" s="17"/>
      <c r="M336" s="40"/>
      <c r="N336" s="40"/>
      <c r="O336" s="45" t="str">
        <f aca="false">IF(N336="","",WORKDAY(N336,Settings!$S$4))</f>
        <v/>
      </c>
      <c r="P336" s="17"/>
      <c r="Q336" s="44" t="str">
        <f aca="true">IF(C336="","",IF(P336="Backed out",IF(S336="Paid","Refunded – closed",IF(R336="","Refund – log reason first","Refund in progress")),IF(K336="","Awaiting payment",IF(N336="",IF(M336="","Schedule free video","Free video in production"),IF(P336="Approved","Active",IF(TODAY()&gt;O336,"Active – plan went ahead","Decision pending – "&amp;NETWORKDAYS(TODAY(),O336)&amp;" working day(s) left"))))))</f>
        <v/>
      </c>
      <c r="R336" s="17"/>
      <c r="S336" s="17"/>
      <c r="T336" s="50"/>
      <c r="U336" s="40"/>
      <c r="V336" s="40"/>
      <c r="W336" s="45" t="str">
        <f aca="false">IF(V336="","",EDATE(V336,Settings!$S$6))</f>
        <v/>
      </c>
      <c r="X336" s="17"/>
      <c r="Y336" s="17"/>
      <c r="Z336" s="17"/>
    </row>
    <row r="337" customFormat="false" ht="15" hidden="false" customHeight="false" outlineLevel="0" collapsed="false">
      <c r="A337" s="17"/>
      <c r="B337" s="17"/>
      <c r="C337" s="17"/>
      <c r="D337" s="17"/>
      <c r="E337" s="42"/>
      <c r="F337" s="17"/>
      <c r="G337" s="17"/>
      <c r="H337" s="17"/>
      <c r="I337" s="49" t="str">
        <f aca="false">IF(H337="","",IFERROR(INDEX(Settings!$G$2:$G$4,MATCH(H337,Settings!$F$2:$F$4,0)),""))</f>
        <v/>
      </c>
      <c r="J337" s="40"/>
      <c r="K337" s="50"/>
      <c r="L337" s="17"/>
      <c r="M337" s="40"/>
      <c r="N337" s="40"/>
      <c r="O337" s="45" t="str">
        <f aca="false">IF(N337="","",WORKDAY(N337,Settings!$S$4))</f>
        <v/>
      </c>
      <c r="P337" s="17"/>
      <c r="Q337" s="44" t="str">
        <f aca="true">IF(C337="","",IF(P337="Backed out",IF(S337="Paid","Refunded – closed",IF(R337="","Refund – log reason first","Refund in progress")),IF(K337="","Awaiting payment",IF(N337="",IF(M337="","Schedule free video","Free video in production"),IF(P337="Approved","Active",IF(TODAY()&gt;O337,"Active – plan went ahead","Decision pending – "&amp;NETWORKDAYS(TODAY(),O337)&amp;" working day(s) left"))))))</f>
        <v/>
      </c>
      <c r="R337" s="17"/>
      <c r="S337" s="17"/>
      <c r="T337" s="50"/>
      <c r="U337" s="40"/>
      <c r="V337" s="40"/>
      <c r="W337" s="45" t="str">
        <f aca="false">IF(V337="","",EDATE(V337,Settings!$S$6))</f>
        <v/>
      </c>
      <c r="X337" s="17"/>
      <c r="Y337" s="17"/>
      <c r="Z337" s="17"/>
    </row>
    <row r="338" customFormat="false" ht="15" hidden="false" customHeight="false" outlineLevel="0" collapsed="false">
      <c r="A338" s="17"/>
      <c r="B338" s="17"/>
      <c r="C338" s="17"/>
      <c r="D338" s="17"/>
      <c r="E338" s="42"/>
      <c r="F338" s="17"/>
      <c r="G338" s="17"/>
      <c r="H338" s="17"/>
      <c r="I338" s="49" t="str">
        <f aca="false">IF(H338="","",IFERROR(INDEX(Settings!$G$2:$G$4,MATCH(H338,Settings!$F$2:$F$4,0)),""))</f>
        <v/>
      </c>
      <c r="J338" s="40"/>
      <c r="K338" s="50"/>
      <c r="L338" s="17"/>
      <c r="M338" s="40"/>
      <c r="N338" s="40"/>
      <c r="O338" s="45" t="str">
        <f aca="false">IF(N338="","",WORKDAY(N338,Settings!$S$4))</f>
        <v/>
      </c>
      <c r="P338" s="17"/>
      <c r="Q338" s="44" t="str">
        <f aca="true">IF(C338="","",IF(P338="Backed out",IF(S338="Paid","Refunded – closed",IF(R338="","Refund – log reason first","Refund in progress")),IF(K338="","Awaiting payment",IF(N338="",IF(M338="","Schedule free video","Free video in production"),IF(P338="Approved","Active",IF(TODAY()&gt;O338,"Active – plan went ahead","Decision pending – "&amp;NETWORKDAYS(TODAY(),O338)&amp;" working day(s) left"))))))</f>
        <v/>
      </c>
      <c r="R338" s="17"/>
      <c r="S338" s="17"/>
      <c r="T338" s="50"/>
      <c r="U338" s="40"/>
      <c r="V338" s="40"/>
      <c r="W338" s="45" t="str">
        <f aca="false">IF(V338="","",EDATE(V338,Settings!$S$6))</f>
        <v/>
      </c>
      <c r="X338" s="17"/>
      <c r="Y338" s="17"/>
      <c r="Z338" s="17"/>
    </row>
    <row r="339" customFormat="false" ht="15" hidden="false" customHeight="false" outlineLevel="0" collapsed="false">
      <c r="A339" s="17"/>
      <c r="B339" s="17"/>
      <c r="C339" s="17"/>
      <c r="D339" s="17"/>
      <c r="E339" s="42"/>
      <c r="F339" s="17"/>
      <c r="G339" s="17"/>
      <c r="H339" s="17"/>
      <c r="I339" s="49" t="str">
        <f aca="false">IF(H339="","",IFERROR(INDEX(Settings!$G$2:$G$4,MATCH(H339,Settings!$F$2:$F$4,0)),""))</f>
        <v/>
      </c>
      <c r="J339" s="40"/>
      <c r="K339" s="50"/>
      <c r="L339" s="17"/>
      <c r="M339" s="40"/>
      <c r="N339" s="40"/>
      <c r="O339" s="45" t="str">
        <f aca="false">IF(N339="","",WORKDAY(N339,Settings!$S$4))</f>
        <v/>
      </c>
      <c r="P339" s="17"/>
      <c r="Q339" s="44" t="str">
        <f aca="true">IF(C339="","",IF(P339="Backed out",IF(S339="Paid","Refunded – closed",IF(R339="","Refund – log reason first","Refund in progress")),IF(K339="","Awaiting payment",IF(N339="",IF(M339="","Schedule free video","Free video in production"),IF(P339="Approved","Active",IF(TODAY()&gt;O339,"Active – plan went ahead","Decision pending – "&amp;NETWORKDAYS(TODAY(),O339)&amp;" working day(s) left"))))))</f>
        <v/>
      </c>
      <c r="R339" s="17"/>
      <c r="S339" s="17"/>
      <c r="T339" s="50"/>
      <c r="U339" s="40"/>
      <c r="V339" s="40"/>
      <c r="W339" s="45" t="str">
        <f aca="false">IF(V339="","",EDATE(V339,Settings!$S$6))</f>
        <v/>
      </c>
      <c r="X339" s="17"/>
      <c r="Y339" s="17"/>
      <c r="Z339" s="17"/>
    </row>
    <row r="340" customFormat="false" ht="15" hidden="false" customHeight="false" outlineLevel="0" collapsed="false">
      <c r="A340" s="17"/>
      <c r="B340" s="17"/>
      <c r="C340" s="17"/>
      <c r="D340" s="17"/>
      <c r="E340" s="42"/>
      <c r="F340" s="17"/>
      <c r="G340" s="17"/>
      <c r="H340" s="17"/>
      <c r="I340" s="49" t="str">
        <f aca="false">IF(H340="","",IFERROR(INDEX(Settings!$G$2:$G$4,MATCH(H340,Settings!$F$2:$F$4,0)),""))</f>
        <v/>
      </c>
      <c r="J340" s="40"/>
      <c r="K340" s="50"/>
      <c r="L340" s="17"/>
      <c r="M340" s="40"/>
      <c r="N340" s="40"/>
      <c r="O340" s="45" t="str">
        <f aca="false">IF(N340="","",WORKDAY(N340,Settings!$S$4))</f>
        <v/>
      </c>
      <c r="P340" s="17"/>
      <c r="Q340" s="44" t="str">
        <f aca="true">IF(C340="","",IF(P340="Backed out",IF(S340="Paid","Refunded – closed",IF(R340="","Refund – log reason first","Refund in progress")),IF(K340="","Awaiting payment",IF(N340="",IF(M340="","Schedule free video","Free video in production"),IF(P340="Approved","Active",IF(TODAY()&gt;O340,"Active – plan went ahead","Decision pending – "&amp;NETWORKDAYS(TODAY(),O340)&amp;" working day(s) left"))))))</f>
        <v/>
      </c>
      <c r="R340" s="17"/>
      <c r="S340" s="17"/>
      <c r="T340" s="50"/>
      <c r="U340" s="40"/>
      <c r="V340" s="40"/>
      <c r="W340" s="45" t="str">
        <f aca="false">IF(V340="","",EDATE(V340,Settings!$S$6))</f>
        <v/>
      </c>
      <c r="X340" s="17"/>
      <c r="Y340" s="17"/>
      <c r="Z340" s="17"/>
    </row>
    <row r="341" customFormat="false" ht="15" hidden="false" customHeight="false" outlineLevel="0" collapsed="false">
      <c r="A341" s="17"/>
      <c r="B341" s="17"/>
      <c r="C341" s="17"/>
      <c r="D341" s="17"/>
      <c r="E341" s="42"/>
      <c r="F341" s="17"/>
      <c r="G341" s="17"/>
      <c r="H341" s="17"/>
      <c r="I341" s="49" t="str">
        <f aca="false">IF(H341="","",IFERROR(INDEX(Settings!$G$2:$G$4,MATCH(H341,Settings!$F$2:$F$4,0)),""))</f>
        <v/>
      </c>
      <c r="J341" s="40"/>
      <c r="K341" s="50"/>
      <c r="L341" s="17"/>
      <c r="M341" s="40"/>
      <c r="N341" s="40"/>
      <c r="O341" s="45" t="str">
        <f aca="false">IF(N341="","",WORKDAY(N341,Settings!$S$4))</f>
        <v/>
      </c>
      <c r="P341" s="17"/>
      <c r="Q341" s="44" t="str">
        <f aca="true">IF(C341="","",IF(P341="Backed out",IF(S341="Paid","Refunded – closed",IF(R341="","Refund – log reason first","Refund in progress")),IF(K341="","Awaiting payment",IF(N341="",IF(M341="","Schedule free video","Free video in production"),IF(P341="Approved","Active",IF(TODAY()&gt;O341,"Active – plan went ahead","Decision pending – "&amp;NETWORKDAYS(TODAY(),O341)&amp;" working day(s) left"))))))</f>
        <v/>
      </c>
      <c r="R341" s="17"/>
      <c r="S341" s="17"/>
      <c r="T341" s="50"/>
      <c r="U341" s="40"/>
      <c r="V341" s="40"/>
      <c r="W341" s="45" t="str">
        <f aca="false">IF(V341="","",EDATE(V341,Settings!$S$6))</f>
        <v/>
      </c>
      <c r="X341" s="17"/>
      <c r="Y341" s="17"/>
      <c r="Z341" s="17"/>
    </row>
    <row r="342" customFormat="false" ht="15" hidden="false" customHeight="false" outlineLevel="0" collapsed="false">
      <c r="A342" s="17"/>
      <c r="B342" s="17"/>
      <c r="C342" s="17"/>
      <c r="D342" s="17"/>
      <c r="E342" s="42"/>
      <c r="F342" s="17"/>
      <c r="G342" s="17"/>
      <c r="H342" s="17"/>
      <c r="I342" s="49" t="str">
        <f aca="false">IF(H342="","",IFERROR(INDEX(Settings!$G$2:$G$4,MATCH(H342,Settings!$F$2:$F$4,0)),""))</f>
        <v/>
      </c>
      <c r="J342" s="40"/>
      <c r="K342" s="50"/>
      <c r="L342" s="17"/>
      <c r="M342" s="40"/>
      <c r="N342" s="40"/>
      <c r="O342" s="45" t="str">
        <f aca="false">IF(N342="","",WORKDAY(N342,Settings!$S$4))</f>
        <v/>
      </c>
      <c r="P342" s="17"/>
      <c r="Q342" s="44" t="str">
        <f aca="true">IF(C342="","",IF(P342="Backed out",IF(S342="Paid","Refunded – closed",IF(R342="","Refund – log reason first","Refund in progress")),IF(K342="","Awaiting payment",IF(N342="",IF(M342="","Schedule free video","Free video in production"),IF(P342="Approved","Active",IF(TODAY()&gt;O342,"Active – plan went ahead","Decision pending – "&amp;NETWORKDAYS(TODAY(),O342)&amp;" working day(s) left"))))))</f>
        <v/>
      </c>
      <c r="R342" s="17"/>
      <c r="S342" s="17"/>
      <c r="T342" s="50"/>
      <c r="U342" s="40"/>
      <c r="V342" s="40"/>
      <c r="W342" s="45" t="str">
        <f aca="false">IF(V342="","",EDATE(V342,Settings!$S$6))</f>
        <v/>
      </c>
      <c r="X342" s="17"/>
      <c r="Y342" s="17"/>
      <c r="Z342" s="17"/>
    </row>
    <row r="343" customFormat="false" ht="15" hidden="false" customHeight="false" outlineLevel="0" collapsed="false">
      <c r="A343" s="17"/>
      <c r="B343" s="17"/>
      <c r="C343" s="17"/>
      <c r="D343" s="17"/>
      <c r="E343" s="42"/>
      <c r="F343" s="17"/>
      <c r="G343" s="17"/>
      <c r="H343" s="17"/>
      <c r="I343" s="49" t="str">
        <f aca="false">IF(H343="","",IFERROR(INDEX(Settings!$G$2:$G$4,MATCH(H343,Settings!$F$2:$F$4,0)),""))</f>
        <v/>
      </c>
      <c r="J343" s="40"/>
      <c r="K343" s="50"/>
      <c r="L343" s="17"/>
      <c r="M343" s="40"/>
      <c r="N343" s="40"/>
      <c r="O343" s="45" t="str">
        <f aca="false">IF(N343="","",WORKDAY(N343,Settings!$S$4))</f>
        <v/>
      </c>
      <c r="P343" s="17"/>
      <c r="Q343" s="44" t="str">
        <f aca="true">IF(C343="","",IF(P343="Backed out",IF(S343="Paid","Refunded – closed",IF(R343="","Refund – log reason first","Refund in progress")),IF(K343="","Awaiting payment",IF(N343="",IF(M343="","Schedule free video","Free video in production"),IF(P343="Approved","Active",IF(TODAY()&gt;O343,"Active – plan went ahead","Decision pending – "&amp;NETWORKDAYS(TODAY(),O343)&amp;" working day(s) left"))))))</f>
        <v/>
      </c>
      <c r="R343" s="17"/>
      <c r="S343" s="17"/>
      <c r="T343" s="50"/>
      <c r="U343" s="40"/>
      <c r="V343" s="40"/>
      <c r="W343" s="45" t="str">
        <f aca="false">IF(V343="","",EDATE(V343,Settings!$S$6))</f>
        <v/>
      </c>
      <c r="X343" s="17"/>
      <c r="Y343" s="17"/>
      <c r="Z343" s="17"/>
    </row>
    <row r="344" customFormat="false" ht="15" hidden="false" customHeight="false" outlineLevel="0" collapsed="false">
      <c r="A344" s="17"/>
      <c r="B344" s="17"/>
      <c r="C344" s="17"/>
      <c r="D344" s="17"/>
      <c r="E344" s="42"/>
      <c r="F344" s="17"/>
      <c r="G344" s="17"/>
      <c r="H344" s="17"/>
      <c r="I344" s="49" t="str">
        <f aca="false">IF(H344="","",IFERROR(INDEX(Settings!$G$2:$G$4,MATCH(H344,Settings!$F$2:$F$4,0)),""))</f>
        <v/>
      </c>
      <c r="J344" s="40"/>
      <c r="K344" s="50"/>
      <c r="L344" s="17"/>
      <c r="M344" s="40"/>
      <c r="N344" s="40"/>
      <c r="O344" s="45" t="str">
        <f aca="false">IF(N344="","",WORKDAY(N344,Settings!$S$4))</f>
        <v/>
      </c>
      <c r="P344" s="17"/>
      <c r="Q344" s="44" t="str">
        <f aca="true">IF(C344="","",IF(P344="Backed out",IF(S344="Paid","Refunded – closed",IF(R344="","Refund – log reason first","Refund in progress")),IF(K344="","Awaiting payment",IF(N344="",IF(M344="","Schedule free video","Free video in production"),IF(P344="Approved","Active",IF(TODAY()&gt;O344,"Active – plan went ahead","Decision pending – "&amp;NETWORKDAYS(TODAY(),O344)&amp;" working day(s) left"))))))</f>
        <v/>
      </c>
      <c r="R344" s="17"/>
      <c r="S344" s="17"/>
      <c r="T344" s="50"/>
      <c r="U344" s="40"/>
      <c r="V344" s="40"/>
      <c r="W344" s="45" t="str">
        <f aca="false">IF(V344="","",EDATE(V344,Settings!$S$6))</f>
        <v/>
      </c>
      <c r="X344" s="17"/>
      <c r="Y344" s="17"/>
      <c r="Z344" s="17"/>
    </row>
    <row r="345" customFormat="false" ht="15" hidden="false" customHeight="false" outlineLevel="0" collapsed="false">
      <c r="A345" s="17"/>
      <c r="B345" s="17"/>
      <c r="C345" s="17"/>
      <c r="D345" s="17"/>
      <c r="E345" s="42"/>
      <c r="F345" s="17"/>
      <c r="G345" s="17"/>
      <c r="H345" s="17"/>
      <c r="I345" s="49" t="str">
        <f aca="false">IF(H345="","",IFERROR(INDEX(Settings!$G$2:$G$4,MATCH(H345,Settings!$F$2:$F$4,0)),""))</f>
        <v/>
      </c>
      <c r="J345" s="40"/>
      <c r="K345" s="50"/>
      <c r="L345" s="17"/>
      <c r="M345" s="40"/>
      <c r="N345" s="40"/>
      <c r="O345" s="45" t="str">
        <f aca="false">IF(N345="","",WORKDAY(N345,Settings!$S$4))</f>
        <v/>
      </c>
      <c r="P345" s="17"/>
      <c r="Q345" s="44" t="str">
        <f aca="true">IF(C345="","",IF(P345="Backed out",IF(S345="Paid","Refunded – closed",IF(R345="","Refund – log reason first","Refund in progress")),IF(K345="","Awaiting payment",IF(N345="",IF(M345="","Schedule free video","Free video in production"),IF(P345="Approved","Active",IF(TODAY()&gt;O345,"Active – plan went ahead","Decision pending – "&amp;NETWORKDAYS(TODAY(),O345)&amp;" working day(s) left"))))))</f>
        <v/>
      </c>
      <c r="R345" s="17"/>
      <c r="S345" s="17"/>
      <c r="T345" s="50"/>
      <c r="U345" s="40"/>
      <c r="V345" s="40"/>
      <c r="W345" s="45" t="str">
        <f aca="false">IF(V345="","",EDATE(V345,Settings!$S$6))</f>
        <v/>
      </c>
      <c r="X345" s="17"/>
      <c r="Y345" s="17"/>
      <c r="Z345" s="17"/>
    </row>
    <row r="346" customFormat="false" ht="15" hidden="false" customHeight="false" outlineLevel="0" collapsed="false">
      <c r="A346" s="17"/>
      <c r="B346" s="17"/>
      <c r="C346" s="17"/>
      <c r="D346" s="17"/>
      <c r="E346" s="42"/>
      <c r="F346" s="17"/>
      <c r="G346" s="17"/>
      <c r="H346" s="17"/>
      <c r="I346" s="49" t="str">
        <f aca="false">IF(H346="","",IFERROR(INDEX(Settings!$G$2:$G$4,MATCH(H346,Settings!$F$2:$F$4,0)),""))</f>
        <v/>
      </c>
      <c r="J346" s="40"/>
      <c r="K346" s="50"/>
      <c r="L346" s="17"/>
      <c r="M346" s="40"/>
      <c r="N346" s="40"/>
      <c r="O346" s="45" t="str">
        <f aca="false">IF(N346="","",WORKDAY(N346,Settings!$S$4))</f>
        <v/>
      </c>
      <c r="P346" s="17"/>
      <c r="Q346" s="44" t="str">
        <f aca="true">IF(C346="","",IF(P346="Backed out",IF(S346="Paid","Refunded – closed",IF(R346="","Refund – log reason first","Refund in progress")),IF(K346="","Awaiting payment",IF(N346="",IF(M346="","Schedule free video","Free video in production"),IF(P346="Approved","Active",IF(TODAY()&gt;O346,"Active – plan went ahead","Decision pending – "&amp;NETWORKDAYS(TODAY(),O346)&amp;" working day(s) left"))))))</f>
        <v/>
      </c>
      <c r="R346" s="17"/>
      <c r="S346" s="17"/>
      <c r="T346" s="50"/>
      <c r="U346" s="40"/>
      <c r="V346" s="40"/>
      <c r="W346" s="45" t="str">
        <f aca="false">IF(V346="","",EDATE(V346,Settings!$S$6))</f>
        <v/>
      </c>
      <c r="X346" s="17"/>
      <c r="Y346" s="17"/>
      <c r="Z346" s="17"/>
    </row>
    <row r="347" customFormat="false" ht="15" hidden="false" customHeight="false" outlineLevel="0" collapsed="false">
      <c r="A347" s="17"/>
      <c r="B347" s="17"/>
      <c r="C347" s="17"/>
      <c r="D347" s="17"/>
      <c r="E347" s="42"/>
      <c r="F347" s="17"/>
      <c r="G347" s="17"/>
      <c r="H347" s="17"/>
      <c r="I347" s="49" t="str">
        <f aca="false">IF(H347="","",IFERROR(INDEX(Settings!$G$2:$G$4,MATCH(H347,Settings!$F$2:$F$4,0)),""))</f>
        <v/>
      </c>
      <c r="J347" s="40"/>
      <c r="K347" s="50"/>
      <c r="L347" s="17"/>
      <c r="M347" s="40"/>
      <c r="N347" s="40"/>
      <c r="O347" s="45" t="str">
        <f aca="false">IF(N347="","",WORKDAY(N347,Settings!$S$4))</f>
        <v/>
      </c>
      <c r="P347" s="17"/>
      <c r="Q347" s="44" t="str">
        <f aca="true">IF(C347="","",IF(P347="Backed out",IF(S347="Paid","Refunded – closed",IF(R347="","Refund – log reason first","Refund in progress")),IF(K347="","Awaiting payment",IF(N347="",IF(M347="","Schedule free video","Free video in production"),IF(P347="Approved","Active",IF(TODAY()&gt;O347,"Active – plan went ahead","Decision pending – "&amp;NETWORKDAYS(TODAY(),O347)&amp;" working day(s) left"))))))</f>
        <v/>
      </c>
      <c r="R347" s="17"/>
      <c r="S347" s="17"/>
      <c r="T347" s="50"/>
      <c r="U347" s="40"/>
      <c r="V347" s="40"/>
      <c r="W347" s="45" t="str">
        <f aca="false">IF(V347="","",EDATE(V347,Settings!$S$6))</f>
        <v/>
      </c>
      <c r="X347" s="17"/>
      <c r="Y347" s="17"/>
      <c r="Z347" s="17"/>
    </row>
    <row r="348" customFormat="false" ht="15" hidden="false" customHeight="false" outlineLevel="0" collapsed="false">
      <c r="A348" s="17"/>
      <c r="B348" s="17"/>
      <c r="C348" s="17"/>
      <c r="D348" s="17"/>
      <c r="E348" s="42"/>
      <c r="F348" s="17"/>
      <c r="G348" s="17"/>
      <c r="H348" s="17"/>
      <c r="I348" s="49" t="str">
        <f aca="false">IF(H348="","",IFERROR(INDEX(Settings!$G$2:$G$4,MATCH(H348,Settings!$F$2:$F$4,0)),""))</f>
        <v/>
      </c>
      <c r="J348" s="40"/>
      <c r="K348" s="50"/>
      <c r="L348" s="17"/>
      <c r="M348" s="40"/>
      <c r="N348" s="40"/>
      <c r="O348" s="45" t="str">
        <f aca="false">IF(N348="","",WORKDAY(N348,Settings!$S$4))</f>
        <v/>
      </c>
      <c r="P348" s="17"/>
      <c r="Q348" s="44" t="str">
        <f aca="true">IF(C348="","",IF(P348="Backed out",IF(S348="Paid","Refunded – closed",IF(R348="","Refund – log reason first","Refund in progress")),IF(K348="","Awaiting payment",IF(N348="",IF(M348="","Schedule free video","Free video in production"),IF(P348="Approved","Active",IF(TODAY()&gt;O348,"Active – plan went ahead","Decision pending – "&amp;NETWORKDAYS(TODAY(),O348)&amp;" working day(s) left"))))))</f>
        <v/>
      </c>
      <c r="R348" s="17"/>
      <c r="S348" s="17"/>
      <c r="T348" s="50"/>
      <c r="U348" s="40"/>
      <c r="V348" s="40"/>
      <c r="W348" s="45" t="str">
        <f aca="false">IF(V348="","",EDATE(V348,Settings!$S$6))</f>
        <v/>
      </c>
      <c r="X348" s="17"/>
      <c r="Y348" s="17"/>
      <c r="Z348" s="17"/>
    </row>
    <row r="349" customFormat="false" ht="15" hidden="false" customHeight="false" outlineLevel="0" collapsed="false">
      <c r="A349" s="17"/>
      <c r="B349" s="17"/>
      <c r="C349" s="17"/>
      <c r="D349" s="17"/>
      <c r="E349" s="42"/>
      <c r="F349" s="17"/>
      <c r="G349" s="17"/>
      <c r="H349" s="17"/>
      <c r="I349" s="49" t="str">
        <f aca="false">IF(H349="","",IFERROR(INDEX(Settings!$G$2:$G$4,MATCH(H349,Settings!$F$2:$F$4,0)),""))</f>
        <v/>
      </c>
      <c r="J349" s="40"/>
      <c r="K349" s="50"/>
      <c r="L349" s="17"/>
      <c r="M349" s="40"/>
      <c r="N349" s="40"/>
      <c r="O349" s="45" t="str">
        <f aca="false">IF(N349="","",WORKDAY(N349,Settings!$S$4))</f>
        <v/>
      </c>
      <c r="P349" s="17"/>
      <c r="Q349" s="44" t="str">
        <f aca="true">IF(C349="","",IF(P349="Backed out",IF(S349="Paid","Refunded – closed",IF(R349="","Refund – log reason first","Refund in progress")),IF(K349="","Awaiting payment",IF(N349="",IF(M349="","Schedule free video","Free video in production"),IF(P349="Approved","Active",IF(TODAY()&gt;O349,"Active – plan went ahead","Decision pending – "&amp;NETWORKDAYS(TODAY(),O349)&amp;" working day(s) left"))))))</f>
        <v/>
      </c>
      <c r="R349" s="17"/>
      <c r="S349" s="17"/>
      <c r="T349" s="50"/>
      <c r="U349" s="40"/>
      <c r="V349" s="40"/>
      <c r="W349" s="45" t="str">
        <f aca="false">IF(V349="","",EDATE(V349,Settings!$S$6))</f>
        <v/>
      </c>
      <c r="X349" s="17"/>
      <c r="Y349" s="17"/>
      <c r="Z349" s="17"/>
    </row>
    <row r="350" customFormat="false" ht="15" hidden="false" customHeight="false" outlineLevel="0" collapsed="false">
      <c r="A350" s="17"/>
      <c r="B350" s="17"/>
      <c r="C350" s="17"/>
      <c r="D350" s="17"/>
      <c r="E350" s="42"/>
      <c r="F350" s="17"/>
      <c r="G350" s="17"/>
      <c r="H350" s="17"/>
      <c r="I350" s="49" t="str">
        <f aca="false">IF(H350="","",IFERROR(INDEX(Settings!$G$2:$G$4,MATCH(H350,Settings!$F$2:$F$4,0)),""))</f>
        <v/>
      </c>
      <c r="J350" s="40"/>
      <c r="K350" s="50"/>
      <c r="L350" s="17"/>
      <c r="M350" s="40"/>
      <c r="N350" s="40"/>
      <c r="O350" s="45" t="str">
        <f aca="false">IF(N350="","",WORKDAY(N350,Settings!$S$4))</f>
        <v/>
      </c>
      <c r="P350" s="17"/>
      <c r="Q350" s="44" t="str">
        <f aca="true">IF(C350="","",IF(P350="Backed out",IF(S350="Paid","Refunded – closed",IF(R350="","Refund – log reason first","Refund in progress")),IF(K350="","Awaiting payment",IF(N350="",IF(M350="","Schedule free video","Free video in production"),IF(P350="Approved","Active",IF(TODAY()&gt;O350,"Active – plan went ahead","Decision pending – "&amp;NETWORKDAYS(TODAY(),O350)&amp;" working day(s) left"))))))</f>
        <v/>
      </c>
      <c r="R350" s="17"/>
      <c r="S350" s="17"/>
      <c r="T350" s="50"/>
      <c r="U350" s="40"/>
      <c r="V350" s="40"/>
      <c r="W350" s="45" t="str">
        <f aca="false">IF(V350="","",EDATE(V350,Settings!$S$6))</f>
        <v/>
      </c>
      <c r="X350" s="17"/>
      <c r="Y350" s="17"/>
      <c r="Z350" s="17"/>
    </row>
    <row r="351" customFormat="false" ht="15" hidden="false" customHeight="false" outlineLevel="0" collapsed="false">
      <c r="A351" s="17"/>
      <c r="B351" s="17"/>
      <c r="C351" s="17"/>
      <c r="D351" s="17"/>
      <c r="E351" s="42"/>
      <c r="F351" s="17"/>
      <c r="G351" s="17"/>
      <c r="H351" s="17"/>
      <c r="I351" s="49" t="str">
        <f aca="false">IF(H351="","",IFERROR(INDEX(Settings!$G$2:$G$4,MATCH(H351,Settings!$F$2:$F$4,0)),""))</f>
        <v/>
      </c>
      <c r="J351" s="40"/>
      <c r="K351" s="50"/>
      <c r="L351" s="17"/>
      <c r="M351" s="40"/>
      <c r="N351" s="40"/>
      <c r="O351" s="45" t="str">
        <f aca="false">IF(N351="","",WORKDAY(N351,Settings!$S$4))</f>
        <v/>
      </c>
      <c r="P351" s="17"/>
      <c r="Q351" s="44" t="str">
        <f aca="true">IF(C351="","",IF(P351="Backed out",IF(S351="Paid","Refunded – closed",IF(R351="","Refund – log reason first","Refund in progress")),IF(K351="","Awaiting payment",IF(N351="",IF(M351="","Schedule free video","Free video in production"),IF(P351="Approved","Active",IF(TODAY()&gt;O351,"Active – plan went ahead","Decision pending – "&amp;NETWORKDAYS(TODAY(),O351)&amp;" working day(s) left"))))))</f>
        <v/>
      </c>
      <c r="R351" s="17"/>
      <c r="S351" s="17"/>
      <c r="T351" s="50"/>
      <c r="U351" s="40"/>
      <c r="V351" s="40"/>
      <c r="W351" s="45" t="str">
        <f aca="false">IF(V351="","",EDATE(V351,Settings!$S$6))</f>
        <v/>
      </c>
      <c r="X351" s="17"/>
      <c r="Y351" s="17"/>
      <c r="Z351" s="17"/>
    </row>
    <row r="352" customFormat="false" ht="15" hidden="false" customHeight="false" outlineLevel="0" collapsed="false">
      <c r="A352" s="17"/>
      <c r="B352" s="17"/>
      <c r="C352" s="17"/>
      <c r="D352" s="17"/>
      <c r="E352" s="42"/>
      <c r="F352" s="17"/>
      <c r="G352" s="17"/>
      <c r="H352" s="17"/>
      <c r="I352" s="49" t="str">
        <f aca="false">IF(H352="","",IFERROR(INDEX(Settings!$G$2:$G$4,MATCH(H352,Settings!$F$2:$F$4,0)),""))</f>
        <v/>
      </c>
      <c r="J352" s="40"/>
      <c r="K352" s="50"/>
      <c r="L352" s="17"/>
      <c r="M352" s="40"/>
      <c r="N352" s="40"/>
      <c r="O352" s="45" t="str">
        <f aca="false">IF(N352="","",WORKDAY(N352,Settings!$S$4))</f>
        <v/>
      </c>
      <c r="P352" s="17"/>
      <c r="Q352" s="44" t="str">
        <f aca="true">IF(C352="","",IF(P352="Backed out",IF(S352="Paid","Refunded – closed",IF(R352="","Refund – log reason first","Refund in progress")),IF(K352="","Awaiting payment",IF(N352="",IF(M352="","Schedule free video","Free video in production"),IF(P352="Approved","Active",IF(TODAY()&gt;O352,"Active – plan went ahead","Decision pending – "&amp;NETWORKDAYS(TODAY(),O352)&amp;" working day(s) left"))))))</f>
        <v/>
      </c>
      <c r="R352" s="17"/>
      <c r="S352" s="17"/>
      <c r="T352" s="50"/>
      <c r="U352" s="40"/>
      <c r="V352" s="40"/>
      <c r="W352" s="45" t="str">
        <f aca="false">IF(V352="","",EDATE(V352,Settings!$S$6))</f>
        <v/>
      </c>
      <c r="X352" s="17"/>
      <c r="Y352" s="17"/>
      <c r="Z352" s="17"/>
    </row>
    <row r="353" customFormat="false" ht="15" hidden="false" customHeight="false" outlineLevel="0" collapsed="false">
      <c r="A353" s="17"/>
      <c r="B353" s="17"/>
      <c r="C353" s="17"/>
      <c r="D353" s="17"/>
      <c r="E353" s="42"/>
      <c r="F353" s="17"/>
      <c r="G353" s="17"/>
      <c r="H353" s="17"/>
      <c r="I353" s="49" t="str">
        <f aca="false">IF(H353="","",IFERROR(INDEX(Settings!$G$2:$G$4,MATCH(H353,Settings!$F$2:$F$4,0)),""))</f>
        <v/>
      </c>
      <c r="J353" s="40"/>
      <c r="K353" s="50"/>
      <c r="L353" s="17"/>
      <c r="M353" s="40"/>
      <c r="N353" s="40"/>
      <c r="O353" s="45" t="str">
        <f aca="false">IF(N353="","",WORKDAY(N353,Settings!$S$4))</f>
        <v/>
      </c>
      <c r="P353" s="17"/>
      <c r="Q353" s="44" t="str">
        <f aca="true">IF(C353="","",IF(P353="Backed out",IF(S353="Paid","Refunded – closed",IF(R353="","Refund – log reason first","Refund in progress")),IF(K353="","Awaiting payment",IF(N353="",IF(M353="","Schedule free video","Free video in production"),IF(P353="Approved","Active",IF(TODAY()&gt;O353,"Active – plan went ahead","Decision pending – "&amp;NETWORKDAYS(TODAY(),O353)&amp;" working day(s) left"))))))</f>
        <v/>
      </c>
      <c r="R353" s="17"/>
      <c r="S353" s="17"/>
      <c r="T353" s="50"/>
      <c r="U353" s="40"/>
      <c r="V353" s="40"/>
      <c r="W353" s="45" t="str">
        <f aca="false">IF(V353="","",EDATE(V353,Settings!$S$6))</f>
        <v/>
      </c>
      <c r="X353" s="17"/>
      <c r="Y353" s="17"/>
      <c r="Z353" s="17"/>
    </row>
    <row r="354" customFormat="false" ht="15" hidden="false" customHeight="false" outlineLevel="0" collapsed="false">
      <c r="A354" s="17"/>
      <c r="B354" s="17"/>
      <c r="C354" s="17"/>
      <c r="D354" s="17"/>
      <c r="E354" s="42"/>
      <c r="F354" s="17"/>
      <c r="G354" s="17"/>
      <c r="H354" s="17"/>
      <c r="I354" s="49" t="str">
        <f aca="false">IF(H354="","",IFERROR(INDEX(Settings!$G$2:$G$4,MATCH(H354,Settings!$F$2:$F$4,0)),""))</f>
        <v/>
      </c>
      <c r="J354" s="40"/>
      <c r="K354" s="50"/>
      <c r="L354" s="17"/>
      <c r="M354" s="40"/>
      <c r="N354" s="40"/>
      <c r="O354" s="45" t="str">
        <f aca="false">IF(N354="","",WORKDAY(N354,Settings!$S$4))</f>
        <v/>
      </c>
      <c r="P354" s="17"/>
      <c r="Q354" s="44" t="str">
        <f aca="true">IF(C354="","",IF(P354="Backed out",IF(S354="Paid","Refunded – closed",IF(R354="","Refund – log reason first","Refund in progress")),IF(K354="","Awaiting payment",IF(N354="",IF(M354="","Schedule free video","Free video in production"),IF(P354="Approved","Active",IF(TODAY()&gt;O354,"Active – plan went ahead","Decision pending – "&amp;NETWORKDAYS(TODAY(),O354)&amp;" working day(s) left"))))))</f>
        <v/>
      </c>
      <c r="R354" s="17"/>
      <c r="S354" s="17"/>
      <c r="T354" s="50"/>
      <c r="U354" s="40"/>
      <c r="V354" s="40"/>
      <c r="W354" s="45" t="str">
        <f aca="false">IF(V354="","",EDATE(V354,Settings!$S$6))</f>
        <v/>
      </c>
      <c r="X354" s="17"/>
      <c r="Y354" s="17"/>
      <c r="Z354" s="17"/>
    </row>
    <row r="355" customFormat="false" ht="15" hidden="false" customHeight="false" outlineLevel="0" collapsed="false">
      <c r="A355" s="17"/>
      <c r="B355" s="17"/>
      <c r="C355" s="17"/>
      <c r="D355" s="17"/>
      <c r="E355" s="42"/>
      <c r="F355" s="17"/>
      <c r="G355" s="17"/>
      <c r="H355" s="17"/>
      <c r="I355" s="49" t="str">
        <f aca="false">IF(H355="","",IFERROR(INDEX(Settings!$G$2:$G$4,MATCH(H355,Settings!$F$2:$F$4,0)),""))</f>
        <v/>
      </c>
      <c r="J355" s="40"/>
      <c r="K355" s="50"/>
      <c r="L355" s="17"/>
      <c r="M355" s="40"/>
      <c r="N355" s="40"/>
      <c r="O355" s="45" t="str">
        <f aca="false">IF(N355="","",WORKDAY(N355,Settings!$S$4))</f>
        <v/>
      </c>
      <c r="P355" s="17"/>
      <c r="Q355" s="44" t="str">
        <f aca="true">IF(C355="","",IF(P355="Backed out",IF(S355="Paid","Refunded – closed",IF(R355="","Refund – log reason first","Refund in progress")),IF(K355="","Awaiting payment",IF(N355="",IF(M355="","Schedule free video","Free video in production"),IF(P355="Approved","Active",IF(TODAY()&gt;O355,"Active – plan went ahead","Decision pending – "&amp;NETWORKDAYS(TODAY(),O355)&amp;" working day(s) left"))))))</f>
        <v/>
      </c>
      <c r="R355" s="17"/>
      <c r="S355" s="17"/>
      <c r="T355" s="50"/>
      <c r="U355" s="40"/>
      <c r="V355" s="40"/>
      <c r="W355" s="45" t="str">
        <f aca="false">IF(V355="","",EDATE(V355,Settings!$S$6))</f>
        <v/>
      </c>
      <c r="X355" s="17"/>
      <c r="Y355" s="17"/>
      <c r="Z355" s="17"/>
    </row>
    <row r="356" customFormat="false" ht="15" hidden="false" customHeight="false" outlineLevel="0" collapsed="false">
      <c r="A356" s="17"/>
      <c r="B356" s="17"/>
      <c r="C356" s="17"/>
      <c r="D356" s="17"/>
      <c r="E356" s="42"/>
      <c r="F356" s="17"/>
      <c r="G356" s="17"/>
      <c r="H356" s="17"/>
      <c r="I356" s="49" t="str">
        <f aca="false">IF(H356="","",IFERROR(INDEX(Settings!$G$2:$G$4,MATCH(H356,Settings!$F$2:$F$4,0)),""))</f>
        <v/>
      </c>
      <c r="J356" s="40"/>
      <c r="K356" s="50"/>
      <c r="L356" s="17"/>
      <c r="M356" s="40"/>
      <c r="N356" s="40"/>
      <c r="O356" s="45" t="str">
        <f aca="false">IF(N356="","",WORKDAY(N356,Settings!$S$4))</f>
        <v/>
      </c>
      <c r="P356" s="17"/>
      <c r="Q356" s="44" t="str">
        <f aca="true">IF(C356="","",IF(P356="Backed out",IF(S356="Paid","Refunded – closed",IF(R356="","Refund – log reason first","Refund in progress")),IF(K356="","Awaiting payment",IF(N356="",IF(M356="","Schedule free video","Free video in production"),IF(P356="Approved","Active",IF(TODAY()&gt;O356,"Active – plan went ahead","Decision pending – "&amp;NETWORKDAYS(TODAY(),O356)&amp;" working day(s) left"))))))</f>
        <v/>
      </c>
      <c r="R356" s="17"/>
      <c r="S356" s="17"/>
      <c r="T356" s="50"/>
      <c r="U356" s="40"/>
      <c r="V356" s="40"/>
      <c r="W356" s="45" t="str">
        <f aca="false">IF(V356="","",EDATE(V356,Settings!$S$6))</f>
        <v/>
      </c>
      <c r="X356" s="17"/>
      <c r="Y356" s="17"/>
      <c r="Z356" s="17"/>
    </row>
    <row r="357" customFormat="false" ht="15" hidden="false" customHeight="false" outlineLevel="0" collapsed="false">
      <c r="A357" s="17"/>
      <c r="B357" s="17"/>
      <c r="C357" s="17"/>
      <c r="D357" s="17"/>
      <c r="E357" s="42"/>
      <c r="F357" s="17"/>
      <c r="G357" s="17"/>
      <c r="H357" s="17"/>
      <c r="I357" s="49" t="str">
        <f aca="false">IF(H357="","",IFERROR(INDEX(Settings!$G$2:$G$4,MATCH(H357,Settings!$F$2:$F$4,0)),""))</f>
        <v/>
      </c>
      <c r="J357" s="40"/>
      <c r="K357" s="50"/>
      <c r="L357" s="17"/>
      <c r="M357" s="40"/>
      <c r="N357" s="40"/>
      <c r="O357" s="45" t="str">
        <f aca="false">IF(N357="","",WORKDAY(N357,Settings!$S$4))</f>
        <v/>
      </c>
      <c r="P357" s="17"/>
      <c r="Q357" s="44" t="str">
        <f aca="true">IF(C357="","",IF(P357="Backed out",IF(S357="Paid","Refunded – closed",IF(R357="","Refund – log reason first","Refund in progress")),IF(K357="","Awaiting payment",IF(N357="",IF(M357="","Schedule free video","Free video in production"),IF(P357="Approved","Active",IF(TODAY()&gt;O357,"Active – plan went ahead","Decision pending – "&amp;NETWORKDAYS(TODAY(),O357)&amp;" working day(s) left"))))))</f>
        <v/>
      </c>
      <c r="R357" s="17"/>
      <c r="S357" s="17"/>
      <c r="T357" s="50"/>
      <c r="U357" s="40"/>
      <c r="V357" s="40"/>
      <c r="W357" s="45" t="str">
        <f aca="false">IF(V357="","",EDATE(V357,Settings!$S$6))</f>
        <v/>
      </c>
      <c r="X357" s="17"/>
      <c r="Y357" s="17"/>
      <c r="Z357" s="17"/>
    </row>
    <row r="358" customFormat="false" ht="15" hidden="false" customHeight="false" outlineLevel="0" collapsed="false">
      <c r="A358" s="17"/>
      <c r="B358" s="17"/>
      <c r="C358" s="17"/>
      <c r="D358" s="17"/>
      <c r="E358" s="42"/>
      <c r="F358" s="17"/>
      <c r="G358" s="17"/>
      <c r="H358" s="17"/>
      <c r="I358" s="49" t="str">
        <f aca="false">IF(H358="","",IFERROR(INDEX(Settings!$G$2:$G$4,MATCH(H358,Settings!$F$2:$F$4,0)),""))</f>
        <v/>
      </c>
      <c r="J358" s="40"/>
      <c r="K358" s="50"/>
      <c r="L358" s="17"/>
      <c r="M358" s="40"/>
      <c r="N358" s="40"/>
      <c r="O358" s="45" t="str">
        <f aca="false">IF(N358="","",WORKDAY(N358,Settings!$S$4))</f>
        <v/>
      </c>
      <c r="P358" s="17"/>
      <c r="Q358" s="44" t="str">
        <f aca="true">IF(C358="","",IF(P358="Backed out",IF(S358="Paid","Refunded – closed",IF(R358="","Refund – log reason first","Refund in progress")),IF(K358="","Awaiting payment",IF(N358="",IF(M358="","Schedule free video","Free video in production"),IF(P358="Approved","Active",IF(TODAY()&gt;O358,"Active – plan went ahead","Decision pending – "&amp;NETWORKDAYS(TODAY(),O358)&amp;" working day(s) left"))))))</f>
        <v/>
      </c>
      <c r="R358" s="17"/>
      <c r="S358" s="17"/>
      <c r="T358" s="50"/>
      <c r="U358" s="40"/>
      <c r="V358" s="40"/>
      <c r="W358" s="45" t="str">
        <f aca="false">IF(V358="","",EDATE(V358,Settings!$S$6))</f>
        <v/>
      </c>
      <c r="X358" s="17"/>
      <c r="Y358" s="17"/>
      <c r="Z358" s="17"/>
    </row>
    <row r="359" customFormat="false" ht="15" hidden="false" customHeight="false" outlineLevel="0" collapsed="false">
      <c r="A359" s="17"/>
      <c r="B359" s="17"/>
      <c r="C359" s="17"/>
      <c r="D359" s="17"/>
      <c r="E359" s="42"/>
      <c r="F359" s="17"/>
      <c r="G359" s="17"/>
      <c r="H359" s="17"/>
      <c r="I359" s="49" t="str">
        <f aca="false">IF(H359="","",IFERROR(INDEX(Settings!$G$2:$G$4,MATCH(H359,Settings!$F$2:$F$4,0)),""))</f>
        <v/>
      </c>
      <c r="J359" s="40"/>
      <c r="K359" s="50"/>
      <c r="L359" s="17"/>
      <c r="M359" s="40"/>
      <c r="N359" s="40"/>
      <c r="O359" s="45" t="str">
        <f aca="false">IF(N359="","",WORKDAY(N359,Settings!$S$4))</f>
        <v/>
      </c>
      <c r="P359" s="17"/>
      <c r="Q359" s="44" t="str">
        <f aca="true">IF(C359="","",IF(P359="Backed out",IF(S359="Paid","Refunded – closed",IF(R359="","Refund – log reason first","Refund in progress")),IF(K359="","Awaiting payment",IF(N359="",IF(M359="","Schedule free video","Free video in production"),IF(P359="Approved","Active",IF(TODAY()&gt;O359,"Active – plan went ahead","Decision pending – "&amp;NETWORKDAYS(TODAY(),O359)&amp;" working day(s) left"))))))</f>
        <v/>
      </c>
      <c r="R359" s="17"/>
      <c r="S359" s="17"/>
      <c r="T359" s="50"/>
      <c r="U359" s="40"/>
      <c r="V359" s="40"/>
      <c r="W359" s="45" t="str">
        <f aca="false">IF(V359="","",EDATE(V359,Settings!$S$6))</f>
        <v/>
      </c>
      <c r="X359" s="17"/>
      <c r="Y359" s="17"/>
      <c r="Z359" s="17"/>
    </row>
    <row r="360" customFormat="false" ht="15" hidden="false" customHeight="false" outlineLevel="0" collapsed="false">
      <c r="A360" s="17"/>
      <c r="B360" s="17"/>
      <c r="C360" s="17"/>
      <c r="D360" s="17"/>
      <c r="E360" s="42"/>
      <c r="F360" s="17"/>
      <c r="G360" s="17"/>
      <c r="H360" s="17"/>
      <c r="I360" s="49" t="str">
        <f aca="false">IF(H360="","",IFERROR(INDEX(Settings!$G$2:$G$4,MATCH(H360,Settings!$F$2:$F$4,0)),""))</f>
        <v/>
      </c>
      <c r="J360" s="40"/>
      <c r="K360" s="50"/>
      <c r="L360" s="17"/>
      <c r="M360" s="40"/>
      <c r="N360" s="40"/>
      <c r="O360" s="45" t="str">
        <f aca="false">IF(N360="","",WORKDAY(N360,Settings!$S$4))</f>
        <v/>
      </c>
      <c r="P360" s="17"/>
      <c r="Q360" s="44" t="str">
        <f aca="true">IF(C360="","",IF(P360="Backed out",IF(S360="Paid","Refunded – closed",IF(R360="","Refund – log reason first","Refund in progress")),IF(K360="","Awaiting payment",IF(N360="",IF(M360="","Schedule free video","Free video in production"),IF(P360="Approved","Active",IF(TODAY()&gt;O360,"Active – plan went ahead","Decision pending – "&amp;NETWORKDAYS(TODAY(),O360)&amp;" working day(s) left"))))))</f>
        <v/>
      </c>
      <c r="R360" s="17"/>
      <c r="S360" s="17"/>
      <c r="T360" s="50"/>
      <c r="U360" s="40"/>
      <c r="V360" s="40"/>
      <c r="W360" s="45" t="str">
        <f aca="false">IF(V360="","",EDATE(V360,Settings!$S$6))</f>
        <v/>
      </c>
      <c r="X360" s="17"/>
      <c r="Y360" s="17"/>
      <c r="Z360" s="17"/>
    </row>
    <row r="361" customFormat="false" ht="15" hidden="false" customHeight="false" outlineLevel="0" collapsed="false">
      <c r="A361" s="17"/>
      <c r="B361" s="17"/>
      <c r="C361" s="17"/>
      <c r="D361" s="17"/>
      <c r="E361" s="42"/>
      <c r="F361" s="17"/>
      <c r="G361" s="17"/>
      <c r="H361" s="17"/>
      <c r="I361" s="49" t="str">
        <f aca="false">IF(H361="","",IFERROR(INDEX(Settings!$G$2:$G$4,MATCH(H361,Settings!$F$2:$F$4,0)),""))</f>
        <v/>
      </c>
      <c r="J361" s="40"/>
      <c r="K361" s="50"/>
      <c r="L361" s="17"/>
      <c r="M361" s="40"/>
      <c r="N361" s="40"/>
      <c r="O361" s="45" t="str">
        <f aca="false">IF(N361="","",WORKDAY(N361,Settings!$S$4))</f>
        <v/>
      </c>
      <c r="P361" s="17"/>
      <c r="Q361" s="44" t="str">
        <f aca="true">IF(C361="","",IF(P361="Backed out",IF(S361="Paid","Refunded – closed",IF(R361="","Refund – log reason first","Refund in progress")),IF(K361="","Awaiting payment",IF(N361="",IF(M361="","Schedule free video","Free video in production"),IF(P361="Approved","Active",IF(TODAY()&gt;O361,"Active – plan went ahead","Decision pending – "&amp;NETWORKDAYS(TODAY(),O361)&amp;" working day(s) left"))))))</f>
        <v/>
      </c>
      <c r="R361" s="17"/>
      <c r="S361" s="17"/>
      <c r="T361" s="50"/>
      <c r="U361" s="40"/>
      <c r="V361" s="40"/>
      <c r="W361" s="45" t="str">
        <f aca="false">IF(V361="","",EDATE(V361,Settings!$S$6))</f>
        <v/>
      </c>
      <c r="X361" s="17"/>
      <c r="Y361" s="17"/>
      <c r="Z361" s="17"/>
    </row>
    <row r="362" customFormat="false" ht="15" hidden="false" customHeight="false" outlineLevel="0" collapsed="false">
      <c r="A362" s="17"/>
      <c r="B362" s="17"/>
      <c r="C362" s="17"/>
      <c r="D362" s="17"/>
      <c r="E362" s="42"/>
      <c r="F362" s="17"/>
      <c r="G362" s="17"/>
      <c r="H362" s="17"/>
      <c r="I362" s="49" t="str">
        <f aca="false">IF(H362="","",IFERROR(INDEX(Settings!$G$2:$G$4,MATCH(H362,Settings!$F$2:$F$4,0)),""))</f>
        <v/>
      </c>
      <c r="J362" s="40"/>
      <c r="K362" s="50"/>
      <c r="L362" s="17"/>
      <c r="M362" s="40"/>
      <c r="N362" s="40"/>
      <c r="O362" s="45" t="str">
        <f aca="false">IF(N362="","",WORKDAY(N362,Settings!$S$4))</f>
        <v/>
      </c>
      <c r="P362" s="17"/>
      <c r="Q362" s="44" t="str">
        <f aca="true">IF(C362="","",IF(P362="Backed out",IF(S362="Paid","Refunded – closed",IF(R362="","Refund – log reason first","Refund in progress")),IF(K362="","Awaiting payment",IF(N362="",IF(M362="","Schedule free video","Free video in production"),IF(P362="Approved","Active",IF(TODAY()&gt;O362,"Active – plan went ahead","Decision pending – "&amp;NETWORKDAYS(TODAY(),O362)&amp;" working day(s) left"))))))</f>
        <v/>
      </c>
      <c r="R362" s="17"/>
      <c r="S362" s="17"/>
      <c r="T362" s="50"/>
      <c r="U362" s="40"/>
      <c r="V362" s="40"/>
      <c r="W362" s="45" t="str">
        <f aca="false">IF(V362="","",EDATE(V362,Settings!$S$6))</f>
        <v/>
      </c>
      <c r="X362" s="17"/>
      <c r="Y362" s="17"/>
      <c r="Z362" s="17"/>
    </row>
    <row r="363" customFormat="false" ht="15" hidden="false" customHeight="false" outlineLevel="0" collapsed="false">
      <c r="A363" s="17"/>
      <c r="B363" s="17"/>
      <c r="C363" s="17"/>
      <c r="D363" s="17"/>
      <c r="E363" s="42"/>
      <c r="F363" s="17"/>
      <c r="G363" s="17"/>
      <c r="H363" s="17"/>
      <c r="I363" s="49" t="str">
        <f aca="false">IF(H363="","",IFERROR(INDEX(Settings!$G$2:$G$4,MATCH(H363,Settings!$F$2:$F$4,0)),""))</f>
        <v/>
      </c>
      <c r="J363" s="40"/>
      <c r="K363" s="50"/>
      <c r="L363" s="17"/>
      <c r="M363" s="40"/>
      <c r="N363" s="40"/>
      <c r="O363" s="45" t="str">
        <f aca="false">IF(N363="","",WORKDAY(N363,Settings!$S$4))</f>
        <v/>
      </c>
      <c r="P363" s="17"/>
      <c r="Q363" s="44" t="str">
        <f aca="true">IF(C363="","",IF(P363="Backed out",IF(S363="Paid","Refunded – closed",IF(R363="","Refund – log reason first","Refund in progress")),IF(K363="","Awaiting payment",IF(N363="",IF(M363="","Schedule free video","Free video in production"),IF(P363="Approved","Active",IF(TODAY()&gt;O363,"Active – plan went ahead","Decision pending – "&amp;NETWORKDAYS(TODAY(),O363)&amp;" working day(s) left"))))))</f>
        <v/>
      </c>
      <c r="R363" s="17"/>
      <c r="S363" s="17"/>
      <c r="T363" s="50"/>
      <c r="U363" s="40"/>
      <c r="V363" s="40"/>
      <c r="W363" s="45" t="str">
        <f aca="false">IF(V363="","",EDATE(V363,Settings!$S$6))</f>
        <v/>
      </c>
      <c r="X363" s="17"/>
      <c r="Y363" s="17"/>
      <c r="Z363" s="17"/>
    </row>
    <row r="364" customFormat="false" ht="15" hidden="false" customHeight="false" outlineLevel="0" collapsed="false">
      <c r="A364" s="17"/>
      <c r="B364" s="17"/>
      <c r="C364" s="17"/>
      <c r="D364" s="17"/>
      <c r="E364" s="42"/>
      <c r="F364" s="17"/>
      <c r="G364" s="17"/>
      <c r="H364" s="17"/>
      <c r="I364" s="49" t="str">
        <f aca="false">IF(H364="","",IFERROR(INDEX(Settings!$G$2:$G$4,MATCH(H364,Settings!$F$2:$F$4,0)),""))</f>
        <v/>
      </c>
      <c r="J364" s="40"/>
      <c r="K364" s="50"/>
      <c r="L364" s="17"/>
      <c r="M364" s="40"/>
      <c r="N364" s="40"/>
      <c r="O364" s="45" t="str">
        <f aca="false">IF(N364="","",WORKDAY(N364,Settings!$S$4))</f>
        <v/>
      </c>
      <c r="P364" s="17"/>
      <c r="Q364" s="44" t="str">
        <f aca="true">IF(C364="","",IF(P364="Backed out",IF(S364="Paid","Refunded – closed",IF(R364="","Refund – log reason first","Refund in progress")),IF(K364="","Awaiting payment",IF(N364="",IF(M364="","Schedule free video","Free video in production"),IF(P364="Approved","Active",IF(TODAY()&gt;O364,"Active – plan went ahead","Decision pending – "&amp;NETWORKDAYS(TODAY(),O364)&amp;" working day(s) left"))))))</f>
        <v/>
      </c>
      <c r="R364" s="17"/>
      <c r="S364" s="17"/>
      <c r="T364" s="50"/>
      <c r="U364" s="40"/>
      <c r="V364" s="40"/>
      <c r="W364" s="45" t="str">
        <f aca="false">IF(V364="","",EDATE(V364,Settings!$S$6))</f>
        <v/>
      </c>
      <c r="X364" s="17"/>
      <c r="Y364" s="17"/>
      <c r="Z364" s="17"/>
    </row>
    <row r="365" customFormat="false" ht="15" hidden="false" customHeight="false" outlineLevel="0" collapsed="false">
      <c r="A365" s="17"/>
      <c r="B365" s="17"/>
      <c r="C365" s="17"/>
      <c r="D365" s="17"/>
      <c r="E365" s="42"/>
      <c r="F365" s="17"/>
      <c r="G365" s="17"/>
      <c r="H365" s="17"/>
      <c r="I365" s="49" t="str">
        <f aca="false">IF(H365="","",IFERROR(INDEX(Settings!$G$2:$G$4,MATCH(H365,Settings!$F$2:$F$4,0)),""))</f>
        <v/>
      </c>
      <c r="J365" s="40"/>
      <c r="K365" s="50"/>
      <c r="L365" s="17"/>
      <c r="M365" s="40"/>
      <c r="N365" s="40"/>
      <c r="O365" s="45" t="str">
        <f aca="false">IF(N365="","",WORKDAY(N365,Settings!$S$4))</f>
        <v/>
      </c>
      <c r="P365" s="17"/>
      <c r="Q365" s="44" t="str">
        <f aca="true">IF(C365="","",IF(P365="Backed out",IF(S365="Paid","Refunded – closed",IF(R365="","Refund – log reason first","Refund in progress")),IF(K365="","Awaiting payment",IF(N365="",IF(M365="","Schedule free video","Free video in production"),IF(P365="Approved","Active",IF(TODAY()&gt;O365,"Active – plan went ahead","Decision pending – "&amp;NETWORKDAYS(TODAY(),O365)&amp;" working day(s) left"))))))</f>
        <v/>
      </c>
      <c r="R365" s="17"/>
      <c r="S365" s="17"/>
      <c r="T365" s="50"/>
      <c r="U365" s="40"/>
      <c r="V365" s="40"/>
      <c r="W365" s="45" t="str">
        <f aca="false">IF(V365="","",EDATE(V365,Settings!$S$6))</f>
        <v/>
      </c>
      <c r="X365" s="17"/>
      <c r="Y365" s="17"/>
      <c r="Z365" s="17"/>
    </row>
    <row r="366" customFormat="false" ht="15" hidden="false" customHeight="false" outlineLevel="0" collapsed="false">
      <c r="A366" s="17"/>
      <c r="B366" s="17"/>
      <c r="C366" s="17"/>
      <c r="D366" s="17"/>
      <c r="E366" s="42"/>
      <c r="F366" s="17"/>
      <c r="G366" s="17"/>
      <c r="H366" s="17"/>
      <c r="I366" s="49" t="str">
        <f aca="false">IF(H366="","",IFERROR(INDEX(Settings!$G$2:$G$4,MATCH(H366,Settings!$F$2:$F$4,0)),""))</f>
        <v/>
      </c>
      <c r="J366" s="40"/>
      <c r="K366" s="50"/>
      <c r="L366" s="17"/>
      <c r="M366" s="40"/>
      <c r="N366" s="40"/>
      <c r="O366" s="45" t="str">
        <f aca="false">IF(N366="","",WORKDAY(N366,Settings!$S$4))</f>
        <v/>
      </c>
      <c r="P366" s="17"/>
      <c r="Q366" s="44" t="str">
        <f aca="true">IF(C366="","",IF(P366="Backed out",IF(S366="Paid","Refunded – closed",IF(R366="","Refund – log reason first","Refund in progress")),IF(K366="","Awaiting payment",IF(N366="",IF(M366="","Schedule free video","Free video in production"),IF(P366="Approved","Active",IF(TODAY()&gt;O366,"Active – plan went ahead","Decision pending – "&amp;NETWORKDAYS(TODAY(),O366)&amp;" working day(s) left"))))))</f>
        <v/>
      </c>
      <c r="R366" s="17"/>
      <c r="S366" s="17"/>
      <c r="T366" s="50"/>
      <c r="U366" s="40"/>
      <c r="V366" s="40"/>
      <c r="W366" s="45" t="str">
        <f aca="false">IF(V366="","",EDATE(V366,Settings!$S$6))</f>
        <v/>
      </c>
      <c r="X366" s="17"/>
      <c r="Y366" s="17"/>
      <c r="Z366" s="17"/>
    </row>
    <row r="367" customFormat="false" ht="15" hidden="false" customHeight="false" outlineLevel="0" collapsed="false">
      <c r="A367" s="17"/>
      <c r="B367" s="17"/>
      <c r="C367" s="17"/>
      <c r="D367" s="17"/>
      <c r="E367" s="42"/>
      <c r="F367" s="17"/>
      <c r="G367" s="17"/>
      <c r="H367" s="17"/>
      <c r="I367" s="49" t="str">
        <f aca="false">IF(H367="","",IFERROR(INDEX(Settings!$G$2:$G$4,MATCH(H367,Settings!$F$2:$F$4,0)),""))</f>
        <v/>
      </c>
      <c r="J367" s="40"/>
      <c r="K367" s="50"/>
      <c r="L367" s="17"/>
      <c r="M367" s="40"/>
      <c r="N367" s="40"/>
      <c r="O367" s="45" t="str">
        <f aca="false">IF(N367="","",WORKDAY(N367,Settings!$S$4))</f>
        <v/>
      </c>
      <c r="P367" s="17"/>
      <c r="Q367" s="44" t="str">
        <f aca="true">IF(C367="","",IF(P367="Backed out",IF(S367="Paid","Refunded – closed",IF(R367="","Refund – log reason first","Refund in progress")),IF(K367="","Awaiting payment",IF(N367="",IF(M367="","Schedule free video","Free video in production"),IF(P367="Approved","Active",IF(TODAY()&gt;O367,"Active – plan went ahead","Decision pending – "&amp;NETWORKDAYS(TODAY(),O367)&amp;" working day(s) left"))))))</f>
        <v/>
      </c>
      <c r="R367" s="17"/>
      <c r="S367" s="17"/>
      <c r="T367" s="50"/>
      <c r="U367" s="40"/>
      <c r="V367" s="40"/>
      <c r="W367" s="45" t="str">
        <f aca="false">IF(V367="","",EDATE(V367,Settings!$S$6))</f>
        <v/>
      </c>
      <c r="X367" s="17"/>
      <c r="Y367" s="17"/>
      <c r="Z367" s="17"/>
    </row>
    <row r="368" customFormat="false" ht="15" hidden="false" customHeight="false" outlineLevel="0" collapsed="false">
      <c r="A368" s="17"/>
      <c r="B368" s="17"/>
      <c r="C368" s="17"/>
      <c r="D368" s="17"/>
      <c r="E368" s="42"/>
      <c r="F368" s="17"/>
      <c r="G368" s="17"/>
      <c r="H368" s="17"/>
      <c r="I368" s="49" t="str">
        <f aca="false">IF(H368="","",IFERROR(INDEX(Settings!$G$2:$G$4,MATCH(H368,Settings!$F$2:$F$4,0)),""))</f>
        <v/>
      </c>
      <c r="J368" s="40"/>
      <c r="K368" s="50"/>
      <c r="L368" s="17"/>
      <c r="M368" s="40"/>
      <c r="N368" s="40"/>
      <c r="O368" s="45" t="str">
        <f aca="false">IF(N368="","",WORKDAY(N368,Settings!$S$4))</f>
        <v/>
      </c>
      <c r="P368" s="17"/>
      <c r="Q368" s="44" t="str">
        <f aca="true">IF(C368="","",IF(P368="Backed out",IF(S368="Paid","Refunded – closed",IF(R368="","Refund – log reason first","Refund in progress")),IF(K368="","Awaiting payment",IF(N368="",IF(M368="","Schedule free video","Free video in production"),IF(P368="Approved","Active",IF(TODAY()&gt;O368,"Active – plan went ahead","Decision pending – "&amp;NETWORKDAYS(TODAY(),O368)&amp;" working day(s) left"))))))</f>
        <v/>
      </c>
      <c r="R368" s="17"/>
      <c r="S368" s="17"/>
      <c r="T368" s="50"/>
      <c r="U368" s="40"/>
      <c r="V368" s="40"/>
      <c r="W368" s="45" t="str">
        <f aca="false">IF(V368="","",EDATE(V368,Settings!$S$6))</f>
        <v/>
      </c>
      <c r="X368" s="17"/>
      <c r="Y368" s="17"/>
      <c r="Z368" s="17"/>
    </row>
    <row r="369" customFormat="false" ht="15" hidden="false" customHeight="false" outlineLevel="0" collapsed="false">
      <c r="A369" s="17"/>
      <c r="B369" s="17"/>
      <c r="C369" s="17"/>
      <c r="D369" s="17"/>
      <c r="E369" s="42"/>
      <c r="F369" s="17"/>
      <c r="G369" s="17"/>
      <c r="H369" s="17"/>
      <c r="I369" s="49" t="str">
        <f aca="false">IF(H369="","",IFERROR(INDEX(Settings!$G$2:$G$4,MATCH(H369,Settings!$F$2:$F$4,0)),""))</f>
        <v/>
      </c>
      <c r="J369" s="40"/>
      <c r="K369" s="50"/>
      <c r="L369" s="17"/>
      <c r="M369" s="40"/>
      <c r="N369" s="40"/>
      <c r="O369" s="45" t="str">
        <f aca="false">IF(N369="","",WORKDAY(N369,Settings!$S$4))</f>
        <v/>
      </c>
      <c r="P369" s="17"/>
      <c r="Q369" s="44" t="str">
        <f aca="true">IF(C369="","",IF(P369="Backed out",IF(S369="Paid","Refunded – closed",IF(R369="","Refund – log reason first","Refund in progress")),IF(K369="","Awaiting payment",IF(N369="",IF(M369="","Schedule free video","Free video in production"),IF(P369="Approved","Active",IF(TODAY()&gt;O369,"Active – plan went ahead","Decision pending – "&amp;NETWORKDAYS(TODAY(),O369)&amp;" working day(s) left"))))))</f>
        <v/>
      </c>
      <c r="R369" s="17"/>
      <c r="S369" s="17"/>
      <c r="T369" s="50"/>
      <c r="U369" s="40"/>
      <c r="V369" s="40"/>
      <c r="W369" s="45" t="str">
        <f aca="false">IF(V369="","",EDATE(V369,Settings!$S$6))</f>
        <v/>
      </c>
      <c r="X369" s="17"/>
      <c r="Y369" s="17"/>
      <c r="Z369" s="17"/>
    </row>
    <row r="370" customFormat="false" ht="15" hidden="false" customHeight="false" outlineLevel="0" collapsed="false">
      <c r="A370" s="17"/>
      <c r="B370" s="17"/>
      <c r="C370" s="17"/>
      <c r="D370" s="17"/>
      <c r="E370" s="42"/>
      <c r="F370" s="17"/>
      <c r="G370" s="17"/>
      <c r="H370" s="17"/>
      <c r="I370" s="49" t="str">
        <f aca="false">IF(H370="","",IFERROR(INDEX(Settings!$G$2:$G$4,MATCH(H370,Settings!$F$2:$F$4,0)),""))</f>
        <v/>
      </c>
      <c r="J370" s="40"/>
      <c r="K370" s="50"/>
      <c r="L370" s="17"/>
      <c r="M370" s="40"/>
      <c r="N370" s="40"/>
      <c r="O370" s="45" t="str">
        <f aca="false">IF(N370="","",WORKDAY(N370,Settings!$S$4))</f>
        <v/>
      </c>
      <c r="P370" s="17"/>
      <c r="Q370" s="44" t="str">
        <f aca="true">IF(C370="","",IF(P370="Backed out",IF(S370="Paid","Refunded – closed",IF(R370="","Refund – log reason first","Refund in progress")),IF(K370="","Awaiting payment",IF(N370="",IF(M370="","Schedule free video","Free video in production"),IF(P370="Approved","Active",IF(TODAY()&gt;O370,"Active – plan went ahead","Decision pending – "&amp;NETWORKDAYS(TODAY(),O370)&amp;" working day(s) left"))))))</f>
        <v/>
      </c>
      <c r="R370" s="17"/>
      <c r="S370" s="17"/>
      <c r="T370" s="50"/>
      <c r="U370" s="40"/>
      <c r="V370" s="40"/>
      <c r="W370" s="45" t="str">
        <f aca="false">IF(V370="","",EDATE(V370,Settings!$S$6))</f>
        <v/>
      </c>
      <c r="X370" s="17"/>
      <c r="Y370" s="17"/>
      <c r="Z370" s="17"/>
    </row>
    <row r="371" customFormat="false" ht="15" hidden="false" customHeight="false" outlineLevel="0" collapsed="false">
      <c r="A371" s="17"/>
      <c r="B371" s="17"/>
      <c r="C371" s="17"/>
      <c r="D371" s="17"/>
      <c r="E371" s="42"/>
      <c r="F371" s="17"/>
      <c r="G371" s="17"/>
      <c r="H371" s="17"/>
      <c r="I371" s="49" t="str">
        <f aca="false">IF(H371="","",IFERROR(INDEX(Settings!$G$2:$G$4,MATCH(H371,Settings!$F$2:$F$4,0)),""))</f>
        <v/>
      </c>
      <c r="J371" s="40"/>
      <c r="K371" s="50"/>
      <c r="L371" s="17"/>
      <c r="M371" s="40"/>
      <c r="N371" s="40"/>
      <c r="O371" s="45" t="str">
        <f aca="false">IF(N371="","",WORKDAY(N371,Settings!$S$4))</f>
        <v/>
      </c>
      <c r="P371" s="17"/>
      <c r="Q371" s="44" t="str">
        <f aca="true">IF(C371="","",IF(P371="Backed out",IF(S371="Paid","Refunded – closed",IF(R371="","Refund – log reason first","Refund in progress")),IF(K371="","Awaiting payment",IF(N371="",IF(M371="","Schedule free video","Free video in production"),IF(P371="Approved","Active",IF(TODAY()&gt;O371,"Active – plan went ahead","Decision pending – "&amp;NETWORKDAYS(TODAY(),O371)&amp;" working day(s) left"))))))</f>
        <v/>
      </c>
      <c r="R371" s="17"/>
      <c r="S371" s="17"/>
      <c r="T371" s="50"/>
      <c r="U371" s="40"/>
      <c r="V371" s="40"/>
      <c r="W371" s="45" t="str">
        <f aca="false">IF(V371="","",EDATE(V371,Settings!$S$6))</f>
        <v/>
      </c>
      <c r="X371" s="17"/>
      <c r="Y371" s="17"/>
      <c r="Z371" s="17"/>
    </row>
    <row r="372" customFormat="false" ht="15" hidden="false" customHeight="false" outlineLevel="0" collapsed="false">
      <c r="A372" s="17"/>
      <c r="B372" s="17"/>
      <c r="C372" s="17"/>
      <c r="D372" s="17"/>
      <c r="E372" s="42"/>
      <c r="F372" s="17"/>
      <c r="G372" s="17"/>
      <c r="H372" s="17"/>
      <c r="I372" s="49" t="str">
        <f aca="false">IF(H372="","",IFERROR(INDEX(Settings!$G$2:$G$4,MATCH(H372,Settings!$F$2:$F$4,0)),""))</f>
        <v/>
      </c>
      <c r="J372" s="40"/>
      <c r="K372" s="50"/>
      <c r="L372" s="17"/>
      <c r="M372" s="40"/>
      <c r="N372" s="40"/>
      <c r="O372" s="45" t="str">
        <f aca="false">IF(N372="","",WORKDAY(N372,Settings!$S$4))</f>
        <v/>
      </c>
      <c r="P372" s="17"/>
      <c r="Q372" s="44" t="str">
        <f aca="true">IF(C372="","",IF(P372="Backed out",IF(S372="Paid","Refunded – closed",IF(R372="","Refund – log reason first","Refund in progress")),IF(K372="","Awaiting payment",IF(N372="",IF(M372="","Schedule free video","Free video in production"),IF(P372="Approved","Active",IF(TODAY()&gt;O372,"Active – plan went ahead","Decision pending – "&amp;NETWORKDAYS(TODAY(),O372)&amp;" working day(s) left"))))))</f>
        <v/>
      </c>
      <c r="R372" s="17"/>
      <c r="S372" s="17"/>
      <c r="T372" s="50"/>
      <c r="U372" s="40"/>
      <c r="V372" s="40"/>
      <c r="W372" s="45" t="str">
        <f aca="false">IF(V372="","",EDATE(V372,Settings!$S$6))</f>
        <v/>
      </c>
      <c r="X372" s="17"/>
      <c r="Y372" s="17"/>
      <c r="Z372" s="17"/>
    </row>
    <row r="373" customFormat="false" ht="15" hidden="false" customHeight="false" outlineLevel="0" collapsed="false">
      <c r="A373" s="17"/>
      <c r="B373" s="17"/>
      <c r="C373" s="17"/>
      <c r="D373" s="17"/>
      <c r="E373" s="42"/>
      <c r="F373" s="17"/>
      <c r="G373" s="17"/>
      <c r="H373" s="17"/>
      <c r="I373" s="49" t="str">
        <f aca="false">IF(H373="","",IFERROR(INDEX(Settings!$G$2:$G$4,MATCH(H373,Settings!$F$2:$F$4,0)),""))</f>
        <v/>
      </c>
      <c r="J373" s="40"/>
      <c r="K373" s="50"/>
      <c r="L373" s="17"/>
      <c r="M373" s="40"/>
      <c r="N373" s="40"/>
      <c r="O373" s="45" t="str">
        <f aca="false">IF(N373="","",WORKDAY(N373,Settings!$S$4))</f>
        <v/>
      </c>
      <c r="P373" s="17"/>
      <c r="Q373" s="44" t="str">
        <f aca="true">IF(C373="","",IF(P373="Backed out",IF(S373="Paid","Refunded – closed",IF(R373="","Refund – log reason first","Refund in progress")),IF(K373="","Awaiting payment",IF(N373="",IF(M373="","Schedule free video","Free video in production"),IF(P373="Approved","Active",IF(TODAY()&gt;O373,"Active – plan went ahead","Decision pending – "&amp;NETWORKDAYS(TODAY(),O373)&amp;" working day(s) left"))))))</f>
        <v/>
      </c>
      <c r="R373" s="17"/>
      <c r="S373" s="17"/>
      <c r="T373" s="50"/>
      <c r="U373" s="40"/>
      <c r="V373" s="40"/>
      <c r="W373" s="45" t="str">
        <f aca="false">IF(V373="","",EDATE(V373,Settings!$S$6))</f>
        <v/>
      </c>
      <c r="X373" s="17"/>
      <c r="Y373" s="17"/>
      <c r="Z373" s="17"/>
    </row>
    <row r="374" customFormat="false" ht="15" hidden="false" customHeight="false" outlineLevel="0" collapsed="false">
      <c r="A374" s="17"/>
      <c r="B374" s="17"/>
      <c r="C374" s="17"/>
      <c r="D374" s="17"/>
      <c r="E374" s="42"/>
      <c r="F374" s="17"/>
      <c r="G374" s="17"/>
      <c r="H374" s="17"/>
      <c r="I374" s="49" t="str">
        <f aca="false">IF(H374="","",IFERROR(INDEX(Settings!$G$2:$G$4,MATCH(H374,Settings!$F$2:$F$4,0)),""))</f>
        <v/>
      </c>
      <c r="J374" s="40"/>
      <c r="K374" s="50"/>
      <c r="L374" s="17"/>
      <c r="M374" s="40"/>
      <c r="N374" s="40"/>
      <c r="O374" s="45" t="str">
        <f aca="false">IF(N374="","",WORKDAY(N374,Settings!$S$4))</f>
        <v/>
      </c>
      <c r="P374" s="17"/>
      <c r="Q374" s="44" t="str">
        <f aca="true">IF(C374="","",IF(P374="Backed out",IF(S374="Paid","Refunded – closed",IF(R374="","Refund – log reason first","Refund in progress")),IF(K374="","Awaiting payment",IF(N374="",IF(M374="","Schedule free video","Free video in production"),IF(P374="Approved","Active",IF(TODAY()&gt;O374,"Active – plan went ahead","Decision pending – "&amp;NETWORKDAYS(TODAY(),O374)&amp;" working day(s) left"))))))</f>
        <v/>
      </c>
      <c r="R374" s="17"/>
      <c r="S374" s="17"/>
      <c r="T374" s="50"/>
      <c r="U374" s="40"/>
      <c r="V374" s="40"/>
      <c r="W374" s="45" t="str">
        <f aca="false">IF(V374="","",EDATE(V374,Settings!$S$6))</f>
        <v/>
      </c>
      <c r="X374" s="17"/>
      <c r="Y374" s="17"/>
      <c r="Z374" s="17"/>
    </row>
    <row r="375" customFormat="false" ht="15" hidden="false" customHeight="false" outlineLevel="0" collapsed="false">
      <c r="A375" s="17"/>
      <c r="B375" s="17"/>
      <c r="C375" s="17"/>
      <c r="D375" s="17"/>
      <c r="E375" s="42"/>
      <c r="F375" s="17"/>
      <c r="G375" s="17"/>
      <c r="H375" s="17"/>
      <c r="I375" s="49" t="str">
        <f aca="false">IF(H375="","",IFERROR(INDEX(Settings!$G$2:$G$4,MATCH(H375,Settings!$F$2:$F$4,0)),""))</f>
        <v/>
      </c>
      <c r="J375" s="40"/>
      <c r="K375" s="50"/>
      <c r="L375" s="17"/>
      <c r="M375" s="40"/>
      <c r="N375" s="40"/>
      <c r="O375" s="45" t="str">
        <f aca="false">IF(N375="","",WORKDAY(N375,Settings!$S$4))</f>
        <v/>
      </c>
      <c r="P375" s="17"/>
      <c r="Q375" s="44" t="str">
        <f aca="true">IF(C375="","",IF(P375="Backed out",IF(S375="Paid","Refunded – closed",IF(R375="","Refund – log reason first","Refund in progress")),IF(K375="","Awaiting payment",IF(N375="",IF(M375="","Schedule free video","Free video in production"),IF(P375="Approved","Active",IF(TODAY()&gt;O375,"Active – plan went ahead","Decision pending – "&amp;NETWORKDAYS(TODAY(),O375)&amp;" working day(s) left"))))))</f>
        <v/>
      </c>
      <c r="R375" s="17"/>
      <c r="S375" s="17"/>
      <c r="T375" s="50"/>
      <c r="U375" s="40"/>
      <c r="V375" s="40"/>
      <c r="W375" s="45" t="str">
        <f aca="false">IF(V375="","",EDATE(V375,Settings!$S$6))</f>
        <v/>
      </c>
      <c r="X375" s="17"/>
      <c r="Y375" s="17"/>
      <c r="Z375" s="17"/>
    </row>
    <row r="376" customFormat="false" ht="15" hidden="false" customHeight="false" outlineLevel="0" collapsed="false">
      <c r="A376" s="17"/>
      <c r="B376" s="17"/>
      <c r="C376" s="17"/>
      <c r="D376" s="17"/>
      <c r="E376" s="42"/>
      <c r="F376" s="17"/>
      <c r="G376" s="17"/>
      <c r="H376" s="17"/>
      <c r="I376" s="49" t="str">
        <f aca="false">IF(H376="","",IFERROR(INDEX(Settings!$G$2:$G$4,MATCH(H376,Settings!$F$2:$F$4,0)),""))</f>
        <v/>
      </c>
      <c r="J376" s="40"/>
      <c r="K376" s="50"/>
      <c r="L376" s="17"/>
      <c r="M376" s="40"/>
      <c r="N376" s="40"/>
      <c r="O376" s="45" t="str">
        <f aca="false">IF(N376="","",WORKDAY(N376,Settings!$S$4))</f>
        <v/>
      </c>
      <c r="P376" s="17"/>
      <c r="Q376" s="44" t="str">
        <f aca="true">IF(C376="","",IF(P376="Backed out",IF(S376="Paid","Refunded – closed",IF(R376="","Refund – log reason first","Refund in progress")),IF(K376="","Awaiting payment",IF(N376="",IF(M376="","Schedule free video","Free video in production"),IF(P376="Approved","Active",IF(TODAY()&gt;O376,"Active – plan went ahead","Decision pending – "&amp;NETWORKDAYS(TODAY(),O376)&amp;" working day(s) left"))))))</f>
        <v/>
      </c>
      <c r="R376" s="17"/>
      <c r="S376" s="17"/>
      <c r="T376" s="50"/>
      <c r="U376" s="40"/>
      <c r="V376" s="40"/>
      <c r="W376" s="45" t="str">
        <f aca="false">IF(V376="","",EDATE(V376,Settings!$S$6))</f>
        <v/>
      </c>
      <c r="X376" s="17"/>
      <c r="Y376" s="17"/>
      <c r="Z376" s="17"/>
    </row>
    <row r="377" customFormat="false" ht="15" hidden="false" customHeight="false" outlineLevel="0" collapsed="false">
      <c r="A377" s="17"/>
      <c r="B377" s="17"/>
      <c r="C377" s="17"/>
      <c r="D377" s="17"/>
      <c r="E377" s="42"/>
      <c r="F377" s="17"/>
      <c r="G377" s="17"/>
      <c r="H377" s="17"/>
      <c r="I377" s="49" t="str">
        <f aca="false">IF(H377="","",IFERROR(INDEX(Settings!$G$2:$G$4,MATCH(H377,Settings!$F$2:$F$4,0)),""))</f>
        <v/>
      </c>
      <c r="J377" s="40"/>
      <c r="K377" s="50"/>
      <c r="L377" s="17"/>
      <c r="M377" s="40"/>
      <c r="N377" s="40"/>
      <c r="O377" s="45" t="str">
        <f aca="false">IF(N377="","",WORKDAY(N377,Settings!$S$4))</f>
        <v/>
      </c>
      <c r="P377" s="17"/>
      <c r="Q377" s="44" t="str">
        <f aca="true">IF(C377="","",IF(P377="Backed out",IF(S377="Paid","Refunded – closed",IF(R377="","Refund – log reason first","Refund in progress")),IF(K377="","Awaiting payment",IF(N377="",IF(M377="","Schedule free video","Free video in production"),IF(P377="Approved","Active",IF(TODAY()&gt;O377,"Active – plan went ahead","Decision pending – "&amp;NETWORKDAYS(TODAY(),O377)&amp;" working day(s) left"))))))</f>
        <v/>
      </c>
      <c r="R377" s="17"/>
      <c r="S377" s="17"/>
      <c r="T377" s="50"/>
      <c r="U377" s="40"/>
      <c r="V377" s="40"/>
      <c r="W377" s="45" t="str">
        <f aca="false">IF(V377="","",EDATE(V377,Settings!$S$6))</f>
        <v/>
      </c>
      <c r="X377" s="17"/>
      <c r="Y377" s="17"/>
      <c r="Z377" s="17"/>
    </row>
    <row r="378" customFormat="false" ht="15" hidden="false" customHeight="false" outlineLevel="0" collapsed="false">
      <c r="A378" s="17"/>
      <c r="B378" s="17"/>
      <c r="C378" s="17"/>
      <c r="D378" s="17"/>
      <c r="E378" s="42"/>
      <c r="F378" s="17"/>
      <c r="G378" s="17"/>
      <c r="H378" s="17"/>
      <c r="I378" s="49" t="str">
        <f aca="false">IF(H378="","",IFERROR(INDEX(Settings!$G$2:$G$4,MATCH(H378,Settings!$F$2:$F$4,0)),""))</f>
        <v/>
      </c>
      <c r="J378" s="40"/>
      <c r="K378" s="50"/>
      <c r="L378" s="17"/>
      <c r="M378" s="40"/>
      <c r="N378" s="40"/>
      <c r="O378" s="45" t="str">
        <f aca="false">IF(N378="","",WORKDAY(N378,Settings!$S$4))</f>
        <v/>
      </c>
      <c r="P378" s="17"/>
      <c r="Q378" s="44" t="str">
        <f aca="true">IF(C378="","",IF(P378="Backed out",IF(S378="Paid","Refunded – closed",IF(R378="","Refund – log reason first","Refund in progress")),IF(K378="","Awaiting payment",IF(N378="",IF(M378="","Schedule free video","Free video in production"),IF(P378="Approved","Active",IF(TODAY()&gt;O378,"Active – plan went ahead","Decision pending – "&amp;NETWORKDAYS(TODAY(),O378)&amp;" working day(s) left"))))))</f>
        <v/>
      </c>
      <c r="R378" s="17"/>
      <c r="S378" s="17"/>
      <c r="T378" s="50"/>
      <c r="U378" s="40"/>
      <c r="V378" s="40"/>
      <c r="W378" s="45" t="str">
        <f aca="false">IF(V378="","",EDATE(V378,Settings!$S$6))</f>
        <v/>
      </c>
      <c r="X378" s="17"/>
      <c r="Y378" s="17"/>
      <c r="Z378" s="17"/>
    </row>
    <row r="379" customFormat="false" ht="15" hidden="false" customHeight="false" outlineLevel="0" collapsed="false">
      <c r="A379" s="17"/>
      <c r="B379" s="17"/>
      <c r="C379" s="17"/>
      <c r="D379" s="17"/>
      <c r="E379" s="42"/>
      <c r="F379" s="17"/>
      <c r="G379" s="17"/>
      <c r="H379" s="17"/>
      <c r="I379" s="49" t="str">
        <f aca="false">IF(H379="","",IFERROR(INDEX(Settings!$G$2:$G$4,MATCH(H379,Settings!$F$2:$F$4,0)),""))</f>
        <v/>
      </c>
      <c r="J379" s="40"/>
      <c r="K379" s="50"/>
      <c r="L379" s="17"/>
      <c r="M379" s="40"/>
      <c r="N379" s="40"/>
      <c r="O379" s="45" t="str">
        <f aca="false">IF(N379="","",WORKDAY(N379,Settings!$S$4))</f>
        <v/>
      </c>
      <c r="P379" s="17"/>
      <c r="Q379" s="44" t="str">
        <f aca="true">IF(C379="","",IF(P379="Backed out",IF(S379="Paid","Refunded – closed",IF(R379="","Refund – log reason first","Refund in progress")),IF(K379="","Awaiting payment",IF(N379="",IF(M379="","Schedule free video","Free video in production"),IF(P379="Approved","Active",IF(TODAY()&gt;O379,"Active – plan went ahead","Decision pending – "&amp;NETWORKDAYS(TODAY(),O379)&amp;" working day(s) left"))))))</f>
        <v/>
      </c>
      <c r="R379" s="17"/>
      <c r="S379" s="17"/>
      <c r="T379" s="50"/>
      <c r="U379" s="40"/>
      <c r="V379" s="40"/>
      <c r="W379" s="45" t="str">
        <f aca="false">IF(V379="","",EDATE(V379,Settings!$S$6))</f>
        <v/>
      </c>
      <c r="X379" s="17"/>
      <c r="Y379" s="17"/>
      <c r="Z379" s="17"/>
    </row>
    <row r="380" customFormat="false" ht="15" hidden="false" customHeight="false" outlineLevel="0" collapsed="false">
      <c r="A380" s="17"/>
      <c r="B380" s="17"/>
      <c r="C380" s="17"/>
      <c r="D380" s="17"/>
      <c r="E380" s="42"/>
      <c r="F380" s="17"/>
      <c r="G380" s="17"/>
      <c r="H380" s="17"/>
      <c r="I380" s="49" t="str">
        <f aca="false">IF(H380="","",IFERROR(INDEX(Settings!$G$2:$G$4,MATCH(H380,Settings!$F$2:$F$4,0)),""))</f>
        <v/>
      </c>
      <c r="J380" s="40"/>
      <c r="K380" s="50"/>
      <c r="L380" s="17"/>
      <c r="M380" s="40"/>
      <c r="N380" s="40"/>
      <c r="O380" s="45" t="str">
        <f aca="false">IF(N380="","",WORKDAY(N380,Settings!$S$4))</f>
        <v/>
      </c>
      <c r="P380" s="17"/>
      <c r="Q380" s="44" t="str">
        <f aca="true">IF(C380="","",IF(P380="Backed out",IF(S380="Paid","Refunded – closed",IF(R380="","Refund – log reason first","Refund in progress")),IF(K380="","Awaiting payment",IF(N380="",IF(M380="","Schedule free video","Free video in production"),IF(P380="Approved","Active",IF(TODAY()&gt;O380,"Active – plan went ahead","Decision pending – "&amp;NETWORKDAYS(TODAY(),O380)&amp;" working day(s) left"))))))</f>
        <v/>
      </c>
      <c r="R380" s="17"/>
      <c r="S380" s="17"/>
      <c r="T380" s="50"/>
      <c r="U380" s="40"/>
      <c r="V380" s="40"/>
      <c r="W380" s="45" t="str">
        <f aca="false">IF(V380="","",EDATE(V380,Settings!$S$6))</f>
        <v/>
      </c>
      <c r="X380" s="17"/>
      <c r="Y380" s="17"/>
      <c r="Z380" s="17"/>
    </row>
    <row r="381" customFormat="false" ht="15" hidden="false" customHeight="false" outlineLevel="0" collapsed="false">
      <c r="A381" s="17"/>
      <c r="B381" s="17"/>
      <c r="C381" s="17"/>
      <c r="D381" s="17"/>
      <c r="E381" s="42"/>
      <c r="F381" s="17"/>
      <c r="G381" s="17"/>
      <c r="H381" s="17"/>
      <c r="I381" s="49" t="str">
        <f aca="false">IF(H381="","",IFERROR(INDEX(Settings!$G$2:$G$4,MATCH(H381,Settings!$F$2:$F$4,0)),""))</f>
        <v/>
      </c>
      <c r="J381" s="40"/>
      <c r="K381" s="50"/>
      <c r="L381" s="17"/>
      <c r="M381" s="40"/>
      <c r="N381" s="40"/>
      <c r="O381" s="45" t="str">
        <f aca="false">IF(N381="","",WORKDAY(N381,Settings!$S$4))</f>
        <v/>
      </c>
      <c r="P381" s="17"/>
      <c r="Q381" s="44" t="str">
        <f aca="true">IF(C381="","",IF(P381="Backed out",IF(S381="Paid","Refunded – closed",IF(R381="","Refund – log reason first","Refund in progress")),IF(K381="","Awaiting payment",IF(N381="",IF(M381="","Schedule free video","Free video in production"),IF(P381="Approved","Active",IF(TODAY()&gt;O381,"Active – plan went ahead","Decision pending – "&amp;NETWORKDAYS(TODAY(),O381)&amp;" working day(s) left"))))))</f>
        <v/>
      </c>
      <c r="R381" s="17"/>
      <c r="S381" s="17"/>
      <c r="T381" s="50"/>
      <c r="U381" s="40"/>
      <c r="V381" s="40"/>
      <c r="W381" s="45" t="str">
        <f aca="false">IF(V381="","",EDATE(V381,Settings!$S$6))</f>
        <v/>
      </c>
      <c r="X381" s="17"/>
      <c r="Y381" s="17"/>
      <c r="Z381" s="17"/>
    </row>
    <row r="382" customFormat="false" ht="15" hidden="false" customHeight="false" outlineLevel="0" collapsed="false">
      <c r="A382" s="17"/>
      <c r="B382" s="17"/>
      <c r="C382" s="17"/>
      <c r="D382" s="17"/>
      <c r="E382" s="42"/>
      <c r="F382" s="17"/>
      <c r="G382" s="17"/>
      <c r="H382" s="17"/>
      <c r="I382" s="49" t="str">
        <f aca="false">IF(H382="","",IFERROR(INDEX(Settings!$G$2:$G$4,MATCH(H382,Settings!$F$2:$F$4,0)),""))</f>
        <v/>
      </c>
      <c r="J382" s="40"/>
      <c r="K382" s="50"/>
      <c r="L382" s="17"/>
      <c r="M382" s="40"/>
      <c r="N382" s="40"/>
      <c r="O382" s="45" t="str">
        <f aca="false">IF(N382="","",WORKDAY(N382,Settings!$S$4))</f>
        <v/>
      </c>
      <c r="P382" s="17"/>
      <c r="Q382" s="44" t="str">
        <f aca="true">IF(C382="","",IF(P382="Backed out",IF(S382="Paid","Refunded – closed",IF(R382="","Refund – log reason first","Refund in progress")),IF(K382="","Awaiting payment",IF(N382="",IF(M382="","Schedule free video","Free video in production"),IF(P382="Approved","Active",IF(TODAY()&gt;O382,"Active – plan went ahead","Decision pending – "&amp;NETWORKDAYS(TODAY(),O382)&amp;" working day(s) left"))))))</f>
        <v/>
      </c>
      <c r="R382" s="17"/>
      <c r="S382" s="17"/>
      <c r="T382" s="50"/>
      <c r="U382" s="40"/>
      <c r="V382" s="40"/>
      <c r="W382" s="45" t="str">
        <f aca="false">IF(V382="","",EDATE(V382,Settings!$S$6))</f>
        <v/>
      </c>
      <c r="X382" s="17"/>
      <c r="Y382" s="17"/>
      <c r="Z382" s="17"/>
    </row>
    <row r="383" customFormat="false" ht="15" hidden="false" customHeight="false" outlineLevel="0" collapsed="false">
      <c r="A383" s="17"/>
      <c r="B383" s="17"/>
      <c r="C383" s="17"/>
      <c r="D383" s="17"/>
      <c r="E383" s="42"/>
      <c r="F383" s="17"/>
      <c r="G383" s="17"/>
      <c r="H383" s="17"/>
      <c r="I383" s="49" t="str">
        <f aca="false">IF(H383="","",IFERROR(INDEX(Settings!$G$2:$G$4,MATCH(H383,Settings!$F$2:$F$4,0)),""))</f>
        <v/>
      </c>
      <c r="J383" s="40"/>
      <c r="K383" s="50"/>
      <c r="L383" s="17"/>
      <c r="M383" s="40"/>
      <c r="N383" s="40"/>
      <c r="O383" s="45" t="str">
        <f aca="false">IF(N383="","",WORKDAY(N383,Settings!$S$4))</f>
        <v/>
      </c>
      <c r="P383" s="17"/>
      <c r="Q383" s="44" t="str">
        <f aca="true">IF(C383="","",IF(P383="Backed out",IF(S383="Paid","Refunded – closed",IF(R383="","Refund – log reason first","Refund in progress")),IF(K383="","Awaiting payment",IF(N383="",IF(M383="","Schedule free video","Free video in production"),IF(P383="Approved","Active",IF(TODAY()&gt;O383,"Active – plan went ahead","Decision pending – "&amp;NETWORKDAYS(TODAY(),O383)&amp;" working day(s) left"))))))</f>
        <v/>
      </c>
      <c r="R383" s="17"/>
      <c r="S383" s="17"/>
      <c r="T383" s="50"/>
      <c r="U383" s="40"/>
      <c r="V383" s="40"/>
      <c r="W383" s="45" t="str">
        <f aca="false">IF(V383="","",EDATE(V383,Settings!$S$6))</f>
        <v/>
      </c>
      <c r="X383" s="17"/>
      <c r="Y383" s="17"/>
      <c r="Z383" s="17"/>
    </row>
    <row r="384" customFormat="false" ht="15" hidden="false" customHeight="false" outlineLevel="0" collapsed="false">
      <c r="A384" s="17"/>
      <c r="B384" s="17"/>
      <c r="C384" s="17"/>
      <c r="D384" s="17"/>
      <c r="E384" s="42"/>
      <c r="F384" s="17"/>
      <c r="G384" s="17"/>
      <c r="H384" s="17"/>
      <c r="I384" s="49" t="str">
        <f aca="false">IF(H384="","",IFERROR(INDEX(Settings!$G$2:$G$4,MATCH(H384,Settings!$F$2:$F$4,0)),""))</f>
        <v/>
      </c>
      <c r="J384" s="40"/>
      <c r="K384" s="50"/>
      <c r="L384" s="17"/>
      <c r="M384" s="40"/>
      <c r="N384" s="40"/>
      <c r="O384" s="45" t="str">
        <f aca="false">IF(N384="","",WORKDAY(N384,Settings!$S$4))</f>
        <v/>
      </c>
      <c r="P384" s="17"/>
      <c r="Q384" s="44" t="str">
        <f aca="true">IF(C384="","",IF(P384="Backed out",IF(S384="Paid","Refunded – closed",IF(R384="","Refund – log reason first","Refund in progress")),IF(K384="","Awaiting payment",IF(N384="",IF(M384="","Schedule free video","Free video in production"),IF(P384="Approved","Active",IF(TODAY()&gt;O384,"Active – plan went ahead","Decision pending – "&amp;NETWORKDAYS(TODAY(),O384)&amp;" working day(s) left"))))))</f>
        <v/>
      </c>
      <c r="R384" s="17"/>
      <c r="S384" s="17"/>
      <c r="T384" s="50"/>
      <c r="U384" s="40"/>
      <c r="V384" s="40"/>
      <c r="W384" s="45" t="str">
        <f aca="false">IF(V384="","",EDATE(V384,Settings!$S$6))</f>
        <v/>
      </c>
      <c r="X384" s="17"/>
      <c r="Y384" s="17"/>
      <c r="Z384" s="17"/>
    </row>
    <row r="385" customFormat="false" ht="15" hidden="false" customHeight="false" outlineLevel="0" collapsed="false">
      <c r="A385" s="17"/>
      <c r="B385" s="17"/>
      <c r="C385" s="17"/>
      <c r="D385" s="17"/>
      <c r="E385" s="42"/>
      <c r="F385" s="17"/>
      <c r="G385" s="17"/>
      <c r="H385" s="17"/>
      <c r="I385" s="49" t="str">
        <f aca="false">IF(H385="","",IFERROR(INDEX(Settings!$G$2:$G$4,MATCH(H385,Settings!$F$2:$F$4,0)),""))</f>
        <v/>
      </c>
      <c r="J385" s="40"/>
      <c r="K385" s="50"/>
      <c r="L385" s="17"/>
      <c r="M385" s="40"/>
      <c r="N385" s="40"/>
      <c r="O385" s="45" t="str">
        <f aca="false">IF(N385="","",WORKDAY(N385,Settings!$S$4))</f>
        <v/>
      </c>
      <c r="P385" s="17"/>
      <c r="Q385" s="44" t="str">
        <f aca="true">IF(C385="","",IF(P385="Backed out",IF(S385="Paid","Refunded – closed",IF(R385="","Refund – log reason first","Refund in progress")),IF(K385="","Awaiting payment",IF(N385="",IF(M385="","Schedule free video","Free video in production"),IF(P385="Approved","Active",IF(TODAY()&gt;O385,"Active – plan went ahead","Decision pending – "&amp;NETWORKDAYS(TODAY(),O385)&amp;" working day(s) left"))))))</f>
        <v/>
      </c>
      <c r="R385" s="17"/>
      <c r="S385" s="17"/>
      <c r="T385" s="50"/>
      <c r="U385" s="40"/>
      <c r="V385" s="40"/>
      <c r="W385" s="45" t="str">
        <f aca="false">IF(V385="","",EDATE(V385,Settings!$S$6))</f>
        <v/>
      </c>
      <c r="X385" s="17"/>
      <c r="Y385" s="17"/>
      <c r="Z385" s="17"/>
    </row>
    <row r="386" customFormat="false" ht="15" hidden="false" customHeight="false" outlineLevel="0" collapsed="false">
      <c r="A386" s="17"/>
      <c r="B386" s="17"/>
      <c r="C386" s="17"/>
      <c r="D386" s="17"/>
      <c r="E386" s="42"/>
      <c r="F386" s="17"/>
      <c r="G386" s="17"/>
      <c r="H386" s="17"/>
      <c r="I386" s="49" t="str">
        <f aca="false">IF(H386="","",IFERROR(INDEX(Settings!$G$2:$G$4,MATCH(H386,Settings!$F$2:$F$4,0)),""))</f>
        <v/>
      </c>
      <c r="J386" s="40"/>
      <c r="K386" s="50"/>
      <c r="L386" s="17"/>
      <c r="M386" s="40"/>
      <c r="N386" s="40"/>
      <c r="O386" s="45" t="str">
        <f aca="false">IF(N386="","",WORKDAY(N386,Settings!$S$4))</f>
        <v/>
      </c>
      <c r="P386" s="17"/>
      <c r="Q386" s="44" t="str">
        <f aca="true">IF(C386="","",IF(P386="Backed out",IF(S386="Paid","Refunded – closed",IF(R386="","Refund – log reason first","Refund in progress")),IF(K386="","Awaiting payment",IF(N386="",IF(M386="","Schedule free video","Free video in production"),IF(P386="Approved","Active",IF(TODAY()&gt;O386,"Active – plan went ahead","Decision pending – "&amp;NETWORKDAYS(TODAY(),O386)&amp;" working day(s) left"))))))</f>
        <v/>
      </c>
      <c r="R386" s="17"/>
      <c r="S386" s="17"/>
      <c r="T386" s="50"/>
      <c r="U386" s="40"/>
      <c r="V386" s="40"/>
      <c r="W386" s="45" t="str">
        <f aca="false">IF(V386="","",EDATE(V386,Settings!$S$6))</f>
        <v/>
      </c>
      <c r="X386" s="17"/>
      <c r="Y386" s="17"/>
      <c r="Z386" s="17"/>
    </row>
    <row r="387" customFormat="false" ht="15" hidden="false" customHeight="false" outlineLevel="0" collapsed="false">
      <c r="A387" s="17"/>
      <c r="B387" s="17"/>
      <c r="C387" s="17"/>
      <c r="D387" s="17"/>
      <c r="E387" s="42"/>
      <c r="F387" s="17"/>
      <c r="G387" s="17"/>
      <c r="H387" s="17"/>
      <c r="I387" s="49" t="str">
        <f aca="false">IF(H387="","",IFERROR(INDEX(Settings!$G$2:$G$4,MATCH(H387,Settings!$F$2:$F$4,0)),""))</f>
        <v/>
      </c>
      <c r="J387" s="40"/>
      <c r="K387" s="50"/>
      <c r="L387" s="17"/>
      <c r="M387" s="40"/>
      <c r="N387" s="40"/>
      <c r="O387" s="45" t="str">
        <f aca="false">IF(N387="","",WORKDAY(N387,Settings!$S$4))</f>
        <v/>
      </c>
      <c r="P387" s="17"/>
      <c r="Q387" s="44" t="str">
        <f aca="true">IF(C387="","",IF(P387="Backed out",IF(S387="Paid","Refunded – closed",IF(R387="","Refund – log reason first","Refund in progress")),IF(K387="","Awaiting payment",IF(N387="",IF(M387="","Schedule free video","Free video in production"),IF(P387="Approved","Active",IF(TODAY()&gt;O387,"Active – plan went ahead","Decision pending – "&amp;NETWORKDAYS(TODAY(),O387)&amp;" working day(s) left"))))))</f>
        <v/>
      </c>
      <c r="R387" s="17"/>
      <c r="S387" s="17"/>
      <c r="T387" s="50"/>
      <c r="U387" s="40"/>
      <c r="V387" s="40"/>
      <c r="W387" s="45" t="str">
        <f aca="false">IF(V387="","",EDATE(V387,Settings!$S$6))</f>
        <v/>
      </c>
      <c r="X387" s="17"/>
      <c r="Y387" s="17"/>
      <c r="Z387" s="17"/>
    </row>
    <row r="388" customFormat="false" ht="15" hidden="false" customHeight="false" outlineLevel="0" collapsed="false">
      <c r="A388" s="17"/>
      <c r="B388" s="17"/>
      <c r="C388" s="17"/>
      <c r="D388" s="17"/>
      <c r="E388" s="42"/>
      <c r="F388" s="17"/>
      <c r="G388" s="17"/>
      <c r="H388" s="17"/>
      <c r="I388" s="49" t="str">
        <f aca="false">IF(H388="","",IFERROR(INDEX(Settings!$G$2:$G$4,MATCH(H388,Settings!$F$2:$F$4,0)),""))</f>
        <v/>
      </c>
      <c r="J388" s="40"/>
      <c r="K388" s="50"/>
      <c r="L388" s="17"/>
      <c r="M388" s="40"/>
      <c r="N388" s="40"/>
      <c r="O388" s="45" t="str">
        <f aca="false">IF(N388="","",WORKDAY(N388,Settings!$S$4))</f>
        <v/>
      </c>
      <c r="P388" s="17"/>
      <c r="Q388" s="44" t="str">
        <f aca="true">IF(C388="","",IF(P388="Backed out",IF(S388="Paid","Refunded – closed",IF(R388="","Refund – log reason first","Refund in progress")),IF(K388="","Awaiting payment",IF(N388="",IF(M388="","Schedule free video","Free video in production"),IF(P388="Approved","Active",IF(TODAY()&gt;O388,"Active – plan went ahead","Decision pending – "&amp;NETWORKDAYS(TODAY(),O388)&amp;" working day(s) left"))))))</f>
        <v/>
      </c>
      <c r="R388" s="17"/>
      <c r="S388" s="17"/>
      <c r="T388" s="50"/>
      <c r="U388" s="40"/>
      <c r="V388" s="40"/>
      <c r="W388" s="45" t="str">
        <f aca="false">IF(V388="","",EDATE(V388,Settings!$S$6))</f>
        <v/>
      </c>
      <c r="X388" s="17"/>
      <c r="Y388" s="17"/>
      <c r="Z388" s="17"/>
    </row>
    <row r="389" customFormat="false" ht="15" hidden="false" customHeight="false" outlineLevel="0" collapsed="false">
      <c r="A389" s="17"/>
      <c r="B389" s="17"/>
      <c r="C389" s="17"/>
      <c r="D389" s="17"/>
      <c r="E389" s="42"/>
      <c r="F389" s="17"/>
      <c r="G389" s="17"/>
      <c r="H389" s="17"/>
      <c r="I389" s="49" t="str">
        <f aca="false">IF(H389="","",IFERROR(INDEX(Settings!$G$2:$G$4,MATCH(H389,Settings!$F$2:$F$4,0)),""))</f>
        <v/>
      </c>
      <c r="J389" s="40"/>
      <c r="K389" s="50"/>
      <c r="L389" s="17"/>
      <c r="M389" s="40"/>
      <c r="N389" s="40"/>
      <c r="O389" s="45" t="str">
        <f aca="false">IF(N389="","",WORKDAY(N389,Settings!$S$4))</f>
        <v/>
      </c>
      <c r="P389" s="17"/>
      <c r="Q389" s="44" t="str">
        <f aca="true">IF(C389="","",IF(P389="Backed out",IF(S389="Paid","Refunded – closed",IF(R389="","Refund – log reason first","Refund in progress")),IF(K389="","Awaiting payment",IF(N389="",IF(M389="","Schedule free video","Free video in production"),IF(P389="Approved","Active",IF(TODAY()&gt;O389,"Active – plan went ahead","Decision pending – "&amp;NETWORKDAYS(TODAY(),O389)&amp;" working day(s) left"))))))</f>
        <v/>
      </c>
      <c r="R389" s="17"/>
      <c r="S389" s="17"/>
      <c r="T389" s="50"/>
      <c r="U389" s="40"/>
      <c r="V389" s="40"/>
      <c r="W389" s="45" t="str">
        <f aca="false">IF(V389="","",EDATE(V389,Settings!$S$6))</f>
        <v/>
      </c>
      <c r="X389" s="17"/>
      <c r="Y389" s="17"/>
      <c r="Z389" s="17"/>
    </row>
    <row r="390" customFormat="false" ht="15" hidden="false" customHeight="false" outlineLevel="0" collapsed="false">
      <c r="A390" s="17"/>
      <c r="B390" s="17"/>
      <c r="C390" s="17"/>
      <c r="D390" s="17"/>
      <c r="E390" s="42"/>
      <c r="F390" s="17"/>
      <c r="G390" s="17"/>
      <c r="H390" s="17"/>
      <c r="I390" s="49" t="str">
        <f aca="false">IF(H390="","",IFERROR(INDEX(Settings!$G$2:$G$4,MATCH(H390,Settings!$F$2:$F$4,0)),""))</f>
        <v/>
      </c>
      <c r="J390" s="40"/>
      <c r="K390" s="50"/>
      <c r="L390" s="17"/>
      <c r="M390" s="40"/>
      <c r="N390" s="40"/>
      <c r="O390" s="45" t="str">
        <f aca="false">IF(N390="","",WORKDAY(N390,Settings!$S$4))</f>
        <v/>
      </c>
      <c r="P390" s="17"/>
      <c r="Q390" s="44" t="str">
        <f aca="true">IF(C390="","",IF(P390="Backed out",IF(S390="Paid","Refunded – closed",IF(R390="","Refund – log reason first","Refund in progress")),IF(K390="","Awaiting payment",IF(N390="",IF(M390="","Schedule free video","Free video in production"),IF(P390="Approved","Active",IF(TODAY()&gt;O390,"Active – plan went ahead","Decision pending – "&amp;NETWORKDAYS(TODAY(),O390)&amp;" working day(s) left"))))))</f>
        <v/>
      </c>
      <c r="R390" s="17"/>
      <c r="S390" s="17"/>
      <c r="T390" s="50"/>
      <c r="U390" s="40"/>
      <c r="V390" s="40"/>
      <c r="W390" s="45" t="str">
        <f aca="false">IF(V390="","",EDATE(V390,Settings!$S$6))</f>
        <v/>
      </c>
      <c r="X390" s="17"/>
      <c r="Y390" s="17"/>
      <c r="Z390" s="17"/>
    </row>
    <row r="391" customFormat="false" ht="15" hidden="false" customHeight="false" outlineLevel="0" collapsed="false">
      <c r="A391" s="17"/>
      <c r="B391" s="17"/>
      <c r="C391" s="17"/>
      <c r="D391" s="17"/>
      <c r="E391" s="42"/>
      <c r="F391" s="17"/>
      <c r="G391" s="17"/>
      <c r="H391" s="17"/>
      <c r="I391" s="49" t="str">
        <f aca="false">IF(H391="","",IFERROR(INDEX(Settings!$G$2:$G$4,MATCH(H391,Settings!$F$2:$F$4,0)),""))</f>
        <v/>
      </c>
      <c r="J391" s="40"/>
      <c r="K391" s="50"/>
      <c r="L391" s="17"/>
      <c r="M391" s="40"/>
      <c r="N391" s="40"/>
      <c r="O391" s="45" t="str">
        <f aca="false">IF(N391="","",WORKDAY(N391,Settings!$S$4))</f>
        <v/>
      </c>
      <c r="P391" s="17"/>
      <c r="Q391" s="44" t="str">
        <f aca="true">IF(C391="","",IF(P391="Backed out",IF(S391="Paid","Refunded – closed",IF(R391="","Refund – log reason first","Refund in progress")),IF(K391="","Awaiting payment",IF(N391="",IF(M391="","Schedule free video","Free video in production"),IF(P391="Approved","Active",IF(TODAY()&gt;O391,"Active – plan went ahead","Decision pending – "&amp;NETWORKDAYS(TODAY(),O391)&amp;" working day(s) left"))))))</f>
        <v/>
      </c>
      <c r="R391" s="17"/>
      <c r="S391" s="17"/>
      <c r="T391" s="50"/>
      <c r="U391" s="40"/>
      <c r="V391" s="40"/>
      <c r="W391" s="45" t="str">
        <f aca="false">IF(V391="","",EDATE(V391,Settings!$S$6))</f>
        <v/>
      </c>
      <c r="X391" s="17"/>
      <c r="Y391" s="17"/>
      <c r="Z391" s="17"/>
    </row>
    <row r="392" customFormat="false" ht="15" hidden="false" customHeight="false" outlineLevel="0" collapsed="false">
      <c r="A392" s="17"/>
      <c r="B392" s="17"/>
      <c r="C392" s="17"/>
      <c r="D392" s="17"/>
      <c r="E392" s="42"/>
      <c r="F392" s="17"/>
      <c r="G392" s="17"/>
      <c r="H392" s="17"/>
      <c r="I392" s="49" t="str">
        <f aca="false">IF(H392="","",IFERROR(INDEX(Settings!$G$2:$G$4,MATCH(H392,Settings!$F$2:$F$4,0)),""))</f>
        <v/>
      </c>
      <c r="J392" s="40"/>
      <c r="K392" s="50"/>
      <c r="L392" s="17"/>
      <c r="M392" s="40"/>
      <c r="N392" s="40"/>
      <c r="O392" s="45" t="str">
        <f aca="false">IF(N392="","",WORKDAY(N392,Settings!$S$4))</f>
        <v/>
      </c>
      <c r="P392" s="17"/>
      <c r="Q392" s="44" t="str">
        <f aca="true">IF(C392="","",IF(P392="Backed out",IF(S392="Paid","Refunded – closed",IF(R392="","Refund – log reason first","Refund in progress")),IF(K392="","Awaiting payment",IF(N392="",IF(M392="","Schedule free video","Free video in production"),IF(P392="Approved","Active",IF(TODAY()&gt;O392,"Active – plan went ahead","Decision pending – "&amp;NETWORKDAYS(TODAY(),O392)&amp;" working day(s) left"))))))</f>
        <v/>
      </c>
      <c r="R392" s="17"/>
      <c r="S392" s="17"/>
      <c r="T392" s="50"/>
      <c r="U392" s="40"/>
      <c r="V392" s="40"/>
      <c r="W392" s="45" t="str">
        <f aca="false">IF(V392="","",EDATE(V392,Settings!$S$6))</f>
        <v/>
      </c>
      <c r="X392" s="17"/>
      <c r="Y392" s="17"/>
      <c r="Z392" s="17"/>
    </row>
    <row r="393" customFormat="false" ht="15" hidden="false" customHeight="false" outlineLevel="0" collapsed="false">
      <c r="A393" s="17"/>
      <c r="B393" s="17"/>
      <c r="C393" s="17"/>
      <c r="D393" s="17"/>
      <c r="E393" s="42"/>
      <c r="F393" s="17"/>
      <c r="G393" s="17"/>
      <c r="H393" s="17"/>
      <c r="I393" s="49" t="str">
        <f aca="false">IF(H393="","",IFERROR(INDEX(Settings!$G$2:$G$4,MATCH(H393,Settings!$F$2:$F$4,0)),""))</f>
        <v/>
      </c>
      <c r="J393" s="40"/>
      <c r="K393" s="50"/>
      <c r="L393" s="17"/>
      <c r="M393" s="40"/>
      <c r="N393" s="40"/>
      <c r="O393" s="45" t="str">
        <f aca="false">IF(N393="","",WORKDAY(N393,Settings!$S$4))</f>
        <v/>
      </c>
      <c r="P393" s="17"/>
      <c r="Q393" s="44" t="str">
        <f aca="true">IF(C393="","",IF(P393="Backed out",IF(S393="Paid","Refunded – closed",IF(R393="","Refund – log reason first","Refund in progress")),IF(K393="","Awaiting payment",IF(N393="",IF(M393="","Schedule free video","Free video in production"),IF(P393="Approved","Active",IF(TODAY()&gt;O393,"Active – plan went ahead","Decision pending – "&amp;NETWORKDAYS(TODAY(),O393)&amp;" working day(s) left"))))))</f>
        <v/>
      </c>
      <c r="R393" s="17"/>
      <c r="S393" s="17"/>
      <c r="T393" s="50"/>
      <c r="U393" s="40"/>
      <c r="V393" s="40"/>
      <c r="W393" s="45" t="str">
        <f aca="false">IF(V393="","",EDATE(V393,Settings!$S$6))</f>
        <v/>
      </c>
      <c r="X393" s="17"/>
      <c r="Y393" s="17"/>
      <c r="Z393" s="17"/>
    </row>
    <row r="394" customFormat="false" ht="15" hidden="false" customHeight="false" outlineLevel="0" collapsed="false">
      <c r="A394" s="17"/>
      <c r="B394" s="17"/>
      <c r="C394" s="17"/>
      <c r="D394" s="17"/>
      <c r="E394" s="42"/>
      <c r="F394" s="17"/>
      <c r="G394" s="17"/>
      <c r="H394" s="17"/>
      <c r="I394" s="49" t="str">
        <f aca="false">IF(H394="","",IFERROR(INDEX(Settings!$G$2:$G$4,MATCH(H394,Settings!$F$2:$F$4,0)),""))</f>
        <v/>
      </c>
      <c r="J394" s="40"/>
      <c r="K394" s="50"/>
      <c r="L394" s="17"/>
      <c r="M394" s="40"/>
      <c r="N394" s="40"/>
      <c r="O394" s="45" t="str">
        <f aca="false">IF(N394="","",WORKDAY(N394,Settings!$S$4))</f>
        <v/>
      </c>
      <c r="P394" s="17"/>
      <c r="Q394" s="44" t="str">
        <f aca="true">IF(C394="","",IF(P394="Backed out",IF(S394="Paid","Refunded – closed",IF(R394="","Refund – log reason first","Refund in progress")),IF(K394="","Awaiting payment",IF(N394="",IF(M394="","Schedule free video","Free video in production"),IF(P394="Approved","Active",IF(TODAY()&gt;O394,"Active – plan went ahead","Decision pending – "&amp;NETWORKDAYS(TODAY(),O394)&amp;" working day(s) left"))))))</f>
        <v/>
      </c>
      <c r="R394" s="17"/>
      <c r="S394" s="17"/>
      <c r="T394" s="50"/>
      <c r="U394" s="40"/>
      <c r="V394" s="40"/>
      <c r="W394" s="45" t="str">
        <f aca="false">IF(V394="","",EDATE(V394,Settings!$S$6))</f>
        <v/>
      </c>
      <c r="X394" s="17"/>
      <c r="Y394" s="17"/>
      <c r="Z394" s="17"/>
    </row>
    <row r="395" customFormat="false" ht="15" hidden="false" customHeight="false" outlineLevel="0" collapsed="false">
      <c r="A395" s="17"/>
      <c r="B395" s="17"/>
      <c r="C395" s="17"/>
      <c r="D395" s="17"/>
      <c r="E395" s="42"/>
      <c r="F395" s="17"/>
      <c r="G395" s="17"/>
      <c r="H395" s="17"/>
      <c r="I395" s="49" t="str">
        <f aca="false">IF(H395="","",IFERROR(INDEX(Settings!$G$2:$G$4,MATCH(H395,Settings!$F$2:$F$4,0)),""))</f>
        <v/>
      </c>
      <c r="J395" s="40"/>
      <c r="K395" s="50"/>
      <c r="L395" s="17"/>
      <c r="M395" s="40"/>
      <c r="N395" s="40"/>
      <c r="O395" s="45" t="str">
        <f aca="false">IF(N395="","",WORKDAY(N395,Settings!$S$4))</f>
        <v/>
      </c>
      <c r="P395" s="17"/>
      <c r="Q395" s="44" t="str">
        <f aca="true">IF(C395="","",IF(P395="Backed out",IF(S395="Paid","Refunded – closed",IF(R395="","Refund – log reason first","Refund in progress")),IF(K395="","Awaiting payment",IF(N395="",IF(M395="","Schedule free video","Free video in production"),IF(P395="Approved","Active",IF(TODAY()&gt;O395,"Active – plan went ahead","Decision pending – "&amp;NETWORKDAYS(TODAY(),O395)&amp;" working day(s) left"))))))</f>
        <v/>
      </c>
      <c r="R395" s="17"/>
      <c r="S395" s="17"/>
      <c r="T395" s="50"/>
      <c r="U395" s="40"/>
      <c r="V395" s="40"/>
      <c r="W395" s="45" t="str">
        <f aca="false">IF(V395="","",EDATE(V395,Settings!$S$6))</f>
        <v/>
      </c>
      <c r="X395" s="17"/>
      <c r="Y395" s="17"/>
      <c r="Z395" s="17"/>
    </row>
    <row r="396" customFormat="false" ht="15" hidden="false" customHeight="false" outlineLevel="0" collapsed="false">
      <c r="A396" s="17"/>
      <c r="B396" s="17"/>
      <c r="C396" s="17"/>
      <c r="D396" s="17"/>
      <c r="E396" s="42"/>
      <c r="F396" s="17"/>
      <c r="G396" s="17"/>
      <c r="H396" s="17"/>
      <c r="I396" s="49" t="str">
        <f aca="false">IF(H396="","",IFERROR(INDEX(Settings!$G$2:$G$4,MATCH(H396,Settings!$F$2:$F$4,0)),""))</f>
        <v/>
      </c>
      <c r="J396" s="40"/>
      <c r="K396" s="50"/>
      <c r="L396" s="17"/>
      <c r="M396" s="40"/>
      <c r="N396" s="40"/>
      <c r="O396" s="45" t="str">
        <f aca="false">IF(N396="","",WORKDAY(N396,Settings!$S$4))</f>
        <v/>
      </c>
      <c r="P396" s="17"/>
      <c r="Q396" s="44" t="str">
        <f aca="true">IF(C396="","",IF(P396="Backed out",IF(S396="Paid","Refunded – closed",IF(R396="","Refund – log reason first","Refund in progress")),IF(K396="","Awaiting payment",IF(N396="",IF(M396="","Schedule free video","Free video in production"),IF(P396="Approved","Active",IF(TODAY()&gt;O396,"Active – plan went ahead","Decision pending – "&amp;NETWORKDAYS(TODAY(),O396)&amp;" working day(s) left"))))))</f>
        <v/>
      </c>
      <c r="R396" s="17"/>
      <c r="S396" s="17"/>
      <c r="T396" s="50"/>
      <c r="U396" s="40"/>
      <c r="V396" s="40"/>
      <c r="W396" s="45" t="str">
        <f aca="false">IF(V396="","",EDATE(V396,Settings!$S$6))</f>
        <v/>
      </c>
      <c r="X396" s="17"/>
      <c r="Y396" s="17"/>
      <c r="Z396" s="17"/>
    </row>
    <row r="397" customFormat="false" ht="15" hidden="false" customHeight="false" outlineLevel="0" collapsed="false">
      <c r="A397" s="17"/>
      <c r="B397" s="17"/>
      <c r="C397" s="17"/>
      <c r="D397" s="17"/>
      <c r="E397" s="42"/>
      <c r="F397" s="17"/>
      <c r="G397" s="17"/>
      <c r="H397" s="17"/>
      <c r="I397" s="49" t="str">
        <f aca="false">IF(H397="","",IFERROR(INDEX(Settings!$G$2:$G$4,MATCH(H397,Settings!$F$2:$F$4,0)),""))</f>
        <v/>
      </c>
      <c r="J397" s="40"/>
      <c r="K397" s="50"/>
      <c r="L397" s="17"/>
      <c r="M397" s="40"/>
      <c r="N397" s="40"/>
      <c r="O397" s="45" t="str">
        <f aca="false">IF(N397="","",WORKDAY(N397,Settings!$S$4))</f>
        <v/>
      </c>
      <c r="P397" s="17"/>
      <c r="Q397" s="44" t="str">
        <f aca="true">IF(C397="","",IF(P397="Backed out",IF(S397="Paid","Refunded – closed",IF(R397="","Refund – log reason first","Refund in progress")),IF(K397="","Awaiting payment",IF(N397="",IF(M397="","Schedule free video","Free video in production"),IF(P397="Approved","Active",IF(TODAY()&gt;O397,"Active – plan went ahead","Decision pending – "&amp;NETWORKDAYS(TODAY(),O397)&amp;" working day(s) left"))))))</f>
        <v/>
      </c>
      <c r="R397" s="17"/>
      <c r="S397" s="17"/>
      <c r="T397" s="50"/>
      <c r="U397" s="40"/>
      <c r="V397" s="40"/>
      <c r="W397" s="45" t="str">
        <f aca="false">IF(V397="","",EDATE(V397,Settings!$S$6))</f>
        <v/>
      </c>
      <c r="X397" s="17"/>
      <c r="Y397" s="17"/>
      <c r="Z397" s="17"/>
    </row>
    <row r="398" customFormat="false" ht="15" hidden="false" customHeight="false" outlineLevel="0" collapsed="false">
      <c r="A398" s="17"/>
      <c r="B398" s="17"/>
      <c r="C398" s="17"/>
      <c r="D398" s="17"/>
      <c r="E398" s="42"/>
      <c r="F398" s="17"/>
      <c r="G398" s="17"/>
      <c r="H398" s="17"/>
      <c r="I398" s="49" t="str">
        <f aca="false">IF(H398="","",IFERROR(INDEX(Settings!$G$2:$G$4,MATCH(H398,Settings!$F$2:$F$4,0)),""))</f>
        <v/>
      </c>
      <c r="J398" s="40"/>
      <c r="K398" s="50"/>
      <c r="L398" s="17"/>
      <c r="M398" s="40"/>
      <c r="N398" s="40"/>
      <c r="O398" s="45" t="str">
        <f aca="false">IF(N398="","",WORKDAY(N398,Settings!$S$4))</f>
        <v/>
      </c>
      <c r="P398" s="17"/>
      <c r="Q398" s="44" t="str">
        <f aca="true">IF(C398="","",IF(P398="Backed out",IF(S398="Paid","Refunded – closed",IF(R398="","Refund – log reason first","Refund in progress")),IF(K398="","Awaiting payment",IF(N398="",IF(M398="","Schedule free video","Free video in production"),IF(P398="Approved","Active",IF(TODAY()&gt;O398,"Active – plan went ahead","Decision pending – "&amp;NETWORKDAYS(TODAY(),O398)&amp;" working day(s) left"))))))</f>
        <v/>
      </c>
      <c r="R398" s="17"/>
      <c r="S398" s="17"/>
      <c r="T398" s="50"/>
      <c r="U398" s="40"/>
      <c r="V398" s="40"/>
      <c r="W398" s="45" t="str">
        <f aca="false">IF(V398="","",EDATE(V398,Settings!$S$6))</f>
        <v/>
      </c>
      <c r="X398" s="17"/>
      <c r="Y398" s="17"/>
      <c r="Z398" s="17"/>
    </row>
    <row r="399" customFormat="false" ht="15" hidden="false" customHeight="false" outlineLevel="0" collapsed="false">
      <c r="A399" s="17"/>
      <c r="B399" s="17"/>
      <c r="C399" s="17"/>
      <c r="D399" s="17"/>
      <c r="E399" s="42"/>
      <c r="F399" s="17"/>
      <c r="G399" s="17"/>
      <c r="H399" s="17"/>
      <c r="I399" s="49" t="str">
        <f aca="false">IF(H399="","",IFERROR(INDEX(Settings!$G$2:$G$4,MATCH(H399,Settings!$F$2:$F$4,0)),""))</f>
        <v/>
      </c>
      <c r="J399" s="40"/>
      <c r="K399" s="50"/>
      <c r="L399" s="17"/>
      <c r="M399" s="40"/>
      <c r="N399" s="40"/>
      <c r="O399" s="45" t="str">
        <f aca="false">IF(N399="","",WORKDAY(N399,Settings!$S$4))</f>
        <v/>
      </c>
      <c r="P399" s="17"/>
      <c r="Q399" s="44" t="str">
        <f aca="true">IF(C399="","",IF(P399="Backed out",IF(S399="Paid","Refunded – closed",IF(R399="","Refund – log reason first","Refund in progress")),IF(K399="","Awaiting payment",IF(N399="",IF(M399="","Schedule free video","Free video in production"),IF(P399="Approved","Active",IF(TODAY()&gt;O399,"Active – plan went ahead","Decision pending – "&amp;NETWORKDAYS(TODAY(),O399)&amp;" working day(s) left"))))))</f>
        <v/>
      </c>
      <c r="R399" s="17"/>
      <c r="S399" s="17"/>
      <c r="T399" s="50"/>
      <c r="U399" s="40"/>
      <c r="V399" s="40"/>
      <c r="W399" s="45" t="str">
        <f aca="false">IF(V399="","",EDATE(V399,Settings!$S$6))</f>
        <v/>
      </c>
      <c r="X399" s="17"/>
      <c r="Y399" s="17"/>
      <c r="Z399" s="17"/>
    </row>
    <row r="400" customFormat="false" ht="15" hidden="false" customHeight="false" outlineLevel="0" collapsed="false">
      <c r="A400" s="17"/>
      <c r="B400" s="17"/>
      <c r="C400" s="17"/>
      <c r="D400" s="17"/>
      <c r="E400" s="42"/>
      <c r="F400" s="17"/>
      <c r="G400" s="17"/>
      <c r="H400" s="17"/>
      <c r="I400" s="49" t="str">
        <f aca="false">IF(H400="","",IFERROR(INDEX(Settings!$G$2:$G$4,MATCH(H400,Settings!$F$2:$F$4,0)),""))</f>
        <v/>
      </c>
      <c r="J400" s="40"/>
      <c r="K400" s="50"/>
      <c r="L400" s="17"/>
      <c r="M400" s="40"/>
      <c r="N400" s="40"/>
      <c r="O400" s="45" t="str">
        <f aca="false">IF(N400="","",WORKDAY(N400,Settings!$S$4))</f>
        <v/>
      </c>
      <c r="P400" s="17"/>
      <c r="Q400" s="44" t="str">
        <f aca="true">IF(C400="","",IF(P400="Backed out",IF(S400="Paid","Refunded – closed",IF(R400="","Refund – log reason first","Refund in progress")),IF(K400="","Awaiting payment",IF(N400="",IF(M400="","Schedule free video","Free video in production"),IF(P400="Approved","Active",IF(TODAY()&gt;O400,"Active – plan went ahead","Decision pending – "&amp;NETWORKDAYS(TODAY(),O400)&amp;" working day(s) left"))))))</f>
        <v/>
      </c>
      <c r="R400" s="17"/>
      <c r="S400" s="17"/>
      <c r="T400" s="50"/>
      <c r="U400" s="40"/>
      <c r="V400" s="40"/>
      <c r="W400" s="45" t="str">
        <f aca="false">IF(V400="","",EDATE(V400,Settings!$S$6))</f>
        <v/>
      </c>
      <c r="X400" s="17"/>
      <c r="Y400" s="17"/>
      <c r="Z400" s="17"/>
    </row>
    <row r="401" customFormat="false" ht="15" hidden="false" customHeight="false" outlineLevel="0" collapsed="false">
      <c r="A401" s="17"/>
      <c r="B401" s="17"/>
      <c r="C401" s="17"/>
      <c r="D401" s="17"/>
      <c r="E401" s="42"/>
      <c r="F401" s="17"/>
      <c r="G401" s="17"/>
      <c r="H401" s="17"/>
      <c r="I401" s="49" t="str">
        <f aca="false">IF(H401="","",IFERROR(INDEX(Settings!$G$2:$G$4,MATCH(H401,Settings!$F$2:$F$4,0)),""))</f>
        <v/>
      </c>
      <c r="J401" s="40"/>
      <c r="K401" s="50"/>
      <c r="L401" s="17"/>
      <c r="M401" s="40"/>
      <c r="N401" s="40"/>
      <c r="O401" s="45" t="str">
        <f aca="false">IF(N401="","",WORKDAY(N401,Settings!$S$4))</f>
        <v/>
      </c>
      <c r="P401" s="17"/>
      <c r="Q401" s="44" t="str">
        <f aca="true">IF(C401="","",IF(P401="Backed out",IF(S401="Paid","Refunded – closed",IF(R401="","Refund – log reason first","Refund in progress")),IF(K401="","Awaiting payment",IF(N401="",IF(M401="","Schedule free video","Free video in production"),IF(P401="Approved","Active",IF(TODAY()&gt;O401,"Active – plan went ahead","Decision pending – "&amp;NETWORKDAYS(TODAY(),O401)&amp;" working day(s) left"))))))</f>
        <v/>
      </c>
      <c r="R401" s="17"/>
      <c r="S401" s="17"/>
      <c r="T401" s="50"/>
      <c r="U401" s="40"/>
      <c r="V401" s="40"/>
      <c r="W401" s="45" t="str">
        <f aca="false">IF(V401="","",EDATE(V401,Settings!$S$6))</f>
        <v/>
      </c>
      <c r="X401" s="17"/>
      <c r="Y401" s="17"/>
      <c r="Z401" s="17"/>
    </row>
    <row r="402" customFormat="false" ht="15" hidden="false" customHeight="false" outlineLevel="0" collapsed="false">
      <c r="A402" s="17"/>
      <c r="B402" s="17"/>
      <c r="C402" s="17"/>
      <c r="D402" s="17"/>
      <c r="E402" s="42"/>
      <c r="F402" s="17"/>
      <c r="G402" s="17"/>
      <c r="H402" s="17"/>
      <c r="I402" s="49" t="str">
        <f aca="false">IF(H402="","",IFERROR(INDEX(Settings!$G$2:$G$4,MATCH(H402,Settings!$F$2:$F$4,0)),""))</f>
        <v/>
      </c>
      <c r="J402" s="40"/>
      <c r="K402" s="50"/>
      <c r="L402" s="17"/>
      <c r="M402" s="40"/>
      <c r="N402" s="40"/>
      <c r="O402" s="45" t="str">
        <f aca="false">IF(N402="","",WORKDAY(N402,Settings!$S$4))</f>
        <v/>
      </c>
      <c r="P402" s="17"/>
      <c r="Q402" s="44" t="str">
        <f aca="true">IF(C402="","",IF(P402="Backed out",IF(S402="Paid","Refunded – closed",IF(R402="","Refund – log reason first","Refund in progress")),IF(K402="","Awaiting payment",IF(N402="",IF(M402="","Schedule free video","Free video in production"),IF(P402="Approved","Active",IF(TODAY()&gt;O402,"Active – plan went ahead","Decision pending – "&amp;NETWORKDAYS(TODAY(),O402)&amp;" working day(s) left"))))))</f>
        <v/>
      </c>
      <c r="R402" s="17"/>
      <c r="S402" s="17"/>
      <c r="T402" s="50"/>
      <c r="U402" s="40"/>
      <c r="V402" s="40"/>
      <c r="W402" s="45" t="str">
        <f aca="false">IF(V402="","",EDATE(V402,Settings!$S$6))</f>
        <v/>
      </c>
      <c r="X402" s="17"/>
      <c r="Y402" s="17"/>
      <c r="Z402" s="17"/>
    </row>
    <row r="403" customFormat="false" ht="15" hidden="false" customHeight="false" outlineLevel="0" collapsed="false">
      <c r="A403" s="17"/>
      <c r="B403" s="17"/>
      <c r="C403" s="17"/>
      <c r="D403" s="17"/>
      <c r="E403" s="42"/>
      <c r="F403" s="17"/>
      <c r="G403" s="17"/>
      <c r="H403" s="17"/>
      <c r="I403" s="49" t="str">
        <f aca="false">IF(H403="","",IFERROR(INDEX(Settings!$G$2:$G$4,MATCH(H403,Settings!$F$2:$F$4,0)),""))</f>
        <v/>
      </c>
      <c r="J403" s="40"/>
      <c r="K403" s="50"/>
      <c r="L403" s="17"/>
      <c r="M403" s="40"/>
      <c r="N403" s="40"/>
      <c r="O403" s="45" t="str">
        <f aca="false">IF(N403="","",WORKDAY(N403,Settings!$S$4))</f>
        <v/>
      </c>
      <c r="P403" s="17"/>
      <c r="Q403" s="44" t="str">
        <f aca="true">IF(C403="","",IF(P403="Backed out",IF(S403="Paid","Refunded – closed",IF(R403="","Refund – log reason first","Refund in progress")),IF(K403="","Awaiting payment",IF(N403="",IF(M403="","Schedule free video","Free video in production"),IF(P403="Approved","Active",IF(TODAY()&gt;O403,"Active – plan went ahead","Decision pending – "&amp;NETWORKDAYS(TODAY(),O403)&amp;" working day(s) left"))))))</f>
        <v/>
      </c>
      <c r="R403" s="17"/>
      <c r="S403" s="17"/>
      <c r="T403" s="50"/>
      <c r="U403" s="40"/>
      <c r="V403" s="40"/>
      <c r="W403" s="45" t="str">
        <f aca="false">IF(V403="","",EDATE(V403,Settings!$S$6))</f>
        <v/>
      </c>
      <c r="X403" s="17"/>
      <c r="Y403" s="17"/>
      <c r="Z403" s="17"/>
    </row>
    <row r="404" customFormat="false" ht="15" hidden="false" customHeight="false" outlineLevel="0" collapsed="false">
      <c r="A404" s="17"/>
      <c r="B404" s="17"/>
      <c r="C404" s="17"/>
      <c r="D404" s="17"/>
      <c r="E404" s="42"/>
      <c r="F404" s="17"/>
      <c r="G404" s="17"/>
      <c r="H404" s="17"/>
      <c r="I404" s="49" t="str">
        <f aca="false">IF(H404="","",IFERROR(INDEX(Settings!$G$2:$G$4,MATCH(H404,Settings!$F$2:$F$4,0)),""))</f>
        <v/>
      </c>
      <c r="J404" s="40"/>
      <c r="K404" s="50"/>
      <c r="L404" s="17"/>
      <c r="M404" s="40"/>
      <c r="N404" s="40"/>
      <c r="O404" s="45" t="str">
        <f aca="false">IF(N404="","",WORKDAY(N404,Settings!$S$4))</f>
        <v/>
      </c>
      <c r="P404" s="17"/>
      <c r="Q404" s="44" t="str">
        <f aca="true">IF(C404="","",IF(P404="Backed out",IF(S404="Paid","Refunded – closed",IF(R404="","Refund – log reason first","Refund in progress")),IF(K404="","Awaiting payment",IF(N404="",IF(M404="","Schedule free video","Free video in production"),IF(P404="Approved","Active",IF(TODAY()&gt;O404,"Active – plan went ahead","Decision pending – "&amp;NETWORKDAYS(TODAY(),O404)&amp;" working day(s) left"))))))</f>
        <v/>
      </c>
      <c r="R404" s="17"/>
      <c r="S404" s="17"/>
      <c r="T404" s="50"/>
      <c r="U404" s="40"/>
      <c r="V404" s="40"/>
      <c r="W404" s="45" t="str">
        <f aca="false">IF(V404="","",EDATE(V404,Settings!$S$6))</f>
        <v/>
      </c>
      <c r="X404" s="17"/>
      <c r="Y404" s="17"/>
      <c r="Z404" s="17"/>
    </row>
    <row r="405" customFormat="false" ht="15" hidden="false" customHeight="false" outlineLevel="0" collapsed="false">
      <c r="A405" s="17"/>
      <c r="B405" s="17"/>
      <c r="C405" s="17"/>
      <c r="D405" s="17"/>
      <c r="E405" s="42"/>
      <c r="F405" s="17"/>
      <c r="G405" s="17"/>
      <c r="H405" s="17"/>
      <c r="I405" s="49" t="str">
        <f aca="false">IF(H405="","",IFERROR(INDEX(Settings!$G$2:$G$4,MATCH(H405,Settings!$F$2:$F$4,0)),""))</f>
        <v/>
      </c>
      <c r="J405" s="40"/>
      <c r="K405" s="50"/>
      <c r="L405" s="17"/>
      <c r="M405" s="40"/>
      <c r="N405" s="40"/>
      <c r="O405" s="45" t="str">
        <f aca="false">IF(N405="","",WORKDAY(N405,Settings!$S$4))</f>
        <v/>
      </c>
      <c r="P405" s="17"/>
      <c r="Q405" s="44" t="str">
        <f aca="true">IF(C405="","",IF(P405="Backed out",IF(S405="Paid","Refunded – closed",IF(R405="","Refund – log reason first","Refund in progress")),IF(K405="","Awaiting payment",IF(N405="",IF(M405="","Schedule free video","Free video in production"),IF(P405="Approved","Active",IF(TODAY()&gt;O405,"Active – plan went ahead","Decision pending – "&amp;NETWORKDAYS(TODAY(),O405)&amp;" working day(s) left"))))))</f>
        <v/>
      </c>
      <c r="R405" s="17"/>
      <c r="S405" s="17"/>
      <c r="T405" s="50"/>
      <c r="U405" s="40"/>
      <c r="V405" s="40"/>
      <c r="W405" s="45" t="str">
        <f aca="false">IF(V405="","",EDATE(V405,Settings!$S$6))</f>
        <v/>
      </c>
      <c r="X405" s="17"/>
      <c r="Y405" s="17"/>
      <c r="Z405" s="17"/>
    </row>
    <row r="406" customFormat="false" ht="15" hidden="false" customHeight="false" outlineLevel="0" collapsed="false">
      <c r="A406" s="17"/>
      <c r="B406" s="17"/>
      <c r="C406" s="17"/>
      <c r="D406" s="17"/>
      <c r="E406" s="42"/>
      <c r="F406" s="17"/>
      <c r="G406" s="17"/>
      <c r="H406" s="17"/>
      <c r="I406" s="49" t="str">
        <f aca="false">IF(H406="","",IFERROR(INDEX(Settings!$G$2:$G$4,MATCH(H406,Settings!$F$2:$F$4,0)),""))</f>
        <v/>
      </c>
      <c r="J406" s="40"/>
      <c r="K406" s="50"/>
      <c r="L406" s="17"/>
      <c r="M406" s="40"/>
      <c r="N406" s="40"/>
      <c r="O406" s="45" t="str">
        <f aca="false">IF(N406="","",WORKDAY(N406,Settings!$S$4))</f>
        <v/>
      </c>
      <c r="P406" s="17"/>
      <c r="Q406" s="44" t="str">
        <f aca="true">IF(C406="","",IF(P406="Backed out",IF(S406="Paid","Refunded – closed",IF(R406="","Refund – log reason first","Refund in progress")),IF(K406="","Awaiting payment",IF(N406="",IF(M406="","Schedule free video","Free video in production"),IF(P406="Approved","Active",IF(TODAY()&gt;O406,"Active – plan went ahead","Decision pending – "&amp;NETWORKDAYS(TODAY(),O406)&amp;" working day(s) left"))))))</f>
        <v/>
      </c>
      <c r="R406" s="17"/>
      <c r="S406" s="17"/>
      <c r="T406" s="50"/>
      <c r="U406" s="40"/>
      <c r="V406" s="40"/>
      <c r="W406" s="45" t="str">
        <f aca="false">IF(V406="","",EDATE(V406,Settings!$S$6))</f>
        <v/>
      </c>
      <c r="X406" s="17"/>
      <c r="Y406" s="17"/>
      <c r="Z406" s="17"/>
    </row>
    <row r="407" customFormat="false" ht="15" hidden="false" customHeight="false" outlineLevel="0" collapsed="false">
      <c r="A407" s="17"/>
      <c r="B407" s="17"/>
      <c r="C407" s="17"/>
      <c r="D407" s="17"/>
      <c r="E407" s="42"/>
      <c r="F407" s="17"/>
      <c r="G407" s="17"/>
      <c r="H407" s="17"/>
      <c r="I407" s="49" t="str">
        <f aca="false">IF(H407="","",IFERROR(INDEX(Settings!$G$2:$G$4,MATCH(H407,Settings!$F$2:$F$4,0)),""))</f>
        <v/>
      </c>
      <c r="J407" s="40"/>
      <c r="K407" s="50"/>
      <c r="L407" s="17"/>
      <c r="M407" s="40"/>
      <c r="N407" s="40"/>
      <c r="O407" s="45" t="str">
        <f aca="false">IF(N407="","",WORKDAY(N407,Settings!$S$4))</f>
        <v/>
      </c>
      <c r="P407" s="17"/>
      <c r="Q407" s="44" t="str">
        <f aca="true">IF(C407="","",IF(P407="Backed out",IF(S407="Paid","Refunded – closed",IF(R407="","Refund – log reason first","Refund in progress")),IF(K407="","Awaiting payment",IF(N407="",IF(M407="","Schedule free video","Free video in production"),IF(P407="Approved","Active",IF(TODAY()&gt;O407,"Active – plan went ahead","Decision pending – "&amp;NETWORKDAYS(TODAY(),O407)&amp;" working day(s) left"))))))</f>
        <v/>
      </c>
      <c r="R407" s="17"/>
      <c r="S407" s="17"/>
      <c r="T407" s="50"/>
      <c r="U407" s="40"/>
      <c r="V407" s="40"/>
      <c r="W407" s="45" t="str">
        <f aca="false">IF(V407="","",EDATE(V407,Settings!$S$6))</f>
        <v/>
      </c>
      <c r="X407" s="17"/>
      <c r="Y407" s="17"/>
      <c r="Z407" s="17"/>
    </row>
    <row r="408" customFormat="false" ht="15" hidden="false" customHeight="false" outlineLevel="0" collapsed="false">
      <c r="A408" s="17"/>
      <c r="B408" s="17"/>
      <c r="C408" s="17"/>
      <c r="D408" s="17"/>
      <c r="E408" s="42"/>
      <c r="F408" s="17"/>
      <c r="G408" s="17"/>
      <c r="H408" s="17"/>
      <c r="I408" s="49" t="str">
        <f aca="false">IF(H408="","",IFERROR(INDEX(Settings!$G$2:$G$4,MATCH(H408,Settings!$F$2:$F$4,0)),""))</f>
        <v/>
      </c>
      <c r="J408" s="40"/>
      <c r="K408" s="50"/>
      <c r="L408" s="17"/>
      <c r="M408" s="40"/>
      <c r="N408" s="40"/>
      <c r="O408" s="45" t="str">
        <f aca="false">IF(N408="","",WORKDAY(N408,Settings!$S$4))</f>
        <v/>
      </c>
      <c r="P408" s="17"/>
      <c r="Q408" s="44" t="str">
        <f aca="true">IF(C408="","",IF(P408="Backed out",IF(S408="Paid","Refunded – closed",IF(R408="","Refund – log reason first","Refund in progress")),IF(K408="","Awaiting payment",IF(N408="",IF(M408="","Schedule free video","Free video in production"),IF(P408="Approved","Active",IF(TODAY()&gt;O408,"Active – plan went ahead","Decision pending – "&amp;NETWORKDAYS(TODAY(),O408)&amp;" working day(s) left"))))))</f>
        <v/>
      </c>
      <c r="R408" s="17"/>
      <c r="S408" s="17"/>
      <c r="T408" s="50"/>
      <c r="U408" s="40"/>
      <c r="V408" s="40"/>
      <c r="W408" s="45" t="str">
        <f aca="false">IF(V408="","",EDATE(V408,Settings!$S$6))</f>
        <v/>
      </c>
      <c r="X408" s="17"/>
      <c r="Y408" s="17"/>
      <c r="Z408" s="17"/>
    </row>
    <row r="409" customFormat="false" ht="15" hidden="false" customHeight="false" outlineLevel="0" collapsed="false">
      <c r="A409" s="17"/>
      <c r="B409" s="17"/>
      <c r="C409" s="17"/>
      <c r="D409" s="17"/>
      <c r="E409" s="42"/>
      <c r="F409" s="17"/>
      <c r="G409" s="17"/>
      <c r="H409" s="17"/>
      <c r="I409" s="49" t="str">
        <f aca="false">IF(H409="","",IFERROR(INDEX(Settings!$G$2:$G$4,MATCH(H409,Settings!$F$2:$F$4,0)),""))</f>
        <v/>
      </c>
      <c r="J409" s="40"/>
      <c r="K409" s="50"/>
      <c r="L409" s="17"/>
      <c r="M409" s="40"/>
      <c r="N409" s="40"/>
      <c r="O409" s="45" t="str">
        <f aca="false">IF(N409="","",WORKDAY(N409,Settings!$S$4))</f>
        <v/>
      </c>
      <c r="P409" s="17"/>
      <c r="Q409" s="44" t="str">
        <f aca="true">IF(C409="","",IF(P409="Backed out",IF(S409="Paid","Refunded – closed",IF(R409="","Refund – log reason first","Refund in progress")),IF(K409="","Awaiting payment",IF(N409="",IF(M409="","Schedule free video","Free video in production"),IF(P409="Approved","Active",IF(TODAY()&gt;O409,"Active – plan went ahead","Decision pending – "&amp;NETWORKDAYS(TODAY(),O409)&amp;" working day(s) left"))))))</f>
        <v/>
      </c>
      <c r="R409" s="17"/>
      <c r="S409" s="17"/>
      <c r="T409" s="50"/>
      <c r="U409" s="40"/>
      <c r="V409" s="40"/>
      <c r="W409" s="45" t="str">
        <f aca="false">IF(V409="","",EDATE(V409,Settings!$S$6))</f>
        <v/>
      </c>
      <c r="X409" s="17"/>
      <c r="Y409" s="17"/>
      <c r="Z409" s="17"/>
    </row>
    <row r="410" customFormat="false" ht="15" hidden="false" customHeight="false" outlineLevel="0" collapsed="false">
      <c r="A410" s="17"/>
      <c r="B410" s="17"/>
      <c r="C410" s="17"/>
      <c r="D410" s="17"/>
      <c r="E410" s="42"/>
      <c r="F410" s="17"/>
      <c r="G410" s="17"/>
      <c r="H410" s="17"/>
      <c r="I410" s="49" t="str">
        <f aca="false">IF(H410="","",IFERROR(INDEX(Settings!$G$2:$G$4,MATCH(H410,Settings!$F$2:$F$4,0)),""))</f>
        <v/>
      </c>
      <c r="J410" s="40"/>
      <c r="K410" s="50"/>
      <c r="L410" s="17"/>
      <c r="M410" s="40"/>
      <c r="N410" s="40"/>
      <c r="O410" s="45" t="str">
        <f aca="false">IF(N410="","",WORKDAY(N410,Settings!$S$4))</f>
        <v/>
      </c>
      <c r="P410" s="17"/>
      <c r="Q410" s="44" t="str">
        <f aca="true">IF(C410="","",IF(P410="Backed out",IF(S410="Paid","Refunded – closed",IF(R410="","Refund – log reason first","Refund in progress")),IF(K410="","Awaiting payment",IF(N410="",IF(M410="","Schedule free video","Free video in production"),IF(P410="Approved","Active",IF(TODAY()&gt;O410,"Active – plan went ahead","Decision pending – "&amp;NETWORKDAYS(TODAY(),O410)&amp;" working day(s) left"))))))</f>
        <v/>
      </c>
      <c r="R410" s="17"/>
      <c r="S410" s="17"/>
      <c r="T410" s="50"/>
      <c r="U410" s="40"/>
      <c r="V410" s="40"/>
      <c r="W410" s="45" t="str">
        <f aca="false">IF(V410="","",EDATE(V410,Settings!$S$6))</f>
        <v/>
      </c>
      <c r="X410" s="17"/>
      <c r="Y410" s="17"/>
      <c r="Z410" s="17"/>
    </row>
    <row r="411" customFormat="false" ht="15" hidden="false" customHeight="false" outlineLevel="0" collapsed="false">
      <c r="A411" s="17"/>
      <c r="B411" s="17"/>
      <c r="C411" s="17"/>
      <c r="D411" s="17"/>
      <c r="E411" s="42"/>
      <c r="F411" s="17"/>
      <c r="G411" s="17"/>
      <c r="H411" s="17"/>
      <c r="I411" s="49" t="str">
        <f aca="false">IF(H411="","",IFERROR(INDEX(Settings!$G$2:$G$4,MATCH(H411,Settings!$F$2:$F$4,0)),""))</f>
        <v/>
      </c>
      <c r="J411" s="40"/>
      <c r="K411" s="50"/>
      <c r="L411" s="17"/>
      <c r="M411" s="40"/>
      <c r="N411" s="40"/>
      <c r="O411" s="45" t="str">
        <f aca="false">IF(N411="","",WORKDAY(N411,Settings!$S$4))</f>
        <v/>
      </c>
      <c r="P411" s="17"/>
      <c r="Q411" s="44" t="str">
        <f aca="true">IF(C411="","",IF(P411="Backed out",IF(S411="Paid","Refunded – closed",IF(R411="","Refund – log reason first","Refund in progress")),IF(K411="","Awaiting payment",IF(N411="",IF(M411="","Schedule free video","Free video in production"),IF(P411="Approved","Active",IF(TODAY()&gt;O411,"Active – plan went ahead","Decision pending – "&amp;NETWORKDAYS(TODAY(),O411)&amp;" working day(s) left"))))))</f>
        <v/>
      </c>
      <c r="R411" s="17"/>
      <c r="S411" s="17"/>
      <c r="T411" s="50"/>
      <c r="U411" s="40"/>
      <c r="V411" s="40"/>
      <c r="W411" s="45" t="str">
        <f aca="false">IF(V411="","",EDATE(V411,Settings!$S$6))</f>
        <v/>
      </c>
      <c r="X411" s="17"/>
      <c r="Y411" s="17"/>
      <c r="Z411" s="17"/>
    </row>
    <row r="412" customFormat="false" ht="15" hidden="false" customHeight="false" outlineLevel="0" collapsed="false">
      <c r="A412" s="17"/>
      <c r="B412" s="17"/>
      <c r="C412" s="17"/>
      <c r="D412" s="17"/>
      <c r="E412" s="42"/>
      <c r="F412" s="17"/>
      <c r="G412" s="17"/>
      <c r="H412" s="17"/>
      <c r="I412" s="49" t="str">
        <f aca="false">IF(H412="","",IFERROR(INDEX(Settings!$G$2:$G$4,MATCH(H412,Settings!$F$2:$F$4,0)),""))</f>
        <v/>
      </c>
      <c r="J412" s="40"/>
      <c r="K412" s="50"/>
      <c r="L412" s="17"/>
      <c r="M412" s="40"/>
      <c r="N412" s="40"/>
      <c r="O412" s="45" t="str">
        <f aca="false">IF(N412="","",WORKDAY(N412,Settings!$S$4))</f>
        <v/>
      </c>
      <c r="P412" s="17"/>
      <c r="Q412" s="44" t="str">
        <f aca="true">IF(C412="","",IF(P412="Backed out",IF(S412="Paid","Refunded – closed",IF(R412="","Refund – log reason first","Refund in progress")),IF(K412="","Awaiting payment",IF(N412="",IF(M412="","Schedule free video","Free video in production"),IF(P412="Approved","Active",IF(TODAY()&gt;O412,"Active – plan went ahead","Decision pending – "&amp;NETWORKDAYS(TODAY(),O412)&amp;" working day(s) left"))))))</f>
        <v/>
      </c>
      <c r="R412" s="17"/>
      <c r="S412" s="17"/>
      <c r="T412" s="50"/>
      <c r="U412" s="40"/>
      <c r="V412" s="40"/>
      <c r="W412" s="45" t="str">
        <f aca="false">IF(V412="","",EDATE(V412,Settings!$S$6))</f>
        <v/>
      </c>
      <c r="X412" s="17"/>
      <c r="Y412" s="17"/>
      <c r="Z412" s="17"/>
    </row>
    <row r="413" customFormat="false" ht="15" hidden="false" customHeight="false" outlineLevel="0" collapsed="false">
      <c r="A413" s="17"/>
      <c r="B413" s="17"/>
      <c r="C413" s="17"/>
      <c r="D413" s="17"/>
      <c r="E413" s="42"/>
      <c r="F413" s="17"/>
      <c r="G413" s="17"/>
      <c r="H413" s="17"/>
      <c r="I413" s="49" t="str">
        <f aca="false">IF(H413="","",IFERROR(INDEX(Settings!$G$2:$G$4,MATCH(H413,Settings!$F$2:$F$4,0)),""))</f>
        <v/>
      </c>
      <c r="J413" s="40"/>
      <c r="K413" s="50"/>
      <c r="L413" s="17"/>
      <c r="M413" s="40"/>
      <c r="N413" s="40"/>
      <c r="O413" s="45" t="str">
        <f aca="false">IF(N413="","",WORKDAY(N413,Settings!$S$4))</f>
        <v/>
      </c>
      <c r="P413" s="17"/>
      <c r="Q413" s="44" t="str">
        <f aca="true">IF(C413="","",IF(P413="Backed out",IF(S413="Paid","Refunded – closed",IF(R413="","Refund – log reason first","Refund in progress")),IF(K413="","Awaiting payment",IF(N413="",IF(M413="","Schedule free video","Free video in production"),IF(P413="Approved","Active",IF(TODAY()&gt;O413,"Active – plan went ahead","Decision pending – "&amp;NETWORKDAYS(TODAY(),O413)&amp;" working day(s) left"))))))</f>
        <v/>
      </c>
      <c r="R413" s="17"/>
      <c r="S413" s="17"/>
      <c r="T413" s="50"/>
      <c r="U413" s="40"/>
      <c r="V413" s="40"/>
      <c r="W413" s="45" t="str">
        <f aca="false">IF(V413="","",EDATE(V413,Settings!$S$6))</f>
        <v/>
      </c>
      <c r="X413" s="17"/>
      <c r="Y413" s="17"/>
      <c r="Z413" s="17"/>
    </row>
    <row r="414" customFormat="false" ht="15" hidden="false" customHeight="false" outlineLevel="0" collapsed="false">
      <c r="A414" s="17"/>
      <c r="B414" s="17"/>
      <c r="C414" s="17"/>
      <c r="D414" s="17"/>
      <c r="E414" s="42"/>
      <c r="F414" s="17"/>
      <c r="G414" s="17"/>
      <c r="H414" s="17"/>
      <c r="I414" s="49" t="str">
        <f aca="false">IF(H414="","",IFERROR(INDEX(Settings!$G$2:$G$4,MATCH(H414,Settings!$F$2:$F$4,0)),""))</f>
        <v/>
      </c>
      <c r="J414" s="40"/>
      <c r="K414" s="50"/>
      <c r="L414" s="17"/>
      <c r="M414" s="40"/>
      <c r="N414" s="40"/>
      <c r="O414" s="45" t="str">
        <f aca="false">IF(N414="","",WORKDAY(N414,Settings!$S$4))</f>
        <v/>
      </c>
      <c r="P414" s="17"/>
      <c r="Q414" s="44" t="str">
        <f aca="true">IF(C414="","",IF(P414="Backed out",IF(S414="Paid","Refunded – closed",IF(R414="","Refund – log reason first","Refund in progress")),IF(K414="","Awaiting payment",IF(N414="",IF(M414="","Schedule free video","Free video in production"),IF(P414="Approved","Active",IF(TODAY()&gt;O414,"Active – plan went ahead","Decision pending – "&amp;NETWORKDAYS(TODAY(),O414)&amp;" working day(s) left"))))))</f>
        <v/>
      </c>
      <c r="R414" s="17"/>
      <c r="S414" s="17"/>
      <c r="T414" s="50"/>
      <c r="U414" s="40"/>
      <c r="V414" s="40"/>
      <c r="W414" s="45" t="str">
        <f aca="false">IF(V414="","",EDATE(V414,Settings!$S$6))</f>
        <v/>
      </c>
      <c r="X414" s="17"/>
      <c r="Y414" s="17"/>
      <c r="Z414" s="17"/>
    </row>
    <row r="415" customFormat="false" ht="15" hidden="false" customHeight="false" outlineLevel="0" collapsed="false">
      <c r="A415" s="17"/>
      <c r="B415" s="17"/>
      <c r="C415" s="17"/>
      <c r="D415" s="17"/>
      <c r="E415" s="42"/>
      <c r="F415" s="17"/>
      <c r="G415" s="17"/>
      <c r="H415" s="17"/>
      <c r="I415" s="49" t="str">
        <f aca="false">IF(H415="","",IFERROR(INDEX(Settings!$G$2:$G$4,MATCH(H415,Settings!$F$2:$F$4,0)),""))</f>
        <v/>
      </c>
      <c r="J415" s="40"/>
      <c r="K415" s="50"/>
      <c r="L415" s="17"/>
      <c r="M415" s="40"/>
      <c r="N415" s="40"/>
      <c r="O415" s="45" t="str">
        <f aca="false">IF(N415="","",WORKDAY(N415,Settings!$S$4))</f>
        <v/>
      </c>
      <c r="P415" s="17"/>
      <c r="Q415" s="44" t="str">
        <f aca="true">IF(C415="","",IF(P415="Backed out",IF(S415="Paid","Refunded – closed",IF(R415="","Refund – log reason first","Refund in progress")),IF(K415="","Awaiting payment",IF(N415="",IF(M415="","Schedule free video","Free video in production"),IF(P415="Approved","Active",IF(TODAY()&gt;O415,"Active – plan went ahead","Decision pending – "&amp;NETWORKDAYS(TODAY(),O415)&amp;" working day(s) left"))))))</f>
        <v/>
      </c>
      <c r="R415" s="17"/>
      <c r="S415" s="17"/>
      <c r="T415" s="50"/>
      <c r="U415" s="40"/>
      <c r="V415" s="40"/>
      <c r="W415" s="45" t="str">
        <f aca="false">IF(V415="","",EDATE(V415,Settings!$S$6))</f>
        <v/>
      </c>
      <c r="X415" s="17"/>
      <c r="Y415" s="17"/>
      <c r="Z415" s="17"/>
    </row>
    <row r="416" customFormat="false" ht="15" hidden="false" customHeight="false" outlineLevel="0" collapsed="false">
      <c r="A416" s="17"/>
      <c r="B416" s="17"/>
      <c r="C416" s="17"/>
      <c r="D416" s="17"/>
      <c r="E416" s="42"/>
      <c r="F416" s="17"/>
      <c r="G416" s="17"/>
      <c r="H416" s="17"/>
      <c r="I416" s="49" t="str">
        <f aca="false">IF(H416="","",IFERROR(INDEX(Settings!$G$2:$G$4,MATCH(H416,Settings!$F$2:$F$4,0)),""))</f>
        <v/>
      </c>
      <c r="J416" s="40"/>
      <c r="K416" s="50"/>
      <c r="L416" s="17"/>
      <c r="M416" s="40"/>
      <c r="N416" s="40"/>
      <c r="O416" s="45" t="str">
        <f aca="false">IF(N416="","",WORKDAY(N416,Settings!$S$4))</f>
        <v/>
      </c>
      <c r="P416" s="17"/>
      <c r="Q416" s="44" t="str">
        <f aca="true">IF(C416="","",IF(P416="Backed out",IF(S416="Paid","Refunded – closed",IF(R416="","Refund – log reason first","Refund in progress")),IF(K416="","Awaiting payment",IF(N416="",IF(M416="","Schedule free video","Free video in production"),IF(P416="Approved","Active",IF(TODAY()&gt;O416,"Active – plan went ahead","Decision pending – "&amp;NETWORKDAYS(TODAY(),O416)&amp;" working day(s) left"))))))</f>
        <v/>
      </c>
      <c r="R416" s="17"/>
      <c r="S416" s="17"/>
      <c r="T416" s="50"/>
      <c r="U416" s="40"/>
      <c r="V416" s="40"/>
      <c r="W416" s="45" t="str">
        <f aca="false">IF(V416="","",EDATE(V416,Settings!$S$6))</f>
        <v/>
      </c>
      <c r="X416" s="17"/>
      <c r="Y416" s="17"/>
      <c r="Z416" s="17"/>
    </row>
    <row r="417" customFormat="false" ht="15" hidden="false" customHeight="false" outlineLevel="0" collapsed="false">
      <c r="A417" s="17"/>
      <c r="B417" s="17"/>
      <c r="C417" s="17"/>
      <c r="D417" s="17"/>
      <c r="E417" s="42"/>
      <c r="F417" s="17"/>
      <c r="G417" s="17"/>
      <c r="H417" s="17"/>
      <c r="I417" s="49" t="str">
        <f aca="false">IF(H417="","",IFERROR(INDEX(Settings!$G$2:$G$4,MATCH(H417,Settings!$F$2:$F$4,0)),""))</f>
        <v/>
      </c>
      <c r="J417" s="40"/>
      <c r="K417" s="50"/>
      <c r="L417" s="17"/>
      <c r="M417" s="40"/>
      <c r="N417" s="40"/>
      <c r="O417" s="45" t="str">
        <f aca="false">IF(N417="","",WORKDAY(N417,Settings!$S$4))</f>
        <v/>
      </c>
      <c r="P417" s="17"/>
      <c r="Q417" s="44" t="str">
        <f aca="true">IF(C417="","",IF(P417="Backed out",IF(S417="Paid","Refunded – closed",IF(R417="","Refund – log reason first","Refund in progress")),IF(K417="","Awaiting payment",IF(N417="",IF(M417="","Schedule free video","Free video in production"),IF(P417="Approved","Active",IF(TODAY()&gt;O417,"Active – plan went ahead","Decision pending – "&amp;NETWORKDAYS(TODAY(),O417)&amp;" working day(s) left"))))))</f>
        <v/>
      </c>
      <c r="R417" s="17"/>
      <c r="S417" s="17"/>
      <c r="T417" s="50"/>
      <c r="U417" s="40"/>
      <c r="V417" s="40"/>
      <c r="W417" s="45" t="str">
        <f aca="false">IF(V417="","",EDATE(V417,Settings!$S$6))</f>
        <v/>
      </c>
      <c r="X417" s="17"/>
      <c r="Y417" s="17"/>
      <c r="Z417" s="17"/>
    </row>
    <row r="418" customFormat="false" ht="15" hidden="false" customHeight="false" outlineLevel="0" collapsed="false">
      <c r="A418" s="17"/>
      <c r="B418" s="17"/>
      <c r="C418" s="17"/>
      <c r="D418" s="17"/>
      <c r="E418" s="42"/>
      <c r="F418" s="17"/>
      <c r="G418" s="17"/>
      <c r="H418" s="17"/>
      <c r="I418" s="49" t="str">
        <f aca="false">IF(H418="","",IFERROR(INDEX(Settings!$G$2:$G$4,MATCH(H418,Settings!$F$2:$F$4,0)),""))</f>
        <v/>
      </c>
      <c r="J418" s="40"/>
      <c r="K418" s="50"/>
      <c r="L418" s="17"/>
      <c r="M418" s="40"/>
      <c r="N418" s="40"/>
      <c r="O418" s="45" t="str">
        <f aca="false">IF(N418="","",WORKDAY(N418,Settings!$S$4))</f>
        <v/>
      </c>
      <c r="P418" s="17"/>
      <c r="Q418" s="44" t="str">
        <f aca="true">IF(C418="","",IF(P418="Backed out",IF(S418="Paid","Refunded – closed",IF(R418="","Refund – log reason first","Refund in progress")),IF(K418="","Awaiting payment",IF(N418="",IF(M418="","Schedule free video","Free video in production"),IF(P418="Approved","Active",IF(TODAY()&gt;O418,"Active – plan went ahead","Decision pending – "&amp;NETWORKDAYS(TODAY(),O418)&amp;" working day(s) left"))))))</f>
        <v/>
      </c>
      <c r="R418" s="17"/>
      <c r="S418" s="17"/>
      <c r="T418" s="50"/>
      <c r="U418" s="40"/>
      <c r="V418" s="40"/>
      <c r="W418" s="45" t="str">
        <f aca="false">IF(V418="","",EDATE(V418,Settings!$S$6))</f>
        <v/>
      </c>
      <c r="X418" s="17"/>
      <c r="Y418" s="17"/>
      <c r="Z418" s="17"/>
    </row>
    <row r="419" customFormat="false" ht="15" hidden="false" customHeight="false" outlineLevel="0" collapsed="false">
      <c r="A419" s="17"/>
      <c r="B419" s="17"/>
      <c r="C419" s="17"/>
      <c r="D419" s="17"/>
      <c r="E419" s="42"/>
      <c r="F419" s="17"/>
      <c r="G419" s="17"/>
      <c r="H419" s="17"/>
      <c r="I419" s="49" t="str">
        <f aca="false">IF(H419="","",IFERROR(INDEX(Settings!$G$2:$G$4,MATCH(H419,Settings!$F$2:$F$4,0)),""))</f>
        <v/>
      </c>
      <c r="J419" s="40"/>
      <c r="K419" s="50"/>
      <c r="L419" s="17"/>
      <c r="M419" s="40"/>
      <c r="N419" s="40"/>
      <c r="O419" s="45" t="str">
        <f aca="false">IF(N419="","",WORKDAY(N419,Settings!$S$4))</f>
        <v/>
      </c>
      <c r="P419" s="17"/>
      <c r="Q419" s="44" t="str">
        <f aca="true">IF(C419="","",IF(P419="Backed out",IF(S419="Paid","Refunded – closed",IF(R419="","Refund – log reason first","Refund in progress")),IF(K419="","Awaiting payment",IF(N419="",IF(M419="","Schedule free video","Free video in production"),IF(P419="Approved","Active",IF(TODAY()&gt;O419,"Active – plan went ahead","Decision pending – "&amp;NETWORKDAYS(TODAY(),O419)&amp;" working day(s) left"))))))</f>
        <v/>
      </c>
      <c r="R419" s="17"/>
      <c r="S419" s="17"/>
      <c r="T419" s="50"/>
      <c r="U419" s="40"/>
      <c r="V419" s="40"/>
      <c r="W419" s="45" t="str">
        <f aca="false">IF(V419="","",EDATE(V419,Settings!$S$6))</f>
        <v/>
      </c>
      <c r="X419" s="17"/>
      <c r="Y419" s="17"/>
      <c r="Z419" s="17"/>
    </row>
    <row r="420" customFormat="false" ht="15" hidden="false" customHeight="false" outlineLevel="0" collapsed="false">
      <c r="A420" s="17"/>
      <c r="B420" s="17"/>
      <c r="C420" s="17"/>
      <c r="D420" s="17"/>
      <c r="E420" s="42"/>
      <c r="F420" s="17"/>
      <c r="G420" s="17"/>
      <c r="H420" s="17"/>
      <c r="I420" s="49" t="str">
        <f aca="false">IF(H420="","",IFERROR(INDEX(Settings!$G$2:$G$4,MATCH(H420,Settings!$F$2:$F$4,0)),""))</f>
        <v/>
      </c>
      <c r="J420" s="40"/>
      <c r="K420" s="50"/>
      <c r="L420" s="17"/>
      <c r="M420" s="40"/>
      <c r="N420" s="40"/>
      <c r="O420" s="45" t="str">
        <f aca="false">IF(N420="","",WORKDAY(N420,Settings!$S$4))</f>
        <v/>
      </c>
      <c r="P420" s="17"/>
      <c r="Q420" s="44" t="str">
        <f aca="true">IF(C420="","",IF(P420="Backed out",IF(S420="Paid","Refunded – closed",IF(R420="","Refund – log reason first","Refund in progress")),IF(K420="","Awaiting payment",IF(N420="",IF(M420="","Schedule free video","Free video in production"),IF(P420="Approved","Active",IF(TODAY()&gt;O420,"Active – plan went ahead","Decision pending – "&amp;NETWORKDAYS(TODAY(),O420)&amp;" working day(s) left"))))))</f>
        <v/>
      </c>
      <c r="R420" s="17"/>
      <c r="S420" s="17"/>
      <c r="T420" s="50"/>
      <c r="U420" s="40"/>
      <c r="V420" s="40"/>
      <c r="W420" s="45" t="str">
        <f aca="false">IF(V420="","",EDATE(V420,Settings!$S$6))</f>
        <v/>
      </c>
      <c r="X420" s="17"/>
      <c r="Y420" s="17"/>
      <c r="Z420" s="17"/>
    </row>
    <row r="421" customFormat="false" ht="15" hidden="false" customHeight="false" outlineLevel="0" collapsed="false">
      <c r="A421" s="17"/>
      <c r="B421" s="17"/>
      <c r="C421" s="17"/>
      <c r="D421" s="17"/>
      <c r="E421" s="42"/>
      <c r="F421" s="17"/>
      <c r="G421" s="17"/>
      <c r="H421" s="17"/>
      <c r="I421" s="49" t="str">
        <f aca="false">IF(H421="","",IFERROR(INDEX(Settings!$G$2:$G$4,MATCH(H421,Settings!$F$2:$F$4,0)),""))</f>
        <v/>
      </c>
      <c r="J421" s="40"/>
      <c r="K421" s="50"/>
      <c r="L421" s="17"/>
      <c r="M421" s="40"/>
      <c r="N421" s="40"/>
      <c r="O421" s="45" t="str">
        <f aca="false">IF(N421="","",WORKDAY(N421,Settings!$S$4))</f>
        <v/>
      </c>
      <c r="P421" s="17"/>
      <c r="Q421" s="44" t="str">
        <f aca="true">IF(C421="","",IF(P421="Backed out",IF(S421="Paid","Refunded – closed",IF(R421="","Refund – log reason first","Refund in progress")),IF(K421="","Awaiting payment",IF(N421="",IF(M421="","Schedule free video","Free video in production"),IF(P421="Approved","Active",IF(TODAY()&gt;O421,"Active – plan went ahead","Decision pending – "&amp;NETWORKDAYS(TODAY(),O421)&amp;" working day(s) left"))))))</f>
        <v/>
      </c>
      <c r="R421" s="17"/>
      <c r="S421" s="17"/>
      <c r="T421" s="50"/>
      <c r="U421" s="40"/>
      <c r="V421" s="40"/>
      <c r="W421" s="45" t="str">
        <f aca="false">IF(V421="","",EDATE(V421,Settings!$S$6))</f>
        <v/>
      </c>
      <c r="X421" s="17"/>
      <c r="Y421" s="17"/>
      <c r="Z421" s="17"/>
    </row>
    <row r="422" customFormat="false" ht="15" hidden="false" customHeight="false" outlineLevel="0" collapsed="false">
      <c r="A422" s="17"/>
      <c r="B422" s="17"/>
      <c r="C422" s="17"/>
      <c r="D422" s="17"/>
      <c r="E422" s="42"/>
      <c r="F422" s="17"/>
      <c r="G422" s="17"/>
      <c r="H422" s="17"/>
      <c r="I422" s="49" t="str">
        <f aca="false">IF(H422="","",IFERROR(INDEX(Settings!$G$2:$G$4,MATCH(H422,Settings!$F$2:$F$4,0)),""))</f>
        <v/>
      </c>
      <c r="J422" s="40"/>
      <c r="K422" s="50"/>
      <c r="L422" s="17"/>
      <c r="M422" s="40"/>
      <c r="N422" s="40"/>
      <c r="O422" s="45" t="str">
        <f aca="false">IF(N422="","",WORKDAY(N422,Settings!$S$4))</f>
        <v/>
      </c>
      <c r="P422" s="17"/>
      <c r="Q422" s="44" t="str">
        <f aca="true">IF(C422="","",IF(P422="Backed out",IF(S422="Paid","Refunded – closed",IF(R422="","Refund – log reason first","Refund in progress")),IF(K422="","Awaiting payment",IF(N422="",IF(M422="","Schedule free video","Free video in production"),IF(P422="Approved","Active",IF(TODAY()&gt;O422,"Active – plan went ahead","Decision pending – "&amp;NETWORKDAYS(TODAY(),O422)&amp;" working day(s) left"))))))</f>
        <v/>
      </c>
      <c r="R422" s="17"/>
      <c r="S422" s="17"/>
      <c r="T422" s="50"/>
      <c r="U422" s="40"/>
      <c r="V422" s="40"/>
      <c r="W422" s="45" t="str">
        <f aca="false">IF(V422="","",EDATE(V422,Settings!$S$6))</f>
        <v/>
      </c>
      <c r="X422" s="17"/>
      <c r="Y422" s="17"/>
      <c r="Z422" s="17"/>
    </row>
    <row r="423" customFormat="false" ht="15" hidden="false" customHeight="false" outlineLevel="0" collapsed="false">
      <c r="A423" s="17"/>
      <c r="B423" s="17"/>
      <c r="C423" s="17"/>
      <c r="D423" s="17"/>
      <c r="E423" s="42"/>
      <c r="F423" s="17"/>
      <c r="G423" s="17"/>
      <c r="H423" s="17"/>
      <c r="I423" s="49" t="str">
        <f aca="false">IF(H423="","",IFERROR(INDEX(Settings!$G$2:$G$4,MATCH(H423,Settings!$F$2:$F$4,0)),""))</f>
        <v/>
      </c>
      <c r="J423" s="40"/>
      <c r="K423" s="50"/>
      <c r="L423" s="17"/>
      <c r="M423" s="40"/>
      <c r="N423" s="40"/>
      <c r="O423" s="45" t="str">
        <f aca="false">IF(N423="","",WORKDAY(N423,Settings!$S$4))</f>
        <v/>
      </c>
      <c r="P423" s="17"/>
      <c r="Q423" s="44" t="str">
        <f aca="true">IF(C423="","",IF(P423="Backed out",IF(S423="Paid","Refunded – closed",IF(R423="","Refund – log reason first","Refund in progress")),IF(K423="","Awaiting payment",IF(N423="",IF(M423="","Schedule free video","Free video in production"),IF(P423="Approved","Active",IF(TODAY()&gt;O423,"Active – plan went ahead","Decision pending – "&amp;NETWORKDAYS(TODAY(),O423)&amp;" working day(s) left"))))))</f>
        <v/>
      </c>
      <c r="R423" s="17"/>
      <c r="S423" s="17"/>
      <c r="T423" s="50"/>
      <c r="U423" s="40"/>
      <c r="V423" s="40"/>
      <c r="W423" s="45" t="str">
        <f aca="false">IF(V423="","",EDATE(V423,Settings!$S$6))</f>
        <v/>
      </c>
      <c r="X423" s="17"/>
      <c r="Y423" s="17"/>
      <c r="Z423" s="17"/>
    </row>
    <row r="424" customFormat="false" ht="15" hidden="false" customHeight="false" outlineLevel="0" collapsed="false">
      <c r="A424" s="17"/>
      <c r="B424" s="17"/>
      <c r="C424" s="17"/>
      <c r="D424" s="17"/>
      <c r="E424" s="42"/>
      <c r="F424" s="17"/>
      <c r="G424" s="17"/>
      <c r="H424" s="17"/>
      <c r="I424" s="49" t="str">
        <f aca="false">IF(H424="","",IFERROR(INDEX(Settings!$G$2:$G$4,MATCH(H424,Settings!$F$2:$F$4,0)),""))</f>
        <v/>
      </c>
      <c r="J424" s="40"/>
      <c r="K424" s="50"/>
      <c r="L424" s="17"/>
      <c r="M424" s="40"/>
      <c r="N424" s="40"/>
      <c r="O424" s="45" t="str">
        <f aca="false">IF(N424="","",WORKDAY(N424,Settings!$S$4))</f>
        <v/>
      </c>
      <c r="P424" s="17"/>
      <c r="Q424" s="44" t="str">
        <f aca="true">IF(C424="","",IF(P424="Backed out",IF(S424="Paid","Refunded – closed",IF(R424="","Refund – log reason first","Refund in progress")),IF(K424="","Awaiting payment",IF(N424="",IF(M424="","Schedule free video","Free video in production"),IF(P424="Approved","Active",IF(TODAY()&gt;O424,"Active – plan went ahead","Decision pending – "&amp;NETWORKDAYS(TODAY(),O424)&amp;" working day(s) left"))))))</f>
        <v/>
      </c>
      <c r="R424" s="17"/>
      <c r="S424" s="17"/>
      <c r="T424" s="50"/>
      <c r="U424" s="40"/>
      <c r="V424" s="40"/>
      <c r="W424" s="45" t="str">
        <f aca="false">IF(V424="","",EDATE(V424,Settings!$S$6))</f>
        <v/>
      </c>
      <c r="X424" s="17"/>
      <c r="Y424" s="17"/>
      <c r="Z424" s="17"/>
    </row>
    <row r="425" customFormat="false" ht="15" hidden="false" customHeight="false" outlineLevel="0" collapsed="false">
      <c r="A425" s="17"/>
      <c r="B425" s="17"/>
      <c r="C425" s="17"/>
      <c r="D425" s="17"/>
      <c r="E425" s="42"/>
      <c r="F425" s="17"/>
      <c r="G425" s="17"/>
      <c r="H425" s="17"/>
      <c r="I425" s="49" t="str">
        <f aca="false">IF(H425="","",IFERROR(INDEX(Settings!$G$2:$G$4,MATCH(H425,Settings!$F$2:$F$4,0)),""))</f>
        <v/>
      </c>
      <c r="J425" s="40"/>
      <c r="K425" s="50"/>
      <c r="L425" s="17"/>
      <c r="M425" s="40"/>
      <c r="N425" s="40"/>
      <c r="O425" s="45" t="str">
        <f aca="false">IF(N425="","",WORKDAY(N425,Settings!$S$4))</f>
        <v/>
      </c>
      <c r="P425" s="17"/>
      <c r="Q425" s="44" t="str">
        <f aca="true">IF(C425="","",IF(P425="Backed out",IF(S425="Paid","Refunded – closed",IF(R425="","Refund – log reason first","Refund in progress")),IF(K425="","Awaiting payment",IF(N425="",IF(M425="","Schedule free video","Free video in production"),IF(P425="Approved","Active",IF(TODAY()&gt;O425,"Active – plan went ahead","Decision pending – "&amp;NETWORKDAYS(TODAY(),O425)&amp;" working day(s) left"))))))</f>
        <v/>
      </c>
      <c r="R425" s="17"/>
      <c r="S425" s="17"/>
      <c r="T425" s="50"/>
      <c r="U425" s="40"/>
      <c r="V425" s="40"/>
      <c r="W425" s="45" t="str">
        <f aca="false">IF(V425="","",EDATE(V425,Settings!$S$6))</f>
        <v/>
      </c>
      <c r="X425" s="17"/>
      <c r="Y425" s="17"/>
      <c r="Z425" s="17"/>
    </row>
    <row r="426" customFormat="false" ht="15" hidden="false" customHeight="false" outlineLevel="0" collapsed="false">
      <c r="A426" s="17"/>
      <c r="B426" s="17"/>
      <c r="C426" s="17"/>
      <c r="D426" s="17"/>
      <c r="E426" s="42"/>
      <c r="F426" s="17"/>
      <c r="G426" s="17"/>
      <c r="H426" s="17"/>
      <c r="I426" s="49" t="str">
        <f aca="false">IF(H426="","",IFERROR(INDEX(Settings!$G$2:$G$4,MATCH(H426,Settings!$F$2:$F$4,0)),""))</f>
        <v/>
      </c>
      <c r="J426" s="40"/>
      <c r="K426" s="50"/>
      <c r="L426" s="17"/>
      <c r="M426" s="40"/>
      <c r="N426" s="40"/>
      <c r="O426" s="45" t="str">
        <f aca="false">IF(N426="","",WORKDAY(N426,Settings!$S$4))</f>
        <v/>
      </c>
      <c r="P426" s="17"/>
      <c r="Q426" s="44" t="str">
        <f aca="true">IF(C426="","",IF(P426="Backed out",IF(S426="Paid","Refunded – closed",IF(R426="","Refund – log reason first","Refund in progress")),IF(K426="","Awaiting payment",IF(N426="",IF(M426="","Schedule free video","Free video in production"),IF(P426="Approved","Active",IF(TODAY()&gt;O426,"Active – plan went ahead","Decision pending – "&amp;NETWORKDAYS(TODAY(),O426)&amp;" working day(s) left"))))))</f>
        <v/>
      </c>
      <c r="R426" s="17"/>
      <c r="S426" s="17"/>
      <c r="T426" s="50"/>
      <c r="U426" s="40"/>
      <c r="V426" s="40"/>
      <c r="W426" s="45" t="str">
        <f aca="false">IF(V426="","",EDATE(V426,Settings!$S$6))</f>
        <v/>
      </c>
      <c r="X426" s="17"/>
      <c r="Y426" s="17"/>
      <c r="Z426" s="17"/>
    </row>
    <row r="427" customFormat="false" ht="15" hidden="false" customHeight="false" outlineLevel="0" collapsed="false">
      <c r="A427" s="17"/>
      <c r="B427" s="17"/>
      <c r="C427" s="17"/>
      <c r="D427" s="17"/>
      <c r="E427" s="42"/>
      <c r="F427" s="17"/>
      <c r="G427" s="17"/>
      <c r="H427" s="17"/>
      <c r="I427" s="49" t="str">
        <f aca="false">IF(H427="","",IFERROR(INDEX(Settings!$G$2:$G$4,MATCH(H427,Settings!$F$2:$F$4,0)),""))</f>
        <v/>
      </c>
      <c r="J427" s="40"/>
      <c r="K427" s="50"/>
      <c r="L427" s="17"/>
      <c r="M427" s="40"/>
      <c r="N427" s="40"/>
      <c r="O427" s="45" t="str">
        <f aca="false">IF(N427="","",WORKDAY(N427,Settings!$S$4))</f>
        <v/>
      </c>
      <c r="P427" s="17"/>
      <c r="Q427" s="44" t="str">
        <f aca="true">IF(C427="","",IF(P427="Backed out",IF(S427="Paid","Refunded – closed",IF(R427="","Refund – log reason first","Refund in progress")),IF(K427="","Awaiting payment",IF(N427="",IF(M427="","Schedule free video","Free video in production"),IF(P427="Approved","Active",IF(TODAY()&gt;O427,"Active – plan went ahead","Decision pending – "&amp;NETWORKDAYS(TODAY(),O427)&amp;" working day(s) left"))))))</f>
        <v/>
      </c>
      <c r="R427" s="17"/>
      <c r="S427" s="17"/>
      <c r="T427" s="50"/>
      <c r="U427" s="40"/>
      <c r="V427" s="40"/>
      <c r="W427" s="45" t="str">
        <f aca="false">IF(V427="","",EDATE(V427,Settings!$S$6))</f>
        <v/>
      </c>
      <c r="X427" s="17"/>
      <c r="Y427" s="17"/>
      <c r="Z427" s="17"/>
    </row>
    <row r="428" customFormat="false" ht="15" hidden="false" customHeight="false" outlineLevel="0" collapsed="false">
      <c r="A428" s="17"/>
      <c r="B428" s="17"/>
      <c r="C428" s="17"/>
      <c r="D428" s="17"/>
      <c r="E428" s="42"/>
      <c r="F428" s="17"/>
      <c r="G428" s="17"/>
      <c r="H428" s="17"/>
      <c r="I428" s="49" t="str">
        <f aca="false">IF(H428="","",IFERROR(INDEX(Settings!$G$2:$G$4,MATCH(H428,Settings!$F$2:$F$4,0)),""))</f>
        <v/>
      </c>
      <c r="J428" s="40"/>
      <c r="K428" s="50"/>
      <c r="L428" s="17"/>
      <c r="M428" s="40"/>
      <c r="N428" s="40"/>
      <c r="O428" s="45" t="str">
        <f aca="false">IF(N428="","",WORKDAY(N428,Settings!$S$4))</f>
        <v/>
      </c>
      <c r="P428" s="17"/>
      <c r="Q428" s="44" t="str">
        <f aca="true">IF(C428="","",IF(P428="Backed out",IF(S428="Paid","Refunded – closed",IF(R428="","Refund – log reason first","Refund in progress")),IF(K428="","Awaiting payment",IF(N428="",IF(M428="","Schedule free video","Free video in production"),IF(P428="Approved","Active",IF(TODAY()&gt;O428,"Active – plan went ahead","Decision pending – "&amp;NETWORKDAYS(TODAY(),O428)&amp;" working day(s) left"))))))</f>
        <v/>
      </c>
      <c r="R428" s="17"/>
      <c r="S428" s="17"/>
      <c r="T428" s="50"/>
      <c r="U428" s="40"/>
      <c r="V428" s="40"/>
      <c r="W428" s="45" t="str">
        <f aca="false">IF(V428="","",EDATE(V428,Settings!$S$6))</f>
        <v/>
      </c>
      <c r="X428" s="17"/>
      <c r="Y428" s="17"/>
      <c r="Z428" s="17"/>
    </row>
    <row r="429" customFormat="false" ht="15" hidden="false" customHeight="false" outlineLevel="0" collapsed="false">
      <c r="A429" s="17"/>
      <c r="B429" s="17"/>
      <c r="C429" s="17"/>
      <c r="D429" s="17"/>
      <c r="E429" s="42"/>
      <c r="F429" s="17"/>
      <c r="G429" s="17"/>
      <c r="H429" s="17"/>
      <c r="I429" s="49" t="str">
        <f aca="false">IF(H429="","",IFERROR(INDEX(Settings!$G$2:$G$4,MATCH(H429,Settings!$F$2:$F$4,0)),""))</f>
        <v/>
      </c>
      <c r="J429" s="40"/>
      <c r="K429" s="50"/>
      <c r="L429" s="17"/>
      <c r="M429" s="40"/>
      <c r="N429" s="40"/>
      <c r="O429" s="45" t="str">
        <f aca="false">IF(N429="","",WORKDAY(N429,Settings!$S$4))</f>
        <v/>
      </c>
      <c r="P429" s="17"/>
      <c r="Q429" s="44" t="str">
        <f aca="true">IF(C429="","",IF(P429="Backed out",IF(S429="Paid","Refunded – closed",IF(R429="","Refund – log reason first","Refund in progress")),IF(K429="","Awaiting payment",IF(N429="",IF(M429="","Schedule free video","Free video in production"),IF(P429="Approved","Active",IF(TODAY()&gt;O429,"Active – plan went ahead","Decision pending – "&amp;NETWORKDAYS(TODAY(),O429)&amp;" working day(s) left"))))))</f>
        <v/>
      </c>
      <c r="R429" s="17"/>
      <c r="S429" s="17"/>
      <c r="T429" s="50"/>
      <c r="U429" s="40"/>
      <c r="V429" s="40"/>
      <c r="W429" s="45" t="str">
        <f aca="false">IF(V429="","",EDATE(V429,Settings!$S$6))</f>
        <v/>
      </c>
      <c r="X429" s="17"/>
      <c r="Y429" s="17"/>
      <c r="Z429" s="17"/>
    </row>
    <row r="430" customFormat="false" ht="15" hidden="false" customHeight="false" outlineLevel="0" collapsed="false">
      <c r="A430" s="17"/>
      <c r="B430" s="17"/>
      <c r="C430" s="17"/>
      <c r="D430" s="17"/>
      <c r="E430" s="42"/>
      <c r="F430" s="17"/>
      <c r="G430" s="17"/>
      <c r="H430" s="17"/>
      <c r="I430" s="49" t="str">
        <f aca="false">IF(H430="","",IFERROR(INDEX(Settings!$G$2:$G$4,MATCH(H430,Settings!$F$2:$F$4,0)),""))</f>
        <v/>
      </c>
      <c r="J430" s="40"/>
      <c r="K430" s="50"/>
      <c r="L430" s="17"/>
      <c r="M430" s="40"/>
      <c r="N430" s="40"/>
      <c r="O430" s="45" t="str">
        <f aca="false">IF(N430="","",WORKDAY(N430,Settings!$S$4))</f>
        <v/>
      </c>
      <c r="P430" s="17"/>
      <c r="Q430" s="44" t="str">
        <f aca="true">IF(C430="","",IF(P430="Backed out",IF(S430="Paid","Refunded – closed",IF(R430="","Refund – log reason first","Refund in progress")),IF(K430="","Awaiting payment",IF(N430="",IF(M430="","Schedule free video","Free video in production"),IF(P430="Approved","Active",IF(TODAY()&gt;O430,"Active – plan went ahead","Decision pending – "&amp;NETWORKDAYS(TODAY(),O430)&amp;" working day(s) left"))))))</f>
        <v/>
      </c>
      <c r="R430" s="17"/>
      <c r="S430" s="17"/>
      <c r="T430" s="50"/>
      <c r="U430" s="40"/>
      <c r="V430" s="40"/>
      <c r="W430" s="45" t="str">
        <f aca="false">IF(V430="","",EDATE(V430,Settings!$S$6))</f>
        <v/>
      </c>
      <c r="X430" s="17"/>
      <c r="Y430" s="17"/>
      <c r="Z430" s="17"/>
    </row>
    <row r="431" customFormat="false" ht="15" hidden="false" customHeight="false" outlineLevel="0" collapsed="false">
      <c r="A431" s="17"/>
      <c r="B431" s="17"/>
      <c r="C431" s="17"/>
      <c r="D431" s="17"/>
      <c r="E431" s="42"/>
      <c r="F431" s="17"/>
      <c r="G431" s="17"/>
      <c r="H431" s="17"/>
      <c r="I431" s="49" t="str">
        <f aca="false">IF(H431="","",IFERROR(INDEX(Settings!$G$2:$G$4,MATCH(H431,Settings!$F$2:$F$4,0)),""))</f>
        <v/>
      </c>
      <c r="J431" s="40"/>
      <c r="K431" s="50"/>
      <c r="L431" s="17"/>
      <c r="M431" s="40"/>
      <c r="N431" s="40"/>
      <c r="O431" s="45" t="str">
        <f aca="false">IF(N431="","",WORKDAY(N431,Settings!$S$4))</f>
        <v/>
      </c>
      <c r="P431" s="17"/>
      <c r="Q431" s="44" t="str">
        <f aca="true">IF(C431="","",IF(P431="Backed out",IF(S431="Paid","Refunded – closed",IF(R431="","Refund – log reason first","Refund in progress")),IF(K431="","Awaiting payment",IF(N431="",IF(M431="","Schedule free video","Free video in production"),IF(P431="Approved","Active",IF(TODAY()&gt;O431,"Active – plan went ahead","Decision pending – "&amp;NETWORKDAYS(TODAY(),O431)&amp;" working day(s) left"))))))</f>
        <v/>
      </c>
      <c r="R431" s="17"/>
      <c r="S431" s="17"/>
      <c r="T431" s="50"/>
      <c r="U431" s="40"/>
      <c r="V431" s="40"/>
      <c r="W431" s="45" t="str">
        <f aca="false">IF(V431="","",EDATE(V431,Settings!$S$6))</f>
        <v/>
      </c>
      <c r="X431" s="17"/>
      <c r="Y431" s="17"/>
      <c r="Z431" s="17"/>
    </row>
    <row r="432" customFormat="false" ht="15" hidden="false" customHeight="false" outlineLevel="0" collapsed="false">
      <c r="A432" s="17"/>
      <c r="B432" s="17"/>
      <c r="C432" s="17"/>
      <c r="D432" s="17"/>
      <c r="E432" s="42"/>
      <c r="F432" s="17"/>
      <c r="G432" s="17"/>
      <c r="H432" s="17"/>
      <c r="I432" s="49" t="str">
        <f aca="false">IF(H432="","",IFERROR(INDEX(Settings!$G$2:$G$4,MATCH(H432,Settings!$F$2:$F$4,0)),""))</f>
        <v/>
      </c>
      <c r="J432" s="40"/>
      <c r="K432" s="50"/>
      <c r="L432" s="17"/>
      <c r="M432" s="40"/>
      <c r="N432" s="40"/>
      <c r="O432" s="45" t="str">
        <f aca="false">IF(N432="","",WORKDAY(N432,Settings!$S$4))</f>
        <v/>
      </c>
      <c r="P432" s="17"/>
      <c r="Q432" s="44" t="str">
        <f aca="true">IF(C432="","",IF(P432="Backed out",IF(S432="Paid","Refunded – closed",IF(R432="","Refund – log reason first","Refund in progress")),IF(K432="","Awaiting payment",IF(N432="",IF(M432="","Schedule free video","Free video in production"),IF(P432="Approved","Active",IF(TODAY()&gt;O432,"Active – plan went ahead","Decision pending – "&amp;NETWORKDAYS(TODAY(),O432)&amp;" working day(s) left"))))))</f>
        <v/>
      </c>
      <c r="R432" s="17"/>
      <c r="S432" s="17"/>
      <c r="T432" s="50"/>
      <c r="U432" s="40"/>
      <c r="V432" s="40"/>
      <c r="W432" s="45" t="str">
        <f aca="false">IF(V432="","",EDATE(V432,Settings!$S$6))</f>
        <v/>
      </c>
      <c r="X432" s="17"/>
      <c r="Y432" s="17"/>
      <c r="Z432" s="17"/>
    </row>
    <row r="433" customFormat="false" ht="15" hidden="false" customHeight="false" outlineLevel="0" collapsed="false">
      <c r="A433" s="17"/>
      <c r="B433" s="17"/>
      <c r="C433" s="17"/>
      <c r="D433" s="17"/>
      <c r="E433" s="42"/>
      <c r="F433" s="17"/>
      <c r="G433" s="17"/>
      <c r="H433" s="17"/>
      <c r="I433" s="49" t="str">
        <f aca="false">IF(H433="","",IFERROR(INDEX(Settings!$G$2:$G$4,MATCH(H433,Settings!$F$2:$F$4,0)),""))</f>
        <v/>
      </c>
      <c r="J433" s="40"/>
      <c r="K433" s="50"/>
      <c r="L433" s="17"/>
      <c r="M433" s="40"/>
      <c r="N433" s="40"/>
      <c r="O433" s="45" t="str">
        <f aca="false">IF(N433="","",WORKDAY(N433,Settings!$S$4))</f>
        <v/>
      </c>
      <c r="P433" s="17"/>
      <c r="Q433" s="44" t="str">
        <f aca="true">IF(C433="","",IF(P433="Backed out",IF(S433="Paid","Refunded – closed",IF(R433="","Refund – log reason first","Refund in progress")),IF(K433="","Awaiting payment",IF(N433="",IF(M433="","Schedule free video","Free video in production"),IF(P433="Approved","Active",IF(TODAY()&gt;O433,"Active – plan went ahead","Decision pending – "&amp;NETWORKDAYS(TODAY(),O433)&amp;" working day(s) left"))))))</f>
        <v/>
      </c>
      <c r="R433" s="17"/>
      <c r="S433" s="17"/>
      <c r="T433" s="50"/>
      <c r="U433" s="40"/>
      <c r="V433" s="40"/>
      <c r="W433" s="45" t="str">
        <f aca="false">IF(V433="","",EDATE(V433,Settings!$S$6))</f>
        <v/>
      </c>
      <c r="X433" s="17"/>
      <c r="Y433" s="17"/>
      <c r="Z433" s="17"/>
    </row>
    <row r="434" customFormat="false" ht="15" hidden="false" customHeight="false" outlineLevel="0" collapsed="false">
      <c r="A434" s="17"/>
      <c r="B434" s="17"/>
      <c r="C434" s="17"/>
      <c r="D434" s="17"/>
      <c r="E434" s="42"/>
      <c r="F434" s="17"/>
      <c r="G434" s="17"/>
      <c r="H434" s="17"/>
      <c r="I434" s="49" t="str">
        <f aca="false">IF(H434="","",IFERROR(INDEX(Settings!$G$2:$G$4,MATCH(H434,Settings!$F$2:$F$4,0)),""))</f>
        <v/>
      </c>
      <c r="J434" s="40"/>
      <c r="K434" s="50"/>
      <c r="L434" s="17"/>
      <c r="M434" s="40"/>
      <c r="N434" s="40"/>
      <c r="O434" s="45" t="str">
        <f aca="false">IF(N434="","",WORKDAY(N434,Settings!$S$4))</f>
        <v/>
      </c>
      <c r="P434" s="17"/>
      <c r="Q434" s="44" t="str">
        <f aca="true">IF(C434="","",IF(P434="Backed out",IF(S434="Paid","Refunded – closed",IF(R434="","Refund – log reason first","Refund in progress")),IF(K434="","Awaiting payment",IF(N434="",IF(M434="","Schedule free video","Free video in production"),IF(P434="Approved","Active",IF(TODAY()&gt;O434,"Active – plan went ahead","Decision pending – "&amp;NETWORKDAYS(TODAY(),O434)&amp;" working day(s) left"))))))</f>
        <v/>
      </c>
      <c r="R434" s="17"/>
      <c r="S434" s="17"/>
      <c r="T434" s="50"/>
      <c r="U434" s="40"/>
      <c r="V434" s="40"/>
      <c r="W434" s="45" t="str">
        <f aca="false">IF(V434="","",EDATE(V434,Settings!$S$6))</f>
        <v/>
      </c>
      <c r="X434" s="17"/>
      <c r="Y434" s="17"/>
      <c r="Z434" s="17"/>
    </row>
    <row r="435" customFormat="false" ht="15" hidden="false" customHeight="false" outlineLevel="0" collapsed="false">
      <c r="A435" s="17"/>
      <c r="B435" s="17"/>
      <c r="C435" s="17"/>
      <c r="D435" s="17"/>
      <c r="E435" s="42"/>
      <c r="F435" s="17"/>
      <c r="G435" s="17"/>
      <c r="H435" s="17"/>
      <c r="I435" s="49" t="str">
        <f aca="false">IF(H435="","",IFERROR(INDEX(Settings!$G$2:$G$4,MATCH(H435,Settings!$F$2:$F$4,0)),""))</f>
        <v/>
      </c>
      <c r="J435" s="40"/>
      <c r="K435" s="50"/>
      <c r="L435" s="17"/>
      <c r="M435" s="40"/>
      <c r="N435" s="40"/>
      <c r="O435" s="45" t="str">
        <f aca="false">IF(N435="","",WORKDAY(N435,Settings!$S$4))</f>
        <v/>
      </c>
      <c r="P435" s="17"/>
      <c r="Q435" s="44" t="str">
        <f aca="true">IF(C435="","",IF(P435="Backed out",IF(S435="Paid","Refunded – closed",IF(R435="","Refund – log reason first","Refund in progress")),IF(K435="","Awaiting payment",IF(N435="",IF(M435="","Schedule free video","Free video in production"),IF(P435="Approved","Active",IF(TODAY()&gt;O435,"Active – plan went ahead","Decision pending – "&amp;NETWORKDAYS(TODAY(),O435)&amp;" working day(s) left"))))))</f>
        <v/>
      </c>
      <c r="R435" s="17"/>
      <c r="S435" s="17"/>
      <c r="T435" s="50"/>
      <c r="U435" s="40"/>
      <c r="V435" s="40"/>
      <c r="W435" s="45" t="str">
        <f aca="false">IF(V435="","",EDATE(V435,Settings!$S$6))</f>
        <v/>
      </c>
      <c r="X435" s="17"/>
      <c r="Y435" s="17"/>
      <c r="Z435" s="17"/>
    </row>
    <row r="436" customFormat="false" ht="15" hidden="false" customHeight="false" outlineLevel="0" collapsed="false">
      <c r="A436" s="17"/>
      <c r="B436" s="17"/>
      <c r="C436" s="17"/>
      <c r="D436" s="17"/>
      <c r="E436" s="42"/>
      <c r="F436" s="17"/>
      <c r="G436" s="17"/>
      <c r="H436" s="17"/>
      <c r="I436" s="49" t="str">
        <f aca="false">IF(H436="","",IFERROR(INDEX(Settings!$G$2:$G$4,MATCH(H436,Settings!$F$2:$F$4,0)),""))</f>
        <v/>
      </c>
      <c r="J436" s="40"/>
      <c r="K436" s="50"/>
      <c r="L436" s="17"/>
      <c r="M436" s="40"/>
      <c r="N436" s="40"/>
      <c r="O436" s="45" t="str">
        <f aca="false">IF(N436="","",WORKDAY(N436,Settings!$S$4))</f>
        <v/>
      </c>
      <c r="P436" s="17"/>
      <c r="Q436" s="44" t="str">
        <f aca="true">IF(C436="","",IF(P436="Backed out",IF(S436="Paid","Refunded – closed",IF(R436="","Refund – log reason first","Refund in progress")),IF(K436="","Awaiting payment",IF(N436="",IF(M436="","Schedule free video","Free video in production"),IF(P436="Approved","Active",IF(TODAY()&gt;O436,"Active – plan went ahead","Decision pending – "&amp;NETWORKDAYS(TODAY(),O436)&amp;" working day(s) left"))))))</f>
        <v/>
      </c>
      <c r="R436" s="17"/>
      <c r="S436" s="17"/>
      <c r="T436" s="50"/>
      <c r="U436" s="40"/>
      <c r="V436" s="40"/>
      <c r="W436" s="45" t="str">
        <f aca="false">IF(V436="","",EDATE(V436,Settings!$S$6))</f>
        <v/>
      </c>
      <c r="X436" s="17"/>
      <c r="Y436" s="17"/>
      <c r="Z436" s="17"/>
    </row>
    <row r="437" customFormat="false" ht="15" hidden="false" customHeight="false" outlineLevel="0" collapsed="false">
      <c r="A437" s="17"/>
      <c r="B437" s="17"/>
      <c r="C437" s="17"/>
      <c r="D437" s="17"/>
      <c r="E437" s="42"/>
      <c r="F437" s="17"/>
      <c r="G437" s="17"/>
      <c r="H437" s="17"/>
      <c r="I437" s="49" t="str">
        <f aca="false">IF(H437="","",IFERROR(INDEX(Settings!$G$2:$G$4,MATCH(H437,Settings!$F$2:$F$4,0)),""))</f>
        <v/>
      </c>
      <c r="J437" s="40"/>
      <c r="K437" s="50"/>
      <c r="L437" s="17"/>
      <c r="M437" s="40"/>
      <c r="N437" s="40"/>
      <c r="O437" s="45" t="str">
        <f aca="false">IF(N437="","",WORKDAY(N437,Settings!$S$4))</f>
        <v/>
      </c>
      <c r="P437" s="17"/>
      <c r="Q437" s="44" t="str">
        <f aca="true">IF(C437="","",IF(P437="Backed out",IF(S437="Paid","Refunded – closed",IF(R437="","Refund – log reason first","Refund in progress")),IF(K437="","Awaiting payment",IF(N437="",IF(M437="","Schedule free video","Free video in production"),IF(P437="Approved","Active",IF(TODAY()&gt;O437,"Active – plan went ahead","Decision pending – "&amp;NETWORKDAYS(TODAY(),O437)&amp;" working day(s) left"))))))</f>
        <v/>
      </c>
      <c r="R437" s="17"/>
      <c r="S437" s="17"/>
      <c r="T437" s="50"/>
      <c r="U437" s="40"/>
      <c r="V437" s="40"/>
      <c r="W437" s="45" t="str">
        <f aca="false">IF(V437="","",EDATE(V437,Settings!$S$6))</f>
        <v/>
      </c>
      <c r="X437" s="17"/>
      <c r="Y437" s="17"/>
      <c r="Z437" s="17"/>
    </row>
    <row r="438" customFormat="false" ht="15" hidden="false" customHeight="false" outlineLevel="0" collapsed="false">
      <c r="A438" s="17"/>
      <c r="B438" s="17"/>
      <c r="C438" s="17"/>
      <c r="D438" s="17"/>
      <c r="E438" s="42"/>
      <c r="F438" s="17"/>
      <c r="G438" s="17"/>
      <c r="H438" s="17"/>
      <c r="I438" s="49" t="str">
        <f aca="false">IF(H438="","",IFERROR(INDEX(Settings!$G$2:$G$4,MATCH(H438,Settings!$F$2:$F$4,0)),""))</f>
        <v/>
      </c>
      <c r="J438" s="40"/>
      <c r="K438" s="50"/>
      <c r="L438" s="17"/>
      <c r="M438" s="40"/>
      <c r="N438" s="40"/>
      <c r="O438" s="45" t="str">
        <f aca="false">IF(N438="","",WORKDAY(N438,Settings!$S$4))</f>
        <v/>
      </c>
      <c r="P438" s="17"/>
      <c r="Q438" s="44" t="str">
        <f aca="true">IF(C438="","",IF(P438="Backed out",IF(S438="Paid","Refunded – closed",IF(R438="","Refund – log reason first","Refund in progress")),IF(K438="","Awaiting payment",IF(N438="",IF(M438="","Schedule free video","Free video in production"),IF(P438="Approved","Active",IF(TODAY()&gt;O438,"Active – plan went ahead","Decision pending – "&amp;NETWORKDAYS(TODAY(),O438)&amp;" working day(s) left"))))))</f>
        <v/>
      </c>
      <c r="R438" s="17"/>
      <c r="S438" s="17"/>
      <c r="T438" s="50"/>
      <c r="U438" s="40"/>
      <c r="V438" s="40"/>
      <c r="W438" s="45" t="str">
        <f aca="false">IF(V438="","",EDATE(V438,Settings!$S$6))</f>
        <v/>
      </c>
      <c r="X438" s="17"/>
      <c r="Y438" s="17"/>
      <c r="Z438" s="17"/>
    </row>
    <row r="439" customFormat="false" ht="15" hidden="false" customHeight="false" outlineLevel="0" collapsed="false">
      <c r="A439" s="17"/>
      <c r="B439" s="17"/>
      <c r="C439" s="17"/>
      <c r="D439" s="17"/>
      <c r="E439" s="42"/>
      <c r="F439" s="17"/>
      <c r="G439" s="17"/>
      <c r="H439" s="17"/>
      <c r="I439" s="49" t="str">
        <f aca="false">IF(H439="","",IFERROR(INDEX(Settings!$G$2:$G$4,MATCH(H439,Settings!$F$2:$F$4,0)),""))</f>
        <v/>
      </c>
      <c r="J439" s="40"/>
      <c r="K439" s="50"/>
      <c r="L439" s="17"/>
      <c r="M439" s="40"/>
      <c r="N439" s="40"/>
      <c r="O439" s="45" t="str">
        <f aca="false">IF(N439="","",WORKDAY(N439,Settings!$S$4))</f>
        <v/>
      </c>
      <c r="P439" s="17"/>
      <c r="Q439" s="44" t="str">
        <f aca="true">IF(C439="","",IF(P439="Backed out",IF(S439="Paid","Refunded – closed",IF(R439="","Refund – log reason first","Refund in progress")),IF(K439="","Awaiting payment",IF(N439="",IF(M439="","Schedule free video","Free video in production"),IF(P439="Approved","Active",IF(TODAY()&gt;O439,"Active – plan went ahead","Decision pending – "&amp;NETWORKDAYS(TODAY(),O439)&amp;" working day(s) left"))))))</f>
        <v/>
      </c>
      <c r="R439" s="17"/>
      <c r="S439" s="17"/>
      <c r="T439" s="50"/>
      <c r="U439" s="40"/>
      <c r="V439" s="40"/>
      <c r="W439" s="45" t="str">
        <f aca="false">IF(V439="","",EDATE(V439,Settings!$S$6))</f>
        <v/>
      </c>
      <c r="X439" s="17"/>
      <c r="Y439" s="17"/>
      <c r="Z439" s="17"/>
    </row>
    <row r="440" customFormat="false" ht="15" hidden="false" customHeight="false" outlineLevel="0" collapsed="false">
      <c r="A440" s="17"/>
      <c r="B440" s="17"/>
      <c r="C440" s="17"/>
      <c r="D440" s="17"/>
      <c r="E440" s="42"/>
      <c r="F440" s="17"/>
      <c r="G440" s="17"/>
      <c r="H440" s="17"/>
      <c r="I440" s="49" t="str">
        <f aca="false">IF(H440="","",IFERROR(INDEX(Settings!$G$2:$G$4,MATCH(H440,Settings!$F$2:$F$4,0)),""))</f>
        <v/>
      </c>
      <c r="J440" s="40"/>
      <c r="K440" s="50"/>
      <c r="L440" s="17"/>
      <c r="M440" s="40"/>
      <c r="N440" s="40"/>
      <c r="O440" s="45" t="str">
        <f aca="false">IF(N440="","",WORKDAY(N440,Settings!$S$4))</f>
        <v/>
      </c>
      <c r="P440" s="17"/>
      <c r="Q440" s="44" t="str">
        <f aca="true">IF(C440="","",IF(P440="Backed out",IF(S440="Paid","Refunded – closed",IF(R440="","Refund – log reason first","Refund in progress")),IF(K440="","Awaiting payment",IF(N440="",IF(M440="","Schedule free video","Free video in production"),IF(P440="Approved","Active",IF(TODAY()&gt;O440,"Active – plan went ahead","Decision pending – "&amp;NETWORKDAYS(TODAY(),O440)&amp;" working day(s) left"))))))</f>
        <v/>
      </c>
      <c r="R440" s="17"/>
      <c r="S440" s="17"/>
      <c r="T440" s="50"/>
      <c r="U440" s="40"/>
      <c r="V440" s="40"/>
      <c r="W440" s="45" t="str">
        <f aca="false">IF(V440="","",EDATE(V440,Settings!$S$6))</f>
        <v/>
      </c>
      <c r="X440" s="17"/>
      <c r="Y440" s="17"/>
      <c r="Z440" s="17"/>
    </row>
    <row r="441" customFormat="false" ht="15" hidden="false" customHeight="false" outlineLevel="0" collapsed="false">
      <c r="A441" s="17"/>
      <c r="B441" s="17"/>
      <c r="C441" s="17"/>
      <c r="D441" s="17"/>
      <c r="E441" s="42"/>
      <c r="F441" s="17"/>
      <c r="G441" s="17"/>
      <c r="H441" s="17"/>
      <c r="I441" s="49" t="str">
        <f aca="false">IF(H441="","",IFERROR(INDEX(Settings!$G$2:$G$4,MATCH(H441,Settings!$F$2:$F$4,0)),""))</f>
        <v/>
      </c>
      <c r="J441" s="40"/>
      <c r="K441" s="50"/>
      <c r="L441" s="17"/>
      <c r="M441" s="40"/>
      <c r="N441" s="40"/>
      <c r="O441" s="45" t="str">
        <f aca="false">IF(N441="","",WORKDAY(N441,Settings!$S$4))</f>
        <v/>
      </c>
      <c r="P441" s="17"/>
      <c r="Q441" s="44" t="str">
        <f aca="true">IF(C441="","",IF(P441="Backed out",IF(S441="Paid","Refunded – closed",IF(R441="","Refund – log reason first","Refund in progress")),IF(K441="","Awaiting payment",IF(N441="",IF(M441="","Schedule free video","Free video in production"),IF(P441="Approved","Active",IF(TODAY()&gt;O441,"Active – plan went ahead","Decision pending – "&amp;NETWORKDAYS(TODAY(),O441)&amp;" working day(s) left"))))))</f>
        <v/>
      </c>
      <c r="R441" s="17"/>
      <c r="S441" s="17"/>
      <c r="T441" s="50"/>
      <c r="U441" s="40"/>
      <c r="V441" s="40"/>
      <c r="W441" s="45" t="str">
        <f aca="false">IF(V441="","",EDATE(V441,Settings!$S$6))</f>
        <v/>
      </c>
      <c r="X441" s="17"/>
      <c r="Y441" s="17"/>
      <c r="Z441" s="17"/>
    </row>
    <row r="442" customFormat="false" ht="15" hidden="false" customHeight="false" outlineLevel="0" collapsed="false">
      <c r="A442" s="17"/>
      <c r="B442" s="17"/>
      <c r="C442" s="17"/>
      <c r="D442" s="17"/>
      <c r="E442" s="42"/>
      <c r="F442" s="17"/>
      <c r="G442" s="17"/>
      <c r="H442" s="17"/>
      <c r="I442" s="49" t="str">
        <f aca="false">IF(H442="","",IFERROR(INDEX(Settings!$G$2:$G$4,MATCH(H442,Settings!$F$2:$F$4,0)),""))</f>
        <v/>
      </c>
      <c r="J442" s="40"/>
      <c r="K442" s="50"/>
      <c r="L442" s="17"/>
      <c r="M442" s="40"/>
      <c r="N442" s="40"/>
      <c r="O442" s="45" t="str">
        <f aca="false">IF(N442="","",WORKDAY(N442,Settings!$S$4))</f>
        <v/>
      </c>
      <c r="P442" s="17"/>
      <c r="Q442" s="44" t="str">
        <f aca="true">IF(C442="","",IF(P442="Backed out",IF(S442="Paid","Refunded – closed",IF(R442="","Refund – log reason first","Refund in progress")),IF(K442="","Awaiting payment",IF(N442="",IF(M442="","Schedule free video","Free video in production"),IF(P442="Approved","Active",IF(TODAY()&gt;O442,"Active – plan went ahead","Decision pending – "&amp;NETWORKDAYS(TODAY(),O442)&amp;" working day(s) left"))))))</f>
        <v/>
      </c>
      <c r="R442" s="17"/>
      <c r="S442" s="17"/>
      <c r="T442" s="50"/>
      <c r="U442" s="40"/>
      <c r="V442" s="40"/>
      <c r="W442" s="45" t="str">
        <f aca="false">IF(V442="","",EDATE(V442,Settings!$S$6))</f>
        <v/>
      </c>
      <c r="X442" s="17"/>
      <c r="Y442" s="17"/>
      <c r="Z442" s="17"/>
    </row>
    <row r="443" customFormat="false" ht="15" hidden="false" customHeight="false" outlineLevel="0" collapsed="false">
      <c r="A443" s="17"/>
      <c r="B443" s="17"/>
      <c r="C443" s="17"/>
      <c r="D443" s="17"/>
      <c r="E443" s="42"/>
      <c r="F443" s="17"/>
      <c r="G443" s="17"/>
      <c r="H443" s="17"/>
      <c r="I443" s="49" t="str">
        <f aca="false">IF(H443="","",IFERROR(INDEX(Settings!$G$2:$G$4,MATCH(H443,Settings!$F$2:$F$4,0)),""))</f>
        <v/>
      </c>
      <c r="J443" s="40"/>
      <c r="K443" s="50"/>
      <c r="L443" s="17"/>
      <c r="M443" s="40"/>
      <c r="N443" s="40"/>
      <c r="O443" s="45" t="str">
        <f aca="false">IF(N443="","",WORKDAY(N443,Settings!$S$4))</f>
        <v/>
      </c>
      <c r="P443" s="17"/>
      <c r="Q443" s="44" t="str">
        <f aca="true">IF(C443="","",IF(P443="Backed out",IF(S443="Paid","Refunded – closed",IF(R443="","Refund – log reason first","Refund in progress")),IF(K443="","Awaiting payment",IF(N443="",IF(M443="","Schedule free video","Free video in production"),IF(P443="Approved","Active",IF(TODAY()&gt;O443,"Active – plan went ahead","Decision pending – "&amp;NETWORKDAYS(TODAY(),O443)&amp;" working day(s) left"))))))</f>
        <v/>
      </c>
      <c r="R443" s="17"/>
      <c r="S443" s="17"/>
      <c r="T443" s="50"/>
      <c r="U443" s="40"/>
      <c r="V443" s="40"/>
      <c r="W443" s="45" t="str">
        <f aca="false">IF(V443="","",EDATE(V443,Settings!$S$6))</f>
        <v/>
      </c>
      <c r="X443" s="17"/>
      <c r="Y443" s="17"/>
      <c r="Z443" s="17"/>
    </row>
    <row r="444" customFormat="false" ht="15" hidden="false" customHeight="false" outlineLevel="0" collapsed="false">
      <c r="A444" s="17"/>
      <c r="B444" s="17"/>
      <c r="C444" s="17"/>
      <c r="D444" s="17"/>
      <c r="E444" s="42"/>
      <c r="F444" s="17"/>
      <c r="G444" s="17"/>
      <c r="H444" s="17"/>
      <c r="I444" s="49" t="str">
        <f aca="false">IF(H444="","",IFERROR(INDEX(Settings!$G$2:$G$4,MATCH(H444,Settings!$F$2:$F$4,0)),""))</f>
        <v/>
      </c>
      <c r="J444" s="40"/>
      <c r="K444" s="50"/>
      <c r="L444" s="17"/>
      <c r="M444" s="40"/>
      <c r="N444" s="40"/>
      <c r="O444" s="45" t="str">
        <f aca="false">IF(N444="","",WORKDAY(N444,Settings!$S$4))</f>
        <v/>
      </c>
      <c r="P444" s="17"/>
      <c r="Q444" s="44" t="str">
        <f aca="true">IF(C444="","",IF(P444="Backed out",IF(S444="Paid","Refunded – closed",IF(R444="","Refund – log reason first","Refund in progress")),IF(K444="","Awaiting payment",IF(N444="",IF(M444="","Schedule free video","Free video in production"),IF(P444="Approved","Active",IF(TODAY()&gt;O444,"Active – plan went ahead","Decision pending – "&amp;NETWORKDAYS(TODAY(),O444)&amp;" working day(s) left"))))))</f>
        <v/>
      </c>
      <c r="R444" s="17"/>
      <c r="S444" s="17"/>
      <c r="T444" s="50"/>
      <c r="U444" s="40"/>
      <c r="V444" s="40"/>
      <c r="W444" s="45" t="str">
        <f aca="false">IF(V444="","",EDATE(V444,Settings!$S$6))</f>
        <v/>
      </c>
      <c r="X444" s="17"/>
      <c r="Y444" s="17"/>
      <c r="Z444" s="17"/>
    </row>
    <row r="445" customFormat="false" ht="15" hidden="false" customHeight="false" outlineLevel="0" collapsed="false">
      <c r="A445" s="17"/>
      <c r="B445" s="17"/>
      <c r="C445" s="17"/>
      <c r="D445" s="17"/>
      <c r="E445" s="42"/>
      <c r="F445" s="17"/>
      <c r="G445" s="17"/>
      <c r="H445" s="17"/>
      <c r="I445" s="49" t="str">
        <f aca="false">IF(H445="","",IFERROR(INDEX(Settings!$G$2:$G$4,MATCH(H445,Settings!$F$2:$F$4,0)),""))</f>
        <v/>
      </c>
      <c r="J445" s="40"/>
      <c r="K445" s="50"/>
      <c r="L445" s="17"/>
      <c r="M445" s="40"/>
      <c r="N445" s="40"/>
      <c r="O445" s="45" t="str">
        <f aca="false">IF(N445="","",WORKDAY(N445,Settings!$S$4))</f>
        <v/>
      </c>
      <c r="P445" s="17"/>
      <c r="Q445" s="44" t="str">
        <f aca="true">IF(C445="","",IF(P445="Backed out",IF(S445="Paid","Refunded – closed",IF(R445="","Refund – log reason first","Refund in progress")),IF(K445="","Awaiting payment",IF(N445="",IF(M445="","Schedule free video","Free video in production"),IF(P445="Approved","Active",IF(TODAY()&gt;O445,"Active – plan went ahead","Decision pending – "&amp;NETWORKDAYS(TODAY(),O445)&amp;" working day(s) left"))))))</f>
        <v/>
      </c>
      <c r="R445" s="17"/>
      <c r="S445" s="17"/>
      <c r="T445" s="50"/>
      <c r="U445" s="40"/>
      <c r="V445" s="40"/>
      <c r="W445" s="45" t="str">
        <f aca="false">IF(V445="","",EDATE(V445,Settings!$S$6))</f>
        <v/>
      </c>
      <c r="X445" s="17"/>
      <c r="Y445" s="17"/>
      <c r="Z445" s="17"/>
    </row>
    <row r="446" customFormat="false" ht="15" hidden="false" customHeight="false" outlineLevel="0" collapsed="false">
      <c r="A446" s="17"/>
      <c r="B446" s="17"/>
      <c r="C446" s="17"/>
      <c r="D446" s="17"/>
      <c r="E446" s="42"/>
      <c r="F446" s="17"/>
      <c r="G446" s="17"/>
      <c r="H446" s="17"/>
      <c r="I446" s="49" t="str">
        <f aca="false">IF(H446="","",IFERROR(INDEX(Settings!$G$2:$G$4,MATCH(H446,Settings!$F$2:$F$4,0)),""))</f>
        <v/>
      </c>
      <c r="J446" s="40"/>
      <c r="K446" s="50"/>
      <c r="L446" s="17"/>
      <c r="M446" s="40"/>
      <c r="N446" s="40"/>
      <c r="O446" s="45" t="str">
        <f aca="false">IF(N446="","",WORKDAY(N446,Settings!$S$4))</f>
        <v/>
      </c>
      <c r="P446" s="17"/>
      <c r="Q446" s="44" t="str">
        <f aca="true">IF(C446="","",IF(P446="Backed out",IF(S446="Paid","Refunded – closed",IF(R446="","Refund – log reason first","Refund in progress")),IF(K446="","Awaiting payment",IF(N446="",IF(M446="","Schedule free video","Free video in production"),IF(P446="Approved","Active",IF(TODAY()&gt;O446,"Active – plan went ahead","Decision pending – "&amp;NETWORKDAYS(TODAY(),O446)&amp;" working day(s) left"))))))</f>
        <v/>
      </c>
      <c r="R446" s="17"/>
      <c r="S446" s="17"/>
      <c r="T446" s="50"/>
      <c r="U446" s="40"/>
      <c r="V446" s="40"/>
      <c r="W446" s="45" t="str">
        <f aca="false">IF(V446="","",EDATE(V446,Settings!$S$6))</f>
        <v/>
      </c>
      <c r="X446" s="17"/>
      <c r="Y446" s="17"/>
      <c r="Z446" s="17"/>
    </row>
    <row r="447" customFormat="false" ht="15" hidden="false" customHeight="false" outlineLevel="0" collapsed="false">
      <c r="A447" s="17"/>
      <c r="B447" s="17"/>
      <c r="C447" s="17"/>
      <c r="D447" s="17"/>
      <c r="E447" s="42"/>
      <c r="F447" s="17"/>
      <c r="G447" s="17"/>
      <c r="H447" s="17"/>
      <c r="I447" s="49" t="str">
        <f aca="false">IF(H447="","",IFERROR(INDEX(Settings!$G$2:$G$4,MATCH(H447,Settings!$F$2:$F$4,0)),""))</f>
        <v/>
      </c>
      <c r="J447" s="40"/>
      <c r="K447" s="50"/>
      <c r="L447" s="17"/>
      <c r="M447" s="40"/>
      <c r="N447" s="40"/>
      <c r="O447" s="45" t="str">
        <f aca="false">IF(N447="","",WORKDAY(N447,Settings!$S$4))</f>
        <v/>
      </c>
      <c r="P447" s="17"/>
      <c r="Q447" s="44" t="str">
        <f aca="true">IF(C447="","",IF(P447="Backed out",IF(S447="Paid","Refunded – closed",IF(R447="","Refund – log reason first","Refund in progress")),IF(K447="","Awaiting payment",IF(N447="",IF(M447="","Schedule free video","Free video in production"),IF(P447="Approved","Active",IF(TODAY()&gt;O447,"Active – plan went ahead","Decision pending – "&amp;NETWORKDAYS(TODAY(),O447)&amp;" working day(s) left"))))))</f>
        <v/>
      </c>
      <c r="R447" s="17"/>
      <c r="S447" s="17"/>
      <c r="T447" s="50"/>
      <c r="U447" s="40"/>
      <c r="V447" s="40"/>
      <c r="W447" s="45" t="str">
        <f aca="false">IF(V447="","",EDATE(V447,Settings!$S$6))</f>
        <v/>
      </c>
      <c r="X447" s="17"/>
      <c r="Y447" s="17"/>
      <c r="Z447" s="17"/>
    </row>
    <row r="448" customFormat="false" ht="15" hidden="false" customHeight="false" outlineLevel="0" collapsed="false">
      <c r="A448" s="17"/>
      <c r="B448" s="17"/>
      <c r="C448" s="17"/>
      <c r="D448" s="17"/>
      <c r="E448" s="42"/>
      <c r="F448" s="17"/>
      <c r="G448" s="17"/>
      <c r="H448" s="17"/>
      <c r="I448" s="49" t="str">
        <f aca="false">IF(H448="","",IFERROR(INDEX(Settings!$G$2:$G$4,MATCH(H448,Settings!$F$2:$F$4,0)),""))</f>
        <v/>
      </c>
      <c r="J448" s="40"/>
      <c r="K448" s="50"/>
      <c r="L448" s="17"/>
      <c r="M448" s="40"/>
      <c r="N448" s="40"/>
      <c r="O448" s="45" t="str">
        <f aca="false">IF(N448="","",WORKDAY(N448,Settings!$S$4))</f>
        <v/>
      </c>
      <c r="P448" s="17"/>
      <c r="Q448" s="44" t="str">
        <f aca="true">IF(C448="","",IF(P448="Backed out",IF(S448="Paid","Refunded – closed",IF(R448="","Refund – log reason first","Refund in progress")),IF(K448="","Awaiting payment",IF(N448="",IF(M448="","Schedule free video","Free video in production"),IF(P448="Approved","Active",IF(TODAY()&gt;O448,"Active – plan went ahead","Decision pending – "&amp;NETWORKDAYS(TODAY(),O448)&amp;" working day(s) left"))))))</f>
        <v/>
      </c>
      <c r="R448" s="17"/>
      <c r="S448" s="17"/>
      <c r="T448" s="50"/>
      <c r="U448" s="40"/>
      <c r="V448" s="40"/>
      <c r="W448" s="45" t="str">
        <f aca="false">IF(V448="","",EDATE(V448,Settings!$S$6))</f>
        <v/>
      </c>
      <c r="X448" s="17"/>
      <c r="Y448" s="17"/>
      <c r="Z448" s="17"/>
    </row>
    <row r="449" customFormat="false" ht="15" hidden="false" customHeight="false" outlineLevel="0" collapsed="false">
      <c r="A449" s="17"/>
      <c r="B449" s="17"/>
      <c r="C449" s="17"/>
      <c r="D449" s="17"/>
      <c r="E449" s="42"/>
      <c r="F449" s="17"/>
      <c r="G449" s="17"/>
      <c r="H449" s="17"/>
      <c r="I449" s="49" t="str">
        <f aca="false">IF(H449="","",IFERROR(INDEX(Settings!$G$2:$G$4,MATCH(H449,Settings!$F$2:$F$4,0)),""))</f>
        <v/>
      </c>
      <c r="J449" s="40"/>
      <c r="K449" s="50"/>
      <c r="L449" s="17"/>
      <c r="M449" s="40"/>
      <c r="N449" s="40"/>
      <c r="O449" s="45" t="str">
        <f aca="false">IF(N449="","",WORKDAY(N449,Settings!$S$4))</f>
        <v/>
      </c>
      <c r="P449" s="17"/>
      <c r="Q449" s="44" t="str">
        <f aca="true">IF(C449="","",IF(P449="Backed out",IF(S449="Paid","Refunded – closed",IF(R449="","Refund – log reason first","Refund in progress")),IF(K449="","Awaiting payment",IF(N449="",IF(M449="","Schedule free video","Free video in production"),IF(P449="Approved","Active",IF(TODAY()&gt;O449,"Active – plan went ahead","Decision pending – "&amp;NETWORKDAYS(TODAY(),O449)&amp;" working day(s) left"))))))</f>
        <v/>
      </c>
      <c r="R449" s="17"/>
      <c r="S449" s="17"/>
      <c r="T449" s="50"/>
      <c r="U449" s="40"/>
      <c r="V449" s="40"/>
      <c r="W449" s="45" t="str">
        <f aca="false">IF(V449="","",EDATE(V449,Settings!$S$6))</f>
        <v/>
      </c>
      <c r="X449" s="17"/>
      <c r="Y449" s="17"/>
      <c r="Z449" s="17"/>
    </row>
    <row r="450" customFormat="false" ht="15" hidden="false" customHeight="false" outlineLevel="0" collapsed="false">
      <c r="A450" s="17"/>
      <c r="B450" s="17"/>
      <c r="C450" s="17"/>
      <c r="D450" s="17"/>
      <c r="E450" s="42"/>
      <c r="F450" s="17"/>
      <c r="G450" s="17"/>
      <c r="H450" s="17"/>
      <c r="I450" s="49" t="str">
        <f aca="false">IF(H450="","",IFERROR(INDEX(Settings!$G$2:$G$4,MATCH(H450,Settings!$F$2:$F$4,0)),""))</f>
        <v/>
      </c>
      <c r="J450" s="40"/>
      <c r="K450" s="50"/>
      <c r="L450" s="17"/>
      <c r="M450" s="40"/>
      <c r="N450" s="40"/>
      <c r="O450" s="45" t="str">
        <f aca="false">IF(N450="","",WORKDAY(N450,Settings!$S$4))</f>
        <v/>
      </c>
      <c r="P450" s="17"/>
      <c r="Q450" s="44" t="str">
        <f aca="true">IF(C450="","",IF(P450="Backed out",IF(S450="Paid","Refunded – closed",IF(R450="","Refund – log reason first","Refund in progress")),IF(K450="","Awaiting payment",IF(N450="",IF(M450="","Schedule free video","Free video in production"),IF(P450="Approved","Active",IF(TODAY()&gt;O450,"Active – plan went ahead","Decision pending – "&amp;NETWORKDAYS(TODAY(),O450)&amp;" working day(s) left"))))))</f>
        <v/>
      </c>
      <c r="R450" s="17"/>
      <c r="S450" s="17"/>
      <c r="T450" s="50"/>
      <c r="U450" s="40"/>
      <c r="V450" s="40"/>
      <c r="W450" s="45" t="str">
        <f aca="false">IF(V450="","",EDATE(V450,Settings!$S$6))</f>
        <v/>
      </c>
      <c r="X450" s="17"/>
      <c r="Y450" s="17"/>
      <c r="Z450" s="17"/>
    </row>
    <row r="451" customFormat="false" ht="15" hidden="false" customHeight="false" outlineLevel="0" collapsed="false">
      <c r="A451" s="17"/>
      <c r="B451" s="17"/>
      <c r="C451" s="17"/>
      <c r="D451" s="17"/>
      <c r="E451" s="42"/>
      <c r="F451" s="17"/>
      <c r="G451" s="17"/>
      <c r="H451" s="17"/>
      <c r="I451" s="49" t="str">
        <f aca="false">IF(H451="","",IFERROR(INDEX(Settings!$G$2:$G$4,MATCH(H451,Settings!$F$2:$F$4,0)),""))</f>
        <v/>
      </c>
      <c r="J451" s="40"/>
      <c r="K451" s="50"/>
      <c r="L451" s="17"/>
      <c r="M451" s="40"/>
      <c r="N451" s="40"/>
      <c r="O451" s="45" t="str">
        <f aca="false">IF(N451="","",WORKDAY(N451,Settings!$S$4))</f>
        <v/>
      </c>
      <c r="P451" s="17"/>
      <c r="Q451" s="44" t="str">
        <f aca="true">IF(C451="","",IF(P451="Backed out",IF(S451="Paid","Refunded – closed",IF(R451="","Refund – log reason first","Refund in progress")),IF(K451="","Awaiting payment",IF(N451="",IF(M451="","Schedule free video","Free video in production"),IF(P451="Approved","Active",IF(TODAY()&gt;O451,"Active – plan went ahead","Decision pending – "&amp;NETWORKDAYS(TODAY(),O451)&amp;" working day(s) left"))))))</f>
        <v/>
      </c>
      <c r="R451" s="17"/>
      <c r="S451" s="17"/>
      <c r="T451" s="50"/>
      <c r="U451" s="40"/>
      <c r="V451" s="40"/>
      <c r="W451" s="45" t="str">
        <f aca="false">IF(V451="","",EDATE(V451,Settings!$S$6))</f>
        <v/>
      </c>
      <c r="X451" s="17"/>
      <c r="Y451" s="17"/>
      <c r="Z451" s="17"/>
    </row>
    <row r="452" customFormat="false" ht="15" hidden="false" customHeight="false" outlineLevel="0" collapsed="false">
      <c r="A452" s="17"/>
      <c r="B452" s="17"/>
      <c r="C452" s="17"/>
      <c r="D452" s="17"/>
      <c r="E452" s="42"/>
      <c r="F452" s="17"/>
      <c r="G452" s="17"/>
      <c r="H452" s="17"/>
      <c r="I452" s="49" t="str">
        <f aca="false">IF(H452="","",IFERROR(INDEX(Settings!$G$2:$G$4,MATCH(H452,Settings!$F$2:$F$4,0)),""))</f>
        <v/>
      </c>
      <c r="J452" s="40"/>
      <c r="K452" s="50"/>
      <c r="L452" s="17"/>
      <c r="M452" s="40"/>
      <c r="N452" s="40"/>
      <c r="O452" s="45" t="str">
        <f aca="false">IF(N452="","",WORKDAY(N452,Settings!$S$4))</f>
        <v/>
      </c>
      <c r="P452" s="17"/>
      <c r="Q452" s="44" t="str">
        <f aca="true">IF(C452="","",IF(P452="Backed out",IF(S452="Paid","Refunded – closed",IF(R452="","Refund – log reason first","Refund in progress")),IF(K452="","Awaiting payment",IF(N452="",IF(M452="","Schedule free video","Free video in production"),IF(P452="Approved","Active",IF(TODAY()&gt;O452,"Active – plan went ahead","Decision pending – "&amp;NETWORKDAYS(TODAY(),O452)&amp;" working day(s) left"))))))</f>
        <v/>
      </c>
      <c r="R452" s="17"/>
      <c r="S452" s="17"/>
      <c r="T452" s="50"/>
      <c r="U452" s="40"/>
      <c r="V452" s="40"/>
      <c r="W452" s="45" t="str">
        <f aca="false">IF(V452="","",EDATE(V452,Settings!$S$6))</f>
        <v/>
      </c>
      <c r="X452" s="17"/>
      <c r="Y452" s="17"/>
      <c r="Z452" s="17"/>
    </row>
    <row r="453" customFormat="false" ht="15" hidden="false" customHeight="false" outlineLevel="0" collapsed="false">
      <c r="A453" s="17"/>
      <c r="B453" s="17"/>
      <c r="C453" s="17"/>
      <c r="D453" s="17"/>
      <c r="E453" s="42"/>
      <c r="F453" s="17"/>
      <c r="G453" s="17"/>
      <c r="H453" s="17"/>
      <c r="I453" s="49" t="str">
        <f aca="false">IF(H453="","",IFERROR(INDEX(Settings!$G$2:$G$4,MATCH(H453,Settings!$F$2:$F$4,0)),""))</f>
        <v/>
      </c>
      <c r="J453" s="40"/>
      <c r="K453" s="50"/>
      <c r="L453" s="17"/>
      <c r="M453" s="40"/>
      <c r="N453" s="40"/>
      <c r="O453" s="45" t="str">
        <f aca="false">IF(N453="","",WORKDAY(N453,Settings!$S$4))</f>
        <v/>
      </c>
      <c r="P453" s="17"/>
      <c r="Q453" s="44" t="str">
        <f aca="true">IF(C453="","",IF(P453="Backed out",IF(S453="Paid","Refunded – closed",IF(R453="","Refund – log reason first","Refund in progress")),IF(K453="","Awaiting payment",IF(N453="",IF(M453="","Schedule free video","Free video in production"),IF(P453="Approved","Active",IF(TODAY()&gt;O453,"Active – plan went ahead","Decision pending – "&amp;NETWORKDAYS(TODAY(),O453)&amp;" working day(s) left"))))))</f>
        <v/>
      </c>
      <c r="R453" s="17"/>
      <c r="S453" s="17"/>
      <c r="T453" s="50"/>
      <c r="U453" s="40"/>
      <c r="V453" s="40"/>
      <c r="W453" s="45" t="str">
        <f aca="false">IF(V453="","",EDATE(V453,Settings!$S$6))</f>
        <v/>
      </c>
      <c r="X453" s="17"/>
      <c r="Y453" s="17"/>
      <c r="Z453" s="17"/>
    </row>
    <row r="454" customFormat="false" ht="15" hidden="false" customHeight="false" outlineLevel="0" collapsed="false">
      <c r="A454" s="17"/>
      <c r="B454" s="17"/>
      <c r="C454" s="17"/>
      <c r="D454" s="17"/>
      <c r="E454" s="42"/>
      <c r="F454" s="17"/>
      <c r="G454" s="17"/>
      <c r="H454" s="17"/>
      <c r="I454" s="49" t="str">
        <f aca="false">IF(H454="","",IFERROR(INDEX(Settings!$G$2:$G$4,MATCH(H454,Settings!$F$2:$F$4,0)),""))</f>
        <v/>
      </c>
      <c r="J454" s="40"/>
      <c r="K454" s="50"/>
      <c r="L454" s="17"/>
      <c r="M454" s="40"/>
      <c r="N454" s="40"/>
      <c r="O454" s="45" t="str">
        <f aca="false">IF(N454="","",WORKDAY(N454,Settings!$S$4))</f>
        <v/>
      </c>
      <c r="P454" s="17"/>
      <c r="Q454" s="44" t="str">
        <f aca="true">IF(C454="","",IF(P454="Backed out",IF(S454="Paid","Refunded – closed",IF(R454="","Refund – log reason first","Refund in progress")),IF(K454="","Awaiting payment",IF(N454="",IF(M454="","Schedule free video","Free video in production"),IF(P454="Approved","Active",IF(TODAY()&gt;O454,"Active – plan went ahead","Decision pending – "&amp;NETWORKDAYS(TODAY(),O454)&amp;" working day(s) left"))))))</f>
        <v/>
      </c>
      <c r="R454" s="17"/>
      <c r="S454" s="17"/>
      <c r="T454" s="50"/>
      <c r="U454" s="40"/>
      <c r="V454" s="40"/>
      <c r="W454" s="45" t="str">
        <f aca="false">IF(V454="","",EDATE(V454,Settings!$S$6))</f>
        <v/>
      </c>
      <c r="X454" s="17"/>
      <c r="Y454" s="17"/>
      <c r="Z454" s="17"/>
    </row>
    <row r="455" customFormat="false" ht="15" hidden="false" customHeight="false" outlineLevel="0" collapsed="false">
      <c r="A455" s="17"/>
      <c r="B455" s="17"/>
      <c r="C455" s="17"/>
      <c r="D455" s="17"/>
      <c r="E455" s="42"/>
      <c r="F455" s="17"/>
      <c r="G455" s="17"/>
      <c r="H455" s="17"/>
      <c r="I455" s="49" t="str">
        <f aca="false">IF(H455="","",IFERROR(INDEX(Settings!$G$2:$G$4,MATCH(H455,Settings!$F$2:$F$4,0)),""))</f>
        <v/>
      </c>
      <c r="J455" s="40"/>
      <c r="K455" s="50"/>
      <c r="L455" s="17"/>
      <c r="M455" s="40"/>
      <c r="N455" s="40"/>
      <c r="O455" s="45" t="str">
        <f aca="false">IF(N455="","",WORKDAY(N455,Settings!$S$4))</f>
        <v/>
      </c>
      <c r="P455" s="17"/>
      <c r="Q455" s="44" t="str">
        <f aca="true">IF(C455="","",IF(P455="Backed out",IF(S455="Paid","Refunded – closed",IF(R455="","Refund – log reason first","Refund in progress")),IF(K455="","Awaiting payment",IF(N455="",IF(M455="","Schedule free video","Free video in production"),IF(P455="Approved","Active",IF(TODAY()&gt;O455,"Active – plan went ahead","Decision pending – "&amp;NETWORKDAYS(TODAY(),O455)&amp;" working day(s) left"))))))</f>
        <v/>
      </c>
      <c r="R455" s="17"/>
      <c r="S455" s="17"/>
      <c r="T455" s="50"/>
      <c r="U455" s="40"/>
      <c r="V455" s="40"/>
      <c r="W455" s="45" t="str">
        <f aca="false">IF(V455="","",EDATE(V455,Settings!$S$6))</f>
        <v/>
      </c>
      <c r="X455" s="17"/>
      <c r="Y455" s="17"/>
      <c r="Z455" s="17"/>
    </row>
    <row r="456" customFormat="false" ht="15" hidden="false" customHeight="false" outlineLevel="0" collapsed="false">
      <c r="A456" s="17"/>
      <c r="B456" s="17"/>
      <c r="C456" s="17"/>
      <c r="D456" s="17"/>
      <c r="E456" s="42"/>
      <c r="F456" s="17"/>
      <c r="G456" s="17"/>
      <c r="H456" s="17"/>
      <c r="I456" s="49" t="str">
        <f aca="false">IF(H456="","",IFERROR(INDEX(Settings!$G$2:$G$4,MATCH(H456,Settings!$F$2:$F$4,0)),""))</f>
        <v/>
      </c>
      <c r="J456" s="40"/>
      <c r="K456" s="50"/>
      <c r="L456" s="17"/>
      <c r="M456" s="40"/>
      <c r="N456" s="40"/>
      <c r="O456" s="45" t="str">
        <f aca="false">IF(N456="","",WORKDAY(N456,Settings!$S$4))</f>
        <v/>
      </c>
      <c r="P456" s="17"/>
      <c r="Q456" s="44" t="str">
        <f aca="true">IF(C456="","",IF(P456="Backed out",IF(S456="Paid","Refunded – closed",IF(R456="","Refund – log reason first","Refund in progress")),IF(K456="","Awaiting payment",IF(N456="",IF(M456="","Schedule free video","Free video in production"),IF(P456="Approved","Active",IF(TODAY()&gt;O456,"Active – plan went ahead","Decision pending – "&amp;NETWORKDAYS(TODAY(),O456)&amp;" working day(s) left"))))))</f>
        <v/>
      </c>
      <c r="R456" s="17"/>
      <c r="S456" s="17"/>
      <c r="T456" s="50"/>
      <c r="U456" s="40"/>
      <c r="V456" s="40"/>
      <c r="W456" s="45" t="str">
        <f aca="false">IF(V456="","",EDATE(V456,Settings!$S$6))</f>
        <v/>
      </c>
      <c r="X456" s="17"/>
      <c r="Y456" s="17"/>
      <c r="Z456" s="17"/>
    </row>
    <row r="457" customFormat="false" ht="15" hidden="false" customHeight="false" outlineLevel="0" collapsed="false">
      <c r="A457" s="17"/>
      <c r="B457" s="17"/>
      <c r="C457" s="17"/>
      <c r="D457" s="17"/>
      <c r="E457" s="42"/>
      <c r="F457" s="17"/>
      <c r="G457" s="17"/>
      <c r="H457" s="17"/>
      <c r="I457" s="49" t="str">
        <f aca="false">IF(H457="","",IFERROR(INDEX(Settings!$G$2:$G$4,MATCH(H457,Settings!$F$2:$F$4,0)),""))</f>
        <v/>
      </c>
      <c r="J457" s="40"/>
      <c r="K457" s="50"/>
      <c r="L457" s="17"/>
      <c r="M457" s="40"/>
      <c r="N457" s="40"/>
      <c r="O457" s="45" t="str">
        <f aca="false">IF(N457="","",WORKDAY(N457,Settings!$S$4))</f>
        <v/>
      </c>
      <c r="P457" s="17"/>
      <c r="Q457" s="44" t="str">
        <f aca="true">IF(C457="","",IF(P457="Backed out",IF(S457="Paid","Refunded – closed",IF(R457="","Refund – log reason first","Refund in progress")),IF(K457="","Awaiting payment",IF(N457="",IF(M457="","Schedule free video","Free video in production"),IF(P457="Approved","Active",IF(TODAY()&gt;O457,"Active – plan went ahead","Decision pending – "&amp;NETWORKDAYS(TODAY(),O457)&amp;" working day(s) left"))))))</f>
        <v/>
      </c>
      <c r="R457" s="17"/>
      <c r="S457" s="17"/>
      <c r="T457" s="50"/>
      <c r="U457" s="40"/>
      <c r="V457" s="40"/>
      <c r="W457" s="45" t="str">
        <f aca="false">IF(V457="","",EDATE(V457,Settings!$S$6))</f>
        <v/>
      </c>
      <c r="X457" s="17"/>
      <c r="Y457" s="17"/>
      <c r="Z457" s="17"/>
    </row>
    <row r="458" customFormat="false" ht="15" hidden="false" customHeight="false" outlineLevel="0" collapsed="false">
      <c r="A458" s="17"/>
      <c r="B458" s="17"/>
      <c r="C458" s="17"/>
      <c r="D458" s="17"/>
      <c r="E458" s="42"/>
      <c r="F458" s="17"/>
      <c r="G458" s="17"/>
      <c r="H458" s="17"/>
      <c r="I458" s="49" t="str">
        <f aca="false">IF(H458="","",IFERROR(INDEX(Settings!$G$2:$G$4,MATCH(H458,Settings!$F$2:$F$4,0)),""))</f>
        <v/>
      </c>
      <c r="J458" s="40"/>
      <c r="K458" s="50"/>
      <c r="L458" s="17"/>
      <c r="M458" s="40"/>
      <c r="N458" s="40"/>
      <c r="O458" s="45" t="str">
        <f aca="false">IF(N458="","",WORKDAY(N458,Settings!$S$4))</f>
        <v/>
      </c>
      <c r="P458" s="17"/>
      <c r="Q458" s="44" t="str">
        <f aca="true">IF(C458="","",IF(P458="Backed out",IF(S458="Paid","Refunded – closed",IF(R458="","Refund – log reason first","Refund in progress")),IF(K458="","Awaiting payment",IF(N458="",IF(M458="","Schedule free video","Free video in production"),IF(P458="Approved","Active",IF(TODAY()&gt;O458,"Active – plan went ahead","Decision pending – "&amp;NETWORKDAYS(TODAY(),O458)&amp;" working day(s) left"))))))</f>
        <v/>
      </c>
      <c r="R458" s="17"/>
      <c r="S458" s="17"/>
      <c r="T458" s="50"/>
      <c r="U458" s="40"/>
      <c r="V458" s="40"/>
      <c r="W458" s="45" t="str">
        <f aca="false">IF(V458="","",EDATE(V458,Settings!$S$6))</f>
        <v/>
      </c>
      <c r="X458" s="17"/>
      <c r="Y458" s="17"/>
      <c r="Z458" s="17"/>
    </row>
    <row r="459" customFormat="false" ht="15" hidden="false" customHeight="false" outlineLevel="0" collapsed="false">
      <c r="A459" s="17"/>
      <c r="B459" s="17"/>
      <c r="C459" s="17"/>
      <c r="D459" s="17"/>
      <c r="E459" s="42"/>
      <c r="F459" s="17"/>
      <c r="G459" s="17"/>
      <c r="H459" s="17"/>
      <c r="I459" s="49" t="str">
        <f aca="false">IF(H459="","",IFERROR(INDEX(Settings!$G$2:$G$4,MATCH(H459,Settings!$F$2:$F$4,0)),""))</f>
        <v/>
      </c>
      <c r="J459" s="40"/>
      <c r="K459" s="50"/>
      <c r="L459" s="17"/>
      <c r="M459" s="40"/>
      <c r="N459" s="40"/>
      <c r="O459" s="45" t="str">
        <f aca="false">IF(N459="","",WORKDAY(N459,Settings!$S$4))</f>
        <v/>
      </c>
      <c r="P459" s="17"/>
      <c r="Q459" s="44" t="str">
        <f aca="true">IF(C459="","",IF(P459="Backed out",IF(S459="Paid","Refunded – closed",IF(R459="","Refund – log reason first","Refund in progress")),IF(K459="","Awaiting payment",IF(N459="",IF(M459="","Schedule free video","Free video in production"),IF(P459="Approved","Active",IF(TODAY()&gt;O459,"Active – plan went ahead","Decision pending – "&amp;NETWORKDAYS(TODAY(),O459)&amp;" working day(s) left"))))))</f>
        <v/>
      </c>
      <c r="R459" s="17"/>
      <c r="S459" s="17"/>
      <c r="T459" s="50"/>
      <c r="U459" s="40"/>
      <c r="V459" s="40"/>
      <c r="W459" s="45" t="str">
        <f aca="false">IF(V459="","",EDATE(V459,Settings!$S$6))</f>
        <v/>
      </c>
      <c r="X459" s="17"/>
      <c r="Y459" s="17"/>
      <c r="Z459" s="17"/>
    </row>
    <row r="460" customFormat="false" ht="15" hidden="false" customHeight="false" outlineLevel="0" collapsed="false">
      <c r="A460" s="17"/>
      <c r="B460" s="17"/>
      <c r="C460" s="17"/>
      <c r="D460" s="17"/>
      <c r="E460" s="42"/>
      <c r="F460" s="17"/>
      <c r="G460" s="17"/>
      <c r="H460" s="17"/>
      <c r="I460" s="49" t="str">
        <f aca="false">IF(H460="","",IFERROR(INDEX(Settings!$G$2:$G$4,MATCH(H460,Settings!$F$2:$F$4,0)),""))</f>
        <v/>
      </c>
      <c r="J460" s="40"/>
      <c r="K460" s="50"/>
      <c r="L460" s="17"/>
      <c r="M460" s="40"/>
      <c r="N460" s="40"/>
      <c r="O460" s="45" t="str">
        <f aca="false">IF(N460="","",WORKDAY(N460,Settings!$S$4))</f>
        <v/>
      </c>
      <c r="P460" s="17"/>
      <c r="Q460" s="44" t="str">
        <f aca="true">IF(C460="","",IF(P460="Backed out",IF(S460="Paid","Refunded – closed",IF(R460="","Refund – log reason first","Refund in progress")),IF(K460="","Awaiting payment",IF(N460="",IF(M460="","Schedule free video","Free video in production"),IF(P460="Approved","Active",IF(TODAY()&gt;O460,"Active – plan went ahead","Decision pending – "&amp;NETWORKDAYS(TODAY(),O460)&amp;" working day(s) left"))))))</f>
        <v/>
      </c>
      <c r="R460" s="17"/>
      <c r="S460" s="17"/>
      <c r="T460" s="50"/>
      <c r="U460" s="40"/>
      <c r="V460" s="40"/>
      <c r="W460" s="45" t="str">
        <f aca="false">IF(V460="","",EDATE(V460,Settings!$S$6))</f>
        <v/>
      </c>
      <c r="X460" s="17"/>
      <c r="Y460" s="17"/>
      <c r="Z460" s="17"/>
    </row>
    <row r="461" customFormat="false" ht="15" hidden="false" customHeight="false" outlineLevel="0" collapsed="false">
      <c r="A461" s="17"/>
      <c r="B461" s="17"/>
      <c r="C461" s="17"/>
      <c r="D461" s="17"/>
      <c r="E461" s="42"/>
      <c r="F461" s="17"/>
      <c r="G461" s="17"/>
      <c r="H461" s="17"/>
      <c r="I461" s="49" t="str">
        <f aca="false">IF(H461="","",IFERROR(INDEX(Settings!$G$2:$G$4,MATCH(H461,Settings!$F$2:$F$4,0)),""))</f>
        <v/>
      </c>
      <c r="J461" s="40"/>
      <c r="K461" s="50"/>
      <c r="L461" s="17"/>
      <c r="M461" s="40"/>
      <c r="N461" s="40"/>
      <c r="O461" s="45" t="str">
        <f aca="false">IF(N461="","",WORKDAY(N461,Settings!$S$4))</f>
        <v/>
      </c>
      <c r="P461" s="17"/>
      <c r="Q461" s="44" t="str">
        <f aca="true">IF(C461="","",IF(P461="Backed out",IF(S461="Paid","Refunded – closed",IF(R461="","Refund – log reason first","Refund in progress")),IF(K461="","Awaiting payment",IF(N461="",IF(M461="","Schedule free video","Free video in production"),IF(P461="Approved","Active",IF(TODAY()&gt;O461,"Active – plan went ahead","Decision pending – "&amp;NETWORKDAYS(TODAY(),O461)&amp;" working day(s) left"))))))</f>
        <v/>
      </c>
      <c r="R461" s="17"/>
      <c r="S461" s="17"/>
      <c r="T461" s="50"/>
      <c r="U461" s="40"/>
      <c r="V461" s="40"/>
      <c r="W461" s="45" t="str">
        <f aca="false">IF(V461="","",EDATE(V461,Settings!$S$6))</f>
        <v/>
      </c>
      <c r="X461" s="17"/>
      <c r="Y461" s="17"/>
      <c r="Z461" s="17"/>
    </row>
    <row r="462" customFormat="false" ht="15" hidden="false" customHeight="false" outlineLevel="0" collapsed="false">
      <c r="A462" s="17"/>
      <c r="B462" s="17"/>
      <c r="C462" s="17"/>
      <c r="D462" s="17"/>
      <c r="E462" s="42"/>
      <c r="F462" s="17"/>
      <c r="G462" s="17"/>
      <c r="H462" s="17"/>
      <c r="I462" s="49" t="str">
        <f aca="false">IF(H462="","",IFERROR(INDEX(Settings!$G$2:$G$4,MATCH(H462,Settings!$F$2:$F$4,0)),""))</f>
        <v/>
      </c>
      <c r="J462" s="40"/>
      <c r="K462" s="50"/>
      <c r="L462" s="17"/>
      <c r="M462" s="40"/>
      <c r="N462" s="40"/>
      <c r="O462" s="45" t="str">
        <f aca="false">IF(N462="","",WORKDAY(N462,Settings!$S$4))</f>
        <v/>
      </c>
      <c r="P462" s="17"/>
      <c r="Q462" s="44" t="str">
        <f aca="true">IF(C462="","",IF(P462="Backed out",IF(S462="Paid","Refunded – closed",IF(R462="","Refund – log reason first","Refund in progress")),IF(K462="","Awaiting payment",IF(N462="",IF(M462="","Schedule free video","Free video in production"),IF(P462="Approved","Active",IF(TODAY()&gt;O462,"Active – plan went ahead","Decision pending – "&amp;NETWORKDAYS(TODAY(),O462)&amp;" working day(s) left"))))))</f>
        <v/>
      </c>
      <c r="R462" s="17"/>
      <c r="S462" s="17"/>
      <c r="T462" s="50"/>
      <c r="U462" s="40"/>
      <c r="V462" s="40"/>
      <c r="W462" s="45" t="str">
        <f aca="false">IF(V462="","",EDATE(V462,Settings!$S$6))</f>
        <v/>
      </c>
      <c r="X462" s="17"/>
      <c r="Y462" s="17"/>
      <c r="Z462" s="17"/>
    </row>
    <row r="463" customFormat="false" ht="15" hidden="false" customHeight="false" outlineLevel="0" collapsed="false">
      <c r="A463" s="17"/>
      <c r="B463" s="17"/>
      <c r="C463" s="17"/>
      <c r="D463" s="17"/>
      <c r="E463" s="42"/>
      <c r="F463" s="17"/>
      <c r="G463" s="17"/>
      <c r="H463" s="17"/>
      <c r="I463" s="49" t="str">
        <f aca="false">IF(H463="","",IFERROR(INDEX(Settings!$G$2:$G$4,MATCH(H463,Settings!$F$2:$F$4,0)),""))</f>
        <v/>
      </c>
      <c r="J463" s="40"/>
      <c r="K463" s="50"/>
      <c r="L463" s="17"/>
      <c r="M463" s="40"/>
      <c r="N463" s="40"/>
      <c r="O463" s="45" t="str">
        <f aca="false">IF(N463="","",WORKDAY(N463,Settings!$S$4))</f>
        <v/>
      </c>
      <c r="P463" s="17"/>
      <c r="Q463" s="44" t="str">
        <f aca="true">IF(C463="","",IF(P463="Backed out",IF(S463="Paid","Refunded – closed",IF(R463="","Refund – log reason first","Refund in progress")),IF(K463="","Awaiting payment",IF(N463="",IF(M463="","Schedule free video","Free video in production"),IF(P463="Approved","Active",IF(TODAY()&gt;O463,"Active – plan went ahead","Decision pending – "&amp;NETWORKDAYS(TODAY(),O463)&amp;" working day(s) left"))))))</f>
        <v/>
      </c>
      <c r="R463" s="17"/>
      <c r="S463" s="17"/>
      <c r="T463" s="50"/>
      <c r="U463" s="40"/>
      <c r="V463" s="40"/>
      <c r="W463" s="45" t="str">
        <f aca="false">IF(V463="","",EDATE(V463,Settings!$S$6))</f>
        <v/>
      </c>
      <c r="X463" s="17"/>
      <c r="Y463" s="17"/>
      <c r="Z463" s="17"/>
    </row>
    <row r="464" customFormat="false" ht="15" hidden="false" customHeight="false" outlineLevel="0" collapsed="false">
      <c r="A464" s="17"/>
      <c r="B464" s="17"/>
      <c r="C464" s="17"/>
      <c r="D464" s="17"/>
      <c r="E464" s="42"/>
      <c r="F464" s="17"/>
      <c r="G464" s="17"/>
      <c r="H464" s="17"/>
      <c r="I464" s="49" t="str">
        <f aca="false">IF(H464="","",IFERROR(INDEX(Settings!$G$2:$G$4,MATCH(H464,Settings!$F$2:$F$4,0)),""))</f>
        <v/>
      </c>
      <c r="J464" s="40"/>
      <c r="K464" s="50"/>
      <c r="L464" s="17"/>
      <c r="M464" s="40"/>
      <c r="N464" s="40"/>
      <c r="O464" s="45" t="str">
        <f aca="false">IF(N464="","",WORKDAY(N464,Settings!$S$4))</f>
        <v/>
      </c>
      <c r="P464" s="17"/>
      <c r="Q464" s="44" t="str">
        <f aca="true">IF(C464="","",IF(P464="Backed out",IF(S464="Paid","Refunded – closed",IF(R464="","Refund – log reason first","Refund in progress")),IF(K464="","Awaiting payment",IF(N464="",IF(M464="","Schedule free video","Free video in production"),IF(P464="Approved","Active",IF(TODAY()&gt;O464,"Active – plan went ahead","Decision pending – "&amp;NETWORKDAYS(TODAY(),O464)&amp;" working day(s) left"))))))</f>
        <v/>
      </c>
      <c r="R464" s="17"/>
      <c r="S464" s="17"/>
      <c r="T464" s="50"/>
      <c r="U464" s="40"/>
      <c r="V464" s="40"/>
      <c r="W464" s="45" t="str">
        <f aca="false">IF(V464="","",EDATE(V464,Settings!$S$6))</f>
        <v/>
      </c>
      <c r="X464" s="17"/>
      <c r="Y464" s="17"/>
      <c r="Z464" s="17"/>
    </row>
    <row r="465" customFormat="false" ht="15" hidden="false" customHeight="false" outlineLevel="0" collapsed="false">
      <c r="A465" s="17"/>
      <c r="B465" s="17"/>
      <c r="C465" s="17"/>
      <c r="D465" s="17"/>
      <c r="E465" s="42"/>
      <c r="F465" s="17"/>
      <c r="G465" s="17"/>
      <c r="H465" s="17"/>
      <c r="I465" s="49" t="str">
        <f aca="false">IF(H465="","",IFERROR(INDEX(Settings!$G$2:$G$4,MATCH(H465,Settings!$F$2:$F$4,0)),""))</f>
        <v/>
      </c>
      <c r="J465" s="40"/>
      <c r="K465" s="50"/>
      <c r="L465" s="17"/>
      <c r="M465" s="40"/>
      <c r="N465" s="40"/>
      <c r="O465" s="45" t="str">
        <f aca="false">IF(N465="","",WORKDAY(N465,Settings!$S$4))</f>
        <v/>
      </c>
      <c r="P465" s="17"/>
      <c r="Q465" s="44" t="str">
        <f aca="true">IF(C465="","",IF(P465="Backed out",IF(S465="Paid","Refunded – closed",IF(R465="","Refund – log reason first","Refund in progress")),IF(K465="","Awaiting payment",IF(N465="",IF(M465="","Schedule free video","Free video in production"),IF(P465="Approved","Active",IF(TODAY()&gt;O465,"Active – plan went ahead","Decision pending – "&amp;NETWORKDAYS(TODAY(),O465)&amp;" working day(s) left"))))))</f>
        <v/>
      </c>
      <c r="R465" s="17"/>
      <c r="S465" s="17"/>
      <c r="T465" s="50"/>
      <c r="U465" s="40"/>
      <c r="V465" s="40"/>
      <c r="W465" s="45" t="str">
        <f aca="false">IF(V465="","",EDATE(V465,Settings!$S$6))</f>
        <v/>
      </c>
      <c r="X465" s="17"/>
      <c r="Y465" s="17"/>
      <c r="Z465" s="17"/>
    </row>
    <row r="466" customFormat="false" ht="15" hidden="false" customHeight="false" outlineLevel="0" collapsed="false">
      <c r="A466" s="17"/>
      <c r="B466" s="17"/>
      <c r="C466" s="17"/>
      <c r="D466" s="17"/>
      <c r="E466" s="42"/>
      <c r="F466" s="17"/>
      <c r="G466" s="17"/>
      <c r="H466" s="17"/>
      <c r="I466" s="49" t="str">
        <f aca="false">IF(H466="","",IFERROR(INDEX(Settings!$G$2:$G$4,MATCH(H466,Settings!$F$2:$F$4,0)),""))</f>
        <v/>
      </c>
      <c r="J466" s="40"/>
      <c r="K466" s="50"/>
      <c r="L466" s="17"/>
      <c r="M466" s="40"/>
      <c r="N466" s="40"/>
      <c r="O466" s="45" t="str">
        <f aca="false">IF(N466="","",WORKDAY(N466,Settings!$S$4))</f>
        <v/>
      </c>
      <c r="P466" s="17"/>
      <c r="Q466" s="44" t="str">
        <f aca="true">IF(C466="","",IF(P466="Backed out",IF(S466="Paid","Refunded – closed",IF(R466="","Refund – log reason first","Refund in progress")),IF(K466="","Awaiting payment",IF(N466="",IF(M466="","Schedule free video","Free video in production"),IF(P466="Approved","Active",IF(TODAY()&gt;O466,"Active – plan went ahead","Decision pending – "&amp;NETWORKDAYS(TODAY(),O466)&amp;" working day(s) left"))))))</f>
        <v/>
      </c>
      <c r="R466" s="17"/>
      <c r="S466" s="17"/>
      <c r="T466" s="50"/>
      <c r="U466" s="40"/>
      <c r="V466" s="40"/>
      <c r="W466" s="45" t="str">
        <f aca="false">IF(V466="","",EDATE(V466,Settings!$S$6))</f>
        <v/>
      </c>
      <c r="X466" s="17"/>
      <c r="Y466" s="17"/>
      <c r="Z466" s="17"/>
    </row>
    <row r="467" customFormat="false" ht="15" hidden="false" customHeight="false" outlineLevel="0" collapsed="false">
      <c r="A467" s="17"/>
      <c r="B467" s="17"/>
      <c r="C467" s="17"/>
      <c r="D467" s="17"/>
      <c r="E467" s="42"/>
      <c r="F467" s="17"/>
      <c r="G467" s="17"/>
      <c r="H467" s="17"/>
      <c r="I467" s="49" t="str">
        <f aca="false">IF(H467="","",IFERROR(INDEX(Settings!$G$2:$G$4,MATCH(H467,Settings!$F$2:$F$4,0)),""))</f>
        <v/>
      </c>
      <c r="J467" s="40"/>
      <c r="K467" s="50"/>
      <c r="L467" s="17"/>
      <c r="M467" s="40"/>
      <c r="N467" s="40"/>
      <c r="O467" s="45" t="str">
        <f aca="false">IF(N467="","",WORKDAY(N467,Settings!$S$4))</f>
        <v/>
      </c>
      <c r="P467" s="17"/>
      <c r="Q467" s="44" t="str">
        <f aca="true">IF(C467="","",IF(P467="Backed out",IF(S467="Paid","Refunded – closed",IF(R467="","Refund – log reason first","Refund in progress")),IF(K467="","Awaiting payment",IF(N467="",IF(M467="","Schedule free video","Free video in production"),IF(P467="Approved","Active",IF(TODAY()&gt;O467,"Active – plan went ahead","Decision pending – "&amp;NETWORKDAYS(TODAY(),O467)&amp;" working day(s) left"))))))</f>
        <v/>
      </c>
      <c r="R467" s="17"/>
      <c r="S467" s="17"/>
      <c r="T467" s="50"/>
      <c r="U467" s="40"/>
      <c r="V467" s="40"/>
      <c r="W467" s="45" t="str">
        <f aca="false">IF(V467="","",EDATE(V467,Settings!$S$6))</f>
        <v/>
      </c>
      <c r="X467" s="17"/>
      <c r="Y467" s="17"/>
      <c r="Z467" s="17"/>
    </row>
    <row r="468" customFormat="false" ht="15" hidden="false" customHeight="false" outlineLevel="0" collapsed="false">
      <c r="A468" s="17"/>
      <c r="B468" s="17"/>
      <c r="C468" s="17"/>
      <c r="D468" s="17"/>
      <c r="E468" s="42"/>
      <c r="F468" s="17"/>
      <c r="G468" s="17"/>
      <c r="H468" s="17"/>
      <c r="I468" s="49" t="str">
        <f aca="false">IF(H468="","",IFERROR(INDEX(Settings!$G$2:$G$4,MATCH(H468,Settings!$F$2:$F$4,0)),""))</f>
        <v/>
      </c>
      <c r="J468" s="40"/>
      <c r="K468" s="50"/>
      <c r="L468" s="17"/>
      <c r="M468" s="40"/>
      <c r="N468" s="40"/>
      <c r="O468" s="45" t="str">
        <f aca="false">IF(N468="","",WORKDAY(N468,Settings!$S$4))</f>
        <v/>
      </c>
      <c r="P468" s="17"/>
      <c r="Q468" s="44" t="str">
        <f aca="true">IF(C468="","",IF(P468="Backed out",IF(S468="Paid","Refunded – closed",IF(R468="","Refund – log reason first","Refund in progress")),IF(K468="","Awaiting payment",IF(N468="",IF(M468="","Schedule free video","Free video in production"),IF(P468="Approved","Active",IF(TODAY()&gt;O468,"Active – plan went ahead","Decision pending – "&amp;NETWORKDAYS(TODAY(),O468)&amp;" working day(s) left"))))))</f>
        <v/>
      </c>
      <c r="R468" s="17"/>
      <c r="S468" s="17"/>
      <c r="T468" s="50"/>
      <c r="U468" s="40"/>
      <c r="V468" s="40"/>
      <c r="W468" s="45" t="str">
        <f aca="false">IF(V468="","",EDATE(V468,Settings!$S$6))</f>
        <v/>
      </c>
      <c r="X468" s="17"/>
      <c r="Y468" s="17"/>
      <c r="Z468" s="17"/>
    </row>
    <row r="469" customFormat="false" ht="15" hidden="false" customHeight="false" outlineLevel="0" collapsed="false">
      <c r="A469" s="17"/>
      <c r="B469" s="17"/>
      <c r="C469" s="17"/>
      <c r="D469" s="17"/>
      <c r="E469" s="42"/>
      <c r="F469" s="17"/>
      <c r="G469" s="17"/>
      <c r="H469" s="17"/>
      <c r="I469" s="49" t="str">
        <f aca="false">IF(H469="","",IFERROR(INDEX(Settings!$G$2:$G$4,MATCH(H469,Settings!$F$2:$F$4,0)),""))</f>
        <v/>
      </c>
      <c r="J469" s="40"/>
      <c r="K469" s="50"/>
      <c r="L469" s="17"/>
      <c r="M469" s="40"/>
      <c r="N469" s="40"/>
      <c r="O469" s="45" t="str">
        <f aca="false">IF(N469="","",WORKDAY(N469,Settings!$S$4))</f>
        <v/>
      </c>
      <c r="P469" s="17"/>
      <c r="Q469" s="44" t="str">
        <f aca="true">IF(C469="","",IF(P469="Backed out",IF(S469="Paid","Refunded – closed",IF(R469="","Refund – log reason first","Refund in progress")),IF(K469="","Awaiting payment",IF(N469="",IF(M469="","Schedule free video","Free video in production"),IF(P469="Approved","Active",IF(TODAY()&gt;O469,"Active – plan went ahead","Decision pending – "&amp;NETWORKDAYS(TODAY(),O469)&amp;" working day(s) left"))))))</f>
        <v/>
      </c>
      <c r="R469" s="17"/>
      <c r="S469" s="17"/>
      <c r="T469" s="50"/>
      <c r="U469" s="40"/>
      <c r="V469" s="40"/>
      <c r="W469" s="45" t="str">
        <f aca="false">IF(V469="","",EDATE(V469,Settings!$S$6))</f>
        <v/>
      </c>
      <c r="X469" s="17"/>
      <c r="Y469" s="17"/>
      <c r="Z469" s="17"/>
    </row>
    <row r="470" customFormat="false" ht="15" hidden="false" customHeight="false" outlineLevel="0" collapsed="false">
      <c r="A470" s="17"/>
      <c r="B470" s="17"/>
      <c r="C470" s="17"/>
      <c r="D470" s="17"/>
      <c r="E470" s="42"/>
      <c r="F470" s="17"/>
      <c r="G470" s="17"/>
      <c r="H470" s="17"/>
      <c r="I470" s="49" t="str">
        <f aca="false">IF(H470="","",IFERROR(INDEX(Settings!$G$2:$G$4,MATCH(H470,Settings!$F$2:$F$4,0)),""))</f>
        <v/>
      </c>
      <c r="J470" s="40"/>
      <c r="K470" s="50"/>
      <c r="L470" s="17"/>
      <c r="M470" s="40"/>
      <c r="N470" s="40"/>
      <c r="O470" s="45" t="str">
        <f aca="false">IF(N470="","",WORKDAY(N470,Settings!$S$4))</f>
        <v/>
      </c>
      <c r="P470" s="17"/>
      <c r="Q470" s="44" t="str">
        <f aca="true">IF(C470="","",IF(P470="Backed out",IF(S470="Paid","Refunded – closed",IF(R470="","Refund – log reason first","Refund in progress")),IF(K470="","Awaiting payment",IF(N470="",IF(M470="","Schedule free video","Free video in production"),IF(P470="Approved","Active",IF(TODAY()&gt;O470,"Active – plan went ahead","Decision pending – "&amp;NETWORKDAYS(TODAY(),O470)&amp;" working day(s) left"))))))</f>
        <v/>
      </c>
      <c r="R470" s="17"/>
      <c r="S470" s="17"/>
      <c r="T470" s="50"/>
      <c r="U470" s="40"/>
      <c r="V470" s="40"/>
      <c r="W470" s="45" t="str">
        <f aca="false">IF(V470="","",EDATE(V470,Settings!$S$6))</f>
        <v/>
      </c>
      <c r="X470" s="17"/>
      <c r="Y470" s="17"/>
      <c r="Z470" s="17"/>
    </row>
    <row r="471" customFormat="false" ht="15" hidden="false" customHeight="false" outlineLevel="0" collapsed="false">
      <c r="A471" s="17"/>
      <c r="B471" s="17"/>
      <c r="C471" s="17"/>
      <c r="D471" s="17"/>
      <c r="E471" s="42"/>
      <c r="F471" s="17"/>
      <c r="G471" s="17"/>
      <c r="H471" s="17"/>
      <c r="I471" s="49" t="str">
        <f aca="false">IF(H471="","",IFERROR(INDEX(Settings!$G$2:$G$4,MATCH(H471,Settings!$F$2:$F$4,0)),""))</f>
        <v/>
      </c>
      <c r="J471" s="40"/>
      <c r="K471" s="50"/>
      <c r="L471" s="17"/>
      <c r="M471" s="40"/>
      <c r="N471" s="40"/>
      <c r="O471" s="45" t="str">
        <f aca="false">IF(N471="","",WORKDAY(N471,Settings!$S$4))</f>
        <v/>
      </c>
      <c r="P471" s="17"/>
      <c r="Q471" s="44" t="str">
        <f aca="true">IF(C471="","",IF(P471="Backed out",IF(S471="Paid","Refunded – closed",IF(R471="","Refund – log reason first","Refund in progress")),IF(K471="","Awaiting payment",IF(N471="",IF(M471="","Schedule free video","Free video in production"),IF(P471="Approved","Active",IF(TODAY()&gt;O471,"Active – plan went ahead","Decision pending – "&amp;NETWORKDAYS(TODAY(),O471)&amp;" working day(s) left"))))))</f>
        <v/>
      </c>
      <c r="R471" s="17"/>
      <c r="S471" s="17"/>
      <c r="T471" s="50"/>
      <c r="U471" s="40"/>
      <c r="V471" s="40"/>
      <c r="W471" s="45" t="str">
        <f aca="false">IF(V471="","",EDATE(V471,Settings!$S$6))</f>
        <v/>
      </c>
      <c r="X471" s="17"/>
      <c r="Y471" s="17"/>
      <c r="Z471" s="17"/>
    </row>
    <row r="472" customFormat="false" ht="15" hidden="false" customHeight="false" outlineLevel="0" collapsed="false">
      <c r="A472" s="17"/>
      <c r="B472" s="17"/>
      <c r="C472" s="17"/>
      <c r="D472" s="17"/>
      <c r="E472" s="42"/>
      <c r="F472" s="17"/>
      <c r="G472" s="17"/>
      <c r="H472" s="17"/>
      <c r="I472" s="49" t="str">
        <f aca="false">IF(H472="","",IFERROR(INDEX(Settings!$G$2:$G$4,MATCH(H472,Settings!$F$2:$F$4,0)),""))</f>
        <v/>
      </c>
      <c r="J472" s="40"/>
      <c r="K472" s="50"/>
      <c r="L472" s="17"/>
      <c r="M472" s="40"/>
      <c r="N472" s="40"/>
      <c r="O472" s="45" t="str">
        <f aca="false">IF(N472="","",WORKDAY(N472,Settings!$S$4))</f>
        <v/>
      </c>
      <c r="P472" s="17"/>
      <c r="Q472" s="44" t="str">
        <f aca="true">IF(C472="","",IF(P472="Backed out",IF(S472="Paid","Refunded – closed",IF(R472="","Refund – log reason first","Refund in progress")),IF(K472="","Awaiting payment",IF(N472="",IF(M472="","Schedule free video","Free video in production"),IF(P472="Approved","Active",IF(TODAY()&gt;O472,"Active – plan went ahead","Decision pending – "&amp;NETWORKDAYS(TODAY(),O472)&amp;" working day(s) left"))))))</f>
        <v/>
      </c>
      <c r="R472" s="17"/>
      <c r="S472" s="17"/>
      <c r="T472" s="50"/>
      <c r="U472" s="40"/>
      <c r="V472" s="40"/>
      <c r="W472" s="45" t="str">
        <f aca="false">IF(V472="","",EDATE(V472,Settings!$S$6))</f>
        <v/>
      </c>
      <c r="X472" s="17"/>
      <c r="Y472" s="17"/>
      <c r="Z472" s="17"/>
    </row>
    <row r="473" customFormat="false" ht="15" hidden="false" customHeight="false" outlineLevel="0" collapsed="false">
      <c r="A473" s="17"/>
      <c r="B473" s="17"/>
      <c r="C473" s="17"/>
      <c r="D473" s="17"/>
      <c r="E473" s="42"/>
      <c r="F473" s="17"/>
      <c r="G473" s="17"/>
      <c r="H473" s="17"/>
      <c r="I473" s="49" t="str">
        <f aca="false">IF(H473="","",IFERROR(INDEX(Settings!$G$2:$G$4,MATCH(H473,Settings!$F$2:$F$4,0)),""))</f>
        <v/>
      </c>
      <c r="J473" s="40"/>
      <c r="K473" s="50"/>
      <c r="L473" s="17"/>
      <c r="M473" s="40"/>
      <c r="N473" s="40"/>
      <c r="O473" s="45" t="str">
        <f aca="false">IF(N473="","",WORKDAY(N473,Settings!$S$4))</f>
        <v/>
      </c>
      <c r="P473" s="17"/>
      <c r="Q473" s="44" t="str">
        <f aca="true">IF(C473="","",IF(P473="Backed out",IF(S473="Paid","Refunded – closed",IF(R473="","Refund – log reason first","Refund in progress")),IF(K473="","Awaiting payment",IF(N473="",IF(M473="","Schedule free video","Free video in production"),IF(P473="Approved","Active",IF(TODAY()&gt;O473,"Active – plan went ahead","Decision pending – "&amp;NETWORKDAYS(TODAY(),O473)&amp;" working day(s) left"))))))</f>
        <v/>
      </c>
      <c r="R473" s="17"/>
      <c r="S473" s="17"/>
      <c r="T473" s="50"/>
      <c r="U473" s="40"/>
      <c r="V473" s="40"/>
      <c r="W473" s="45" t="str">
        <f aca="false">IF(V473="","",EDATE(V473,Settings!$S$6))</f>
        <v/>
      </c>
      <c r="X473" s="17"/>
      <c r="Y473" s="17"/>
      <c r="Z473" s="17"/>
    </row>
    <row r="474" customFormat="false" ht="15" hidden="false" customHeight="false" outlineLevel="0" collapsed="false">
      <c r="A474" s="17"/>
      <c r="B474" s="17"/>
      <c r="C474" s="17"/>
      <c r="D474" s="17"/>
      <c r="E474" s="42"/>
      <c r="F474" s="17"/>
      <c r="G474" s="17"/>
      <c r="H474" s="17"/>
      <c r="I474" s="49" t="str">
        <f aca="false">IF(H474="","",IFERROR(INDEX(Settings!$G$2:$G$4,MATCH(H474,Settings!$F$2:$F$4,0)),""))</f>
        <v/>
      </c>
      <c r="J474" s="40"/>
      <c r="K474" s="50"/>
      <c r="L474" s="17"/>
      <c r="M474" s="40"/>
      <c r="N474" s="40"/>
      <c r="O474" s="45" t="str">
        <f aca="false">IF(N474="","",WORKDAY(N474,Settings!$S$4))</f>
        <v/>
      </c>
      <c r="P474" s="17"/>
      <c r="Q474" s="44" t="str">
        <f aca="true">IF(C474="","",IF(P474="Backed out",IF(S474="Paid","Refunded – closed",IF(R474="","Refund – log reason first","Refund in progress")),IF(K474="","Awaiting payment",IF(N474="",IF(M474="","Schedule free video","Free video in production"),IF(P474="Approved","Active",IF(TODAY()&gt;O474,"Active – plan went ahead","Decision pending – "&amp;NETWORKDAYS(TODAY(),O474)&amp;" working day(s) left"))))))</f>
        <v/>
      </c>
      <c r="R474" s="17"/>
      <c r="S474" s="17"/>
      <c r="T474" s="50"/>
      <c r="U474" s="40"/>
      <c r="V474" s="40"/>
      <c r="W474" s="45" t="str">
        <f aca="false">IF(V474="","",EDATE(V474,Settings!$S$6))</f>
        <v/>
      </c>
      <c r="X474" s="17"/>
      <c r="Y474" s="17"/>
      <c r="Z474" s="17"/>
    </row>
    <row r="475" customFormat="false" ht="15" hidden="false" customHeight="false" outlineLevel="0" collapsed="false">
      <c r="A475" s="17"/>
      <c r="B475" s="17"/>
      <c r="C475" s="17"/>
      <c r="D475" s="17"/>
      <c r="E475" s="42"/>
      <c r="F475" s="17"/>
      <c r="G475" s="17"/>
      <c r="H475" s="17"/>
      <c r="I475" s="49" t="str">
        <f aca="false">IF(H475="","",IFERROR(INDEX(Settings!$G$2:$G$4,MATCH(H475,Settings!$F$2:$F$4,0)),""))</f>
        <v/>
      </c>
      <c r="J475" s="40"/>
      <c r="K475" s="50"/>
      <c r="L475" s="17"/>
      <c r="M475" s="40"/>
      <c r="N475" s="40"/>
      <c r="O475" s="45" t="str">
        <f aca="false">IF(N475="","",WORKDAY(N475,Settings!$S$4))</f>
        <v/>
      </c>
      <c r="P475" s="17"/>
      <c r="Q475" s="44" t="str">
        <f aca="true">IF(C475="","",IF(P475="Backed out",IF(S475="Paid","Refunded – closed",IF(R475="","Refund – log reason first","Refund in progress")),IF(K475="","Awaiting payment",IF(N475="",IF(M475="","Schedule free video","Free video in production"),IF(P475="Approved","Active",IF(TODAY()&gt;O475,"Active – plan went ahead","Decision pending – "&amp;NETWORKDAYS(TODAY(),O475)&amp;" working day(s) left"))))))</f>
        <v/>
      </c>
      <c r="R475" s="17"/>
      <c r="S475" s="17"/>
      <c r="T475" s="50"/>
      <c r="U475" s="40"/>
      <c r="V475" s="40"/>
      <c r="W475" s="45" t="str">
        <f aca="false">IF(V475="","",EDATE(V475,Settings!$S$6))</f>
        <v/>
      </c>
      <c r="X475" s="17"/>
      <c r="Y475" s="17"/>
      <c r="Z475" s="17"/>
    </row>
    <row r="476" customFormat="false" ht="15" hidden="false" customHeight="false" outlineLevel="0" collapsed="false">
      <c r="A476" s="17"/>
      <c r="B476" s="17"/>
      <c r="C476" s="17"/>
      <c r="D476" s="17"/>
      <c r="E476" s="42"/>
      <c r="F476" s="17"/>
      <c r="G476" s="17"/>
      <c r="H476" s="17"/>
      <c r="I476" s="49" t="str">
        <f aca="false">IF(H476="","",IFERROR(INDEX(Settings!$G$2:$G$4,MATCH(H476,Settings!$F$2:$F$4,0)),""))</f>
        <v/>
      </c>
      <c r="J476" s="40"/>
      <c r="K476" s="50"/>
      <c r="L476" s="17"/>
      <c r="M476" s="40"/>
      <c r="N476" s="40"/>
      <c r="O476" s="45" t="str">
        <f aca="false">IF(N476="","",WORKDAY(N476,Settings!$S$4))</f>
        <v/>
      </c>
      <c r="P476" s="17"/>
      <c r="Q476" s="44" t="str">
        <f aca="true">IF(C476="","",IF(P476="Backed out",IF(S476="Paid","Refunded – closed",IF(R476="","Refund – log reason first","Refund in progress")),IF(K476="","Awaiting payment",IF(N476="",IF(M476="","Schedule free video","Free video in production"),IF(P476="Approved","Active",IF(TODAY()&gt;O476,"Active – plan went ahead","Decision pending – "&amp;NETWORKDAYS(TODAY(),O476)&amp;" working day(s) left"))))))</f>
        <v/>
      </c>
      <c r="R476" s="17"/>
      <c r="S476" s="17"/>
      <c r="T476" s="50"/>
      <c r="U476" s="40"/>
      <c r="V476" s="40"/>
      <c r="W476" s="45" t="str">
        <f aca="false">IF(V476="","",EDATE(V476,Settings!$S$6))</f>
        <v/>
      </c>
      <c r="X476" s="17"/>
      <c r="Y476" s="17"/>
      <c r="Z476" s="17"/>
    </row>
    <row r="477" customFormat="false" ht="15" hidden="false" customHeight="false" outlineLevel="0" collapsed="false">
      <c r="A477" s="17"/>
      <c r="B477" s="17"/>
      <c r="C477" s="17"/>
      <c r="D477" s="17"/>
      <c r="E477" s="42"/>
      <c r="F477" s="17"/>
      <c r="G477" s="17"/>
      <c r="H477" s="17"/>
      <c r="I477" s="49" t="str">
        <f aca="false">IF(H477="","",IFERROR(INDEX(Settings!$G$2:$G$4,MATCH(H477,Settings!$F$2:$F$4,0)),""))</f>
        <v/>
      </c>
      <c r="J477" s="40"/>
      <c r="K477" s="50"/>
      <c r="L477" s="17"/>
      <c r="M477" s="40"/>
      <c r="N477" s="40"/>
      <c r="O477" s="45" t="str">
        <f aca="false">IF(N477="","",WORKDAY(N477,Settings!$S$4))</f>
        <v/>
      </c>
      <c r="P477" s="17"/>
      <c r="Q477" s="44" t="str">
        <f aca="true">IF(C477="","",IF(P477="Backed out",IF(S477="Paid","Refunded – closed",IF(R477="","Refund – log reason first","Refund in progress")),IF(K477="","Awaiting payment",IF(N477="",IF(M477="","Schedule free video","Free video in production"),IF(P477="Approved","Active",IF(TODAY()&gt;O477,"Active – plan went ahead","Decision pending – "&amp;NETWORKDAYS(TODAY(),O477)&amp;" working day(s) left"))))))</f>
        <v/>
      </c>
      <c r="R477" s="17"/>
      <c r="S477" s="17"/>
      <c r="T477" s="50"/>
      <c r="U477" s="40"/>
      <c r="V477" s="40"/>
      <c r="W477" s="45" t="str">
        <f aca="false">IF(V477="","",EDATE(V477,Settings!$S$6))</f>
        <v/>
      </c>
      <c r="X477" s="17"/>
      <c r="Y477" s="17"/>
      <c r="Z477" s="17"/>
    </row>
    <row r="478" customFormat="false" ht="15" hidden="false" customHeight="false" outlineLevel="0" collapsed="false">
      <c r="A478" s="17"/>
      <c r="B478" s="17"/>
      <c r="C478" s="17"/>
      <c r="D478" s="17"/>
      <c r="E478" s="42"/>
      <c r="F478" s="17"/>
      <c r="G478" s="17"/>
      <c r="H478" s="17"/>
      <c r="I478" s="49" t="str">
        <f aca="false">IF(H478="","",IFERROR(INDEX(Settings!$G$2:$G$4,MATCH(H478,Settings!$F$2:$F$4,0)),""))</f>
        <v/>
      </c>
      <c r="J478" s="40"/>
      <c r="K478" s="50"/>
      <c r="L478" s="17"/>
      <c r="M478" s="40"/>
      <c r="N478" s="40"/>
      <c r="O478" s="45" t="str">
        <f aca="false">IF(N478="","",WORKDAY(N478,Settings!$S$4))</f>
        <v/>
      </c>
      <c r="P478" s="17"/>
      <c r="Q478" s="44" t="str">
        <f aca="true">IF(C478="","",IF(P478="Backed out",IF(S478="Paid","Refunded – closed",IF(R478="","Refund – log reason first","Refund in progress")),IF(K478="","Awaiting payment",IF(N478="",IF(M478="","Schedule free video","Free video in production"),IF(P478="Approved","Active",IF(TODAY()&gt;O478,"Active – plan went ahead","Decision pending – "&amp;NETWORKDAYS(TODAY(),O478)&amp;" working day(s) left"))))))</f>
        <v/>
      </c>
      <c r="R478" s="17"/>
      <c r="S478" s="17"/>
      <c r="T478" s="50"/>
      <c r="U478" s="40"/>
      <c r="V478" s="40"/>
      <c r="W478" s="45" t="str">
        <f aca="false">IF(V478="","",EDATE(V478,Settings!$S$6))</f>
        <v/>
      </c>
      <c r="X478" s="17"/>
      <c r="Y478" s="17"/>
      <c r="Z478" s="17"/>
    </row>
    <row r="479" customFormat="false" ht="15" hidden="false" customHeight="false" outlineLevel="0" collapsed="false">
      <c r="A479" s="17"/>
      <c r="B479" s="17"/>
      <c r="C479" s="17"/>
      <c r="D479" s="17"/>
      <c r="E479" s="42"/>
      <c r="F479" s="17"/>
      <c r="G479" s="17"/>
      <c r="H479" s="17"/>
      <c r="I479" s="49" t="str">
        <f aca="false">IF(H479="","",IFERROR(INDEX(Settings!$G$2:$G$4,MATCH(H479,Settings!$F$2:$F$4,0)),""))</f>
        <v/>
      </c>
      <c r="J479" s="40"/>
      <c r="K479" s="50"/>
      <c r="L479" s="17"/>
      <c r="M479" s="40"/>
      <c r="N479" s="40"/>
      <c r="O479" s="45" t="str">
        <f aca="false">IF(N479="","",WORKDAY(N479,Settings!$S$4))</f>
        <v/>
      </c>
      <c r="P479" s="17"/>
      <c r="Q479" s="44" t="str">
        <f aca="true">IF(C479="","",IF(P479="Backed out",IF(S479="Paid","Refunded – closed",IF(R479="","Refund – log reason first","Refund in progress")),IF(K479="","Awaiting payment",IF(N479="",IF(M479="","Schedule free video","Free video in production"),IF(P479="Approved","Active",IF(TODAY()&gt;O479,"Active – plan went ahead","Decision pending – "&amp;NETWORKDAYS(TODAY(),O479)&amp;" working day(s) left"))))))</f>
        <v/>
      </c>
      <c r="R479" s="17"/>
      <c r="S479" s="17"/>
      <c r="T479" s="50"/>
      <c r="U479" s="40"/>
      <c r="V479" s="40"/>
      <c r="W479" s="45" t="str">
        <f aca="false">IF(V479="","",EDATE(V479,Settings!$S$6))</f>
        <v/>
      </c>
      <c r="X479" s="17"/>
      <c r="Y479" s="17"/>
      <c r="Z479" s="17"/>
    </row>
    <row r="480" customFormat="false" ht="15" hidden="false" customHeight="false" outlineLevel="0" collapsed="false">
      <c r="A480" s="17"/>
      <c r="B480" s="17"/>
      <c r="C480" s="17"/>
      <c r="D480" s="17"/>
      <c r="E480" s="42"/>
      <c r="F480" s="17"/>
      <c r="G480" s="17"/>
      <c r="H480" s="17"/>
      <c r="I480" s="49" t="str">
        <f aca="false">IF(H480="","",IFERROR(INDEX(Settings!$G$2:$G$4,MATCH(H480,Settings!$F$2:$F$4,0)),""))</f>
        <v/>
      </c>
      <c r="J480" s="40"/>
      <c r="K480" s="50"/>
      <c r="L480" s="17"/>
      <c r="M480" s="40"/>
      <c r="N480" s="40"/>
      <c r="O480" s="45" t="str">
        <f aca="false">IF(N480="","",WORKDAY(N480,Settings!$S$4))</f>
        <v/>
      </c>
      <c r="P480" s="17"/>
      <c r="Q480" s="44" t="str">
        <f aca="true">IF(C480="","",IF(P480="Backed out",IF(S480="Paid","Refunded – closed",IF(R480="","Refund – log reason first","Refund in progress")),IF(K480="","Awaiting payment",IF(N480="",IF(M480="","Schedule free video","Free video in production"),IF(P480="Approved","Active",IF(TODAY()&gt;O480,"Active – plan went ahead","Decision pending – "&amp;NETWORKDAYS(TODAY(),O480)&amp;" working day(s) left"))))))</f>
        <v/>
      </c>
      <c r="R480" s="17"/>
      <c r="S480" s="17"/>
      <c r="T480" s="50"/>
      <c r="U480" s="40"/>
      <c r="V480" s="40"/>
      <c r="W480" s="45" t="str">
        <f aca="false">IF(V480="","",EDATE(V480,Settings!$S$6))</f>
        <v/>
      </c>
      <c r="X480" s="17"/>
      <c r="Y480" s="17"/>
      <c r="Z480" s="17"/>
    </row>
    <row r="481" customFormat="false" ht="15" hidden="false" customHeight="false" outlineLevel="0" collapsed="false">
      <c r="A481" s="17"/>
      <c r="B481" s="17"/>
      <c r="C481" s="17"/>
      <c r="D481" s="17"/>
      <c r="E481" s="42"/>
      <c r="F481" s="17"/>
      <c r="G481" s="17"/>
      <c r="H481" s="17"/>
      <c r="I481" s="49" t="str">
        <f aca="false">IF(H481="","",IFERROR(INDEX(Settings!$G$2:$G$4,MATCH(H481,Settings!$F$2:$F$4,0)),""))</f>
        <v/>
      </c>
      <c r="J481" s="40"/>
      <c r="K481" s="50"/>
      <c r="L481" s="17"/>
      <c r="M481" s="40"/>
      <c r="N481" s="40"/>
      <c r="O481" s="45" t="str">
        <f aca="false">IF(N481="","",WORKDAY(N481,Settings!$S$4))</f>
        <v/>
      </c>
      <c r="P481" s="17"/>
      <c r="Q481" s="44" t="str">
        <f aca="true">IF(C481="","",IF(P481="Backed out",IF(S481="Paid","Refunded – closed",IF(R481="","Refund – log reason first","Refund in progress")),IF(K481="","Awaiting payment",IF(N481="",IF(M481="","Schedule free video","Free video in production"),IF(P481="Approved","Active",IF(TODAY()&gt;O481,"Active – plan went ahead","Decision pending – "&amp;NETWORKDAYS(TODAY(),O481)&amp;" working day(s) left"))))))</f>
        <v/>
      </c>
      <c r="R481" s="17"/>
      <c r="S481" s="17"/>
      <c r="T481" s="50"/>
      <c r="U481" s="40"/>
      <c r="V481" s="40"/>
      <c r="W481" s="45" t="str">
        <f aca="false">IF(V481="","",EDATE(V481,Settings!$S$6))</f>
        <v/>
      </c>
      <c r="X481" s="17"/>
      <c r="Y481" s="17"/>
      <c r="Z481" s="17"/>
    </row>
    <row r="482" customFormat="false" ht="15" hidden="false" customHeight="false" outlineLevel="0" collapsed="false">
      <c r="A482" s="17"/>
      <c r="B482" s="17"/>
      <c r="C482" s="17"/>
      <c r="D482" s="17"/>
      <c r="E482" s="42"/>
      <c r="F482" s="17"/>
      <c r="G482" s="17"/>
      <c r="H482" s="17"/>
      <c r="I482" s="49" t="str">
        <f aca="false">IF(H482="","",IFERROR(INDEX(Settings!$G$2:$G$4,MATCH(H482,Settings!$F$2:$F$4,0)),""))</f>
        <v/>
      </c>
      <c r="J482" s="40"/>
      <c r="K482" s="50"/>
      <c r="L482" s="17"/>
      <c r="M482" s="40"/>
      <c r="N482" s="40"/>
      <c r="O482" s="45" t="str">
        <f aca="false">IF(N482="","",WORKDAY(N482,Settings!$S$4))</f>
        <v/>
      </c>
      <c r="P482" s="17"/>
      <c r="Q482" s="44" t="str">
        <f aca="true">IF(C482="","",IF(P482="Backed out",IF(S482="Paid","Refunded – closed",IF(R482="","Refund – log reason first","Refund in progress")),IF(K482="","Awaiting payment",IF(N482="",IF(M482="","Schedule free video","Free video in production"),IF(P482="Approved","Active",IF(TODAY()&gt;O482,"Active – plan went ahead","Decision pending – "&amp;NETWORKDAYS(TODAY(),O482)&amp;" working day(s) left"))))))</f>
        <v/>
      </c>
      <c r="R482" s="17"/>
      <c r="S482" s="17"/>
      <c r="T482" s="50"/>
      <c r="U482" s="40"/>
      <c r="V482" s="40"/>
      <c r="W482" s="45" t="str">
        <f aca="false">IF(V482="","",EDATE(V482,Settings!$S$6))</f>
        <v/>
      </c>
      <c r="X482" s="17"/>
      <c r="Y482" s="17"/>
      <c r="Z482" s="17"/>
    </row>
    <row r="483" customFormat="false" ht="15" hidden="false" customHeight="false" outlineLevel="0" collapsed="false">
      <c r="A483" s="17"/>
      <c r="B483" s="17"/>
      <c r="C483" s="17"/>
      <c r="D483" s="17"/>
      <c r="E483" s="42"/>
      <c r="F483" s="17"/>
      <c r="G483" s="17"/>
      <c r="H483" s="17"/>
      <c r="I483" s="49" t="str">
        <f aca="false">IF(H483="","",IFERROR(INDEX(Settings!$G$2:$G$4,MATCH(H483,Settings!$F$2:$F$4,0)),""))</f>
        <v/>
      </c>
      <c r="J483" s="40"/>
      <c r="K483" s="50"/>
      <c r="L483" s="17"/>
      <c r="M483" s="40"/>
      <c r="N483" s="40"/>
      <c r="O483" s="45" t="str">
        <f aca="false">IF(N483="","",WORKDAY(N483,Settings!$S$4))</f>
        <v/>
      </c>
      <c r="P483" s="17"/>
      <c r="Q483" s="44" t="str">
        <f aca="true">IF(C483="","",IF(P483="Backed out",IF(S483="Paid","Refunded – closed",IF(R483="","Refund – log reason first","Refund in progress")),IF(K483="","Awaiting payment",IF(N483="",IF(M483="","Schedule free video","Free video in production"),IF(P483="Approved","Active",IF(TODAY()&gt;O483,"Active – plan went ahead","Decision pending – "&amp;NETWORKDAYS(TODAY(),O483)&amp;" working day(s) left"))))))</f>
        <v/>
      </c>
      <c r="R483" s="17"/>
      <c r="S483" s="17"/>
      <c r="T483" s="50"/>
      <c r="U483" s="40"/>
      <c r="V483" s="40"/>
      <c r="W483" s="45" t="str">
        <f aca="false">IF(V483="","",EDATE(V483,Settings!$S$6))</f>
        <v/>
      </c>
      <c r="X483" s="17"/>
      <c r="Y483" s="17"/>
      <c r="Z483" s="17"/>
    </row>
    <row r="484" customFormat="false" ht="15" hidden="false" customHeight="false" outlineLevel="0" collapsed="false">
      <c r="A484" s="17"/>
      <c r="B484" s="17"/>
      <c r="C484" s="17"/>
      <c r="D484" s="17"/>
      <c r="E484" s="42"/>
      <c r="F484" s="17"/>
      <c r="G484" s="17"/>
      <c r="H484" s="17"/>
      <c r="I484" s="49" t="str">
        <f aca="false">IF(H484="","",IFERROR(INDEX(Settings!$G$2:$G$4,MATCH(H484,Settings!$F$2:$F$4,0)),""))</f>
        <v/>
      </c>
      <c r="J484" s="40"/>
      <c r="K484" s="50"/>
      <c r="L484" s="17"/>
      <c r="M484" s="40"/>
      <c r="N484" s="40"/>
      <c r="O484" s="45" t="str">
        <f aca="false">IF(N484="","",WORKDAY(N484,Settings!$S$4))</f>
        <v/>
      </c>
      <c r="P484" s="17"/>
      <c r="Q484" s="44" t="str">
        <f aca="true">IF(C484="","",IF(P484="Backed out",IF(S484="Paid","Refunded – closed",IF(R484="","Refund – log reason first","Refund in progress")),IF(K484="","Awaiting payment",IF(N484="",IF(M484="","Schedule free video","Free video in production"),IF(P484="Approved","Active",IF(TODAY()&gt;O484,"Active – plan went ahead","Decision pending – "&amp;NETWORKDAYS(TODAY(),O484)&amp;" working day(s) left"))))))</f>
        <v/>
      </c>
      <c r="R484" s="17"/>
      <c r="S484" s="17"/>
      <c r="T484" s="50"/>
      <c r="U484" s="40"/>
      <c r="V484" s="40"/>
      <c r="W484" s="45" t="str">
        <f aca="false">IF(V484="","",EDATE(V484,Settings!$S$6))</f>
        <v/>
      </c>
      <c r="X484" s="17"/>
      <c r="Y484" s="17"/>
      <c r="Z484" s="17"/>
    </row>
    <row r="485" customFormat="false" ht="15" hidden="false" customHeight="false" outlineLevel="0" collapsed="false">
      <c r="A485" s="17"/>
      <c r="B485" s="17"/>
      <c r="C485" s="17"/>
      <c r="D485" s="17"/>
      <c r="E485" s="42"/>
      <c r="F485" s="17"/>
      <c r="G485" s="17"/>
      <c r="H485" s="17"/>
      <c r="I485" s="49" t="str">
        <f aca="false">IF(H485="","",IFERROR(INDEX(Settings!$G$2:$G$4,MATCH(H485,Settings!$F$2:$F$4,0)),""))</f>
        <v/>
      </c>
      <c r="J485" s="40"/>
      <c r="K485" s="50"/>
      <c r="L485" s="17"/>
      <c r="M485" s="40"/>
      <c r="N485" s="40"/>
      <c r="O485" s="45" t="str">
        <f aca="false">IF(N485="","",WORKDAY(N485,Settings!$S$4))</f>
        <v/>
      </c>
      <c r="P485" s="17"/>
      <c r="Q485" s="44" t="str">
        <f aca="true">IF(C485="","",IF(P485="Backed out",IF(S485="Paid","Refunded – closed",IF(R485="","Refund – log reason first","Refund in progress")),IF(K485="","Awaiting payment",IF(N485="",IF(M485="","Schedule free video","Free video in production"),IF(P485="Approved","Active",IF(TODAY()&gt;O485,"Active – plan went ahead","Decision pending – "&amp;NETWORKDAYS(TODAY(),O485)&amp;" working day(s) left"))))))</f>
        <v/>
      </c>
      <c r="R485" s="17"/>
      <c r="S485" s="17"/>
      <c r="T485" s="50"/>
      <c r="U485" s="40"/>
      <c r="V485" s="40"/>
      <c r="W485" s="45" t="str">
        <f aca="false">IF(V485="","",EDATE(V485,Settings!$S$6))</f>
        <v/>
      </c>
      <c r="X485" s="17"/>
      <c r="Y485" s="17"/>
      <c r="Z485" s="17"/>
    </row>
    <row r="486" customFormat="false" ht="15" hidden="false" customHeight="false" outlineLevel="0" collapsed="false">
      <c r="A486" s="17"/>
      <c r="B486" s="17"/>
      <c r="C486" s="17"/>
      <c r="D486" s="17"/>
      <c r="E486" s="42"/>
      <c r="F486" s="17"/>
      <c r="G486" s="17"/>
      <c r="H486" s="17"/>
      <c r="I486" s="49" t="str">
        <f aca="false">IF(H486="","",IFERROR(INDEX(Settings!$G$2:$G$4,MATCH(H486,Settings!$F$2:$F$4,0)),""))</f>
        <v/>
      </c>
      <c r="J486" s="40"/>
      <c r="K486" s="50"/>
      <c r="L486" s="17"/>
      <c r="M486" s="40"/>
      <c r="N486" s="40"/>
      <c r="O486" s="45" t="str">
        <f aca="false">IF(N486="","",WORKDAY(N486,Settings!$S$4))</f>
        <v/>
      </c>
      <c r="P486" s="17"/>
      <c r="Q486" s="44" t="str">
        <f aca="true">IF(C486="","",IF(P486="Backed out",IF(S486="Paid","Refunded – closed",IF(R486="","Refund – log reason first","Refund in progress")),IF(K486="","Awaiting payment",IF(N486="",IF(M486="","Schedule free video","Free video in production"),IF(P486="Approved","Active",IF(TODAY()&gt;O486,"Active – plan went ahead","Decision pending – "&amp;NETWORKDAYS(TODAY(),O486)&amp;" working day(s) left"))))))</f>
        <v/>
      </c>
      <c r="R486" s="17"/>
      <c r="S486" s="17"/>
      <c r="T486" s="50"/>
      <c r="U486" s="40"/>
      <c r="V486" s="40"/>
      <c r="W486" s="45" t="str">
        <f aca="false">IF(V486="","",EDATE(V486,Settings!$S$6))</f>
        <v/>
      </c>
      <c r="X486" s="17"/>
      <c r="Y486" s="17"/>
      <c r="Z486" s="17"/>
    </row>
    <row r="487" customFormat="false" ht="15" hidden="false" customHeight="false" outlineLevel="0" collapsed="false">
      <c r="A487" s="17"/>
      <c r="B487" s="17"/>
      <c r="C487" s="17"/>
      <c r="D487" s="17"/>
      <c r="E487" s="42"/>
      <c r="F487" s="17"/>
      <c r="G487" s="17"/>
      <c r="H487" s="17"/>
      <c r="I487" s="49" t="str">
        <f aca="false">IF(H487="","",IFERROR(INDEX(Settings!$G$2:$G$4,MATCH(H487,Settings!$F$2:$F$4,0)),""))</f>
        <v/>
      </c>
      <c r="J487" s="40"/>
      <c r="K487" s="50"/>
      <c r="L487" s="17"/>
      <c r="M487" s="40"/>
      <c r="N487" s="40"/>
      <c r="O487" s="45" t="str">
        <f aca="false">IF(N487="","",WORKDAY(N487,Settings!$S$4))</f>
        <v/>
      </c>
      <c r="P487" s="17"/>
      <c r="Q487" s="44" t="str">
        <f aca="true">IF(C487="","",IF(P487="Backed out",IF(S487="Paid","Refunded – closed",IF(R487="","Refund – log reason first","Refund in progress")),IF(K487="","Awaiting payment",IF(N487="",IF(M487="","Schedule free video","Free video in production"),IF(P487="Approved","Active",IF(TODAY()&gt;O487,"Active – plan went ahead","Decision pending – "&amp;NETWORKDAYS(TODAY(),O487)&amp;" working day(s) left"))))))</f>
        <v/>
      </c>
      <c r="R487" s="17"/>
      <c r="S487" s="17"/>
      <c r="T487" s="50"/>
      <c r="U487" s="40"/>
      <c r="V487" s="40"/>
      <c r="W487" s="45" t="str">
        <f aca="false">IF(V487="","",EDATE(V487,Settings!$S$6))</f>
        <v/>
      </c>
      <c r="X487" s="17"/>
      <c r="Y487" s="17"/>
      <c r="Z487" s="17"/>
    </row>
    <row r="488" customFormat="false" ht="15" hidden="false" customHeight="false" outlineLevel="0" collapsed="false">
      <c r="A488" s="17"/>
      <c r="B488" s="17"/>
      <c r="C488" s="17"/>
      <c r="D488" s="17"/>
      <c r="E488" s="42"/>
      <c r="F488" s="17"/>
      <c r="G488" s="17"/>
      <c r="H488" s="17"/>
      <c r="I488" s="49" t="str">
        <f aca="false">IF(H488="","",IFERROR(INDEX(Settings!$G$2:$G$4,MATCH(H488,Settings!$F$2:$F$4,0)),""))</f>
        <v/>
      </c>
      <c r="J488" s="40"/>
      <c r="K488" s="50"/>
      <c r="L488" s="17"/>
      <c r="M488" s="40"/>
      <c r="N488" s="40"/>
      <c r="O488" s="45" t="str">
        <f aca="false">IF(N488="","",WORKDAY(N488,Settings!$S$4))</f>
        <v/>
      </c>
      <c r="P488" s="17"/>
      <c r="Q488" s="44" t="str">
        <f aca="true">IF(C488="","",IF(P488="Backed out",IF(S488="Paid","Refunded – closed",IF(R488="","Refund – log reason first","Refund in progress")),IF(K488="","Awaiting payment",IF(N488="",IF(M488="","Schedule free video","Free video in production"),IF(P488="Approved","Active",IF(TODAY()&gt;O488,"Active – plan went ahead","Decision pending – "&amp;NETWORKDAYS(TODAY(),O488)&amp;" working day(s) left"))))))</f>
        <v/>
      </c>
      <c r="R488" s="17"/>
      <c r="S488" s="17"/>
      <c r="T488" s="50"/>
      <c r="U488" s="40"/>
      <c r="V488" s="40"/>
      <c r="W488" s="45" t="str">
        <f aca="false">IF(V488="","",EDATE(V488,Settings!$S$6))</f>
        <v/>
      </c>
      <c r="X488" s="17"/>
      <c r="Y488" s="17"/>
      <c r="Z488" s="17"/>
    </row>
    <row r="489" customFormat="false" ht="15" hidden="false" customHeight="false" outlineLevel="0" collapsed="false">
      <c r="A489" s="17"/>
      <c r="B489" s="17"/>
      <c r="C489" s="17"/>
      <c r="D489" s="17"/>
      <c r="E489" s="42"/>
      <c r="F489" s="17"/>
      <c r="G489" s="17"/>
      <c r="H489" s="17"/>
      <c r="I489" s="49" t="str">
        <f aca="false">IF(H489="","",IFERROR(INDEX(Settings!$G$2:$G$4,MATCH(H489,Settings!$F$2:$F$4,0)),""))</f>
        <v/>
      </c>
      <c r="J489" s="40"/>
      <c r="K489" s="50"/>
      <c r="L489" s="17"/>
      <c r="M489" s="40"/>
      <c r="N489" s="40"/>
      <c r="O489" s="45" t="str">
        <f aca="false">IF(N489="","",WORKDAY(N489,Settings!$S$4))</f>
        <v/>
      </c>
      <c r="P489" s="17"/>
      <c r="Q489" s="44" t="str">
        <f aca="true">IF(C489="","",IF(P489="Backed out",IF(S489="Paid","Refunded – closed",IF(R489="","Refund – log reason first","Refund in progress")),IF(K489="","Awaiting payment",IF(N489="",IF(M489="","Schedule free video","Free video in production"),IF(P489="Approved","Active",IF(TODAY()&gt;O489,"Active – plan went ahead","Decision pending – "&amp;NETWORKDAYS(TODAY(),O489)&amp;" working day(s) left"))))))</f>
        <v/>
      </c>
      <c r="R489" s="17"/>
      <c r="S489" s="17"/>
      <c r="T489" s="50"/>
      <c r="U489" s="40"/>
      <c r="V489" s="40"/>
      <c r="W489" s="45" t="str">
        <f aca="false">IF(V489="","",EDATE(V489,Settings!$S$6))</f>
        <v/>
      </c>
      <c r="X489" s="17"/>
      <c r="Y489" s="17"/>
      <c r="Z489" s="17"/>
    </row>
    <row r="490" customFormat="false" ht="15" hidden="false" customHeight="false" outlineLevel="0" collapsed="false">
      <c r="A490" s="17"/>
      <c r="B490" s="17"/>
      <c r="C490" s="17"/>
      <c r="D490" s="17"/>
      <c r="E490" s="42"/>
      <c r="F490" s="17"/>
      <c r="G490" s="17"/>
      <c r="H490" s="17"/>
      <c r="I490" s="49" t="str">
        <f aca="false">IF(H490="","",IFERROR(INDEX(Settings!$G$2:$G$4,MATCH(H490,Settings!$F$2:$F$4,0)),""))</f>
        <v/>
      </c>
      <c r="J490" s="40"/>
      <c r="K490" s="50"/>
      <c r="L490" s="17"/>
      <c r="M490" s="40"/>
      <c r="N490" s="40"/>
      <c r="O490" s="45" t="str">
        <f aca="false">IF(N490="","",WORKDAY(N490,Settings!$S$4))</f>
        <v/>
      </c>
      <c r="P490" s="17"/>
      <c r="Q490" s="44" t="str">
        <f aca="true">IF(C490="","",IF(P490="Backed out",IF(S490="Paid","Refunded – closed",IF(R490="","Refund – log reason first","Refund in progress")),IF(K490="","Awaiting payment",IF(N490="",IF(M490="","Schedule free video","Free video in production"),IF(P490="Approved","Active",IF(TODAY()&gt;O490,"Active – plan went ahead","Decision pending – "&amp;NETWORKDAYS(TODAY(),O490)&amp;" working day(s) left"))))))</f>
        <v/>
      </c>
      <c r="R490" s="17"/>
      <c r="S490" s="17"/>
      <c r="T490" s="50"/>
      <c r="U490" s="40"/>
      <c r="V490" s="40"/>
      <c r="W490" s="45" t="str">
        <f aca="false">IF(V490="","",EDATE(V490,Settings!$S$6))</f>
        <v/>
      </c>
      <c r="X490" s="17"/>
      <c r="Y490" s="17"/>
      <c r="Z490" s="17"/>
    </row>
    <row r="491" customFormat="false" ht="15" hidden="false" customHeight="false" outlineLevel="0" collapsed="false">
      <c r="A491" s="17"/>
      <c r="B491" s="17"/>
      <c r="C491" s="17"/>
      <c r="D491" s="17"/>
      <c r="E491" s="42"/>
      <c r="F491" s="17"/>
      <c r="G491" s="17"/>
      <c r="H491" s="17"/>
      <c r="I491" s="49" t="str">
        <f aca="false">IF(H491="","",IFERROR(INDEX(Settings!$G$2:$G$4,MATCH(H491,Settings!$F$2:$F$4,0)),""))</f>
        <v/>
      </c>
      <c r="J491" s="40"/>
      <c r="K491" s="50"/>
      <c r="L491" s="17"/>
      <c r="M491" s="40"/>
      <c r="N491" s="40"/>
      <c r="O491" s="45" t="str">
        <f aca="false">IF(N491="","",WORKDAY(N491,Settings!$S$4))</f>
        <v/>
      </c>
      <c r="P491" s="17"/>
      <c r="Q491" s="44" t="str">
        <f aca="true">IF(C491="","",IF(P491="Backed out",IF(S491="Paid","Refunded – closed",IF(R491="","Refund – log reason first","Refund in progress")),IF(K491="","Awaiting payment",IF(N491="",IF(M491="","Schedule free video","Free video in production"),IF(P491="Approved","Active",IF(TODAY()&gt;O491,"Active – plan went ahead","Decision pending – "&amp;NETWORKDAYS(TODAY(),O491)&amp;" working day(s) left"))))))</f>
        <v/>
      </c>
      <c r="R491" s="17"/>
      <c r="S491" s="17"/>
      <c r="T491" s="50"/>
      <c r="U491" s="40"/>
      <c r="V491" s="40"/>
      <c r="W491" s="45" t="str">
        <f aca="false">IF(V491="","",EDATE(V491,Settings!$S$6))</f>
        <v/>
      </c>
      <c r="X491" s="17"/>
      <c r="Y491" s="17"/>
      <c r="Z491" s="17"/>
    </row>
    <row r="492" customFormat="false" ht="15" hidden="false" customHeight="false" outlineLevel="0" collapsed="false">
      <c r="A492" s="17"/>
      <c r="B492" s="17"/>
      <c r="C492" s="17"/>
      <c r="D492" s="17"/>
      <c r="E492" s="42"/>
      <c r="F492" s="17"/>
      <c r="G492" s="17"/>
      <c r="H492" s="17"/>
      <c r="I492" s="49" t="str">
        <f aca="false">IF(H492="","",IFERROR(INDEX(Settings!$G$2:$G$4,MATCH(H492,Settings!$F$2:$F$4,0)),""))</f>
        <v/>
      </c>
      <c r="J492" s="40"/>
      <c r="K492" s="50"/>
      <c r="L492" s="17"/>
      <c r="M492" s="40"/>
      <c r="N492" s="40"/>
      <c r="O492" s="45" t="str">
        <f aca="false">IF(N492="","",WORKDAY(N492,Settings!$S$4))</f>
        <v/>
      </c>
      <c r="P492" s="17"/>
      <c r="Q492" s="44" t="str">
        <f aca="true">IF(C492="","",IF(P492="Backed out",IF(S492="Paid","Refunded – closed",IF(R492="","Refund – log reason first","Refund in progress")),IF(K492="","Awaiting payment",IF(N492="",IF(M492="","Schedule free video","Free video in production"),IF(P492="Approved","Active",IF(TODAY()&gt;O492,"Active – plan went ahead","Decision pending – "&amp;NETWORKDAYS(TODAY(),O492)&amp;" working day(s) left"))))))</f>
        <v/>
      </c>
      <c r="R492" s="17"/>
      <c r="S492" s="17"/>
      <c r="T492" s="50"/>
      <c r="U492" s="40"/>
      <c r="V492" s="40"/>
      <c r="W492" s="45" t="str">
        <f aca="false">IF(V492="","",EDATE(V492,Settings!$S$6))</f>
        <v/>
      </c>
      <c r="X492" s="17"/>
      <c r="Y492" s="17"/>
      <c r="Z492" s="17"/>
    </row>
    <row r="493" customFormat="false" ht="15" hidden="false" customHeight="false" outlineLevel="0" collapsed="false">
      <c r="A493" s="17"/>
      <c r="B493" s="17"/>
      <c r="C493" s="17"/>
      <c r="D493" s="17"/>
      <c r="E493" s="42"/>
      <c r="F493" s="17"/>
      <c r="G493" s="17"/>
      <c r="H493" s="17"/>
      <c r="I493" s="49" t="str">
        <f aca="false">IF(H493="","",IFERROR(INDEX(Settings!$G$2:$G$4,MATCH(H493,Settings!$F$2:$F$4,0)),""))</f>
        <v/>
      </c>
      <c r="J493" s="40"/>
      <c r="K493" s="50"/>
      <c r="L493" s="17"/>
      <c r="M493" s="40"/>
      <c r="N493" s="40"/>
      <c r="O493" s="45" t="str">
        <f aca="false">IF(N493="","",WORKDAY(N493,Settings!$S$4))</f>
        <v/>
      </c>
      <c r="P493" s="17"/>
      <c r="Q493" s="44" t="str">
        <f aca="true">IF(C493="","",IF(P493="Backed out",IF(S493="Paid","Refunded – closed",IF(R493="","Refund – log reason first","Refund in progress")),IF(K493="","Awaiting payment",IF(N493="",IF(M493="","Schedule free video","Free video in production"),IF(P493="Approved","Active",IF(TODAY()&gt;O493,"Active – plan went ahead","Decision pending – "&amp;NETWORKDAYS(TODAY(),O493)&amp;" working day(s) left"))))))</f>
        <v/>
      </c>
      <c r="R493" s="17"/>
      <c r="S493" s="17"/>
      <c r="T493" s="50"/>
      <c r="U493" s="40"/>
      <c r="V493" s="40"/>
      <c r="W493" s="45" t="str">
        <f aca="false">IF(V493="","",EDATE(V493,Settings!$S$6))</f>
        <v/>
      </c>
      <c r="X493" s="17"/>
      <c r="Y493" s="17"/>
      <c r="Z493" s="17"/>
    </row>
    <row r="494" customFormat="false" ht="15" hidden="false" customHeight="false" outlineLevel="0" collapsed="false">
      <c r="A494" s="17"/>
      <c r="B494" s="17"/>
      <c r="C494" s="17"/>
      <c r="D494" s="17"/>
      <c r="E494" s="42"/>
      <c r="F494" s="17"/>
      <c r="G494" s="17"/>
      <c r="H494" s="17"/>
      <c r="I494" s="49" t="str">
        <f aca="false">IF(H494="","",IFERROR(INDEX(Settings!$G$2:$G$4,MATCH(H494,Settings!$F$2:$F$4,0)),""))</f>
        <v/>
      </c>
      <c r="J494" s="40"/>
      <c r="K494" s="50"/>
      <c r="L494" s="17"/>
      <c r="M494" s="40"/>
      <c r="N494" s="40"/>
      <c r="O494" s="45" t="str">
        <f aca="false">IF(N494="","",WORKDAY(N494,Settings!$S$4))</f>
        <v/>
      </c>
      <c r="P494" s="17"/>
      <c r="Q494" s="44" t="str">
        <f aca="true">IF(C494="","",IF(P494="Backed out",IF(S494="Paid","Refunded – closed",IF(R494="","Refund – log reason first","Refund in progress")),IF(K494="","Awaiting payment",IF(N494="",IF(M494="","Schedule free video","Free video in production"),IF(P494="Approved","Active",IF(TODAY()&gt;O494,"Active – plan went ahead","Decision pending – "&amp;NETWORKDAYS(TODAY(),O494)&amp;" working day(s) left"))))))</f>
        <v/>
      </c>
      <c r="R494" s="17"/>
      <c r="S494" s="17"/>
      <c r="T494" s="50"/>
      <c r="U494" s="40"/>
      <c r="V494" s="40"/>
      <c r="W494" s="45" t="str">
        <f aca="false">IF(V494="","",EDATE(V494,Settings!$S$6))</f>
        <v/>
      </c>
      <c r="X494" s="17"/>
      <c r="Y494" s="17"/>
      <c r="Z494" s="17"/>
    </row>
    <row r="495" customFormat="false" ht="15" hidden="false" customHeight="false" outlineLevel="0" collapsed="false">
      <c r="A495" s="17"/>
      <c r="B495" s="17"/>
      <c r="C495" s="17"/>
      <c r="D495" s="17"/>
      <c r="E495" s="42"/>
      <c r="F495" s="17"/>
      <c r="G495" s="17"/>
      <c r="H495" s="17"/>
      <c r="I495" s="49" t="str">
        <f aca="false">IF(H495="","",IFERROR(INDEX(Settings!$G$2:$G$4,MATCH(H495,Settings!$F$2:$F$4,0)),""))</f>
        <v/>
      </c>
      <c r="J495" s="40"/>
      <c r="K495" s="50"/>
      <c r="L495" s="17"/>
      <c r="M495" s="40"/>
      <c r="N495" s="40"/>
      <c r="O495" s="45" t="str">
        <f aca="false">IF(N495="","",WORKDAY(N495,Settings!$S$4))</f>
        <v/>
      </c>
      <c r="P495" s="17"/>
      <c r="Q495" s="44" t="str">
        <f aca="true">IF(C495="","",IF(P495="Backed out",IF(S495="Paid","Refunded – closed",IF(R495="","Refund – log reason first","Refund in progress")),IF(K495="","Awaiting payment",IF(N495="",IF(M495="","Schedule free video","Free video in production"),IF(P495="Approved","Active",IF(TODAY()&gt;O495,"Active – plan went ahead","Decision pending – "&amp;NETWORKDAYS(TODAY(),O495)&amp;" working day(s) left"))))))</f>
        <v/>
      </c>
      <c r="R495" s="17"/>
      <c r="S495" s="17"/>
      <c r="T495" s="50"/>
      <c r="U495" s="40"/>
      <c r="V495" s="40"/>
      <c r="W495" s="45" t="str">
        <f aca="false">IF(V495="","",EDATE(V495,Settings!$S$6))</f>
        <v/>
      </c>
      <c r="X495" s="17"/>
      <c r="Y495" s="17"/>
      <c r="Z495" s="17"/>
    </row>
    <row r="496" customFormat="false" ht="15" hidden="false" customHeight="false" outlineLevel="0" collapsed="false">
      <c r="A496" s="17"/>
      <c r="B496" s="17"/>
      <c r="C496" s="17"/>
      <c r="D496" s="17"/>
      <c r="E496" s="42"/>
      <c r="F496" s="17"/>
      <c r="G496" s="17"/>
      <c r="H496" s="17"/>
      <c r="I496" s="49" t="str">
        <f aca="false">IF(H496="","",IFERROR(INDEX(Settings!$G$2:$G$4,MATCH(H496,Settings!$F$2:$F$4,0)),""))</f>
        <v/>
      </c>
      <c r="J496" s="40"/>
      <c r="K496" s="50"/>
      <c r="L496" s="17"/>
      <c r="M496" s="40"/>
      <c r="N496" s="40"/>
      <c r="O496" s="45" t="str">
        <f aca="false">IF(N496="","",WORKDAY(N496,Settings!$S$4))</f>
        <v/>
      </c>
      <c r="P496" s="17"/>
      <c r="Q496" s="44" t="str">
        <f aca="true">IF(C496="","",IF(P496="Backed out",IF(S496="Paid","Refunded – closed",IF(R496="","Refund – log reason first","Refund in progress")),IF(K496="","Awaiting payment",IF(N496="",IF(M496="","Schedule free video","Free video in production"),IF(P496="Approved","Active",IF(TODAY()&gt;O496,"Active – plan went ahead","Decision pending – "&amp;NETWORKDAYS(TODAY(),O496)&amp;" working day(s) left"))))))</f>
        <v/>
      </c>
      <c r="R496" s="17"/>
      <c r="S496" s="17"/>
      <c r="T496" s="50"/>
      <c r="U496" s="40"/>
      <c r="V496" s="40"/>
      <c r="W496" s="45" t="str">
        <f aca="false">IF(V496="","",EDATE(V496,Settings!$S$6))</f>
        <v/>
      </c>
      <c r="X496" s="17"/>
      <c r="Y496" s="17"/>
      <c r="Z496" s="17"/>
    </row>
    <row r="497" customFormat="false" ht="15" hidden="false" customHeight="false" outlineLevel="0" collapsed="false">
      <c r="A497" s="17"/>
      <c r="B497" s="17"/>
      <c r="C497" s="17"/>
      <c r="D497" s="17"/>
      <c r="E497" s="42"/>
      <c r="F497" s="17"/>
      <c r="G497" s="17"/>
      <c r="H497" s="17"/>
      <c r="I497" s="49" t="str">
        <f aca="false">IF(H497="","",IFERROR(INDEX(Settings!$G$2:$G$4,MATCH(H497,Settings!$F$2:$F$4,0)),""))</f>
        <v/>
      </c>
      <c r="J497" s="40"/>
      <c r="K497" s="50"/>
      <c r="L497" s="17"/>
      <c r="M497" s="40"/>
      <c r="N497" s="40"/>
      <c r="O497" s="45" t="str">
        <f aca="false">IF(N497="","",WORKDAY(N497,Settings!$S$4))</f>
        <v/>
      </c>
      <c r="P497" s="17"/>
      <c r="Q497" s="44" t="str">
        <f aca="true">IF(C497="","",IF(P497="Backed out",IF(S497="Paid","Refunded – closed",IF(R497="","Refund – log reason first","Refund in progress")),IF(K497="","Awaiting payment",IF(N497="",IF(M497="","Schedule free video","Free video in production"),IF(P497="Approved","Active",IF(TODAY()&gt;O497,"Active – plan went ahead","Decision pending – "&amp;NETWORKDAYS(TODAY(),O497)&amp;" working day(s) left"))))))</f>
        <v/>
      </c>
      <c r="R497" s="17"/>
      <c r="S497" s="17"/>
      <c r="T497" s="50"/>
      <c r="U497" s="40"/>
      <c r="V497" s="40"/>
      <c r="W497" s="45" t="str">
        <f aca="false">IF(V497="","",EDATE(V497,Settings!$S$6))</f>
        <v/>
      </c>
      <c r="X497" s="17"/>
      <c r="Y497" s="17"/>
      <c r="Z497" s="17"/>
    </row>
    <row r="498" customFormat="false" ht="15" hidden="false" customHeight="false" outlineLevel="0" collapsed="false">
      <c r="A498" s="17"/>
      <c r="B498" s="17"/>
      <c r="C498" s="17"/>
      <c r="D498" s="17"/>
      <c r="E498" s="42"/>
      <c r="F498" s="17"/>
      <c r="G498" s="17"/>
      <c r="H498" s="17"/>
      <c r="I498" s="49" t="str">
        <f aca="false">IF(H498="","",IFERROR(INDEX(Settings!$G$2:$G$4,MATCH(H498,Settings!$F$2:$F$4,0)),""))</f>
        <v/>
      </c>
      <c r="J498" s="40"/>
      <c r="K498" s="50"/>
      <c r="L498" s="17"/>
      <c r="M498" s="40"/>
      <c r="N498" s="40"/>
      <c r="O498" s="45" t="str">
        <f aca="false">IF(N498="","",WORKDAY(N498,Settings!$S$4))</f>
        <v/>
      </c>
      <c r="P498" s="17"/>
      <c r="Q498" s="44" t="str">
        <f aca="true">IF(C498="","",IF(P498="Backed out",IF(S498="Paid","Refunded – closed",IF(R498="","Refund – log reason first","Refund in progress")),IF(K498="","Awaiting payment",IF(N498="",IF(M498="","Schedule free video","Free video in production"),IF(P498="Approved","Active",IF(TODAY()&gt;O498,"Active – plan went ahead","Decision pending – "&amp;NETWORKDAYS(TODAY(),O498)&amp;" working day(s) left"))))))</f>
        <v/>
      </c>
      <c r="R498" s="17"/>
      <c r="S498" s="17"/>
      <c r="T498" s="50"/>
      <c r="U498" s="40"/>
      <c r="V498" s="40"/>
      <c r="W498" s="45" t="str">
        <f aca="false">IF(V498="","",EDATE(V498,Settings!$S$6))</f>
        <v/>
      </c>
      <c r="X498" s="17"/>
      <c r="Y498" s="17"/>
      <c r="Z498" s="17"/>
    </row>
    <row r="499" customFormat="false" ht="15" hidden="false" customHeight="false" outlineLevel="0" collapsed="false">
      <c r="A499" s="17"/>
      <c r="B499" s="17"/>
      <c r="C499" s="17"/>
      <c r="D499" s="17"/>
      <c r="E499" s="42"/>
      <c r="F499" s="17"/>
      <c r="G499" s="17"/>
      <c r="H499" s="17"/>
      <c r="I499" s="49" t="str">
        <f aca="false">IF(H499="","",IFERROR(INDEX(Settings!$G$2:$G$4,MATCH(H499,Settings!$F$2:$F$4,0)),""))</f>
        <v/>
      </c>
      <c r="J499" s="40"/>
      <c r="K499" s="50"/>
      <c r="L499" s="17"/>
      <c r="M499" s="40"/>
      <c r="N499" s="40"/>
      <c r="O499" s="45" t="str">
        <f aca="false">IF(N499="","",WORKDAY(N499,Settings!$S$4))</f>
        <v/>
      </c>
      <c r="P499" s="17"/>
      <c r="Q499" s="44" t="str">
        <f aca="true">IF(C499="","",IF(P499="Backed out",IF(S499="Paid","Refunded – closed",IF(R499="","Refund – log reason first","Refund in progress")),IF(K499="","Awaiting payment",IF(N499="",IF(M499="","Schedule free video","Free video in production"),IF(P499="Approved","Active",IF(TODAY()&gt;O499,"Active – plan went ahead","Decision pending – "&amp;NETWORKDAYS(TODAY(),O499)&amp;" working day(s) left"))))))</f>
        <v/>
      </c>
      <c r="R499" s="17"/>
      <c r="S499" s="17"/>
      <c r="T499" s="50"/>
      <c r="U499" s="40"/>
      <c r="V499" s="40"/>
      <c r="W499" s="45" t="str">
        <f aca="false">IF(V499="","",EDATE(V499,Settings!$S$6))</f>
        <v/>
      </c>
      <c r="X499" s="17"/>
      <c r="Y499" s="17"/>
      <c r="Z499" s="17"/>
    </row>
    <row r="500" customFormat="false" ht="15" hidden="false" customHeight="false" outlineLevel="0" collapsed="false">
      <c r="A500" s="17"/>
      <c r="B500" s="17"/>
      <c r="C500" s="17"/>
      <c r="D500" s="17"/>
      <c r="E500" s="42"/>
      <c r="F500" s="17"/>
      <c r="G500" s="17"/>
      <c r="H500" s="17"/>
      <c r="I500" s="49" t="str">
        <f aca="false">IF(H500="","",IFERROR(INDEX(Settings!$G$2:$G$4,MATCH(H500,Settings!$F$2:$F$4,0)),""))</f>
        <v/>
      </c>
      <c r="J500" s="40"/>
      <c r="K500" s="50"/>
      <c r="L500" s="17"/>
      <c r="M500" s="40"/>
      <c r="N500" s="40"/>
      <c r="O500" s="45" t="str">
        <f aca="false">IF(N500="","",WORKDAY(N500,Settings!$S$4))</f>
        <v/>
      </c>
      <c r="P500" s="17"/>
      <c r="Q500" s="44" t="str">
        <f aca="true">IF(C500="","",IF(P500="Backed out",IF(S500="Paid","Refunded – closed",IF(R500="","Refund – log reason first","Refund in progress")),IF(K500="","Awaiting payment",IF(N500="",IF(M500="","Schedule free video","Free video in production"),IF(P500="Approved","Active",IF(TODAY()&gt;O500,"Active – plan went ahead","Decision pending – "&amp;NETWORKDAYS(TODAY(),O500)&amp;" working day(s) left"))))))</f>
        <v/>
      </c>
      <c r="R500" s="17"/>
      <c r="S500" s="17"/>
      <c r="T500" s="50"/>
      <c r="U500" s="40"/>
      <c r="V500" s="40"/>
      <c r="W500" s="45" t="str">
        <f aca="false">IF(V500="","",EDATE(V500,Settings!$S$6))</f>
        <v/>
      </c>
      <c r="X500" s="17"/>
      <c r="Y500" s="17"/>
      <c r="Z500" s="17"/>
    </row>
    <row r="501" customFormat="false" ht="15" hidden="false" customHeight="false" outlineLevel="0" collapsed="false">
      <c r="A501" s="17"/>
      <c r="B501" s="17"/>
      <c r="C501" s="17"/>
      <c r="D501" s="17"/>
      <c r="E501" s="42"/>
      <c r="F501" s="17"/>
      <c r="G501" s="17"/>
      <c r="H501" s="17"/>
      <c r="I501" s="49" t="str">
        <f aca="false">IF(H501="","",IFERROR(INDEX(Settings!$G$2:$G$4,MATCH(H501,Settings!$F$2:$F$4,0)),""))</f>
        <v/>
      </c>
      <c r="J501" s="40"/>
      <c r="K501" s="50"/>
      <c r="L501" s="17"/>
      <c r="M501" s="40"/>
      <c r="N501" s="40"/>
      <c r="O501" s="45" t="str">
        <f aca="false">IF(N501="","",WORKDAY(N501,Settings!$S$4))</f>
        <v/>
      </c>
      <c r="P501" s="17"/>
      <c r="Q501" s="44" t="str">
        <f aca="true">IF(C501="","",IF(P501="Backed out",IF(S501="Paid","Refunded – closed",IF(R501="","Refund – log reason first","Refund in progress")),IF(K501="","Awaiting payment",IF(N501="",IF(M501="","Schedule free video","Free video in production"),IF(P501="Approved","Active",IF(TODAY()&gt;O501,"Active – plan went ahead","Decision pending – "&amp;NETWORKDAYS(TODAY(),O501)&amp;" working day(s) left"))))))</f>
        <v/>
      </c>
      <c r="R501" s="17"/>
      <c r="S501" s="17"/>
      <c r="T501" s="50"/>
      <c r="U501" s="40"/>
      <c r="V501" s="40"/>
      <c r="W501" s="45" t="str">
        <f aca="false">IF(V501="","",EDATE(V501,Settings!$S$6))</f>
        <v/>
      </c>
      <c r="X501" s="17"/>
      <c r="Y501" s="17"/>
      <c r="Z501" s="17"/>
    </row>
  </sheetData>
  <autoFilter ref="A1:Z501"/>
  <conditionalFormatting sqref="Q2:Q501">
    <cfRule type="expression" priority="2" aboveAverage="0" equalAverage="0" bottom="0" percent="0" rank="0" text="" dxfId="22">
      <formula>LEFT(Q2,6)="Active"</formula>
    </cfRule>
    <cfRule type="expression" priority="3" aboveAverage="0" equalAverage="0" bottom="0" percent="0" rank="0" text="" dxfId="11">
      <formula>LEFT(Q2,8)="Decision"</formula>
    </cfRule>
    <cfRule type="expression" priority="4" aboveAverage="0" equalAverage="0" bottom="0" percent="0" rank="0" text="" dxfId="9">
      <formula>LEFT(Q2,6)="Refund"</formula>
    </cfRule>
    <cfRule type="expression" priority="5" aboveAverage="0" equalAverage="0" bottom="0" percent="0" rank="0" text="" dxfId="10">
      <formula>Q2="Awaiting payment"</formula>
    </cfRule>
  </conditionalFormatting>
  <dataValidations count="12">
    <dataValidation allowBlank="true" error="Pick a value from the list (edit lists on the Settings tab)." errorStyle="stop" errorTitle="Not on the list" operator="between" showDropDown="false" showErrorMessage="false" showInputMessage="false" sqref="H2:H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L2:L501" type="list">
      <formula1>Settings!$I$2:$I$6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P2:P501" type="list">
      <formula1>Settings!$J$2:$J$4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R2:R501" type="list">
      <formula1>Settings!$K$2:$K$7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S2:S501" type="list">
      <formula1>Settings!$L$2:$L$4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X2:X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Y2:Y501" type="list">
      <formula1>Settings!$E$2:$E$5</formula1>
      <formula2>0</formula2>
    </dataValidation>
    <dataValidation allowBlank="true" error="Enter a date - double-click the cell for a calendar." errorStyle="stop" errorTitle="Not a date" operator="between" showDropDown="false" showErrorMessage="false" showInputMessage="false" sqref="J2:J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M2:M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N2:N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U2:U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V2:V501" type="date">
      <formula1>DATE(2020,1,1)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6C00"/>
    <pageSetUpPr fitToPage="false"/>
  </sheetPr>
  <dimension ref="A1:N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4"/>
    <col collapsed="false" customWidth="true" hidden="false" outlineLevel="0" max="6" min="4" style="0" width="16"/>
    <col collapsed="false" customWidth="true" hidden="false" outlineLevel="0" max="7" min="7" style="0" width="22"/>
    <col collapsed="false" customWidth="true" hidden="false" outlineLevel="0" max="11" min="8" style="0" width="16"/>
    <col collapsed="false" customWidth="true" hidden="false" outlineLevel="0" max="12" min="12" style="0" width="26"/>
    <col collapsed="false" customWidth="true" hidden="false" outlineLevel="0" max="14" min="13" style="0" width="30"/>
  </cols>
  <sheetData>
    <row r="1" customFormat="false" ht="31.5" hidden="false" customHeight="true" outlineLevel="0" collapsed="false">
      <c r="A1" s="29" t="s">
        <v>262</v>
      </c>
      <c r="B1" s="29" t="s">
        <v>234</v>
      </c>
      <c r="C1" s="30" t="s">
        <v>150</v>
      </c>
      <c r="D1" s="29" t="s">
        <v>263</v>
      </c>
      <c r="E1" s="29" t="s">
        <v>264</v>
      </c>
      <c r="F1" s="29" t="s">
        <v>265</v>
      </c>
      <c r="G1" s="29" t="s">
        <v>266</v>
      </c>
      <c r="H1" s="29" t="s">
        <v>252</v>
      </c>
      <c r="I1" s="29" t="s">
        <v>244</v>
      </c>
      <c r="J1" s="29" t="s">
        <v>267</v>
      </c>
      <c r="K1" s="29" t="s">
        <v>268</v>
      </c>
      <c r="L1" s="29" t="s">
        <v>269</v>
      </c>
      <c r="M1" s="29" t="s">
        <v>171</v>
      </c>
      <c r="N1" s="30" t="s">
        <v>270</v>
      </c>
    </row>
    <row r="2" customFormat="false" ht="15" hidden="false" customHeight="false" outlineLevel="0" collapsed="false">
      <c r="A2" s="31" t="s">
        <v>271</v>
      </c>
      <c r="B2" s="31" t="s">
        <v>253</v>
      </c>
      <c r="C2" s="37" t="str">
        <f aca="false">IF(B2="","",IFERROR(INDEX(Clients!$C$2:$C$501,MATCH(B2,Clients!$A$2:$A$501,0)),"Client ID not found"))</f>
        <v>Example Salon (EXAMPLE)</v>
      </c>
      <c r="D2" s="31" t="s">
        <v>39</v>
      </c>
      <c r="E2" s="32" t="n">
        <v>46309</v>
      </c>
      <c r="F2" s="33" t="n">
        <v>0.416666666666667</v>
      </c>
      <c r="G2" s="31" t="s">
        <v>272</v>
      </c>
      <c r="H2" s="31" t="s">
        <v>60</v>
      </c>
      <c r="I2" s="31" t="s">
        <v>273</v>
      </c>
      <c r="J2" s="32" t="n">
        <v>46314</v>
      </c>
      <c r="K2" s="31" t="n">
        <v>1</v>
      </c>
      <c r="L2" s="31"/>
      <c r="M2" s="31" t="s">
        <v>186</v>
      </c>
      <c r="N2" s="36" t="str">
        <f aca="true">IF(A2="","",IF(N(K2)&gt;Settings!$S$7,"Over revision limit",IF(AND(D2="Free video",J2="",E2&lt;&gt;"",TODAY()&gt;WORKDAY(E2,Settings!$S$5)),"LATE – free video promised in 5 working days",IF(AND(E2&lt;&gt;"",E2=TODAY()),"Shooting today",""))))</f>
        <v/>
      </c>
    </row>
    <row r="3" customFormat="false" ht="15" hidden="false" customHeight="false" outlineLevel="0" collapsed="false">
      <c r="A3" s="17"/>
      <c r="B3" s="17"/>
      <c r="C3" s="44" t="str">
        <f aca="false">IF(B3="","",IFERROR(INDEX(Clients!$C$2:$C$501,MATCH(B3,Clients!$A$2:$A$501,0)),"Client ID not found"))</f>
        <v/>
      </c>
      <c r="D3" s="17"/>
      <c r="E3" s="40"/>
      <c r="F3" s="41"/>
      <c r="G3" s="17"/>
      <c r="H3" s="17"/>
      <c r="I3" s="17"/>
      <c r="J3" s="40"/>
      <c r="K3" s="17"/>
      <c r="L3" s="17"/>
      <c r="M3" s="17"/>
      <c r="N3" s="44" t="str">
        <f aca="true">IF(A3="","",IF(N(K3)&gt;Settings!$S$7,"Over revision limit",IF(AND(D3="Free video",J3="",E3&lt;&gt;"",TODAY()&gt;WORKDAY(E3,Settings!$S$5)),"LATE – free video promised in 5 working days",IF(AND(E3&lt;&gt;"",E3=TODAY()),"Shooting today",""))))</f>
        <v/>
      </c>
    </row>
    <row r="4" customFormat="false" ht="15" hidden="false" customHeight="false" outlineLevel="0" collapsed="false">
      <c r="A4" s="17"/>
      <c r="B4" s="17"/>
      <c r="C4" s="44" t="str">
        <f aca="false">IF(B4="","",IFERROR(INDEX(Clients!$C$2:$C$501,MATCH(B4,Clients!$A$2:$A$501,0)),"Client ID not found"))</f>
        <v/>
      </c>
      <c r="D4" s="17"/>
      <c r="E4" s="40"/>
      <c r="F4" s="41"/>
      <c r="G4" s="17"/>
      <c r="H4" s="17"/>
      <c r="I4" s="17"/>
      <c r="J4" s="40"/>
      <c r="K4" s="17"/>
      <c r="L4" s="17"/>
      <c r="M4" s="17"/>
      <c r="N4" s="44" t="str">
        <f aca="true">IF(A4="","",IF(N(K4)&gt;Settings!$S$7,"Over revision limit",IF(AND(D4="Free video",J4="",E4&lt;&gt;"",TODAY()&gt;WORKDAY(E4,Settings!$S$5)),"LATE – free video promised in 5 working days",IF(AND(E4&lt;&gt;"",E4=TODAY()),"Shooting today",""))))</f>
        <v/>
      </c>
    </row>
    <row r="5" customFormat="false" ht="15" hidden="false" customHeight="false" outlineLevel="0" collapsed="false">
      <c r="A5" s="17"/>
      <c r="B5" s="17"/>
      <c r="C5" s="44" t="str">
        <f aca="false">IF(B5="","",IFERROR(INDEX(Clients!$C$2:$C$501,MATCH(B5,Clients!$A$2:$A$501,0)),"Client ID not found"))</f>
        <v/>
      </c>
      <c r="D5" s="17"/>
      <c r="E5" s="40"/>
      <c r="F5" s="41"/>
      <c r="G5" s="17"/>
      <c r="H5" s="17"/>
      <c r="I5" s="17"/>
      <c r="J5" s="40"/>
      <c r="K5" s="17"/>
      <c r="L5" s="17"/>
      <c r="M5" s="17"/>
      <c r="N5" s="44" t="str">
        <f aca="true">IF(A5="","",IF(N(K5)&gt;Settings!$S$7,"Over revision limit",IF(AND(D5="Free video",J5="",E5&lt;&gt;"",TODAY()&gt;WORKDAY(E5,Settings!$S$5)),"LATE – free video promised in 5 working days",IF(AND(E5&lt;&gt;"",E5=TODAY()),"Shooting today",""))))</f>
        <v/>
      </c>
    </row>
    <row r="6" customFormat="false" ht="15" hidden="false" customHeight="false" outlineLevel="0" collapsed="false">
      <c r="A6" s="17"/>
      <c r="B6" s="17"/>
      <c r="C6" s="44" t="str">
        <f aca="false">IF(B6="","",IFERROR(INDEX(Clients!$C$2:$C$501,MATCH(B6,Clients!$A$2:$A$501,0)),"Client ID not found"))</f>
        <v/>
      </c>
      <c r="D6" s="17"/>
      <c r="E6" s="40"/>
      <c r="F6" s="41"/>
      <c r="G6" s="17"/>
      <c r="H6" s="17"/>
      <c r="I6" s="17"/>
      <c r="J6" s="40"/>
      <c r="K6" s="17"/>
      <c r="L6" s="17"/>
      <c r="M6" s="17"/>
      <c r="N6" s="44" t="str">
        <f aca="true">IF(A6="","",IF(N(K6)&gt;Settings!$S$7,"Over revision limit",IF(AND(D6="Free video",J6="",E6&lt;&gt;"",TODAY()&gt;WORKDAY(E6,Settings!$S$5)),"LATE – free video promised in 5 working days",IF(AND(E6&lt;&gt;"",E6=TODAY()),"Shooting today",""))))</f>
        <v/>
      </c>
    </row>
    <row r="7" customFormat="false" ht="15" hidden="false" customHeight="false" outlineLevel="0" collapsed="false">
      <c r="A7" s="17"/>
      <c r="B7" s="17"/>
      <c r="C7" s="44" t="str">
        <f aca="false">IF(B7="","",IFERROR(INDEX(Clients!$C$2:$C$501,MATCH(B7,Clients!$A$2:$A$501,0)),"Client ID not found"))</f>
        <v/>
      </c>
      <c r="D7" s="17"/>
      <c r="E7" s="40"/>
      <c r="F7" s="41"/>
      <c r="G7" s="17"/>
      <c r="H7" s="17"/>
      <c r="I7" s="17"/>
      <c r="J7" s="40"/>
      <c r="K7" s="17"/>
      <c r="L7" s="17"/>
      <c r="M7" s="17"/>
      <c r="N7" s="44" t="str">
        <f aca="true">IF(A7="","",IF(N(K7)&gt;Settings!$S$7,"Over revision limit",IF(AND(D7="Free video",J7="",E7&lt;&gt;"",TODAY()&gt;WORKDAY(E7,Settings!$S$5)),"LATE – free video promised in 5 working days",IF(AND(E7&lt;&gt;"",E7=TODAY()),"Shooting today",""))))</f>
        <v/>
      </c>
    </row>
    <row r="8" customFormat="false" ht="15" hidden="false" customHeight="false" outlineLevel="0" collapsed="false">
      <c r="A8" s="17"/>
      <c r="B8" s="17"/>
      <c r="C8" s="44" t="str">
        <f aca="false">IF(B8="","",IFERROR(INDEX(Clients!$C$2:$C$501,MATCH(B8,Clients!$A$2:$A$501,0)),"Client ID not found"))</f>
        <v/>
      </c>
      <c r="D8" s="17"/>
      <c r="E8" s="40"/>
      <c r="F8" s="41"/>
      <c r="G8" s="17"/>
      <c r="H8" s="17"/>
      <c r="I8" s="17"/>
      <c r="J8" s="40"/>
      <c r="K8" s="17"/>
      <c r="L8" s="17"/>
      <c r="M8" s="17"/>
      <c r="N8" s="44" t="str">
        <f aca="true">IF(A8="","",IF(N(K8)&gt;Settings!$S$7,"Over revision limit",IF(AND(D8="Free video",J8="",E8&lt;&gt;"",TODAY()&gt;WORKDAY(E8,Settings!$S$5)),"LATE – free video promised in 5 working days",IF(AND(E8&lt;&gt;"",E8=TODAY()),"Shooting today",""))))</f>
        <v/>
      </c>
    </row>
    <row r="9" customFormat="false" ht="15" hidden="false" customHeight="false" outlineLevel="0" collapsed="false">
      <c r="A9" s="17"/>
      <c r="B9" s="17"/>
      <c r="C9" s="44" t="str">
        <f aca="false">IF(B9="","",IFERROR(INDEX(Clients!$C$2:$C$501,MATCH(B9,Clients!$A$2:$A$501,0)),"Client ID not found"))</f>
        <v/>
      </c>
      <c r="D9" s="17"/>
      <c r="E9" s="40"/>
      <c r="F9" s="41"/>
      <c r="G9" s="17"/>
      <c r="H9" s="17"/>
      <c r="I9" s="17"/>
      <c r="J9" s="40"/>
      <c r="K9" s="17"/>
      <c r="L9" s="17"/>
      <c r="M9" s="17"/>
      <c r="N9" s="44" t="str">
        <f aca="true">IF(A9="","",IF(N(K9)&gt;Settings!$S$7,"Over revision limit",IF(AND(D9="Free video",J9="",E9&lt;&gt;"",TODAY()&gt;WORKDAY(E9,Settings!$S$5)),"LATE – free video promised in 5 working days",IF(AND(E9&lt;&gt;"",E9=TODAY()),"Shooting today",""))))</f>
        <v/>
      </c>
    </row>
    <row r="10" customFormat="false" ht="15" hidden="false" customHeight="false" outlineLevel="0" collapsed="false">
      <c r="A10" s="17"/>
      <c r="B10" s="17"/>
      <c r="C10" s="44" t="str">
        <f aca="false">IF(B10="","",IFERROR(INDEX(Clients!$C$2:$C$501,MATCH(B10,Clients!$A$2:$A$501,0)),"Client ID not found"))</f>
        <v/>
      </c>
      <c r="D10" s="17"/>
      <c r="E10" s="40"/>
      <c r="F10" s="41"/>
      <c r="G10" s="17"/>
      <c r="H10" s="17"/>
      <c r="I10" s="17"/>
      <c r="J10" s="40"/>
      <c r="K10" s="17"/>
      <c r="L10" s="17"/>
      <c r="M10" s="17"/>
      <c r="N10" s="44" t="str">
        <f aca="true">IF(A10="","",IF(N(K10)&gt;Settings!$S$7,"Over revision limit",IF(AND(D10="Free video",J10="",E10&lt;&gt;"",TODAY()&gt;WORKDAY(E10,Settings!$S$5)),"LATE – free video promised in 5 working days",IF(AND(E10&lt;&gt;"",E10=TODAY()),"Shooting today",""))))</f>
        <v/>
      </c>
    </row>
    <row r="11" customFormat="false" ht="15" hidden="false" customHeight="false" outlineLevel="0" collapsed="false">
      <c r="A11" s="17"/>
      <c r="B11" s="17"/>
      <c r="C11" s="44" t="str">
        <f aca="false">IF(B11="","",IFERROR(INDEX(Clients!$C$2:$C$501,MATCH(B11,Clients!$A$2:$A$501,0)),"Client ID not found"))</f>
        <v/>
      </c>
      <c r="D11" s="17"/>
      <c r="E11" s="40"/>
      <c r="F11" s="41"/>
      <c r="G11" s="17"/>
      <c r="H11" s="17"/>
      <c r="I11" s="17"/>
      <c r="J11" s="40"/>
      <c r="K11" s="17"/>
      <c r="L11" s="17"/>
      <c r="M11" s="17"/>
      <c r="N11" s="44" t="str">
        <f aca="true">IF(A11="","",IF(N(K11)&gt;Settings!$S$7,"Over revision limit",IF(AND(D11="Free video",J11="",E11&lt;&gt;"",TODAY()&gt;WORKDAY(E11,Settings!$S$5)),"LATE – free video promised in 5 working days",IF(AND(E11&lt;&gt;"",E11=TODAY()),"Shooting today",""))))</f>
        <v/>
      </c>
    </row>
    <row r="12" customFormat="false" ht="15" hidden="false" customHeight="false" outlineLevel="0" collapsed="false">
      <c r="A12" s="17"/>
      <c r="B12" s="17"/>
      <c r="C12" s="44" t="str">
        <f aca="false">IF(B12="","",IFERROR(INDEX(Clients!$C$2:$C$501,MATCH(B12,Clients!$A$2:$A$501,0)),"Client ID not found"))</f>
        <v/>
      </c>
      <c r="D12" s="17"/>
      <c r="E12" s="40"/>
      <c r="F12" s="41"/>
      <c r="G12" s="17"/>
      <c r="H12" s="17"/>
      <c r="I12" s="17"/>
      <c r="J12" s="40"/>
      <c r="K12" s="17"/>
      <c r="L12" s="17"/>
      <c r="M12" s="17"/>
      <c r="N12" s="44" t="str">
        <f aca="true">IF(A12="","",IF(N(K12)&gt;Settings!$S$7,"Over revision limit",IF(AND(D12="Free video",J12="",E12&lt;&gt;"",TODAY()&gt;WORKDAY(E12,Settings!$S$5)),"LATE – free video promised in 5 working days",IF(AND(E12&lt;&gt;"",E12=TODAY()),"Shooting today",""))))</f>
        <v/>
      </c>
    </row>
    <row r="13" customFormat="false" ht="15" hidden="false" customHeight="false" outlineLevel="0" collapsed="false">
      <c r="A13" s="17"/>
      <c r="B13" s="17"/>
      <c r="C13" s="44" t="str">
        <f aca="false">IF(B13="","",IFERROR(INDEX(Clients!$C$2:$C$501,MATCH(B13,Clients!$A$2:$A$501,0)),"Client ID not found"))</f>
        <v/>
      </c>
      <c r="D13" s="17"/>
      <c r="E13" s="40"/>
      <c r="F13" s="41"/>
      <c r="G13" s="17"/>
      <c r="H13" s="17"/>
      <c r="I13" s="17"/>
      <c r="J13" s="40"/>
      <c r="K13" s="17"/>
      <c r="L13" s="17"/>
      <c r="M13" s="17"/>
      <c r="N13" s="44" t="str">
        <f aca="true">IF(A13="","",IF(N(K13)&gt;Settings!$S$7,"Over revision limit",IF(AND(D13="Free video",J13="",E13&lt;&gt;"",TODAY()&gt;WORKDAY(E13,Settings!$S$5)),"LATE – free video promised in 5 working days",IF(AND(E13&lt;&gt;"",E13=TODAY()),"Shooting today",""))))</f>
        <v/>
      </c>
    </row>
    <row r="14" customFormat="false" ht="15" hidden="false" customHeight="false" outlineLevel="0" collapsed="false">
      <c r="A14" s="17"/>
      <c r="B14" s="17"/>
      <c r="C14" s="44" t="str">
        <f aca="false">IF(B14="","",IFERROR(INDEX(Clients!$C$2:$C$501,MATCH(B14,Clients!$A$2:$A$501,0)),"Client ID not found"))</f>
        <v/>
      </c>
      <c r="D14" s="17"/>
      <c r="E14" s="40"/>
      <c r="F14" s="41"/>
      <c r="G14" s="17"/>
      <c r="H14" s="17"/>
      <c r="I14" s="17"/>
      <c r="J14" s="40"/>
      <c r="K14" s="17"/>
      <c r="L14" s="17"/>
      <c r="M14" s="17"/>
      <c r="N14" s="44" t="str">
        <f aca="true">IF(A14="","",IF(N(K14)&gt;Settings!$S$7,"Over revision limit",IF(AND(D14="Free video",J14="",E14&lt;&gt;"",TODAY()&gt;WORKDAY(E14,Settings!$S$5)),"LATE – free video promised in 5 working days",IF(AND(E14&lt;&gt;"",E14=TODAY()),"Shooting today",""))))</f>
        <v/>
      </c>
    </row>
    <row r="15" customFormat="false" ht="15" hidden="false" customHeight="false" outlineLevel="0" collapsed="false">
      <c r="A15" s="17"/>
      <c r="B15" s="17"/>
      <c r="C15" s="44" t="str">
        <f aca="false">IF(B15="","",IFERROR(INDEX(Clients!$C$2:$C$501,MATCH(B15,Clients!$A$2:$A$501,0)),"Client ID not found"))</f>
        <v/>
      </c>
      <c r="D15" s="17"/>
      <c r="E15" s="40"/>
      <c r="F15" s="41"/>
      <c r="G15" s="17"/>
      <c r="H15" s="17"/>
      <c r="I15" s="17"/>
      <c r="J15" s="40"/>
      <c r="K15" s="17"/>
      <c r="L15" s="17"/>
      <c r="M15" s="17"/>
      <c r="N15" s="44" t="str">
        <f aca="true">IF(A15="","",IF(N(K15)&gt;Settings!$S$7,"Over revision limit",IF(AND(D15="Free video",J15="",E15&lt;&gt;"",TODAY()&gt;WORKDAY(E15,Settings!$S$5)),"LATE – free video promised in 5 working days",IF(AND(E15&lt;&gt;"",E15=TODAY()),"Shooting today",""))))</f>
        <v/>
      </c>
    </row>
    <row r="16" customFormat="false" ht="15" hidden="false" customHeight="false" outlineLevel="0" collapsed="false">
      <c r="A16" s="17"/>
      <c r="B16" s="17"/>
      <c r="C16" s="44" t="str">
        <f aca="false">IF(B16="","",IFERROR(INDEX(Clients!$C$2:$C$501,MATCH(B16,Clients!$A$2:$A$501,0)),"Client ID not found"))</f>
        <v/>
      </c>
      <c r="D16" s="17"/>
      <c r="E16" s="40"/>
      <c r="F16" s="41"/>
      <c r="G16" s="17"/>
      <c r="H16" s="17"/>
      <c r="I16" s="17"/>
      <c r="J16" s="40"/>
      <c r="K16" s="17"/>
      <c r="L16" s="17"/>
      <c r="M16" s="17"/>
      <c r="N16" s="44" t="str">
        <f aca="true">IF(A16="","",IF(N(K16)&gt;Settings!$S$7,"Over revision limit",IF(AND(D16="Free video",J16="",E16&lt;&gt;"",TODAY()&gt;WORKDAY(E16,Settings!$S$5)),"LATE – free video promised in 5 working days",IF(AND(E16&lt;&gt;"",E16=TODAY()),"Shooting today",""))))</f>
        <v/>
      </c>
    </row>
    <row r="17" customFormat="false" ht="15" hidden="false" customHeight="false" outlineLevel="0" collapsed="false">
      <c r="A17" s="17"/>
      <c r="B17" s="17"/>
      <c r="C17" s="44" t="str">
        <f aca="false">IF(B17="","",IFERROR(INDEX(Clients!$C$2:$C$501,MATCH(B17,Clients!$A$2:$A$501,0)),"Client ID not found"))</f>
        <v/>
      </c>
      <c r="D17" s="17"/>
      <c r="E17" s="40"/>
      <c r="F17" s="41"/>
      <c r="G17" s="17"/>
      <c r="H17" s="17"/>
      <c r="I17" s="17"/>
      <c r="J17" s="40"/>
      <c r="K17" s="17"/>
      <c r="L17" s="17"/>
      <c r="M17" s="17"/>
      <c r="N17" s="44" t="str">
        <f aca="true">IF(A17="","",IF(N(K17)&gt;Settings!$S$7,"Over revision limit",IF(AND(D17="Free video",J17="",E17&lt;&gt;"",TODAY()&gt;WORKDAY(E17,Settings!$S$5)),"LATE – free video promised in 5 working days",IF(AND(E17&lt;&gt;"",E17=TODAY()),"Shooting today",""))))</f>
        <v/>
      </c>
    </row>
    <row r="18" customFormat="false" ht="15" hidden="false" customHeight="false" outlineLevel="0" collapsed="false">
      <c r="A18" s="17"/>
      <c r="B18" s="17"/>
      <c r="C18" s="44" t="str">
        <f aca="false">IF(B18="","",IFERROR(INDEX(Clients!$C$2:$C$501,MATCH(B18,Clients!$A$2:$A$501,0)),"Client ID not found"))</f>
        <v/>
      </c>
      <c r="D18" s="17"/>
      <c r="E18" s="40"/>
      <c r="F18" s="41"/>
      <c r="G18" s="17"/>
      <c r="H18" s="17"/>
      <c r="I18" s="17"/>
      <c r="J18" s="40"/>
      <c r="K18" s="17"/>
      <c r="L18" s="17"/>
      <c r="M18" s="17"/>
      <c r="N18" s="44" t="str">
        <f aca="true">IF(A18="","",IF(N(K18)&gt;Settings!$S$7,"Over revision limit",IF(AND(D18="Free video",J18="",E18&lt;&gt;"",TODAY()&gt;WORKDAY(E18,Settings!$S$5)),"LATE – free video promised in 5 working days",IF(AND(E18&lt;&gt;"",E18=TODAY()),"Shooting today",""))))</f>
        <v/>
      </c>
    </row>
    <row r="19" customFormat="false" ht="15" hidden="false" customHeight="false" outlineLevel="0" collapsed="false">
      <c r="A19" s="17"/>
      <c r="B19" s="17"/>
      <c r="C19" s="44" t="str">
        <f aca="false">IF(B19="","",IFERROR(INDEX(Clients!$C$2:$C$501,MATCH(B19,Clients!$A$2:$A$501,0)),"Client ID not found"))</f>
        <v/>
      </c>
      <c r="D19" s="17"/>
      <c r="E19" s="40"/>
      <c r="F19" s="41"/>
      <c r="G19" s="17"/>
      <c r="H19" s="17"/>
      <c r="I19" s="17"/>
      <c r="J19" s="40"/>
      <c r="K19" s="17"/>
      <c r="L19" s="17"/>
      <c r="M19" s="17"/>
      <c r="N19" s="44" t="str">
        <f aca="true">IF(A19="","",IF(N(K19)&gt;Settings!$S$7,"Over revision limit",IF(AND(D19="Free video",J19="",E19&lt;&gt;"",TODAY()&gt;WORKDAY(E19,Settings!$S$5)),"LATE – free video promised in 5 working days",IF(AND(E19&lt;&gt;"",E19=TODAY()),"Shooting today",""))))</f>
        <v/>
      </c>
    </row>
    <row r="20" customFormat="false" ht="15" hidden="false" customHeight="false" outlineLevel="0" collapsed="false">
      <c r="A20" s="17"/>
      <c r="B20" s="17"/>
      <c r="C20" s="44" t="str">
        <f aca="false">IF(B20="","",IFERROR(INDEX(Clients!$C$2:$C$501,MATCH(B20,Clients!$A$2:$A$501,0)),"Client ID not found"))</f>
        <v/>
      </c>
      <c r="D20" s="17"/>
      <c r="E20" s="40"/>
      <c r="F20" s="41"/>
      <c r="G20" s="17"/>
      <c r="H20" s="17"/>
      <c r="I20" s="17"/>
      <c r="J20" s="40"/>
      <c r="K20" s="17"/>
      <c r="L20" s="17"/>
      <c r="M20" s="17"/>
      <c r="N20" s="44" t="str">
        <f aca="true">IF(A20="","",IF(N(K20)&gt;Settings!$S$7,"Over revision limit",IF(AND(D20="Free video",J20="",E20&lt;&gt;"",TODAY()&gt;WORKDAY(E20,Settings!$S$5)),"LATE – free video promised in 5 working days",IF(AND(E20&lt;&gt;"",E20=TODAY()),"Shooting today",""))))</f>
        <v/>
      </c>
    </row>
    <row r="21" customFormat="false" ht="15" hidden="false" customHeight="false" outlineLevel="0" collapsed="false">
      <c r="A21" s="17"/>
      <c r="B21" s="17"/>
      <c r="C21" s="44" t="str">
        <f aca="false">IF(B21="","",IFERROR(INDEX(Clients!$C$2:$C$501,MATCH(B21,Clients!$A$2:$A$501,0)),"Client ID not found"))</f>
        <v/>
      </c>
      <c r="D21" s="17"/>
      <c r="E21" s="40"/>
      <c r="F21" s="41"/>
      <c r="G21" s="17"/>
      <c r="H21" s="17"/>
      <c r="I21" s="17"/>
      <c r="J21" s="40"/>
      <c r="K21" s="17"/>
      <c r="L21" s="17"/>
      <c r="M21" s="17"/>
      <c r="N21" s="44" t="str">
        <f aca="true">IF(A21="","",IF(N(K21)&gt;Settings!$S$7,"Over revision limit",IF(AND(D21="Free video",J21="",E21&lt;&gt;"",TODAY()&gt;WORKDAY(E21,Settings!$S$5)),"LATE – free video promised in 5 working days",IF(AND(E21&lt;&gt;"",E21=TODAY()),"Shooting today",""))))</f>
        <v/>
      </c>
    </row>
    <row r="22" customFormat="false" ht="15" hidden="false" customHeight="false" outlineLevel="0" collapsed="false">
      <c r="A22" s="17"/>
      <c r="B22" s="17"/>
      <c r="C22" s="44" t="str">
        <f aca="false">IF(B22="","",IFERROR(INDEX(Clients!$C$2:$C$501,MATCH(B22,Clients!$A$2:$A$501,0)),"Client ID not found"))</f>
        <v/>
      </c>
      <c r="D22" s="17"/>
      <c r="E22" s="40"/>
      <c r="F22" s="41"/>
      <c r="G22" s="17"/>
      <c r="H22" s="17"/>
      <c r="I22" s="17"/>
      <c r="J22" s="40"/>
      <c r="K22" s="17"/>
      <c r="L22" s="17"/>
      <c r="M22" s="17"/>
      <c r="N22" s="44" t="str">
        <f aca="true">IF(A22="","",IF(N(K22)&gt;Settings!$S$7,"Over revision limit",IF(AND(D22="Free video",J22="",E22&lt;&gt;"",TODAY()&gt;WORKDAY(E22,Settings!$S$5)),"LATE – free video promised in 5 working days",IF(AND(E22&lt;&gt;"",E22=TODAY()),"Shooting today",""))))</f>
        <v/>
      </c>
    </row>
    <row r="23" customFormat="false" ht="15" hidden="false" customHeight="false" outlineLevel="0" collapsed="false">
      <c r="A23" s="17"/>
      <c r="B23" s="17"/>
      <c r="C23" s="44" t="str">
        <f aca="false">IF(B23="","",IFERROR(INDEX(Clients!$C$2:$C$501,MATCH(B23,Clients!$A$2:$A$501,0)),"Client ID not found"))</f>
        <v/>
      </c>
      <c r="D23" s="17"/>
      <c r="E23" s="40"/>
      <c r="F23" s="41"/>
      <c r="G23" s="17"/>
      <c r="H23" s="17"/>
      <c r="I23" s="17"/>
      <c r="J23" s="40"/>
      <c r="K23" s="17"/>
      <c r="L23" s="17"/>
      <c r="M23" s="17"/>
      <c r="N23" s="44" t="str">
        <f aca="true">IF(A23="","",IF(N(K23)&gt;Settings!$S$7,"Over revision limit",IF(AND(D23="Free video",J23="",E23&lt;&gt;"",TODAY()&gt;WORKDAY(E23,Settings!$S$5)),"LATE – free video promised in 5 working days",IF(AND(E23&lt;&gt;"",E23=TODAY()),"Shooting today",""))))</f>
        <v/>
      </c>
    </row>
    <row r="24" customFormat="false" ht="15" hidden="false" customHeight="false" outlineLevel="0" collapsed="false">
      <c r="A24" s="17"/>
      <c r="B24" s="17"/>
      <c r="C24" s="44" t="str">
        <f aca="false">IF(B24="","",IFERROR(INDEX(Clients!$C$2:$C$501,MATCH(B24,Clients!$A$2:$A$501,0)),"Client ID not found"))</f>
        <v/>
      </c>
      <c r="D24" s="17"/>
      <c r="E24" s="40"/>
      <c r="F24" s="41"/>
      <c r="G24" s="17"/>
      <c r="H24" s="17"/>
      <c r="I24" s="17"/>
      <c r="J24" s="40"/>
      <c r="K24" s="17"/>
      <c r="L24" s="17"/>
      <c r="M24" s="17"/>
      <c r="N24" s="44" t="str">
        <f aca="true">IF(A24="","",IF(N(K24)&gt;Settings!$S$7,"Over revision limit",IF(AND(D24="Free video",J24="",E24&lt;&gt;"",TODAY()&gt;WORKDAY(E24,Settings!$S$5)),"LATE – free video promised in 5 working days",IF(AND(E24&lt;&gt;"",E24=TODAY()),"Shooting today",""))))</f>
        <v/>
      </c>
    </row>
    <row r="25" customFormat="false" ht="15" hidden="false" customHeight="false" outlineLevel="0" collapsed="false">
      <c r="A25" s="17"/>
      <c r="B25" s="17"/>
      <c r="C25" s="44" t="str">
        <f aca="false">IF(B25="","",IFERROR(INDEX(Clients!$C$2:$C$501,MATCH(B25,Clients!$A$2:$A$501,0)),"Client ID not found"))</f>
        <v/>
      </c>
      <c r="D25" s="17"/>
      <c r="E25" s="40"/>
      <c r="F25" s="41"/>
      <c r="G25" s="17"/>
      <c r="H25" s="17"/>
      <c r="I25" s="17"/>
      <c r="J25" s="40"/>
      <c r="K25" s="17"/>
      <c r="L25" s="17"/>
      <c r="M25" s="17"/>
      <c r="N25" s="44" t="str">
        <f aca="true">IF(A25="","",IF(N(K25)&gt;Settings!$S$7,"Over revision limit",IF(AND(D25="Free video",J25="",E25&lt;&gt;"",TODAY()&gt;WORKDAY(E25,Settings!$S$5)),"LATE – free video promised in 5 working days",IF(AND(E25&lt;&gt;"",E25=TODAY()),"Shooting today",""))))</f>
        <v/>
      </c>
    </row>
    <row r="26" customFormat="false" ht="15" hidden="false" customHeight="false" outlineLevel="0" collapsed="false">
      <c r="A26" s="17"/>
      <c r="B26" s="17"/>
      <c r="C26" s="44" t="str">
        <f aca="false">IF(B26="","",IFERROR(INDEX(Clients!$C$2:$C$501,MATCH(B26,Clients!$A$2:$A$501,0)),"Client ID not found"))</f>
        <v/>
      </c>
      <c r="D26" s="17"/>
      <c r="E26" s="40"/>
      <c r="F26" s="41"/>
      <c r="G26" s="17"/>
      <c r="H26" s="17"/>
      <c r="I26" s="17"/>
      <c r="J26" s="40"/>
      <c r="K26" s="17"/>
      <c r="L26" s="17"/>
      <c r="M26" s="17"/>
      <c r="N26" s="44" t="str">
        <f aca="true">IF(A26="","",IF(N(K26)&gt;Settings!$S$7,"Over revision limit",IF(AND(D26="Free video",J26="",E26&lt;&gt;"",TODAY()&gt;WORKDAY(E26,Settings!$S$5)),"LATE – free video promised in 5 working days",IF(AND(E26&lt;&gt;"",E26=TODAY()),"Shooting today",""))))</f>
        <v/>
      </c>
    </row>
    <row r="27" customFormat="false" ht="15" hidden="false" customHeight="false" outlineLevel="0" collapsed="false">
      <c r="A27" s="17"/>
      <c r="B27" s="17"/>
      <c r="C27" s="44" t="str">
        <f aca="false">IF(B27="","",IFERROR(INDEX(Clients!$C$2:$C$501,MATCH(B27,Clients!$A$2:$A$501,0)),"Client ID not found"))</f>
        <v/>
      </c>
      <c r="D27" s="17"/>
      <c r="E27" s="40"/>
      <c r="F27" s="41"/>
      <c r="G27" s="17"/>
      <c r="H27" s="17"/>
      <c r="I27" s="17"/>
      <c r="J27" s="40"/>
      <c r="K27" s="17"/>
      <c r="L27" s="17"/>
      <c r="M27" s="17"/>
      <c r="N27" s="44" t="str">
        <f aca="true">IF(A27="","",IF(N(K27)&gt;Settings!$S$7,"Over revision limit",IF(AND(D27="Free video",J27="",E27&lt;&gt;"",TODAY()&gt;WORKDAY(E27,Settings!$S$5)),"LATE – free video promised in 5 working days",IF(AND(E27&lt;&gt;"",E27=TODAY()),"Shooting today",""))))</f>
        <v/>
      </c>
    </row>
    <row r="28" customFormat="false" ht="15" hidden="false" customHeight="false" outlineLevel="0" collapsed="false">
      <c r="A28" s="17"/>
      <c r="B28" s="17"/>
      <c r="C28" s="44" t="str">
        <f aca="false">IF(B28="","",IFERROR(INDEX(Clients!$C$2:$C$501,MATCH(B28,Clients!$A$2:$A$501,0)),"Client ID not found"))</f>
        <v/>
      </c>
      <c r="D28" s="17"/>
      <c r="E28" s="40"/>
      <c r="F28" s="41"/>
      <c r="G28" s="17"/>
      <c r="H28" s="17"/>
      <c r="I28" s="17"/>
      <c r="J28" s="40"/>
      <c r="K28" s="17"/>
      <c r="L28" s="17"/>
      <c r="M28" s="17"/>
      <c r="N28" s="44" t="str">
        <f aca="true">IF(A28="","",IF(N(K28)&gt;Settings!$S$7,"Over revision limit",IF(AND(D28="Free video",J28="",E28&lt;&gt;"",TODAY()&gt;WORKDAY(E28,Settings!$S$5)),"LATE – free video promised in 5 working days",IF(AND(E28&lt;&gt;"",E28=TODAY()),"Shooting today",""))))</f>
        <v/>
      </c>
    </row>
    <row r="29" customFormat="false" ht="15" hidden="false" customHeight="false" outlineLevel="0" collapsed="false">
      <c r="A29" s="17"/>
      <c r="B29" s="17"/>
      <c r="C29" s="44" t="str">
        <f aca="false">IF(B29="","",IFERROR(INDEX(Clients!$C$2:$C$501,MATCH(B29,Clients!$A$2:$A$501,0)),"Client ID not found"))</f>
        <v/>
      </c>
      <c r="D29" s="17"/>
      <c r="E29" s="40"/>
      <c r="F29" s="41"/>
      <c r="G29" s="17"/>
      <c r="H29" s="17"/>
      <c r="I29" s="17"/>
      <c r="J29" s="40"/>
      <c r="K29" s="17"/>
      <c r="L29" s="17"/>
      <c r="M29" s="17"/>
      <c r="N29" s="44" t="str">
        <f aca="true">IF(A29="","",IF(N(K29)&gt;Settings!$S$7,"Over revision limit",IF(AND(D29="Free video",J29="",E29&lt;&gt;"",TODAY()&gt;WORKDAY(E29,Settings!$S$5)),"LATE – free video promised in 5 working days",IF(AND(E29&lt;&gt;"",E29=TODAY()),"Shooting today",""))))</f>
        <v/>
      </c>
    </row>
    <row r="30" customFormat="false" ht="15" hidden="false" customHeight="false" outlineLevel="0" collapsed="false">
      <c r="A30" s="17"/>
      <c r="B30" s="17"/>
      <c r="C30" s="44" t="str">
        <f aca="false">IF(B30="","",IFERROR(INDEX(Clients!$C$2:$C$501,MATCH(B30,Clients!$A$2:$A$501,0)),"Client ID not found"))</f>
        <v/>
      </c>
      <c r="D30" s="17"/>
      <c r="E30" s="40"/>
      <c r="F30" s="41"/>
      <c r="G30" s="17"/>
      <c r="H30" s="17"/>
      <c r="I30" s="17"/>
      <c r="J30" s="40"/>
      <c r="K30" s="17"/>
      <c r="L30" s="17"/>
      <c r="M30" s="17"/>
      <c r="N30" s="44" t="str">
        <f aca="true">IF(A30="","",IF(N(K30)&gt;Settings!$S$7,"Over revision limit",IF(AND(D30="Free video",J30="",E30&lt;&gt;"",TODAY()&gt;WORKDAY(E30,Settings!$S$5)),"LATE – free video promised in 5 working days",IF(AND(E30&lt;&gt;"",E30=TODAY()),"Shooting today",""))))</f>
        <v/>
      </c>
    </row>
    <row r="31" customFormat="false" ht="15" hidden="false" customHeight="false" outlineLevel="0" collapsed="false">
      <c r="A31" s="17"/>
      <c r="B31" s="17"/>
      <c r="C31" s="44" t="str">
        <f aca="false">IF(B31="","",IFERROR(INDEX(Clients!$C$2:$C$501,MATCH(B31,Clients!$A$2:$A$501,0)),"Client ID not found"))</f>
        <v/>
      </c>
      <c r="D31" s="17"/>
      <c r="E31" s="40"/>
      <c r="F31" s="41"/>
      <c r="G31" s="17"/>
      <c r="H31" s="17"/>
      <c r="I31" s="17"/>
      <c r="J31" s="40"/>
      <c r="K31" s="17"/>
      <c r="L31" s="17"/>
      <c r="M31" s="17"/>
      <c r="N31" s="44" t="str">
        <f aca="true">IF(A31="","",IF(N(K31)&gt;Settings!$S$7,"Over revision limit",IF(AND(D31="Free video",J31="",E31&lt;&gt;"",TODAY()&gt;WORKDAY(E31,Settings!$S$5)),"LATE – free video promised in 5 working days",IF(AND(E31&lt;&gt;"",E31=TODAY()),"Shooting today",""))))</f>
        <v/>
      </c>
    </row>
    <row r="32" customFormat="false" ht="15" hidden="false" customHeight="false" outlineLevel="0" collapsed="false">
      <c r="A32" s="17"/>
      <c r="B32" s="17"/>
      <c r="C32" s="44" t="str">
        <f aca="false">IF(B32="","",IFERROR(INDEX(Clients!$C$2:$C$501,MATCH(B32,Clients!$A$2:$A$501,0)),"Client ID not found"))</f>
        <v/>
      </c>
      <c r="D32" s="17"/>
      <c r="E32" s="40"/>
      <c r="F32" s="41"/>
      <c r="G32" s="17"/>
      <c r="H32" s="17"/>
      <c r="I32" s="17"/>
      <c r="J32" s="40"/>
      <c r="K32" s="17"/>
      <c r="L32" s="17"/>
      <c r="M32" s="17"/>
      <c r="N32" s="44" t="str">
        <f aca="true">IF(A32="","",IF(N(K32)&gt;Settings!$S$7,"Over revision limit",IF(AND(D32="Free video",J32="",E32&lt;&gt;"",TODAY()&gt;WORKDAY(E32,Settings!$S$5)),"LATE – free video promised in 5 working days",IF(AND(E32&lt;&gt;"",E32=TODAY()),"Shooting today",""))))</f>
        <v/>
      </c>
    </row>
    <row r="33" customFormat="false" ht="15" hidden="false" customHeight="false" outlineLevel="0" collapsed="false">
      <c r="A33" s="17"/>
      <c r="B33" s="17"/>
      <c r="C33" s="44" t="str">
        <f aca="false">IF(B33="","",IFERROR(INDEX(Clients!$C$2:$C$501,MATCH(B33,Clients!$A$2:$A$501,0)),"Client ID not found"))</f>
        <v/>
      </c>
      <c r="D33" s="17"/>
      <c r="E33" s="40"/>
      <c r="F33" s="41"/>
      <c r="G33" s="17"/>
      <c r="H33" s="17"/>
      <c r="I33" s="17"/>
      <c r="J33" s="40"/>
      <c r="K33" s="17"/>
      <c r="L33" s="17"/>
      <c r="M33" s="17"/>
      <c r="N33" s="44" t="str">
        <f aca="true">IF(A33="","",IF(N(K33)&gt;Settings!$S$7,"Over revision limit",IF(AND(D33="Free video",J33="",E33&lt;&gt;"",TODAY()&gt;WORKDAY(E33,Settings!$S$5)),"LATE – free video promised in 5 working days",IF(AND(E33&lt;&gt;"",E33=TODAY()),"Shooting today",""))))</f>
        <v/>
      </c>
    </row>
    <row r="34" customFormat="false" ht="15" hidden="false" customHeight="false" outlineLevel="0" collapsed="false">
      <c r="A34" s="17"/>
      <c r="B34" s="17"/>
      <c r="C34" s="44" t="str">
        <f aca="false">IF(B34="","",IFERROR(INDEX(Clients!$C$2:$C$501,MATCH(B34,Clients!$A$2:$A$501,0)),"Client ID not found"))</f>
        <v/>
      </c>
      <c r="D34" s="17"/>
      <c r="E34" s="40"/>
      <c r="F34" s="41"/>
      <c r="G34" s="17"/>
      <c r="H34" s="17"/>
      <c r="I34" s="17"/>
      <c r="J34" s="40"/>
      <c r="K34" s="17"/>
      <c r="L34" s="17"/>
      <c r="M34" s="17"/>
      <c r="N34" s="44" t="str">
        <f aca="true">IF(A34="","",IF(N(K34)&gt;Settings!$S$7,"Over revision limit",IF(AND(D34="Free video",J34="",E34&lt;&gt;"",TODAY()&gt;WORKDAY(E34,Settings!$S$5)),"LATE – free video promised in 5 working days",IF(AND(E34&lt;&gt;"",E34=TODAY()),"Shooting today",""))))</f>
        <v/>
      </c>
    </row>
    <row r="35" customFormat="false" ht="15" hidden="false" customHeight="false" outlineLevel="0" collapsed="false">
      <c r="A35" s="17"/>
      <c r="B35" s="17"/>
      <c r="C35" s="44" t="str">
        <f aca="false">IF(B35="","",IFERROR(INDEX(Clients!$C$2:$C$501,MATCH(B35,Clients!$A$2:$A$501,0)),"Client ID not found"))</f>
        <v/>
      </c>
      <c r="D35" s="17"/>
      <c r="E35" s="40"/>
      <c r="F35" s="41"/>
      <c r="G35" s="17"/>
      <c r="H35" s="17"/>
      <c r="I35" s="17"/>
      <c r="J35" s="40"/>
      <c r="K35" s="17"/>
      <c r="L35" s="17"/>
      <c r="M35" s="17"/>
      <c r="N35" s="44" t="str">
        <f aca="true">IF(A35="","",IF(N(K35)&gt;Settings!$S$7,"Over revision limit",IF(AND(D35="Free video",J35="",E35&lt;&gt;"",TODAY()&gt;WORKDAY(E35,Settings!$S$5)),"LATE – free video promised in 5 working days",IF(AND(E35&lt;&gt;"",E35=TODAY()),"Shooting today",""))))</f>
        <v/>
      </c>
    </row>
    <row r="36" customFormat="false" ht="15" hidden="false" customHeight="false" outlineLevel="0" collapsed="false">
      <c r="A36" s="17"/>
      <c r="B36" s="17"/>
      <c r="C36" s="44" t="str">
        <f aca="false">IF(B36="","",IFERROR(INDEX(Clients!$C$2:$C$501,MATCH(B36,Clients!$A$2:$A$501,0)),"Client ID not found"))</f>
        <v/>
      </c>
      <c r="D36" s="17"/>
      <c r="E36" s="40"/>
      <c r="F36" s="41"/>
      <c r="G36" s="17"/>
      <c r="H36" s="17"/>
      <c r="I36" s="17"/>
      <c r="J36" s="40"/>
      <c r="K36" s="17"/>
      <c r="L36" s="17"/>
      <c r="M36" s="17"/>
      <c r="N36" s="44" t="str">
        <f aca="true">IF(A36="","",IF(N(K36)&gt;Settings!$S$7,"Over revision limit",IF(AND(D36="Free video",J36="",E36&lt;&gt;"",TODAY()&gt;WORKDAY(E36,Settings!$S$5)),"LATE – free video promised in 5 working days",IF(AND(E36&lt;&gt;"",E36=TODAY()),"Shooting today",""))))</f>
        <v/>
      </c>
    </row>
    <row r="37" customFormat="false" ht="15" hidden="false" customHeight="false" outlineLevel="0" collapsed="false">
      <c r="A37" s="17"/>
      <c r="B37" s="17"/>
      <c r="C37" s="44" t="str">
        <f aca="false">IF(B37="","",IFERROR(INDEX(Clients!$C$2:$C$501,MATCH(B37,Clients!$A$2:$A$501,0)),"Client ID not found"))</f>
        <v/>
      </c>
      <c r="D37" s="17"/>
      <c r="E37" s="40"/>
      <c r="F37" s="41"/>
      <c r="G37" s="17"/>
      <c r="H37" s="17"/>
      <c r="I37" s="17"/>
      <c r="J37" s="40"/>
      <c r="K37" s="17"/>
      <c r="L37" s="17"/>
      <c r="M37" s="17"/>
      <c r="N37" s="44" t="str">
        <f aca="true">IF(A37="","",IF(N(K37)&gt;Settings!$S$7,"Over revision limit",IF(AND(D37="Free video",J37="",E37&lt;&gt;"",TODAY()&gt;WORKDAY(E37,Settings!$S$5)),"LATE – free video promised in 5 working days",IF(AND(E37&lt;&gt;"",E37=TODAY()),"Shooting today",""))))</f>
        <v/>
      </c>
    </row>
    <row r="38" customFormat="false" ht="15" hidden="false" customHeight="false" outlineLevel="0" collapsed="false">
      <c r="A38" s="17"/>
      <c r="B38" s="17"/>
      <c r="C38" s="44" t="str">
        <f aca="false">IF(B38="","",IFERROR(INDEX(Clients!$C$2:$C$501,MATCH(B38,Clients!$A$2:$A$501,0)),"Client ID not found"))</f>
        <v/>
      </c>
      <c r="D38" s="17"/>
      <c r="E38" s="40"/>
      <c r="F38" s="41"/>
      <c r="G38" s="17"/>
      <c r="H38" s="17"/>
      <c r="I38" s="17"/>
      <c r="J38" s="40"/>
      <c r="K38" s="17"/>
      <c r="L38" s="17"/>
      <c r="M38" s="17"/>
      <c r="N38" s="44" t="str">
        <f aca="true">IF(A38="","",IF(N(K38)&gt;Settings!$S$7,"Over revision limit",IF(AND(D38="Free video",J38="",E38&lt;&gt;"",TODAY()&gt;WORKDAY(E38,Settings!$S$5)),"LATE – free video promised in 5 working days",IF(AND(E38&lt;&gt;"",E38=TODAY()),"Shooting today",""))))</f>
        <v/>
      </c>
    </row>
    <row r="39" customFormat="false" ht="15" hidden="false" customHeight="false" outlineLevel="0" collapsed="false">
      <c r="A39" s="17"/>
      <c r="B39" s="17"/>
      <c r="C39" s="44" t="str">
        <f aca="false">IF(B39="","",IFERROR(INDEX(Clients!$C$2:$C$501,MATCH(B39,Clients!$A$2:$A$501,0)),"Client ID not found"))</f>
        <v/>
      </c>
      <c r="D39" s="17"/>
      <c r="E39" s="40"/>
      <c r="F39" s="41"/>
      <c r="G39" s="17"/>
      <c r="H39" s="17"/>
      <c r="I39" s="17"/>
      <c r="J39" s="40"/>
      <c r="K39" s="17"/>
      <c r="L39" s="17"/>
      <c r="M39" s="17"/>
      <c r="N39" s="44" t="str">
        <f aca="true">IF(A39="","",IF(N(K39)&gt;Settings!$S$7,"Over revision limit",IF(AND(D39="Free video",J39="",E39&lt;&gt;"",TODAY()&gt;WORKDAY(E39,Settings!$S$5)),"LATE – free video promised in 5 working days",IF(AND(E39&lt;&gt;"",E39=TODAY()),"Shooting today",""))))</f>
        <v/>
      </c>
    </row>
    <row r="40" customFormat="false" ht="15" hidden="false" customHeight="false" outlineLevel="0" collapsed="false">
      <c r="A40" s="17"/>
      <c r="B40" s="17"/>
      <c r="C40" s="44" t="str">
        <f aca="false">IF(B40="","",IFERROR(INDEX(Clients!$C$2:$C$501,MATCH(B40,Clients!$A$2:$A$501,0)),"Client ID not found"))</f>
        <v/>
      </c>
      <c r="D40" s="17"/>
      <c r="E40" s="40"/>
      <c r="F40" s="41"/>
      <c r="G40" s="17"/>
      <c r="H40" s="17"/>
      <c r="I40" s="17"/>
      <c r="J40" s="40"/>
      <c r="K40" s="17"/>
      <c r="L40" s="17"/>
      <c r="M40" s="17"/>
      <c r="N40" s="44" t="str">
        <f aca="true">IF(A40="","",IF(N(K40)&gt;Settings!$S$7,"Over revision limit",IF(AND(D40="Free video",J40="",E40&lt;&gt;"",TODAY()&gt;WORKDAY(E40,Settings!$S$5)),"LATE – free video promised in 5 working days",IF(AND(E40&lt;&gt;"",E40=TODAY()),"Shooting today",""))))</f>
        <v/>
      </c>
    </row>
    <row r="41" customFormat="false" ht="15" hidden="false" customHeight="false" outlineLevel="0" collapsed="false">
      <c r="A41" s="17"/>
      <c r="B41" s="17"/>
      <c r="C41" s="44" t="str">
        <f aca="false">IF(B41="","",IFERROR(INDEX(Clients!$C$2:$C$501,MATCH(B41,Clients!$A$2:$A$501,0)),"Client ID not found"))</f>
        <v/>
      </c>
      <c r="D41" s="17"/>
      <c r="E41" s="40"/>
      <c r="F41" s="41"/>
      <c r="G41" s="17"/>
      <c r="H41" s="17"/>
      <c r="I41" s="17"/>
      <c r="J41" s="40"/>
      <c r="K41" s="17"/>
      <c r="L41" s="17"/>
      <c r="M41" s="17"/>
      <c r="N41" s="44" t="str">
        <f aca="true">IF(A41="","",IF(N(K41)&gt;Settings!$S$7,"Over revision limit",IF(AND(D41="Free video",J41="",E41&lt;&gt;"",TODAY()&gt;WORKDAY(E41,Settings!$S$5)),"LATE – free video promised in 5 working days",IF(AND(E41&lt;&gt;"",E41=TODAY()),"Shooting today",""))))</f>
        <v/>
      </c>
    </row>
    <row r="42" customFormat="false" ht="15" hidden="false" customHeight="false" outlineLevel="0" collapsed="false">
      <c r="A42" s="17"/>
      <c r="B42" s="17"/>
      <c r="C42" s="44" t="str">
        <f aca="false">IF(B42="","",IFERROR(INDEX(Clients!$C$2:$C$501,MATCH(B42,Clients!$A$2:$A$501,0)),"Client ID not found"))</f>
        <v/>
      </c>
      <c r="D42" s="17"/>
      <c r="E42" s="40"/>
      <c r="F42" s="41"/>
      <c r="G42" s="17"/>
      <c r="H42" s="17"/>
      <c r="I42" s="17"/>
      <c r="J42" s="40"/>
      <c r="K42" s="17"/>
      <c r="L42" s="17"/>
      <c r="M42" s="17"/>
      <c r="N42" s="44" t="str">
        <f aca="true">IF(A42="","",IF(N(K42)&gt;Settings!$S$7,"Over revision limit",IF(AND(D42="Free video",J42="",E42&lt;&gt;"",TODAY()&gt;WORKDAY(E42,Settings!$S$5)),"LATE – free video promised in 5 working days",IF(AND(E42&lt;&gt;"",E42=TODAY()),"Shooting today",""))))</f>
        <v/>
      </c>
    </row>
    <row r="43" customFormat="false" ht="15" hidden="false" customHeight="false" outlineLevel="0" collapsed="false">
      <c r="A43" s="17"/>
      <c r="B43" s="17"/>
      <c r="C43" s="44" t="str">
        <f aca="false">IF(B43="","",IFERROR(INDEX(Clients!$C$2:$C$501,MATCH(B43,Clients!$A$2:$A$501,0)),"Client ID not found"))</f>
        <v/>
      </c>
      <c r="D43" s="17"/>
      <c r="E43" s="40"/>
      <c r="F43" s="41"/>
      <c r="G43" s="17"/>
      <c r="H43" s="17"/>
      <c r="I43" s="17"/>
      <c r="J43" s="40"/>
      <c r="K43" s="17"/>
      <c r="L43" s="17"/>
      <c r="M43" s="17"/>
      <c r="N43" s="44" t="str">
        <f aca="true">IF(A43="","",IF(N(K43)&gt;Settings!$S$7,"Over revision limit",IF(AND(D43="Free video",J43="",E43&lt;&gt;"",TODAY()&gt;WORKDAY(E43,Settings!$S$5)),"LATE – free video promised in 5 working days",IF(AND(E43&lt;&gt;"",E43=TODAY()),"Shooting today",""))))</f>
        <v/>
      </c>
    </row>
    <row r="44" customFormat="false" ht="15" hidden="false" customHeight="false" outlineLevel="0" collapsed="false">
      <c r="A44" s="17"/>
      <c r="B44" s="17"/>
      <c r="C44" s="44" t="str">
        <f aca="false">IF(B44="","",IFERROR(INDEX(Clients!$C$2:$C$501,MATCH(B44,Clients!$A$2:$A$501,0)),"Client ID not found"))</f>
        <v/>
      </c>
      <c r="D44" s="17"/>
      <c r="E44" s="40"/>
      <c r="F44" s="41"/>
      <c r="G44" s="17"/>
      <c r="H44" s="17"/>
      <c r="I44" s="17"/>
      <c r="J44" s="40"/>
      <c r="K44" s="17"/>
      <c r="L44" s="17"/>
      <c r="M44" s="17"/>
      <c r="N44" s="44" t="str">
        <f aca="true">IF(A44="","",IF(N(K44)&gt;Settings!$S$7,"Over revision limit",IF(AND(D44="Free video",J44="",E44&lt;&gt;"",TODAY()&gt;WORKDAY(E44,Settings!$S$5)),"LATE – free video promised in 5 working days",IF(AND(E44&lt;&gt;"",E44=TODAY()),"Shooting today",""))))</f>
        <v/>
      </c>
    </row>
    <row r="45" customFormat="false" ht="15" hidden="false" customHeight="false" outlineLevel="0" collapsed="false">
      <c r="A45" s="17"/>
      <c r="B45" s="17"/>
      <c r="C45" s="44" t="str">
        <f aca="false">IF(B45="","",IFERROR(INDEX(Clients!$C$2:$C$501,MATCH(B45,Clients!$A$2:$A$501,0)),"Client ID not found"))</f>
        <v/>
      </c>
      <c r="D45" s="17"/>
      <c r="E45" s="40"/>
      <c r="F45" s="41"/>
      <c r="G45" s="17"/>
      <c r="H45" s="17"/>
      <c r="I45" s="17"/>
      <c r="J45" s="40"/>
      <c r="K45" s="17"/>
      <c r="L45" s="17"/>
      <c r="M45" s="17"/>
      <c r="N45" s="44" t="str">
        <f aca="true">IF(A45="","",IF(N(K45)&gt;Settings!$S$7,"Over revision limit",IF(AND(D45="Free video",J45="",E45&lt;&gt;"",TODAY()&gt;WORKDAY(E45,Settings!$S$5)),"LATE – free video promised in 5 working days",IF(AND(E45&lt;&gt;"",E45=TODAY()),"Shooting today",""))))</f>
        <v/>
      </c>
    </row>
    <row r="46" customFormat="false" ht="15" hidden="false" customHeight="false" outlineLevel="0" collapsed="false">
      <c r="A46" s="17"/>
      <c r="B46" s="17"/>
      <c r="C46" s="44" t="str">
        <f aca="false">IF(B46="","",IFERROR(INDEX(Clients!$C$2:$C$501,MATCH(B46,Clients!$A$2:$A$501,0)),"Client ID not found"))</f>
        <v/>
      </c>
      <c r="D46" s="17"/>
      <c r="E46" s="40"/>
      <c r="F46" s="41"/>
      <c r="G46" s="17"/>
      <c r="H46" s="17"/>
      <c r="I46" s="17"/>
      <c r="J46" s="40"/>
      <c r="K46" s="17"/>
      <c r="L46" s="17"/>
      <c r="M46" s="17"/>
      <c r="N46" s="44" t="str">
        <f aca="true">IF(A46="","",IF(N(K46)&gt;Settings!$S$7,"Over revision limit",IF(AND(D46="Free video",J46="",E46&lt;&gt;"",TODAY()&gt;WORKDAY(E46,Settings!$S$5)),"LATE – free video promised in 5 working days",IF(AND(E46&lt;&gt;"",E46=TODAY()),"Shooting today",""))))</f>
        <v/>
      </c>
    </row>
    <row r="47" customFormat="false" ht="15" hidden="false" customHeight="false" outlineLevel="0" collapsed="false">
      <c r="A47" s="17"/>
      <c r="B47" s="17"/>
      <c r="C47" s="44" t="str">
        <f aca="false">IF(B47="","",IFERROR(INDEX(Clients!$C$2:$C$501,MATCH(B47,Clients!$A$2:$A$501,0)),"Client ID not found"))</f>
        <v/>
      </c>
      <c r="D47" s="17"/>
      <c r="E47" s="40"/>
      <c r="F47" s="41"/>
      <c r="G47" s="17"/>
      <c r="H47" s="17"/>
      <c r="I47" s="17"/>
      <c r="J47" s="40"/>
      <c r="K47" s="17"/>
      <c r="L47" s="17"/>
      <c r="M47" s="17"/>
      <c r="N47" s="44" t="str">
        <f aca="true">IF(A47="","",IF(N(K47)&gt;Settings!$S$7,"Over revision limit",IF(AND(D47="Free video",J47="",E47&lt;&gt;"",TODAY()&gt;WORKDAY(E47,Settings!$S$5)),"LATE – free video promised in 5 working days",IF(AND(E47&lt;&gt;"",E47=TODAY()),"Shooting today",""))))</f>
        <v/>
      </c>
    </row>
    <row r="48" customFormat="false" ht="15" hidden="false" customHeight="false" outlineLevel="0" collapsed="false">
      <c r="A48" s="17"/>
      <c r="B48" s="17"/>
      <c r="C48" s="44" t="str">
        <f aca="false">IF(B48="","",IFERROR(INDEX(Clients!$C$2:$C$501,MATCH(B48,Clients!$A$2:$A$501,0)),"Client ID not found"))</f>
        <v/>
      </c>
      <c r="D48" s="17"/>
      <c r="E48" s="40"/>
      <c r="F48" s="41"/>
      <c r="G48" s="17"/>
      <c r="H48" s="17"/>
      <c r="I48" s="17"/>
      <c r="J48" s="40"/>
      <c r="K48" s="17"/>
      <c r="L48" s="17"/>
      <c r="M48" s="17"/>
      <c r="N48" s="44" t="str">
        <f aca="true">IF(A48="","",IF(N(K48)&gt;Settings!$S$7,"Over revision limit",IF(AND(D48="Free video",J48="",E48&lt;&gt;"",TODAY()&gt;WORKDAY(E48,Settings!$S$5)),"LATE – free video promised in 5 working days",IF(AND(E48&lt;&gt;"",E48=TODAY()),"Shooting today",""))))</f>
        <v/>
      </c>
    </row>
    <row r="49" customFormat="false" ht="15" hidden="false" customHeight="false" outlineLevel="0" collapsed="false">
      <c r="A49" s="17"/>
      <c r="B49" s="17"/>
      <c r="C49" s="44" t="str">
        <f aca="false">IF(B49="","",IFERROR(INDEX(Clients!$C$2:$C$501,MATCH(B49,Clients!$A$2:$A$501,0)),"Client ID not found"))</f>
        <v/>
      </c>
      <c r="D49" s="17"/>
      <c r="E49" s="40"/>
      <c r="F49" s="41"/>
      <c r="G49" s="17"/>
      <c r="H49" s="17"/>
      <c r="I49" s="17"/>
      <c r="J49" s="40"/>
      <c r="K49" s="17"/>
      <c r="L49" s="17"/>
      <c r="M49" s="17"/>
      <c r="N49" s="44" t="str">
        <f aca="true">IF(A49="","",IF(N(K49)&gt;Settings!$S$7,"Over revision limit",IF(AND(D49="Free video",J49="",E49&lt;&gt;"",TODAY()&gt;WORKDAY(E49,Settings!$S$5)),"LATE – free video promised in 5 working days",IF(AND(E49&lt;&gt;"",E49=TODAY()),"Shooting today",""))))</f>
        <v/>
      </c>
    </row>
    <row r="50" customFormat="false" ht="15" hidden="false" customHeight="false" outlineLevel="0" collapsed="false">
      <c r="A50" s="17"/>
      <c r="B50" s="17"/>
      <c r="C50" s="44" t="str">
        <f aca="false">IF(B50="","",IFERROR(INDEX(Clients!$C$2:$C$501,MATCH(B50,Clients!$A$2:$A$501,0)),"Client ID not found"))</f>
        <v/>
      </c>
      <c r="D50" s="17"/>
      <c r="E50" s="40"/>
      <c r="F50" s="41"/>
      <c r="G50" s="17"/>
      <c r="H50" s="17"/>
      <c r="I50" s="17"/>
      <c r="J50" s="40"/>
      <c r="K50" s="17"/>
      <c r="L50" s="17"/>
      <c r="M50" s="17"/>
      <c r="N50" s="44" t="str">
        <f aca="true">IF(A50="","",IF(N(K50)&gt;Settings!$S$7,"Over revision limit",IF(AND(D50="Free video",J50="",E50&lt;&gt;"",TODAY()&gt;WORKDAY(E50,Settings!$S$5)),"LATE – free video promised in 5 working days",IF(AND(E50&lt;&gt;"",E50=TODAY()),"Shooting today",""))))</f>
        <v/>
      </c>
    </row>
    <row r="51" customFormat="false" ht="15" hidden="false" customHeight="false" outlineLevel="0" collapsed="false">
      <c r="A51" s="17"/>
      <c r="B51" s="17"/>
      <c r="C51" s="44" t="str">
        <f aca="false">IF(B51="","",IFERROR(INDEX(Clients!$C$2:$C$501,MATCH(B51,Clients!$A$2:$A$501,0)),"Client ID not found"))</f>
        <v/>
      </c>
      <c r="D51" s="17"/>
      <c r="E51" s="40"/>
      <c r="F51" s="41"/>
      <c r="G51" s="17"/>
      <c r="H51" s="17"/>
      <c r="I51" s="17"/>
      <c r="J51" s="40"/>
      <c r="K51" s="17"/>
      <c r="L51" s="17"/>
      <c r="M51" s="17"/>
      <c r="N51" s="44" t="str">
        <f aca="true">IF(A51="","",IF(N(K51)&gt;Settings!$S$7,"Over revision limit",IF(AND(D51="Free video",J51="",E51&lt;&gt;"",TODAY()&gt;WORKDAY(E51,Settings!$S$5)),"LATE – free video promised in 5 working days",IF(AND(E51&lt;&gt;"",E51=TODAY()),"Shooting today",""))))</f>
        <v/>
      </c>
    </row>
    <row r="52" customFormat="false" ht="15" hidden="false" customHeight="false" outlineLevel="0" collapsed="false">
      <c r="A52" s="17"/>
      <c r="B52" s="17"/>
      <c r="C52" s="44" t="str">
        <f aca="false">IF(B52="","",IFERROR(INDEX(Clients!$C$2:$C$501,MATCH(B52,Clients!$A$2:$A$501,0)),"Client ID not found"))</f>
        <v/>
      </c>
      <c r="D52" s="17"/>
      <c r="E52" s="40"/>
      <c r="F52" s="41"/>
      <c r="G52" s="17"/>
      <c r="H52" s="17"/>
      <c r="I52" s="17"/>
      <c r="J52" s="40"/>
      <c r="K52" s="17"/>
      <c r="L52" s="17"/>
      <c r="M52" s="17"/>
      <c r="N52" s="44" t="str">
        <f aca="true">IF(A52="","",IF(N(K52)&gt;Settings!$S$7,"Over revision limit",IF(AND(D52="Free video",J52="",E52&lt;&gt;"",TODAY()&gt;WORKDAY(E52,Settings!$S$5)),"LATE – free video promised in 5 working days",IF(AND(E52&lt;&gt;"",E52=TODAY()),"Shooting today",""))))</f>
        <v/>
      </c>
    </row>
    <row r="53" customFormat="false" ht="15" hidden="false" customHeight="false" outlineLevel="0" collapsed="false">
      <c r="A53" s="17"/>
      <c r="B53" s="17"/>
      <c r="C53" s="44" t="str">
        <f aca="false">IF(B53="","",IFERROR(INDEX(Clients!$C$2:$C$501,MATCH(B53,Clients!$A$2:$A$501,0)),"Client ID not found"))</f>
        <v/>
      </c>
      <c r="D53" s="17"/>
      <c r="E53" s="40"/>
      <c r="F53" s="41"/>
      <c r="G53" s="17"/>
      <c r="H53" s="17"/>
      <c r="I53" s="17"/>
      <c r="J53" s="40"/>
      <c r="K53" s="17"/>
      <c r="L53" s="17"/>
      <c r="M53" s="17"/>
      <c r="N53" s="44" t="str">
        <f aca="true">IF(A53="","",IF(N(K53)&gt;Settings!$S$7,"Over revision limit",IF(AND(D53="Free video",J53="",E53&lt;&gt;"",TODAY()&gt;WORKDAY(E53,Settings!$S$5)),"LATE – free video promised in 5 working days",IF(AND(E53&lt;&gt;"",E53=TODAY()),"Shooting today",""))))</f>
        <v/>
      </c>
    </row>
    <row r="54" customFormat="false" ht="15" hidden="false" customHeight="false" outlineLevel="0" collapsed="false">
      <c r="A54" s="17"/>
      <c r="B54" s="17"/>
      <c r="C54" s="44" t="str">
        <f aca="false">IF(B54="","",IFERROR(INDEX(Clients!$C$2:$C$501,MATCH(B54,Clients!$A$2:$A$501,0)),"Client ID not found"))</f>
        <v/>
      </c>
      <c r="D54" s="17"/>
      <c r="E54" s="40"/>
      <c r="F54" s="41"/>
      <c r="G54" s="17"/>
      <c r="H54" s="17"/>
      <c r="I54" s="17"/>
      <c r="J54" s="40"/>
      <c r="K54" s="17"/>
      <c r="L54" s="17"/>
      <c r="M54" s="17"/>
      <c r="N54" s="44" t="str">
        <f aca="true">IF(A54="","",IF(N(K54)&gt;Settings!$S$7,"Over revision limit",IF(AND(D54="Free video",J54="",E54&lt;&gt;"",TODAY()&gt;WORKDAY(E54,Settings!$S$5)),"LATE – free video promised in 5 working days",IF(AND(E54&lt;&gt;"",E54=TODAY()),"Shooting today",""))))</f>
        <v/>
      </c>
    </row>
    <row r="55" customFormat="false" ht="15" hidden="false" customHeight="false" outlineLevel="0" collapsed="false">
      <c r="A55" s="17"/>
      <c r="B55" s="17"/>
      <c r="C55" s="44" t="str">
        <f aca="false">IF(B55="","",IFERROR(INDEX(Clients!$C$2:$C$501,MATCH(B55,Clients!$A$2:$A$501,0)),"Client ID not found"))</f>
        <v/>
      </c>
      <c r="D55" s="17"/>
      <c r="E55" s="40"/>
      <c r="F55" s="41"/>
      <c r="G55" s="17"/>
      <c r="H55" s="17"/>
      <c r="I55" s="17"/>
      <c r="J55" s="40"/>
      <c r="K55" s="17"/>
      <c r="L55" s="17"/>
      <c r="M55" s="17"/>
      <c r="N55" s="44" t="str">
        <f aca="true">IF(A55="","",IF(N(K55)&gt;Settings!$S$7,"Over revision limit",IF(AND(D55="Free video",J55="",E55&lt;&gt;"",TODAY()&gt;WORKDAY(E55,Settings!$S$5)),"LATE – free video promised in 5 working days",IF(AND(E55&lt;&gt;"",E55=TODAY()),"Shooting today",""))))</f>
        <v/>
      </c>
    </row>
    <row r="56" customFormat="false" ht="15" hidden="false" customHeight="false" outlineLevel="0" collapsed="false">
      <c r="A56" s="17"/>
      <c r="B56" s="17"/>
      <c r="C56" s="44" t="str">
        <f aca="false">IF(B56="","",IFERROR(INDEX(Clients!$C$2:$C$501,MATCH(B56,Clients!$A$2:$A$501,0)),"Client ID not found"))</f>
        <v/>
      </c>
      <c r="D56" s="17"/>
      <c r="E56" s="40"/>
      <c r="F56" s="41"/>
      <c r="G56" s="17"/>
      <c r="H56" s="17"/>
      <c r="I56" s="17"/>
      <c r="J56" s="40"/>
      <c r="K56" s="17"/>
      <c r="L56" s="17"/>
      <c r="M56" s="17"/>
      <c r="N56" s="44" t="str">
        <f aca="true">IF(A56="","",IF(N(K56)&gt;Settings!$S$7,"Over revision limit",IF(AND(D56="Free video",J56="",E56&lt;&gt;"",TODAY()&gt;WORKDAY(E56,Settings!$S$5)),"LATE – free video promised in 5 working days",IF(AND(E56&lt;&gt;"",E56=TODAY()),"Shooting today",""))))</f>
        <v/>
      </c>
    </row>
    <row r="57" customFormat="false" ht="15" hidden="false" customHeight="false" outlineLevel="0" collapsed="false">
      <c r="A57" s="17"/>
      <c r="B57" s="17"/>
      <c r="C57" s="44" t="str">
        <f aca="false">IF(B57="","",IFERROR(INDEX(Clients!$C$2:$C$501,MATCH(B57,Clients!$A$2:$A$501,0)),"Client ID not found"))</f>
        <v/>
      </c>
      <c r="D57" s="17"/>
      <c r="E57" s="40"/>
      <c r="F57" s="41"/>
      <c r="G57" s="17"/>
      <c r="H57" s="17"/>
      <c r="I57" s="17"/>
      <c r="J57" s="40"/>
      <c r="K57" s="17"/>
      <c r="L57" s="17"/>
      <c r="M57" s="17"/>
      <c r="N57" s="44" t="str">
        <f aca="true">IF(A57="","",IF(N(K57)&gt;Settings!$S$7,"Over revision limit",IF(AND(D57="Free video",J57="",E57&lt;&gt;"",TODAY()&gt;WORKDAY(E57,Settings!$S$5)),"LATE – free video promised in 5 working days",IF(AND(E57&lt;&gt;"",E57=TODAY()),"Shooting today",""))))</f>
        <v/>
      </c>
    </row>
    <row r="58" customFormat="false" ht="15" hidden="false" customHeight="false" outlineLevel="0" collapsed="false">
      <c r="A58" s="17"/>
      <c r="B58" s="17"/>
      <c r="C58" s="44" t="str">
        <f aca="false">IF(B58="","",IFERROR(INDEX(Clients!$C$2:$C$501,MATCH(B58,Clients!$A$2:$A$501,0)),"Client ID not found"))</f>
        <v/>
      </c>
      <c r="D58" s="17"/>
      <c r="E58" s="40"/>
      <c r="F58" s="41"/>
      <c r="G58" s="17"/>
      <c r="H58" s="17"/>
      <c r="I58" s="17"/>
      <c r="J58" s="40"/>
      <c r="K58" s="17"/>
      <c r="L58" s="17"/>
      <c r="M58" s="17"/>
      <c r="N58" s="44" t="str">
        <f aca="true">IF(A58="","",IF(N(K58)&gt;Settings!$S$7,"Over revision limit",IF(AND(D58="Free video",J58="",E58&lt;&gt;"",TODAY()&gt;WORKDAY(E58,Settings!$S$5)),"LATE – free video promised in 5 working days",IF(AND(E58&lt;&gt;"",E58=TODAY()),"Shooting today",""))))</f>
        <v/>
      </c>
    </row>
    <row r="59" customFormat="false" ht="15" hidden="false" customHeight="false" outlineLevel="0" collapsed="false">
      <c r="A59" s="17"/>
      <c r="B59" s="17"/>
      <c r="C59" s="44" t="str">
        <f aca="false">IF(B59="","",IFERROR(INDEX(Clients!$C$2:$C$501,MATCH(B59,Clients!$A$2:$A$501,0)),"Client ID not found"))</f>
        <v/>
      </c>
      <c r="D59" s="17"/>
      <c r="E59" s="40"/>
      <c r="F59" s="41"/>
      <c r="G59" s="17"/>
      <c r="H59" s="17"/>
      <c r="I59" s="17"/>
      <c r="J59" s="40"/>
      <c r="K59" s="17"/>
      <c r="L59" s="17"/>
      <c r="M59" s="17"/>
      <c r="N59" s="44" t="str">
        <f aca="true">IF(A59="","",IF(N(K59)&gt;Settings!$S$7,"Over revision limit",IF(AND(D59="Free video",J59="",E59&lt;&gt;"",TODAY()&gt;WORKDAY(E59,Settings!$S$5)),"LATE – free video promised in 5 working days",IF(AND(E59&lt;&gt;"",E59=TODAY()),"Shooting today",""))))</f>
        <v/>
      </c>
    </row>
    <row r="60" customFormat="false" ht="15" hidden="false" customHeight="false" outlineLevel="0" collapsed="false">
      <c r="A60" s="17"/>
      <c r="B60" s="17"/>
      <c r="C60" s="44" t="str">
        <f aca="false">IF(B60="","",IFERROR(INDEX(Clients!$C$2:$C$501,MATCH(B60,Clients!$A$2:$A$501,0)),"Client ID not found"))</f>
        <v/>
      </c>
      <c r="D60" s="17"/>
      <c r="E60" s="40"/>
      <c r="F60" s="41"/>
      <c r="G60" s="17"/>
      <c r="H60" s="17"/>
      <c r="I60" s="17"/>
      <c r="J60" s="40"/>
      <c r="K60" s="17"/>
      <c r="L60" s="17"/>
      <c r="M60" s="17"/>
      <c r="N60" s="44" t="str">
        <f aca="true">IF(A60="","",IF(N(K60)&gt;Settings!$S$7,"Over revision limit",IF(AND(D60="Free video",J60="",E60&lt;&gt;"",TODAY()&gt;WORKDAY(E60,Settings!$S$5)),"LATE – free video promised in 5 working days",IF(AND(E60&lt;&gt;"",E60=TODAY()),"Shooting today",""))))</f>
        <v/>
      </c>
    </row>
    <row r="61" customFormat="false" ht="15" hidden="false" customHeight="false" outlineLevel="0" collapsed="false">
      <c r="A61" s="17"/>
      <c r="B61" s="17"/>
      <c r="C61" s="44" t="str">
        <f aca="false">IF(B61="","",IFERROR(INDEX(Clients!$C$2:$C$501,MATCH(B61,Clients!$A$2:$A$501,0)),"Client ID not found"))</f>
        <v/>
      </c>
      <c r="D61" s="17"/>
      <c r="E61" s="40"/>
      <c r="F61" s="41"/>
      <c r="G61" s="17"/>
      <c r="H61" s="17"/>
      <c r="I61" s="17"/>
      <c r="J61" s="40"/>
      <c r="K61" s="17"/>
      <c r="L61" s="17"/>
      <c r="M61" s="17"/>
      <c r="N61" s="44" t="str">
        <f aca="true">IF(A61="","",IF(N(K61)&gt;Settings!$S$7,"Over revision limit",IF(AND(D61="Free video",J61="",E61&lt;&gt;"",TODAY()&gt;WORKDAY(E61,Settings!$S$5)),"LATE – free video promised in 5 working days",IF(AND(E61&lt;&gt;"",E61=TODAY()),"Shooting today",""))))</f>
        <v/>
      </c>
    </row>
    <row r="62" customFormat="false" ht="15" hidden="false" customHeight="false" outlineLevel="0" collapsed="false">
      <c r="A62" s="17"/>
      <c r="B62" s="17"/>
      <c r="C62" s="44" t="str">
        <f aca="false">IF(B62="","",IFERROR(INDEX(Clients!$C$2:$C$501,MATCH(B62,Clients!$A$2:$A$501,0)),"Client ID not found"))</f>
        <v/>
      </c>
      <c r="D62" s="17"/>
      <c r="E62" s="40"/>
      <c r="F62" s="41"/>
      <c r="G62" s="17"/>
      <c r="H62" s="17"/>
      <c r="I62" s="17"/>
      <c r="J62" s="40"/>
      <c r="K62" s="17"/>
      <c r="L62" s="17"/>
      <c r="M62" s="17"/>
      <c r="N62" s="44" t="str">
        <f aca="true">IF(A62="","",IF(N(K62)&gt;Settings!$S$7,"Over revision limit",IF(AND(D62="Free video",J62="",E62&lt;&gt;"",TODAY()&gt;WORKDAY(E62,Settings!$S$5)),"LATE – free video promised in 5 working days",IF(AND(E62&lt;&gt;"",E62=TODAY()),"Shooting today",""))))</f>
        <v/>
      </c>
    </row>
    <row r="63" customFormat="false" ht="15" hidden="false" customHeight="false" outlineLevel="0" collapsed="false">
      <c r="A63" s="17"/>
      <c r="B63" s="17"/>
      <c r="C63" s="44" t="str">
        <f aca="false">IF(B63="","",IFERROR(INDEX(Clients!$C$2:$C$501,MATCH(B63,Clients!$A$2:$A$501,0)),"Client ID not found"))</f>
        <v/>
      </c>
      <c r="D63" s="17"/>
      <c r="E63" s="40"/>
      <c r="F63" s="41"/>
      <c r="G63" s="17"/>
      <c r="H63" s="17"/>
      <c r="I63" s="17"/>
      <c r="J63" s="40"/>
      <c r="K63" s="17"/>
      <c r="L63" s="17"/>
      <c r="M63" s="17"/>
      <c r="N63" s="44" t="str">
        <f aca="true">IF(A63="","",IF(N(K63)&gt;Settings!$S$7,"Over revision limit",IF(AND(D63="Free video",J63="",E63&lt;&gt;"",TODAY()&gt;WORKDAY(E63,Settings!$S$5)),"LATE – free video promised in 5 working days",IF(AND(E63&lt;&gt;"",E63=TODAY()),"Shooting today",""))))</f>
        <v/>
      </c>
    </row>
    <row r="64" customFormat="false" ht="15" hidden="false" customHeight="false" outlineLevel="0" collapsed="false">
      <c r="A64" s="17"/>
      <c r="B64" s="17"/>
      <c r="C64" s="44" t="str">
        <f aca="false">IF(B64="","",IFERROR(INDEX(Clients!$C$2:$C$501,MATCH(B64,Clients!$A$2:$A$501,0)),"Client ID not found"))</f>
        <v/>
      </c>
      <c r="D64" s="17"/>
      <c r="E64" s="40"/>
      <c r="F64" s="41"/>
      <c r="G64" s="17"/>
      <c r="H64" s="17"/>
      <c r="I64" s="17"/>
      <c r="J64" s="40"/>
      <c r="K64" s="17"/>
      <c r="L64" s="17"/>
      <c r="M64" s="17"/>
      <c r="N64" s="44" t="str">
        <f aca="true">IF(A64="","",IF(N(K64)&gt;Settings!$S$7,"Over revision limit",IF(AND(D64="Free video",J64="",E64&lt;&gt;"",TODAY()&gt;WORKDAY(E64,Settings!$S$5)),"LATE – free video promised in 5 working days",IF(AND(E64&lt;&gt;"",E64=TODAY()),"Shooting today",""))))</f>
        <v/>
      </c>
    </row>
    <row r="65" customFormat="false" ht="15" hidden="false" customHeight="false" outlineLevel="0" collapsed="false">
      <c r="A65" s="17"/>
      <c r="B65" s="17"/>
      <c r="C65" s="44" t="str">
        <f aca="false">IF(B65="","",IFERROR(INDEX(Clients!$C$2:$C$501,MATCH(B65,Clients!$A$2:$A$501,0)),"Client ID not found"))</f>
        <v/>
      </c>
      <c r="D65" s="17"/>
      <c r="E65" s="40"/>
      <c r="F65" s="41"/>
      <c r="G65" s="17"/>
      <c r="H65" s="17"/>
      <c r="I65" s="17"/>
      <c r="J65" s="40"/>
      <c r="K65" s="17"/>
      <c r="L65" s="17"/>
      <c r="M65" s="17"/>
      <c r="N65" s="44" t="str">
        <f aca="true">IF(A65="","",IF(N(K65)&gt;Settings!$S$7,"Over revision limit",IF(AND(D65="Free video",J65="",E65&lt;&gt;"",TODAY()&gt;WORKDAY(E65,Settings!$S$5)),"LATE – free video promised in 5 working days",IF(AND(E65&lt;&gt;"",E65=TODAY()),"Shooting today",""))))</f>
        <v/>
      </c>
    </row>
    <row r="66" customFormat="false" ht="15" hidden="false" customHeight="false" outlineLevel="0" collapsed="false">
      <c r="A66" s="17"/>
      <c r="B66" s="17"/>
      <c r="C66" s="44" t="str">
        <f aca="false">IF(B66="","",IFERROR(INDEX(Clients!$C$2:$C$501,MATCH(B66,Clients!$A$2:$A$501,0)),"Client ID not found"))</f>
        <v/>
      </c>
      <c r="D66" s="17"/>
      <c r="E66" s="40"/>
      <c r="F66" s="41"/>
      <c r="G66" s="17"/>
      <c r="H66" s="17"/>
      <c r="I66" s="17"/>
      <c r="J66" s="40"/>
      <c r="K66" s="17"/>
      <c r="L66" s="17"/>
      <c r="M66" s="17"/>
      <c r="N66" s="44" t="str">
        <f aca="true">IF(A66="","",IF(N(K66)&gt;Settings!$S$7,"Over revision limit",IF(AND(D66="Free video",J66="",E66&lt;&gt;"",TODAY()&gt;WORKDAY(E66,Settings!$S$5)),"LATE – free video promised in 5 working days",IF(AND(E66&lt;&gt;"",E66=TODAY()),"Shooting today",""))))</f>
        <v/>
      </c>
    </row>
    <row r="67" customFormat="false" ht="15" hidden="false" customHeight="false" outlineLevel="0" collapsed="false">
      <c r="A67" s="17"/>
      <c r="B67" s="17"/>
      <c r="C67" s="44" t="str">
        <f aca="false">IF(B67="","",IFERROR(INDEX(Clients!$C$2:$C$501,MATCH(B67,Clients!$A$2:$A$501,0)),"Client ID not found"))</f>
        <v/>
      </c>
      <c r="D67" s="17"/>
      <c r="E67" s="40"/>
      <c r="F67" s="41"/>
      <c r="G67" s="17"/>
      <c r="H67" s="17"/>
      <c r="I67" s="17"/>
      <c r="J67" s="40"/>
      <c r="K67" s="17"/>
      <c r="L67" s="17"/>
      <c r="M67" s="17"/>
      <c r="N67" s="44" t="str">
        <f aca="true">IF(A67="","",IF(N(K67)&gt;Settings!$S$7,"Over revision limit",IF(AND(D67="Free video",J67="",E67&lt;&gt;"",TODAY()&gt;WORKDAY(E67,Settings!$S$5)),"LATE – free video promised in 5 working days",IF(AND(E67&lt;&gt;"",E67=TODAY()),"Shooting today",""))))</f>
        <v/>
      </c>
    </row>
    <row r="68" customFormat="false" ht="15" hidden="false" customHeight="false" outlineLevel="0" collapsed="false">
      <c r="A68" s="17"/>
      <c r="B68" s="17"/>
      <c r="C68" s="44" t="str">
        <f aca="false">IF(B68="","",IFERROR(INDEX(Clients!$C$2:$C$501,MATCH(B68,Clients!$A$2:$A$501,0)),"Client ID not found"))</f>
        <v/>
      </c>
      <c r="D68" s="17"/>
      <c r="E68" s="40"/>
      <c r="F68" s="41"/>
      <c r="G68" s="17"/>
      <c r="H68" s="17"/>
      <c r="I68" s="17"/>
      <c r="J68" s="40"/>
      <c r="K68" s="17"/>
      <c r="L68" s="17"/>
      <c r="M68" s="17"/>
      <c r="N68" s="44" t="str">
        <f aca="true">IF(A68="","",IF(N(K68)&gt;Settings!$S$7,"Over revision limit",IF(AND(D68="Free video",J68="",E68&lt;&gt;"",TODAY()&gt;WORKDAY(E68,Settings!$S$5)),"LATE – free video promised in 5 working days",IF(AND(E68&lt;&gt;"",E68=TODAY()),"Shooting today",""))))</f>
        <v/>
      </c>
    </row>
    <row r="69" customFormat="false" ht="15" hidden="false" customHeight="false" outlineLevel="0" collapsed="false">
      <c r="A69" s="17"/>
      <c r="B69" s="17"/>
      <c r="C69" s="44" t="str">
        <f aca="false">IF(B69="","",IFERROR(INDEX(Clients!$C$2:$C$501,MATCH(B69,Clients!$A$2:$A$501,0)),"Client ID not found"))</f>
        <v/>
      </c>
      <c r="D69" s="17"/>
      <c r="E69" s="40"/>
      <c r="F69" s="41"/>
      <c r="G69" s="17"/>
      <c r="H69" s="17"/>
      <c r="I69" s="17"/>
      <c r="J69" s="40"/>
      <c r="K69" s="17"/>
      <c r="L69" s="17"/>
      <c r="M69" s="17"/>
      <c r="N69" s="44" t="str">
        <f aca="true">IF(A69="","",IF(N(K69)&gt;Settings!$S$7,"Over revision limit",IF(AND(D69="Free video",J69="",E69&lt;&gt;"",TODAY()&gt;WORKDAY(E69,Settings!$S$5)),"LATE – free video promised in 5 working days",IF(AND(E69&lt;&gt;"",E69=TODAY()),"Shooting today",""))))</f>
        <v/>
      </c>
    </row>
    <row r="70" customFormat="false" ht="15" hidden="false" customHeight="false" outlineLevel="0" collapsed="false">
      <c r="A70" s="17"/>
      <c r="B70" s="17"/>
      <c r="C70" s="44" t="str">
        <f aca="false">IF(B70="","",IFERROR(INDEX(Clients!$C$2:$C$501,MATCH(B70,Clients!$A$2:$A$501,0)),"Client ID not found"))</f>
        <v/>
      </c>
      <c r="D70" s="17"/>
      <c r="E70" s="40"/>
      <c r="F70" s="41"/>
      <c r="G70" s="17"/>
      <c r="H70" s="17"/>
      <c r="I70" s="17"/>
      <c r="J70" s="40"/>
      <c r="K70" s="17"/>
      <c r="L70" s="17"/>
      <c r="M70" s="17"/>
      <c r="N70" s="44" t="str">
        <f aca="true">IF(A70="","",IF(N(K70)&gt;Settings!$S$7,"Over revision limit",IF(AND(D70="Free video",J70="",E70&lt;&gt;"",TODAY()&gt;WORKDAY(E70,Settings!$S$5)),"LATE – free video promised in 5 working days",IF(AND(E70&lt;&gt;"",E70=TODAY()),"Shooting today",""))))</f>
        <v/>
      </c>
    </row>
    <row r="71" customFormat="false" ht="15" hidden="false" customHeight="false" outlineLevel="0" collapsed="false">
      <c r="A71" s="17"/>
      <c r="B71" s="17"/>
      <c r="C71" s="44" t="str">
        <f aca="false">IF(B71="","",IFERROR(INDEX(Clients!$C$2:$C$501,MATCH(B71,Clients!$A$2:$A$501,0)),"Client ID not found"))</f>
        <v/>
      </c>
      <c r="D71" s="17"/>
      <c r="E71" s="40"/>
      <c r="F71" s="41"/>
      <c r="G71" s="17"/>
      <c r="H71" s="17"/>
      <c r="I71" s="17"/>
      <c r="J71" s="40"/>
      <c r="K71" s="17"/>
      <c r="L71" s="17"/>
      <c r="M71" s="17"/>
      <c r="N71" s="44" t="str">
        <f aca="true">IF(A71="","",IF(N(K71)&gt;Settings!$S$7,"Over revision limit",IF(AND(D71="Free video",J71="",E71&lt;&gt;"",TODAY()&gt;WORKDAY(E71,Settings!$S$5)),"LATE – free video promised in 5 working days",IF(AND(E71&lt;&gt;"",E71=TODAY()),"Shooting today",""))))</f>
        <v/>
      </c>
    </row>
    <row r="72" customFormat="false" ht="15" hidden="false" customHeight="false" outlineLevel="0" collapsed="false">
      <c r="A72" s="17"/>
      <c r="B72" s="17"/>
      <c r="C72" s="44" t="str">
        <f aca="false">IF(B72="","",IFERROR(INDEX(Clients!$C$2:$C$501,MATCH(B72,Clients!$A$2:$A$501,0)),"Client ID not found"))</f>
        <v/>
      </c>
      <c r="D72" s="17"/>
      <c r="E72" s="40"/>
      <c r="F72" s="41"/>
      <c r="G72" s="17"/>
      <c r="H72" s="17"/>
      <c r="I72" s="17"/>
      <c r="J72" s="40"/>
      <c r="K72" s="17"/>
      <c r="L72" s="17"/>
      <c r="M72" s="17"/>
      <c r="N72" s="44" t="str">
        <f aca="true">IF(A72="","",IF(N(K72)&gt;Settings!$S$7,"Over revision limit",IF(AND(D72="Free video",J72="",E72&lt;&gt;"",TODAY()&gt;WORKDAY(E72,Settings!$S$5)),"LATE – free video promised in 5 working days",IF(AND(E72&lt;&gt;"",E72=TODAY()),"Shooting today",""))))</f>
        <v/>
      </c>
    </row>
    <row r="73" customFormat="false" ht="15" hidden="false" customHeight="false" outlineLevel="0" collapsed="false">
      <c r="A73" s="17"/>
      <c r="B73" s="17"/>
      <c r="C73" s="44" t="str">
        <f aca="false">IF(B73="","",IFERROR(INDEX(Clients!$C$2:$C$501,MATCH(B73,Clients!$A$2:$A$501,0)),"Client ID not found"))</f>
        <v/>
      </c>
      <c r="D73" s="17"/>
      <c r="E73" s="40"/>
      <c r="F73" s="41"/>
      <c r="G73" s="17"/>
      <c r="H73" s="17"/>
      <c r="I73" s="17"/>
      <c r="J73" s="40"/>
      <c r="K73" s="17"/>
      <c r="L73" s="17"/>
      <c r="M73" s="17"/>
      <c r="N73" s="44" t="str">
        <f aca="true">IF(A73="","",IF(N(K73)&gt;Settings!$S$7,"Over revision limit",IF(AND(D73="Free video",J73="",E73&lt;&gt;"",TODAY()&gt;WORKDAY(E73,Settings!$S$5)),"LATE – free video promised in 5 working days",IF(AND(E73&lt;&gt;"",E73=TODAY()),"Shooting today",""))))</f>
        <v/>
      </c>
    </row>
    <row r="74" customFormat="false" ht="15" hidden="false" customHeight="false" outlineLevel="0" collapsed="false">
      <c r="A74" s="17"/>
      <c r="B74" s="17"/>
      <c r="C74" s="44" t="str">
        <f aca="false">IF(B74="","",IFERROR(INDEX(Clients!$C$2:$C$501,MATCH(B74,Clients!$A$2:$A$501,0)),"Client ID not found"))</f>
        <v/>
      </c>
      <c r="D74" s="17"/>
      <c r="E74" s="40"/>
      <c r="F74" s="41"/>
      <c r="G74" s="17"/>
      <c r="H74" s="17"/>
      <c r="I74" s="17"/>
      <c r="J74" s="40"/>
      <c r="K74" s="17"/>
      <c r="L74" s="17"/>
      <c r="M74" s="17"/>
      <c r="N74" s="44" t="str">
        <f aca="true">IF(A74="","",IF(N(K74)&gt;Settings!$S$7,"Over revision limit",IF(AND(D74="Free video",J74="",E74&lt;&gt;"",TODAY()&gt;WORKDAY(E74,Settings!$S$5)),"LATE – free video promised in 5 working days",IF(AND(E74&lt;&gt;"",E74=TODAY()),"Shooting today",""))))</f>
        <v/>
      </c>
    </row>
    <row r="75" customFormat="false" ht="15" hidden="false" customHeight="false" outlineLevel="0" collapsed="false">
      <c r="A75" s="17"/>
      <c r="B75" s="17"/>
      <c r="C75" s="44" t="str">
        <f aca="false">IF(B75="","",IFERROR(INDEX(Clients!$C$2:$C$501,MATCH(B75,Clients!$A$2:$A$501,0)),"Client ID not found"))</f>
        <v/>
      </c>
      <c r="D75" s="17"/>
      <c r="E75" s="40"/>
      <c r="F75" s="41"/>
      <c r="G75" s="17"/>
      <c r="H75" s="17"/>
      <c r="I75" s="17"/>
      <c r="J75" s="40"/>
      <c r="K75" s="17"/>
      <c r="L75" s="17"/>
      <c r="M75" s="17"/>
      <c r="N75" s="44" t="str">
        <f aca="true">IF(A75="","",IF(N(K75)&gt;Settings!$S$7,"Over revision limit",IF(AND(D75="Free video",J75="",E75&lt;&gt;"",TODAY()&gt;WORKDAY(E75,Settings!$S$5)),"LATE – free video promised in 5 working days",IF(AND(E75&lt;&gt;"",E75=TODAY()),"Shooting today",""))))</f>
        <v/>
      </c>
    </row>
    <row r="76" customFormat="false" ht="15" hidden="false" customHeight="false" outlineLevel="0" collapsed="false">
      <c r="A76" s="17"/>
      <c r="B76" s="17"/>
      <c r="C76" s="44" t="str">
        <f aca="false">IF(B76="","",IFERROR(INDEX(Clients!$C$2:$C$501,MATCH(B76,Clients!$A$2:$A$501,0)),"Client ID not found"))</f>
        <v/>
      </c>
      <c r="D76" s="17"/>
      <c r="E76" s="40"/>
      <c r="F76" s="41"/>
      <c r="G76" s="17"/>
      <c r="H76" s="17"/>
      <c r="I76" s="17"/>
      <c r="J76" s="40"/>
      <c r="K76" s="17"/>
      <c r="L76" s="17"/>
      <c r="M76" s="17"/>
      <c r="N76" s="44" t="str">
        <f aca="true">IF(A76="","",IF(N(K76)&gt;Settings!$S$7,"Over revision limit",IF(AND(D76="Free video",J76="",E76&lt;&gt;"",TODAY()&gt;WORKDAY(E76,Settings!$S$5)),"LATE – free video promised in 5 working days",IF(AND(E76&lt;&gt;"",E76=TODAY()),"Shooting today",""))))</f>
        <v/>
      </c>
    </row>
    <row r="77" customFormat="false" ht="15" hidden="false" customHeight="false" outlineLevel="0" collapsed="false">
      <c r="A77" s="17"/>
      <c r="B77" s="17"/>
      <c r="C77" s="44" t="str">
        <f aca="false">IF(B77="","",IFERROR(INDEX(Clients!$C$2:$C$501,MATCH(B77,Clients!$A$2:$A$501,0)),"Client ID not found"))</f>
        <v/>
      </c>
      <c r="D77" s="17"/>
      <c r="E77" s="40"/>
      <c r="F77" s="41"/>
      <c r="G77" s="17"/>
      <c r="H77" s="17"/>
      <c r="I77" s="17"/>
      <c r="J77" s="40"/>
      <c r="K77" s="17"/>
      <c r="L77" s="17"/>
      <c r="M77" s="17"/>
      <c r="N77" s="44" t="str">
        <f aca="true">IF(A77="","",IF(N(K77)&gt;Settings!$S$7,"Over revision limit",IF(AND(D77="Free video",J77="",E77&lt;&gt;"",TODAY()&gt;WORKDAY(E77,Settings!$S$5)),"LATE – free video promised in 5 working days",IF(AND(E77&lt;&gt;"",E77=TODAY()),"Shooting today",""))))</f>
        <v/>
      </c>
    </row>
    <row r="78" customFormat="false" ht="15" hidden="false" customHeight="false" outlineLevel="0" collapsed="false">
      <c r="A78" s="17"/>
      <c r="B78" s="17"/>
      <c r="C78" s="44" t="str">
        <f aca="false">IF(B78="","",IFERROR(INDEX(Clients!$C$2:$C$501,MATCH(B78,Clients!$A$2:$A$501,0)),"Client ID not found"))</f>
        <v/>
      </c>
      <c r="D78" s="17"/>
      <c r="E78" s="40"/>
      <c r="F78" s="41"/>
      <c r="G78" s="17"/>
      <c r="H78" s="17"/>
      <c r="I78" s="17"/>
      <c r="J78" s="40"/>
      <c r="K78" s="17"/>
      <c r="L78" s="17"/>
      <c r="M78" s="17"/>
      <c r="N78" s="44" t="str">
        <f aca="true">IF(A78="","",IF(N(K78)&gt;Settings!$S$7,"Over revision limit",IF(AND(D78="Free video",J78="",E78&lt;&gt;"",TODAY()&gt;WORKDAY(E78,Settings!$S$5)),"LATE – free video promised in 5 working days",IF(AND(E78&lt;&gt;"",E78=TODAY()),"Shooting today",""))))</f>
        <v/>
      </c>
    </row>
    <row r="79" customFormat="false" ht="15" hidden="false" customHeight="false" outlineLevel="0" collapsed="false">
      <c r="A79" s="17"/>
      <c r="B79" s="17"/>
      <c r="C79" s="44" t="str">
        <f aca="false">IF(B79="","",IFERROR(INDEX(Clients!$C$2:$C$501,MATCH(B79,Clients!$A$2:$A$501,0)),"Client ID not found"))</f>
        <v/>
      </c>
      <c r="D79" s="17"/>
      <c r="E79" s="40"/>
      <c r="F79" s="41"/>
      <c r="G79" s="17"/>
      <c r="H79" s="17"/>
      <c r="I79" s="17"/>
      <c r="J79" s="40"/>
      <c r="K79" s="17"/>
      <c r="L79" s="17"/>
      <c r="M79" s="17"/>
      <c r="N79" s="44" t="str">
        <f aca="true">IF(A79="","",IF(N(K79)&gt;Settings!$S$7,"Over revision limit",IF(AND(D79="Free video",J79="",E79&lt;&gt;"",TODAY()&gt;WORKDAY(E79,Settings!$S$5)),"LATE – free video promised in 5 working days",IF(AND(E79&lt;&gt;"",E79=TODAY()),"Shooting today",""))))</f>
        <v/>
      </c>
    </row>
    <row r="80" customFormat="false" ht="15" hidden="false" customHeight="false" outlineLevel="0" collapsed="false">
      <c r="A80" s="17"/>
      <c r="B80" s="17"/>
      <c r="C80" s="44" t="str">
        <f aca="false">IF(B80="","",IFERROR(INDEX(Clients!$C$2:$C$501,MATCH(B80,Clients!$A$2:$A$501,0)),"Client ID not found"))</f>
        <v/>
      </c>
      <c r="D80" s="17"/>
      <c r="E80" s="40"/>
      <c r="F80" s="41"/>
      <c r="G80" s="17"/>
      <c r="H80" s="17"/>
      <c r="I80" s="17"/>
      <c r="J80" s="40"/>
      <c r="K80" s="17"/>
      <c r="L80" s="17"/>
      <c r="M80" s="17"/>
      <c r="N80" s="44" t="str">
        <f aca="true">IF(A80="","",IF(N(K80)&gt;Settings!$S$7,"Over revision limit",IF(AND(D80="Free video",J80="",E80&lt;&gt;"",TODAY()&gt;WORKDAY(E80,Settings!$S$5)),"LATE – free video promised in 5 working days",IF(AND(E80&lt;&gt;"",E80=TODAY()),"Shooting today",""))))</f>
        <v/>
      </c>
    </row>
    <row r="81" customFormat="false" ht="15" hidden="false" customHeight="false" outlineLevel="0" collapsed="false">
      <c r="A81" s="17"/>
      <c r="B81" s="17"/>
      <c r="C81" s="44" t="str">
        <f aca="false">IF(B81="","",IFERROR(INDEX(Clients!$C$2:$C$501,MATCH(B81,Clients!$A$2:$A$501,0)),"Client ID not found"))</f>
        <v/>
      </c>
      <c r="D81" s="17"/>
      <c r="E81" s="40"/>
      <c r="F81" s="41"/>
      <c r="G81" s="17"/>
      <c r="H81" s="17"/>
      <c r="I81" s="17"/>
      <c r="J81" s="40"/>
      <c r="K81" s="17"/>
      <c r="L81" s="17"/>
      <c r="M81" s="17"/>
      <c r="N81" s="44" t="str">
        <f aca="true">IF(A81="","",IF(N(K81)&gt;Settings!$S$7,"Over revision limit",IF(AND(D81="Free video",J81="",E81&lt;&gt;"",TODAY()&gt;WORKDAY(E81,Settings!$S$5)),"LATE – free video promised in 5 working days",IF(AND(E81&lt;&gt;"",E81=TODAY()),"Shooting today",""))))</f>
        <v/>
      </c>
    </row>
    <row r="82" customFormat="false" ht="15" hidden="false" customHeight="false" outlineLevel="0" collapsed="false">
      <c r="A82" s="17"/>
      <c r="B82" s="17"/>
      <c r="C82" s="44" t="str">
        <f aca="false">IF(B82="","",IFERROR(INDEX(Clients!$C$2:$C$501,MATCH(B82,Clients!$A$2:$A$501,0)),"Client ID not found"))</f>
        <v/>
      </c>
      <c r="D82" s="17"/>
      <c r="E82" s="40"/>
      <c r="F82" s="41"/>
      <c r="G82" s="17"/>
      <c r="H82" s="17"/>
      <c r="I82" s="17"/>
      <c r="J82" s="40"/>
      <c r="K82" s="17"/>
      <c r="L82" s="17"/>
      <c r="M82" s="17"/>
      <c r="N82" s="44" t="str">
        <f aca="true">IF(A82="","",IF(N(K82)&gt;Settings!$S$7,"Over revision limit",IF(AND(D82="Free video",J82="",E82&lt;&gt;"",TODAY()&gt;WORKDAY(E82,Settings!$S$5)),"LATE – free video promised in 5 working days",IF(AND(E82&lt;&gt;"",E82=TODAY()),"Shooting today",""))))</f>
        <v/>
      </c>
    </row>
    <row r="83" customFormat="false" ht="15" hidden="false" customHeight="false" outlineLevel="0" collapsed="false">
      <c r="A83" s="17"/>
      <c r="B83" s="17"/>
      <c r="C83" s="44" t="str">
        <f aca="false">IF(B83="","",IFERROR(INDEX(Clients!$C$2:$C$501,MATCH(B83,Clients!$A$2:$A$501,0)),"Client ID not found"))</f>
        <v/>
      </c>
      <c r="D83" s="17"/>
      <c r="E83" s="40"/>
      <c r="F83" s="41"/>
      <c r="G83" s="17"/>
      <c r="H83" s="17"/>
      <c r="I83" s="17"/>
      <c r="J83" s="40"/>
      <c r="K83" s="17"/>
      <c r="L83" s="17"/>
      <c r="M83" s="17"/>
      <c r="N83" s="44" t="str">
        <f aca="true">IF(A83="","",IF(N(K83)&gt;Settings!$S$7,"Over revision limit",IF(AND(D83="Free video",J83="",E83&lt;&gt;"",TODAY()&gt;WORKDAY(E83,Settings!$S$5)),"LATE – free video promised in 5 working days",IF(AND(E83&lt;&gt;"",E83=TODAY()),"Shooting today",""))))</f>
        <v/>
      </c>
    </row>
    <row r="84" customFormat="false" ht="15" hidden="false" customHeight="false" outlineLevel="0" collapsed="false">
      <c r="A84" s="17"/>
      <c r="B84" s="17"/>
      <c r="C84" s="44" t="str">
        <f aca="false">IF(B84="","",IFERROR(INDEX(Clients!$C$2:$C$501,MATCH(B84,Clients!$A$2:$A$501,0)),"Client ID not found"))</f>
        <v/>
      </c>
      <c r="D84" s="17"/>
      <c r="E84" s="40"/>
      <c r="F84" s="41"/>
      <c r="G84" s="17"/>
      <c r="H84" s="17"/>
      <c r="I84" s="17"/>
      <c r="J84" s="40"/>
      <c r="K84" s="17"/>
      <c r="L84" s="17"/>
      <c r="M84" s="17"/>
      <c r="N84" s="44" t="str">
        <f aca="true">IF(A84="","",IF(N(K84)&gt;Settings!$S$7,"Over revision limit",IF(AND(D84="Free video",J84="",E84&lt;&gt;"",TODAY()&gt;WORKDAY(E84,Settings!$S$5)),"LATE – free video promised in 5 working days",IF(AND(E84&lt;&gt;"",E84=TODAY()),"Shooting today",""))))</f>
        <v/>
      </c>
    </row>
    <row r="85" customFormat="false" ht="15" hidden="false" customHeight="false" outlineLevel="0" collapsed="false">
      <c r="A85" s="17"/>
      <c r="B85" s="17"/>
      <c r="C85" s="44" t="str">
        <f aca="false">IF(B85="","",IFERROR(INDEX(Clients!$C$2:$C$501,MATCH(B85,Clients!$A$2:$A$501,0)),"Client ID not found"))</f>
        <v/>
      </c>
      <c r="D85" s="17"/>
      <c r="E85" s="40"/>
      <c r="F85" s="41"/>
      <c r="G85" s="17"/>
      <c r="H85" s="17"/>
      <c r="I85" s="17"/>
      <c r="J85" s="40"/>
      <c r="K85" s="17"/>
      <c r="L85" s="17"/>
      <c r="M85" s="17"/>
      <c r="N85" s="44" t="str">
        <f aca="true">IF(A85="","",IF(N(K85)&gt;Settings!$S$7,"Over revision limit",IF(AND(D85="Free video",J85="",E85&lt;&gt;"",TODAY()&gt;WORKDAY(E85,Settings!$S$5)),"LATE – free video promised in 5 working days",IF(AND(E85&lt;&gt;"",E85=TODAY()),"Shooting today",""))))</f>
        <v/>
      </c>
    </row>
    <row r="86" customFormat="false" ht="15" hidden="false" customHeight="false" outlineLevel="0" collapsed="false">
      <c r="A86" s="17"/>
      <c r="B86" s="17"/>
      <c r="C86" s="44" t="str">
        <f aca="false">IF(B86="","",IFERROR(INDEX(Clients!$C$2:$C$501,MATCH(B86,Clients!$A$2:$A$501,0)),"Client ID not found"))</f>
        <v/>
      </c>
      <c r="D86" s="17"/>
      <c r="E86" s="40"/>
      <c r="F86" s="41"/>
      <c r="G86" s="17"/>
      <c r="H86" s="17"/>
      <c r="I86" s="17"/>
      <c r="J86" s="40"/>
      <c r="K86" s="17"/>
      <c r="L86" s="17"/>
      <c r="M86" s="17"/>
      <c r="N86" s="44" t="str">
        <f aca="true">IF(A86="","",IF(N(K86)&gt;Settings!$S$7,"Over revision limit",IF(AND(D86="Free video",J86="",E86&lt;&gt;"",TODAY()&gt;WORKDAY(E86,Settings!$S$5)),"LATE – free video promised in 5 working days",IF(AND(E86&lt;&gt;"",E86=TODAY()),"Shooting today",""))))</f>
        <v/>
      </c>
    </row>
    <row r="87" customFormat="false" ht="15" hidden="false" customHeight="false" outlineLevel="0" collapsed="false">
      <c r="A87" s="17"/>
      <c r="B87" s="17"/>
      <c r="C87" s="44" t="str">
        <f aca="false">IF(B87="","",IFERROR(INDEX(Clients!$C$2:$C$501,MATCH(B87,Clients!$A$2:$A$501,0)),"Client ID not found"))</f>
        <v/>
      </c>
      <c r="D87" s="17"/>
      <c r="E87" s="40"/>
      <c r="F87" s="41"/>
      <c r="G87" s="17"/>
      <c r="H87" s="17"/>
      <c r="I87" s="17"/>
      <c r="J87" s="40"/>
      <c r="K87" s="17"/>
      <c r="L87" s="17"/>
      <c r="M87" s="17"/>
      <c r="N87" s="44" t="str">
        <f aca="true">IF(A87="","",IF(N(K87)&gt;Settings!$S$7,"Over revision limit",IF(AND(D87="Free video",J87="",E87&lt;&gt;"",TODAY()&gt;WORKDAY(E87,Settings!$S$5)),"LATE – free video promised in 5 working days",IF(AND(E87&lt;&gt;"",E87=TODAY()),"Shooting today",""))))</f>
        <v/>
      </c>
    </row>
    <row r="88" customFormat="false" ht="15" hidden="false" customHeight="false" outlineLevel="0" collapsed="false">
      <c r="A88" s="17"/>
      <c r="B88" s="17"/>
      <c r="C88" s="44" t="str">
        <f aca="false">IF(B88="","",IFERROR(INDEX(Clients!$C$2:$C$501,MATCH(B88,Clients!$A$2:$A$501,0)),"Client ID not found"))</f>
        <v/>
      </c>
      <c r="D88" s="17"/>
      <c r="E88" s="40"/>
      <c r="F88" s="41"/>
      <c r="G88" s="17"/>
      <c r="H88" s="17"/>
      <c r="I88" s="17"/>
      <c r="J88" s="40"/>
      <c r="K88" s="17"/>
      <c r="L88" s="17"/>
      <c r="M88" s="17"/>
      <c r="N88" s="44" t="str">
        <f aca="true">IF(A88="","",IF(N(K88)&gt;Settings!$S$7,"Over revision limit",IF(AND(D88="Free video",J88="",E88&lt;&gt;"",TODAY()&gt;WORKDAY(E88,Settings!$S$5)),"LATE – free video promised in 5 working days",IF(AND(E88&lt;&gt;"",E88=TODAY()),"Shooting today",""))))</f>
        <v/>
      </c>
    </row>
    <row r="89" customFormat="false" ht="15" hidden="false" customHeight="false" outlineLevel="0" collapsed="false">
      <c r="A89" s="17"/>
      <c r="B89" s="17"/>
      <c r="C89" s="44" t="str">
        <f aca="false">IF(B89="","",IFERROR(INDEX(Clients!$C$2:$C$501,MATCH(B89,Clients!$A$2:$A$501,0)),"Client ID not found"))</f>
        <v/>
      </c>
      <c r="D89" s="17"/>
      <c r="E89" s="40"/>
      <c r="F89" s="41"/>
      <c r="G89" s="17"/>
      <c r="H89" s="17"/>
      <c r="I89" s="17"/>
      <c r="J89" s="40"/>
      <c r="K89" s="17"/>
      <c r="L89" s="17"/>
      <c r="M89" s="17"/>
      <c r="N89" s="44" t="str">
        <f aca="true">IF(A89="","",IF(N(K89)&gt;Settings!$S$7,"Over revision limit",IF(AND(D89="Free video",J89="",E89&lt;&gt;"",TODAY()&gt;WORKDAY(E89,Settings!$S$5)),"LATE – free video promised in 5 working days",IF(AND(E89&lt;&gt;"",E89=TODAY()),"Shooting today",""))))</f>
        <v/>
      </c>
    </row>
    <row r="90" customFormat="false" ht="15" hidden="false" customHeight="false" outlineLevel="0" collapsed="false">
      <c r="A90" s="17"/>
      <c r="B90" s="17"/>
      <c r="C90" s="44" t="str">
        <f aca="false">IF(B90="","",IFERROR(INDEX(Clients!$C$2:$C$501,MATCH(B90,Clients!$A$2:$A$501,0)),"Client ID not found"))</f>
        <v/>
      </c>
      <c r="D90" s="17"/>
      <c r="E90" s="40"/>
      <c r="F90" s="41"/>
      <c r="G90" s="17"/>
      <c r="H90" s="17"/>
      <c r="I90" s="17"/>
      <c r="J90" s="40"/>
      <c r="K90" s="17"/>
      <c r="L90" s="17"/>
      <c r="M90" s="17"/>
      <c r="N90" s="44" t="str">
        <f aca="true">IF(A90="","",IF(N(K90)&gt;Settings!$S$7,"Over revision limit",IF(AND(D90="Free video",J90="",E90&lt;&gt;"",TODAY()&gt;WORKDAY(E90,Settings!$S$5)),"LATE – free video promised in 5 working days",IF(AND(E90&lt;&gt;"",E90=TODAY()),"Shooting today",""))))</f>
        <v/>
      </c>
    </row>
    <row r="91" customFormat="false" ht="15" hidden="false" customHeight="false" outlineLevel="0" collapsed="false">
      <c r="A91" s="17"/>
      <c r="B91" s="17"/>
      <c r="C91" s="44" t="str">
        <f aca="false">IF(B91="","",IFERROR(INDEX(Clients!$C$2:$C$501,MATCH(B91,Clients!$A$2:$A$501,0)),"Client ID not found"))</f>
        <v/>
      </c>
      <c r="D91" s="17"/>
      <c r="E91" s="40"/>
      <c r="F91" s="41"/>
      <c r="G91" s="17"/>
      <c r="H91" s="17"/>
      <c r="I91" s="17"/>
      <c r="J91" s="40"/>
      <c r="K91" s="17"/>
      <c r="L91" s="17"/>
      <c r="M91" s="17"/>
      <c r="N91" s="44" t="str">
        <f aca="true">IF(A91="","",IF(N(K91)&gt;Settings!$S$7,"Over revision limit",IF(AND(D91="Free video",J91="",E91&lt;&gt;"",TODAY()&gt;WORKDAY(E91,Settings!$S$5)),"LATE – free video promised in 5 working days",IF(AND(E91&lt;&gt;"",E91=TODAY()),"Shooting today",""))))</f>
        <v/>
      </c>
    </row>
    <row r="92" customFormat="false" ht="15" hidden="false" customHeight="false" outlineLevel="0" collapsed="false">
      <c r="A92" s="17"/>
      <c r="B92" s="17"/>
      <c r="C92" s="44" t="str">
        <f aca="false">IF(B92="","",IFERROR(INDEX(Clients!$C$2:$C$501,MATCH(B92,Clients!$A$2:$A$501,0)),"Client ID not found"))</f>
        <v/>
      </c>
      <c r="D92" s="17"/>
      <c r="E92" s="40"/>
      <c r="F92" s="41"/>
      <c r="G92" s="17"/>
      <c r="H92" s="17"/>
      <c r="I92" s="17"/>
      <c r="J92" s="40"/>
      <c r="K92" s="17"/>
      <c r="L92" s="17"/>
      <c r="M92" s="17"/>
      <c r="N92" s="44" t="str">
        <f aca="true">IF(A92="","",IF(N(K92)&gt;Settings!$S$7,"Over revision limit",IF(AND(D92="Free video",J92="",E92&lt;&gt;"",TODAY()&gt;WORKDAY(E92,Settings!$S$5)),"LATE – free video promised in 5 working days",IF(AND(E92&lt;&gt;"",E92=TODAY()),"Shooting today",""))))</f>
        <v/>
      </c>
    </row>
    <row r="93" customFormat="false" ht="15" hidden="false" customHeight="false" outlineLevel="0" collapsed="false">
      <c r="A93" s="17"/>
      <c r="B93" s="17"/>
      <c r="C93" s="44" t="str">
        <f aca="false">IF(B93="","",IFERROR(INDEX(Clients!$C$2:$C$501,MATCH(B93,Clients!$A$2:$A$501,0)),"Client ID not found"))</f>
        <v/>
      </c>
      <c r="D93" s="17"/>
      <c r="E93" s="40"/>
      <c r="F93" s="41"/>
      <c r="G93" s="17"/>
      <c r="H93" s="17"/>
      <c r="I93" s="17"/>
      <c r="J93" s="40"/>
      <c r="K93" s="17"/>
      <c r="L93" s="17"/>
      <c r="M93" s="17"/>
      <c r="N93" s="44" t="str">
        <f aca="true">IF(A93="","",IF(N(K93)&gt;Settings!$S$7,"Over revision limit",IF(AND(D93="Free video",J93="",E93&lt;&gt;"",TODAY()&gt;WORKDAY(E93,Settings!$S$5)),"LATE – free video promised in 5 working days",IF(AND(E93&lt;&gt;"",E93=TODAY()),"Shooting today",""))))</f>
        <v/>
      </c>
    </row>
    <row r="94" customFormat="false" ht="15" hidden="false" customHeight="false" outlineLevel="0" collapsed="false">
      <c r="A94" s="17"/>
      <c r="B94" s="17"/>
      <c r="C94" s="44" t="str">
        <f aca="false">IF(B94="","",IFERROR(INDEX(Clients!$C$2:$C$501,MATCH(B94,Clients!$A$2:$A$501,0)),"Client ID not found"))</f>
        <v/>
      </c>
      <c r="D94" s="17"/>
      <c r="E94" s="40"/>
      <c r="F94" s="41"/>
      <c r="G94" s="17"/>
      <c r="H94" s="17"/>
      <c r="I94" s="17"/>
      <c r="J94" s="40"/>
      <c r="K94" s="17"/>
      <c r="L94" s="17"/>
      <c r="M94" s="17"/>
      <c r="N94" s="44" t="str">
        <f aca="true">IF(A94="","",IF(N(K94)&gt;Settings!$S$7,"Over revision limit",IF(AND(D94="Free video",J94="",E94&lt;&gt;"",TODAY()&gt;WORKDAY(E94,Settings!$S$5)),"LATE – free video promised in 5 working days",IF(AND(E94&lt;&gt;"",E94=TODAY()),"Shooting today",""))))</f>
        <v/>
      </c>
    </row>
    <row r="95" customFormat="false" ht="15" hidden="false" customHeight="false" outlineLevel="0" collapsed="false">
      <c r="A95" s="17"/>
      <c r="B95" s="17"/>
      <c r="C95" s="44" t="str">
        <f aca="false">IF(B95="","",IFERROR(INDEX(Clients!$C$2:$C$501,MATCH(B95,Clients!$A$2:$A$501,0)),"Client ID not found"))</f>
        <v/>
      </c>
      <c r="D95" s="17"/>
      <c r="E95" s="40"/>
      <c r="F95" s="41"/>
      <c r="G95" s="17"/>
      <c r="H95" s="17"/>
      <c r="I95" s="17"/>
      <c r="J95" s="40"/>
      <c r="K95" s="17"/>
      <c r="L95" s="17"/>
      <c r="M95" s="17"/>
      <c r="N95" s="44" t="str">
        <f aca="true">IF(A95="","",IF(N(K95)&gt;Settings!$S$7,"Over revision limit",IF(AND(D95="Free video",J95="",E95&lt;&gt;"",TODAY()&gt;WORKDAY(E95,Settings!$S$5)),"LATE – free video promised in 5 working days",IF(AND(E95&lt;&gt;"",E95=TODAY()),"Shooting today",""))))</f>
        <v/>
      </c>
    </row>
    <row r="96" customFormat="false" ht="15" hidden="false" customHeight="false" outlineLevel="0" collapsed="false">
      <c r="A96" s="17"/>
      <c r="B96" s="17"/>
      <c r="C96" s="44" t="str">
        <f aca="false">IF(B96="","",IFERROR(INDEX(Clients!$C$2:$C$501,MATCH(B96,Clients!$A$2:$A$501,0)),"Client ID not found"))</f>
        <v/>
      </c>
      <c r="D96" s="17"/>
      <c r="E96" s="40"/>
      <c r="F96" s="41"/>
      <c r="G96" s="17"/>
      <c r="H96" s="17"/>
      <c r="I96" s="17"/>
      <c r="J96" s="40"/>
      <c r="K96" s="17"/>
      <c r="L96" s="17"/>
      <c r="M96" s="17"/>
      <c r="N96" s="44" t="str">
        <f aca="true">IF(A96="","",IF(N(K96)&gt;Settings!$S$7,"Over revision limit",IF(AND(D96="Free video",J96="",E96&lt;&gt;"",TODAY()&gt;WORKDAY(E96,Settings!$S$5)),"LATE – free video promised in 5 working days",IF(AND(E96&lt;&gt;"",E96=TODAY()),"Shooting today",""))))</f>
        <v/>
      </c>
    </row>
    <row r="97" customFormat="false" ht="15" hidden="false" customHeight="false" outlineLevel="0" collapsed="false">
      <c r="A97" s="17"/>
      <c r="B97" s="17"/>
      <c r="C97" s="44" t="str">
        <f aca="false">IF(B97="","",IFERROR(INDEX(Clients!$C$2:$C$501,MATCH(B97,Clients!$A$2:$A$501,0)),"Client ID not found"))</f>
        <v/>
      </c>
      <c r="D97" s="17"/>
      <c r="E97" s="40"/>
      <c r="F97" s="41"/>
      <c r="G97" s="17"/>
      <c r="H97" s="17"/>
      <c r="I97" s="17"/>
      <c r="J97" s="40"/>
      <c r="K97" s="17"/>
      <c r="L97" s="17"/>
      <c r="M97" s="17"/>
      <c r="N97" s="44" t="str">
        <f aca="true">IF(A97="","",IF(N(K97)&gt;Settings!$S$7,"Over revision limit",IF(AND(D97="Free video",J97="",E97&lt;&gt;"",TODAY()&gt;WORKDAY(E97,Settings!$S$5)),"LATE – free video promised in 5 working days",IF(AND(E97&lt;&gt;"",E97=TODAY()),"Shooting today",""))))</f>
        <v/>
      </c>
    </row>
    <row r="98" customFormat="false" ht="15" hidden="false" customHeight="false" outlineLevel="0" collapsed="false">
      <c r="A98" s="17"/>
      <c r="B98" s="17"/>
      <c r="C98" s="44" t="str">
        <f aca="false">IF(B98="","",IFERROR(INDEX(Clients!$C$2:$C$501,MATCH(B98,Clients!$A$2:$A$501,0)),"Client ID not found"))</f>
        <v/>
      </c>
      <c r="D98" s="17"/>
      <c r="E98" s="40"/>
      <c r="F98" s="41"/>
      <c r="G98" s="17"/>
      <c r="H98" s="17"/>
      <c r="I98" s="17"/>
      <c r="J98" s="40"/>
      <c r="K98" s="17"/>
      <c r="L98" s="17"/>
      <c r="M98" s="17"/>
      <c r="N98" s="44" t="str">
        <f aca="true">IF(A98="","",IF(N(K98)&gt;Settings!$S$7,"Over revision limit",IF(AND(D98="Free video",J98="",E98&lt;&gt;"",TODAY()&gt;WORKDAY(E98,Settings!$S$5)),"LATE – free video promised in 5 working days",IF(AND(E98&lt;&gt;"",E98=TODAY()),"Shooting today",""))))</f>
        <v/>
      </c>
    </row>
    <row r="99" customFormat="false" ht="15" hidden="false" customHeight="false" outlineLevel="0" collapsed="false">
      <c r="A99" s="17"/>
      <c r="B99" s="17"/>
      <c r="C99" s="44" t="str">
        <f aca="false">IF(B99="","",IFERROR(INDEX(Clients!$C$2:$C$501,MATCH(B99,Clients!$A$2:$A$501,0)),"Client ID not found"))</f>
        <v/>
      </c>
      <c r="D99" s="17"/>
      <c r="E99" s="40"/>
      <c r="F99" s="41"/>
      <c r="G99" s="17"/>
      <c r="H99" s="17"/>
      <c r="I99" s="17"/>
      <c r="J99" s="40"/>
      <c r="K99" s="17"/>
      <c r="L99" s="17"/>
      <c r="M99" s="17"/>
      <c r="N99" s="44" t="str">
        <f aca="true">IF(A99="","",IF(N(K99)&gt;Settings!$S$7,"Over revision limit",IF(AND(D99="Free video",J99="",E99&lt;&gt;"",TODAY()&gt;WORKDAY(E99,Settings!$S$5)),"LATE – free video promised in 5 working days",IF(AND(E99&lt;&gt;"",E99=TODAY()),"Shooting today",""))))</f>
        <v/>
      </c>
    </row>
    <row r="100" customFormat="false" ht="15" hidden="false" customHeight="false" outlineLevel="0" collapsed="false">
      <c r="A100" s="17"/>
      <c r="B100" s="17"/>
      <c r="C100" s="44" t="str">
        <f aca="false">IF(B100="","",IFERROR(INDEX(Clients!$C$2:$C$501,MATCH(B100,Clients!$A$2:$A$501,0)),"Client ID not found"))</f>
        <v/>
      </c>
      <c r="D100" s="17"/>
      <c r="E100" s="40"/>
      <c r="F100" s="41"/>
      <c r="G100" s="17"/>
      <c r="H100" s="17"/>
      <c r="I100" s="17"/>
      <c r="J100" s="40"/>
      <c r="K100" s="17"/>
      <c r="L100" s="17"/>
      <c r="M100" s="17"/>
      <c r="N100" s="44" t="str">
        <f aca="true">IF(A100="","",IF(N(K100)&gt;Settings!$S$7,"Over revision limit",IF(AND(D100="Free video",J100="",E100&lt;&gt;"",TODAY()&gt;WORKDAY(E100,Settings!$S$5)),"LATE – free video promised in 5 working days",IF(AND(E100&lt;&gt;"",E100=TODAY()),"Shooting today",""))))</f>
        <v/>
      </c>
    </row>
    <row r="101" customFormat="false" ht="15" hidden="false" customHeight="false" outlineLevel="0" collapsed="false">
      <c r="A101" s="17"/>
      <c r="B101" s="17"/>
      <c r="C101" s="44" t="str">
        <f aca="false">IF(B101="","",IFERROR(INDEX(Clients!$C$2:$C$501,MATCH(B101,Clients!$A$2:$A$501,0)),"Client ID not found"))</f>
        <v/>
      </c>
      <c r="D101" s="17"/>
      <c r="E101" s="40"/>
      <c r="F101" s="41"/>
      <c r="G101" s="17"/>
      <c r="H101" s="17"/>
      <c r="I101" s="17"/>
      <c r="J101" s="40"/>
      <c r="K101" s="17"/>
      <c r="L101" s="17"/>
      <c r="M101" s="17"/>
      <c r="N101" s="44" t="str">
        <f aca="true">IF(A101="","",IF(N(K101)&gt;Settings!$S$7,"Over revision limit",IF(AND(D101="Free video",J101="",E101&lt;&gt;"",TODAY()&gt;WORKDAY(E101,Settings!$S$5)),"LATE – free video promised in 5 working days",IF(AND(E101&lt;&gt;"",E101=TODAY()),"Shooting today",""))))</f>
        <v/>
      </c>
    </row>
    <row r="102" customFormat="false" ht="15" hidden="false" customHeight="false" outlineLevel="0" collapsed="false">
      <c r="A102" s="17"/>
      <c r="B102" s="17"/>
      <c r="C102" s="44" t="str">
        <f aca="false">IF(B102="","",IFERROR(INDEX(Clients!$C$2:$C$501,MATCH(B102,Clients!$A$2:$A$501,0)),"Client ID not found"))</f>
        <v/>
      </c>
      <c r="D102" s="17"/>
      <c r="E102" s="40"/>
      <c r="F102" s="41"/>
      <c r="G102" s="17"/>
      <c r="H102" s="17"/>
      <c r="I102" s="17"/>
      <c r="J102" s="40"/>
      <c r="K102" s="17"/>
      <c r="L102" s="17"/>
      <c r="M102" s="17"/>
      <c r="N102" s="44" t="str">
        <f aca="true">IF(A102="","",IF(N(K102)&gt;Settings!$S$7,"Over revision limit",IF(AND(D102="Free video",J102="",E102&lt;&gt;"",TODAY()&gt;WORKDAY(E102,Settings!$S$5)),"LATE – free video promised in 5 working days",IF(AND(E102&lt;&gt;"",E102=TODAY()),"Shooting today",""))))</f>
        <v/>
      </c>
    </row>
    <row r="103" customFormat="false" ht="15" hidden="false" customHeight="false" outlineLevel="0" collapsed="false">
      <c r="A103" s="17"/>
      <c r="B103" s="17"/>
      <c r="C103" s="44" t="str">
        <f aca="false">IF(B103="","",IFERROR(INDEX(Clients!$C$2:$C$501,MATCH(B103,Clients!$A$2:$A$501,0)),"Client ID not found"))</f>
        <v/>
      </c>
      <c r="D103" s="17"/>
      <c r="E103" s="40"/>
      <c r="F103" s="41"/>
      <c r="G103" s="17"/>
      <c r="H103" s="17"/>
      <c r="I103" s="17"/>
      <c r="J103" s="40"/>
      <c r="K103" s="17"/>
      <c r="L103" s="17"/>
      <c r="M103" s="17"/>
      <c r="N103" s="44" t="str">
        <f aca="true">IF(A103="","",IF(N(K103)&gt;Settings!$S$7,"Over revision limit",IF(AND(D103="Free video",J103="",E103&lt;&gt;"",TODAY()&gt;WORKDAY(E103,Settings!$S$5)),"LATE – free video promised in 5 working days",IF(AND(E103&lt;&gt;"",E103=TODAY()),"Shooting today",""))))</f>
        <v/>
      </c>
    </row>
    <row r="104" customFormat="false" ht="15" hidden="false" customHeight="false" outlineLevel="0" collapsed="false">
      <c r="A104" s="17"/>
      <c r="B104" s="17"/>
      <c r="C104" s="44" t="str">
        <f aca="false">IF(B104="","",IFERROR(INDEX(Clients!$C$2:$C$501,MATCH(B104,Clients!$A$2:$A$501,0)),"Client ID not found"))</f>
        <v/>
      </c>
      <c r="D104" s="17"/>
      <c r="E104" s="40"/>
      <c r="F104" s="41"/>
      <c r="G104" s="17"/>
      <c r="H104" s="17"/>
      <c r="I104" s="17"/>
      <c r="J104" s="40"/>
      <c r="K104" s="17"/>
      <c r="L104" s="17"/>
      <c r="M104" s="17"/>
      <c r="N104" s="44" t="str">
        <f aca="true">IF(A104="","",IF(N(K104)&gt;Settings!$S$7,"Over revision limit",IF(AND(D104="Free video",J104="",E104&lt;&gt;"",TODAY()&gt;WORKDAY(E104,Settings!$S$5)),"LATE – free video promised in 5 working days",IF(AND(E104&lt;&gt;"",E104=TODAY()),"Shooting today",""))))</f>
        <v/>
      </c>
    </row>
    <row r="105" customFormat="false" ht="15" hidden="false" customHeight="false" outlineLevel="0" collapsed="false">
      <c r="A105" s="17"/>
      <c r="B105" s="17"/>
      <c r="C105" s="44" t="str">
        <f aca="false">IF(B105="","",IFERROR(INDEX(Clients!$C$2:$C$501,MATCH(B105,Clients!$A$2:$A$501,0)),"Client ID not found"))</f>
        <v/>
      </c>
      <c r="D105" s="17"/>
      <c r="E105" s="40"/>
      <c r="F105" s="41"/>
      <c r="G105" s="17"/>
      <c r="H105" s="17"/>
      <c r="I105" s="17"/>
      <c r="J105" s="40"/>
      <c r="K105" s="17"/>
      <c r="L105" s="17"/>
      <c r="M105" s="17"/>
      <c r="N105" s="44" t="str">
        <f aca="true">IF(A105="","",IF(N(K105)&gt;Settings!$S$7,"Over revision limit",IF(AND(D105="Free video",J105="",E105&lt;&gt;"",TODAY()&gt;WORKDAY(E105,Settings!$S$5)),"LATE – free video promised in 5 working days",IF(AND(E105&lt;&gt;"",E105=TODAY()),"Shooting today",""))))</f>
        <v/>
      </c>
    </row>
    <row r="106" customFormat="false" ht="15" hidden="false" customHeight="false" outlineLevel="0" collapsed="false">
      <c r="A106" s="17"/>
      <c r="B106" s="17"/>
      <c r="C106" s="44" t="str">
        <f aca="false">IF(B106="","",IFERROR(INDEX(Clients!$C$2:$C$501,MATCH(B106,Clients!$A$2:$A$501,0)),"Client ID not found"))</f>
        <v/>
      </c>
      <c r="D106" s="17"/>
      <c r="E106" s="40"/>
      <c r="F106" s="41"/>
      <c r="G106" s="17"/>
      <c r="H106" s="17"/>
      <c r="I106" s="17"/>
      <c r="J106" s="40"/>
      <c r="K106" s="17"/>
      <c r="L106" s="17"/>
      <c r="M106" s="17"/>
      <c r="N106" s="44" t="str">
        <f aca="true">IF(A106="","",IF(N(K106)&gt;Settings!$S$7,"Over revision limit",IF(AND(D106="Free video",J106="",E106&lt;&gt;"",TODAY()&gt;WORKDAY(E106,Settings!$S$5)),"LATE – free video promised in 5 working days",IF(AND(E106&lt;&gt;"",E106=TODAY()),"Shooting today",""))))</f>
        <v/>
      </c>
    </row>
    <row r="107" customFormat="false" ht="15" hidden="false" customHeight="false" outlineLevel="0" collapsed="false">
      <c r="A107" s="17"/>
      <c r="B107" s="17"/>
      <c r="C107" s="44" t="str">
        <f aca="false">IF(B107="","",IFERROR(INDEX(Clients!$C$2:$C$501,MATCH(B107,Clients!$A$2:$A$501,0)),"Client ID not found"))</f>
        <v/>
      </c>
      <c r="D107" s="17"/>
      <c r="E107" s="40"/>
      <c r="F107" s="41"/>
      <c r="G107" s="17"/>
      <c r="H107" s="17"/>
      <c r="I107" s="17"/>
      <c r="J107" s="40"/>
      <c r="K107" s="17"/>
      <c r="L107" s="17"/>
      <c r="M107" s="17"/>
      <c r="N107" s="44" t="str">
        <f aca="true">IF(A107="","",IF(N(K107)&gt;Settings!$S$7,"Over revision limit",IF(AND(D107="Free video",J107="",E107&lt;&gt;"",TODAY()&gt;WORKDAY(E107,Settings!$S$5)),"LATE – free video promised in 5 working days",IF(AND(E107&lt;&gt;"",E107=TODAY()),"Shooting today",""))))</f>
        <v/>
      </c>
    </row>
    <row r="108" customFormat="false" ht="15" hidden="false" customHeight="false" outlineLevel="0" collapsed="false">
      <c r="A108" s="17"/>
      <c r="B108" s="17"/>
      <c r="C108" s="44" t="str">
        <f aca="false">IF(B108="","",IFERROR(INDEX(Clients!$C$2:$C$501,MATCH(B108,Clients!$A$2:$A$501,0)),"Client ID not found"))</f>
        <v/>
      </c>
      <c r="D108" s="17"/>
      <c r="E108" s="40"/>
      <c r="F108" s="41"/>
      <c r="G108" s="17"/>
      <c r="H108" s="17"/>
      <c r="I108" s="17"/>
      <c r="J108" s="40"/>
      <c r="K108" s="17"/>
      <c r="L108" s="17"/>
      <c r="M108" s="17"/>
      <c r="N108" s="44" t="str">
        <f aca="true">IF(A108="","",IF(N(K108)&gt;Settings!$S$7,"Over revision limit",IF(AND(D108="Free video",J108="",E108&lt;&gt;"",TODAY()&gt;WORKDAY(E108,Settings!$S$5)),"LATE – free video promised in 5 working days",IF(AND(E108&lt;&gt;"",E108=TODAY()),"Shooting today",""))))</f>
        <v/>
      </c>
    </row>
    <row r="109" customFormat="false" ht="15" hidden="false" customHeight="false" outlineLevel="0" collapsed="false">
      <c r="A109" s="17"/>
      <c r="B109" s="17"/>
      <c r="C109" s="44" t="str">
        <f aca="false">IF(B109="","",IFERROR(INDEX(Clients!$C$2:$C$501,MATCH(B109,Clients!$A$2:$A$501,0)),"Client ID not found"))</f>
        <v/>
      </c>
      <c r="D109" s="17"/>
      <c r="E109" s="40"/>
      <c r="F109" s="41"/>
      <c r="G109" s="17"/>
      <c r="H109" s="17"/>
      <c r="I109" s="17"/>
      <c r="J109" s="40"/>
      <c r="K109" s="17"/>
      <c r="L109" s="17"/>
      <c r="M109" s="17"/>
      <c r="N109" s="44" t="str">
        <f aca="true">IF(A109="","",IF(N(K109)&gt;Settings!$S$7,"Over revision limit",IF(AND(D109="Free video",J109="",E109&lt;&gt;"",TODAY()&gt;WORKDAY(E109,Settings!$S$5)),"LATE – free video promised in 5 working days",IF(AND(E109&lt;&gt;"",E109=TODAY()),"Shooting today",""))))</f>
        <v/>
      </c>
    </row>
    <row r="110" customFormat="false" ht="15" hidden="false" customHeight="false" outlineLevel="0" collapsed="false">
      <c r="A110" s="17"/>
      <c r="B110" s="17"/>
      <c r="C110" s="44" t="str">
        <f aca="false">IF(B110="","",IFERROR(INDEX(Clients!$C$2:$C$501,MATCH(B110,Clients!$A$2:$A$501,0)),"Client ID not found"))</f>
        <v/>
      </c>
      <c r="D110" s="17"/>
      <c r="E110" s="40"/>
      <c r="F110" s="41"/>
      <c r="G110" s="17"/>
      <c r="H110" s="17"/>
      <c r="I110" s="17"/>
      <c r="J110" s="40"/>
      <c r="K110" s="17"/>
      <c r="L110" s="17"/>
      <c r="M110" s="17"/>
      <c r="N110" s="44" t="str">
        <f aca="true">IF(A110="","",IF(N(K110)&gt;Settings!$S$7,"Over revision limit",IF(AND(D110="Free video",J110="",E110&lt;&gt;"",TODAY()&gt;WORKDAY(E110,Settings!$S$5)),"LATE – free video promised in 5 working days",IF(AND(E110&lt;&gt;"",E110=TODAY()),"Shooting today",""))))</f>
        <v/>
      </c>
    </row>
    <row r="111" customFormat="false" ht="15" hidden="false" customHeight="false" outlineLevel="0" collapsed="false">
      <c r="A111" s="17"/>
      <c r="B111" s="17"/>
      <c r="C111" s="44" t="str">
        <f aca="false">IF(B111="","",IFERROR(INDEX(Clients!$C$2:$C$501,MATCH(B111,Clients!$A$2:$A$501,0)),"Client ID not found"))</f>
        <v/>
      </c>
      <c r="D111" s="17"/>
      <c r="E111" s="40"/>
      <c r="F111" s="41"/>
      <c r="G111" s="17"/>
      <c r="H111" s="17"/>
      <c r="I111" s="17"/>
      <c r="J111" s="40"/>
      <c r="K111" s="17"/>
      <c r="L111" s="17"/>
      <c r="M111" s="17"/>
      <c r="N111" s="44" t="str">
        <f aca="true">IF(A111="","",IF(N(K111)&gt;Settings!$S$7,"Over revision limit",IF(AND(D111="Free video",J111="",E111&lt;&gt;"",TODAY()&gt;WORKDAY(E111,Settings!$S$5)),"LATE – free video promised in 5 working days",IF(AND(E111&lt;&gt;"",E111=TODAY()),"Shooting today",""))))</f>
        <v/>
      </c>
    </row>
    <row r="112" customFormat="false" ht="15" hidden="false" customHeight="false" outlineLevel="0" collapsed="false">
      <c r="A112" s="17"/>
      <c r="B112" s="17"/>
      <c r="C112" s="44" t="str">
        <f aca="false">IF(B112="","",IFERROR(INDEX(Clients!$C$2:$C$501,MATCH(B112,Clients!$A$2:$A$501,0)),"Client ID not found"))</f>
        <v/>
      </c>
      <c r="D112" s="17"/>
      <c r="E112" s="40"/>
      <c r="F112" s="41"/>
      <c r="G112" s="17"/>
      <c r="H112" s="17"/>
      <c r="I112" s="17"/>
      <c r="J112" s="40"/>
      <c r="K112" s="17"/>
      <c r="L112" s="17"/>
      <c r="M112" s="17"/>
      <c r="N112" s="44" t="str">
        <f aca="true">IF(A112="","",IF(N(K112)&gt;Settings!$S$7,"Over revision limit",IF(AND(D112="Free video",J112="",E112&lt;&gt;"",TODAY()&gt;WORKDAY(E112,Settings!$S$5)),"LATE – free video promised in 5 working days",IF(AND(E112&lt;&gt;"",E112=TODAY()),"Shooting today",""))))</f>
        <v/>
      </c>
    </row>
    <row r="113" customFormat="false" ht="15" hidden="false" customHeight="false" outlineLevel="0" collapsed="false">
      <c r="A113" s="17"/>
      <c r="B113" s="17"/>
      <c r="C113" s="44" t="str">
        <f aca="false">IF(B113="","",IFERROR(INDEX(Clients!$C$2:$C$501,MATCH(B113,Clients!$A$2:$A$501,0)),"Client ID not found"))</f>
        <v/>
      </c>
      <c r="D113" s="17"/>
      <c r="E113" s="40"/>
      <c r="F113" s="41"/>
      <c r="G113" s="17"/>
      <c r="H113" s="17"/>
      <c r="I113" s="17"/>
      <c r="J113" s="40"/>
      <c r="K113" s="17"/>
      <c r="L113" s="17"/>
      <c r="M113" s="17"/>
      <c r="N113" s="44" t="str">
        <f aca="true">IF(A113="","",IF(N(K113)&gt;Settings!$S$7,"Over revision limit",IF(AND(D113="Free video",J113="",E113&lt;&gt;"",TODAY()&gt;WORKDAY(E113,Settings!$S$5)),"LATE – free video promised in 5 working days",IF(AND(E113&lt;&gt;"",E113=TODAY()),"Shooting today",""))))</f>
        <v/>
      </c>
    </row>
    <row r="114" customFormat="false" ht="15" hidden="false" customHeight="false" outlineLevel="0" collapsed="false">
      <c r="A114" s="17"/>
      <c r="B114" s="17"/>
      <c r="C114" s="44" t="str">
        <f aca="false">IF(B114="","",IFERROR(INDEX(Clients!$C$2:$C$501,MATCH(B114,Clients!$A$2:$A$501,0)),"Client ID not found"))</f>
        <v/>
      </c>
      <c r="D114" s="17"/>
      <c r="E114" s="40"/>
      <c r="F114" s="41"/>
      <c r="G114" s="17"/>
      <c r="H114" s="17"/>
      <c r="I114" s="17"/>
      <c r="J114" s="40"/>
      <c r="K114" s="17"/>
      <c r="L114" s="17"/>
      <c r="M114" s="17"/>
      <c r="N114" s="44" t="str">
        <f aca="true">IF(A114="","",IF(N(K114)&gt;Settings!$S$7,"Over revision limit",IF(AND(D114="Free video",J114="",E114&lt;&gt;"",TODAY()&gt;WORKDAY(E114,Settings!$S$5)),"LATE – free video promised in 5 working days",IF(AND(E114&lt;&gt;"",E114=TODAY()),"Shooting today",""))))</f>
        <v/>
      </c>
    </row>
    <row r="115" customFormat="false" ht="15" hidden="false" customHeight="false" outlineLevel="0" collapsed="false">
      <c r="A115" s="17"/>
      <c r="B115" s="17"/>
      <c r="C115" s="44" t="str">
        <f aca="false">IF(B115="","",IFERROR(INDEX(Clients!$C$2:$C$501,MATCH(B115,Clients!$A$2:$A$501,0)),"Client ID not found"))</f>
        <v/>
      </c>
      <c r="D115" s="17"/>
      <c r="E115" s="40"/>
      <c r="F115" s="41"/>
      <c r="G115" s="17"/>
      <c r="H115" s="17"/>
      <c r="I115" s="17"/>
      <c r="J115" s="40"/>
      <c r="K115" s="17"/>
      <c r="L115" s="17"/>
      <c r="M115" s="17"/>
      <c r="N115" s="44" t="str">
        <f aca="true">IF(A115="","",IF(N(K115)&gt;Settings!$S$7,"Over revision limit",IF(AND(D115="Free video",J115="",E115&lt;&gt;"",TODAY()&gt;WORKDAY(E115,Settings!$S$5)),"LATE – free video promised in 5 working days",IF(AND(E115&lt;&gt;"",E115=TODAY()),"Shooting today",""))))</f>
        <v/>
      </c>
    </row>
    <row r="116" customFormat="false" ht="15" hidden="false" customHeight="false" outlineLevel="0" collapsed="false">
      <c r="A116" s="17"/>
      <c r="B116" s="17"/>
      <c r="C116" s="44" t="str">
        <f aca="false">IF(B116="","",IFERROR(INDEX(Clients!$C$2:$C$501,MATCH(B116,Clients!$A$2:$A$501,0)),"Client ID not found"))</f>
        <v/>
      </c>
      <c r="D116" s="17"/>
      <c r="E116" s="40"/>
      <c r="F116" s="41"/>
      <c r="G116" s="17"/>
      <c r="H116" s="17"/>
      <c r="I116" s="17"/>
      <c r="J116" s="40"/>
      <c r="K116" s="17"/>
      <c r="L116" s="17"/>
      <c r="M116" s="17"/>
      <c r="N116" s="44" t="str">
        <f aca="true">IF(A116="","",IF(N(K116)&gt;Settings!$S$7,"Over revision limit",IF(AND(D116="Free video",J116="",E116&lt;&gt;"",TODAY()&gt;WORKDAY(E116,Settings!$S$5)),"LATE – free video promised in 5 working days",IF(AND(E116&lt;&gt;"",E116=TODAY()),"Shooting today",""))))</f>
        <v/>
      </c>
    </row>
    <row r="117" customFormat="false" ht="15" hidden="false" customHeight="false" outlineLevel="0" collapsed="false">
      <c r="A117" s="17"/>
      <c r="B117" s="17"/>
      <c r="C117" s="44" t="str">
        <f aca="false">IF(B117="","",IFERROR(INDEX(Clients!$C$2:$C$501,MATCH(B117,Clients!$A$2:$A$501,0)),"Client ID not found"))</f>
        <v/>
      </c>
      <c r="D117" s="17"/>
      <c r="E117" s="40"/>
      <c r="F117" s="41"/>
      <c r="G117" s="17"/>
      <c r="H117" s="17"/>
      <c r="I117" s="17"/>
      <c r="J117" s="40"/>
      <c r="K117" s="17"/>
      <c r="L117" s="17"/>
      <c r="M117" s="17"/>
      <c r="N117" s="44" t="str">
        <f aca="true">IF(A117="","",IF(N(K117)&gt;Settings!$S$7,"Over revision limit",IF(AND(D117="Free video",J117="",E117&lt;&gt;"",TODAY()&gt;WORKDAY(E117,Settings!$S$5)),"LATE – free video promised in 5 working days",IF(AND(E117&lt;&gt;"",E117=TODAY()),"Shooting today",""))))</f>
        <v/>
      </c>
    </row>
    <row r="118" customFormat="false" ht="15" hidden="false" customHeight="false" outlineLevel="0" collapsed="false">
      <c r="A118" s="17"/>
      <c r="B118" s="17"/>
      <c r="C118" s="44" t="str">
        <f aca="false">IF(B118="","",IFERROR(INDEX(Clients!$C$2:$C$501,MATCH(B118,Clients!$A$2:$A$501,0)),"Client ID not found"))</f>
        <v/>
      </c>
      <c r="D118" s="17"/>
      <c r="E118" s="40"/>
      <c r="F118" s="41"/>
      <c r="G118" s="17"/>
      <c r="H118" s="17"/>
      <c r="I118" s="17"/>
      <c r="J118" s="40"/>
      <c r="K118" s="17"/>
      <c r="L118" s="17"/>
      <c r="M118" s="17"/>
      <c r="N118" s="44" t="str">
        <f aca="true">IF(A118="","",IF(N(K118)&gt;Settings!$S$7,"Over revision limit",IF(AND(D118="Free video",J118="",E118&lt;&gt;"",TODAY()&gt;WORKDAY(E118,Settings!$S$5)),"LATE – free video promised in 5 working days",IF(AND(E118&lt;&gt;"",E118=TODAY()),"Shooting today",""))))</f>
        <v/>
      </c>
    </row>
    <row r="119" customFormat="false" ht="15" hidden="false" customHeight="false" outlineLevel="0" collapsed="false">
      <c r="A119" s="17"/>
      <c r="B119" s="17"/>
      <c r="C119" s="44" t="str">
        <f aca="false">IF(B119="","",IFERROR(INDEX(Clients!$C$2:$C$501,MATCH(B119,Clients!$A$2:$A$501,0)),"Client ID not found"))</f>
        <v/>
      </c>
      <c r="D119" s="17"/>
      <c r="E119" s="40"/>
      <c r="F119" s="41"/>
      <c r="G119" s="17"/>
      <c r="H119" s="17"/>
      <c r="I119" s="17"/>
      <c r="J119" s="40"/>
      <c r="K119" s="17"/>
      <c r="L119" s="17"/>
      <c r="M119" s="17"/>
      <c r="N119" s="44" t="str">
        <f aca="true">IF(A119="","",IF(N(K119)&gt;Settings!$S$7,"Over revision limit",IF(AND(D119="Free video",J119="",E119&lt;&gt;"",TODAY()&gt;WORKDAY(E119,Settings!$S$5)),"LATE – free video promised in 5 working days",IF(AND(E119&lt;&gt;"",E119=TODAY()),"Shooting today",""))))</f>
        <v/>
      </c>
    </row>
    <row r="120" customFormat="false" ht="15" hidden="false" customHeight="false" outlineLevel="0" collapsed="false">
      <c r="A120" s="17"/>
      <c r="B120" s="17"/>
      <c r="C120" s="44" t="str">
        <f aca="false">IF(B120="","",IFERROR(INDEX(Clients!$C$2:$C$501,MATCH(B120,Clients!$A$2:$A$501,0)),"Client ID not found"))</f>
        <v/>
      </c>
      <c r="D120" s="17"/>
      <c r="E120" s="40"/>
      <c r="F120" s="41"/>
      <c r="G120" s="17"/>
      <c r="H120" s="17"/>
      <c r="I120" s="17"/>
      <c r="J120" s="40"/>
      <c r="K120" s="17"/>
      <c r="L120" s="17"/>
      <c r="M120" s="17"/>
      <c r="N120" s="44" t="str">
        <f aca="true">IF(A120="","",IF(N(K120)&gt;Settings!$S$7,"Over revision limit",IF(AND(D120="Free video",J120="",E120&lt;&gt;"",TODAY()&gt;WORKDAY(E120,Settings!$S$5)),"LATE – free video promised in 5 working days",IF(AND(E120&lt;&gt;"",E120=TODAY()),"Shooting today",""))))</f>
        <v/>
      </c>
    </row>
    <row r="121" customFormat="false" ht="15" hidden="false" customHeight="false" outlineLevel="0" collapsed="false">
      <c r="A121" s="17"/>
      <c r="B121" s="17"/>
      <c r="C121" s="44" t="str">
        <f aca="false">IF(B121="","",IFERROR(INDEX(Clients!$C$2:$C$501,MATCH(B121,Clients!$A$2:$A$501,0)),"Client ID not found"))</f>
        <v/>
      </c>
      <c r="D121" s="17"/>
      <c r="E121" s="40"/>
      <c r="F121" s="41"/>
      <c r="G121" s="17"/>
      <c r="H121" s="17"/>
      <c r="I121" s="17"/>
      <c r="J121" s="40"/>
      <c r="K121" s="17"/>
      <c r="L121" s="17"/>
      <c r="M121" s="17"/>
      <c r="N121" s="44" t="str">
        <f aca="true">IF(A121="","",IF(N(K121)&gt;Settings!$S$7,"Over revision limit",IF(AND(D121="Free video",J121="",E121&lt;&gt;"",TODAY()&gt;WORKDAY(E121,Settings!$S$5)),"LATE – free video promised in 5 working days",IF(AND(E121&lt;&gt;"",E121=TODAY()),"Shooting today",""))))</f>
        <v/>
      </c>
    </row>
    <row r="122" customFormat="false" ht="15" hidden="false" customHeight="false" outlineLevel="0" collapsed="false">
      <c r="A122" s="17"/>
      <c r="B122" s="17"/>
      <c r="C122" s="44" t="str">
        <f aca="false">IF(B122="","",IFERROR(INDEX(Clients!$C$2:$C$501,MATCH(B122,Clients!$A$2:$A$501,0)),"Client ID not found"))</f>
        <v/>
      </c>
      <c r="D122" s="17"/>
      <c r="E122" s="40"/>
      <c r="F122" s="41"/>
      <c r="G122" s="17"/>
      <c r="H122" s="17"/>
      <c r="I122" s="17"/>
      <c r="J122" s="40"/>
      <c r="K122" s="17"/>
      <c r="L122" s="17"/>
      <c r="M122" s="17"/>
      <c r="N122" s="44" t="str">
        <f aca="true">IF(A122="","",IF(N(K122)&gt;Settings!$S$7,"Over revision limit",IF(AND(D122="Free video",J122="",E122&lt;&gt;"",TODAY()&gt;WORKDAY(E122,Settings!$S$5)),"LATE – free video promised in 5 working days",IF(AND(E122&lt;&gt;"",E122=TODAY()),"Shooting today",""))))</f>
        <v/>
      </c>
    </row>
    <row r="123" customFormat="false" ht="15" hidden="false" customHeight="false" outlineLevel="0" collapsed="false">
      <c r="A123" s="17"/>
      <c r="B123" s="17"/>
      <c r="C123" s="44" t="str">
        <f aca="false">IF(B123="","",IFERROR(INDEX(Clients!$C$2:$C$501,MATCH(B123,Clients!$A$2:$A$501,0)),"Client ID not found"))</f>
        <v/>
      </c>
      <c r="D123" s="17"/>
      <c r="E123" s="40"/>
      <c r="F123" s="41"/>
      <c r="G123" s="17"/>
      <c r="H123" s="17"/>
      <c r="I123" s="17"/>
      <c r="J123" s="40"/>
      <c r="K123" s="17"/>
      <c r="L123" s="17"/>
      <c r="M123" s="17"/>
      <c r="N123" s="44" t="str">
        <f aca="true">IF(A123="","",IF(N(K123)&gt;Settings!$S$7,"Over revision limit",IF(AND(D123="Free video",J123="",E123&lt;&gt;"",TODAY()&gt;WORKDAY(E123,Settings!$S$5)),"LATE – free video promised in 5 working days",IF(AND(E123&lt;&gt;"",E123=TODAY()),"Shooting today",""))))</f>
        <v/>
      </c>
    </row>
    <row r="124" customFormat="false" ht="15" hidden="false" customHeight="false" outlineLevel="0" collapsed="false">
      <c r="A124" s="17"/>
      <c r="B124" s="17"/>
      <c r="C124" s="44" t="str">
        <f aca="false">IF(B124="","",IFERROR(INDEX(Clients!$C$2:$C$501,MATCH(B124,Clients!$A$2:$A$501,0)),"Client ID not found"))</f>
        <v/>
      </c>
      <c r="D124" s="17"/>
      <c r="E124" s="40"/>
      <c r="F124" s="41"/>
      <c r="G124" s="17"/>
      <c r="H124" s="17"/>
      <c r="I124" s="17"/>
      <c r="J124" s="40"/>
      <c r="K124" s="17"/>
      <c r="L124" s="17"/>
      <c r="M124" s="17"/>
      <c r="N124" s="44" t="str">
        <f aca="true">IF(A124="","",IF(N(K124)&gt;Settings!$S$7,"Over revision limit",IF(AND(D124="Free video",J124="",E124&lt;&gt;"",TODAY()&gt;WORKDAY(E124,Settings!$S$5)),"LATE – free video promised in 5 working days",IF(AND(E124&lt;&gt;"",E124=TODAY()),"Shooting today",""))))</f>
        <v/>
      </c>
    </row>
    <row r="125" customFormat="false" ht="15" hidden="false" customHeight="false" outlineLevel="0" collapsed="false">
      <c r="A125" s="17"/>
      <c r="B125" s="17"/>
      <c r="C125" s="44" t="str">
        <f aca="false">IF(B125="","",IFERROR(INDEX(Clients!$C$2:$C$501,MATCH(B125,Clients!$A$2:$A$501,0)),"Client ID not found"))</f>
        <v/>
      </c>
      <c r="D125" s="17"/>
      <c r="E125" s="40"/>
      <c r="F125" s="41"/>
      <c r="G125" s="17"/>
      <c r="H125" s="17"/>
      <c r="I125" s="17"/>
      <c r="J125" s="40"/>
      <c r="K125" s="17"/>
      <c r="L125" s="17"/>
      <c r="M125" s="17"/>
      <c r="N125" s="44" t="str">
        <f aca="true">IF(A125="","",IF(N(K125)&gt;Settings!$S$7,"Over revision limit",IF(AND(D125="Free video",J125="",E125&lt;&gt;"",TODAY()&gt;WORKDAY(E125,Settings!$S$5)),"LATE – free video promised in 5 working days",IF(AND(E125&lt;&gt;"",E125=TODAY()),"Shooting today",""))))</f>
        <v/>
      </c>
    </row>
    <row r="126" customFormat="false" ht="15" hidden="false" customHeight="false" outlineLevel="0" collapsed="false">
      <c r="A126" s="17"/>
      <c r="B126" s="17"/>
      <c r="C126" s="44" t="str">
        <f aca="false">IF(B126="","",IFERROR(INDEX(Clients!$C$2:$C$501,MATCH(B126,Clients!$A$2:$A$501,0)),"Client ID not found"))</f>
        <v/>
      </c>
      <c r="D126" s="17"/>
      <c r="E126" s="40"/>
      <c r="F126" s="41"/>
      <c r="G126" s="17"/>
      <c r="H126" s="17"/>
      <c r="I126" s="17"/>
      <c r="J126" s="40"/>
      <c r="K126" s="17"/>
      <c r="L126" s="17"/>
      <c r="M126" s="17"/>
      <c r="N126" s="44" t="str">
        <f aca="true">IF(A126="","",IF(N(K126)&gt;Settings!$S$7,"Over revision limit",IF(AND(D126="Free video",J126="",E126&lt;&gt;"",TODAY()&gt;WORKDAY(E126,Settings!$S$5)),"LATE – free video promised in 5 working days",IF(AND(E126&lt;&gt;"",E126=TODAY()),"Shooting today",""))))</f>
        <v/>
      </c>
    </row>
    <row r="127" customFormat="false" ht="15" hidden="false" customHeight="false" outlineLevel="0" collapsed="false">
      <c r="A127" s="17"/>
      <c r="B127" s="17"/>
      <c r="C127" s="44" t="str">
        <f aca="false">IF(B127="","",IFERROR(INDEX(Clients!$C$2:$C$501,MATCH(B127,Clients!$A$2:$A$501,0)),"Client ID not found"))</f>
        <v/>
      </c>
      <c r="D127" s="17"/>
      <c r="E127" s="40"/>
      <c r="F127" s="41"/>
      <c r="G127" s="17"/>
      <c r="H127" s="17"/>
      <c r="I127" s="17"/>
      <c r="J127" s="40"/>
      <c r="K127" s="17"/>
      <c r="L127" s="17"/>
      <c r="M127" s="17"/>
      <c r="N127" s="44" t="str">
        <f aca="true">IF(A127="","",IF(N(K127)&gt;Settings!$S$7,"Over revision limit",IF(AND(D127="Free video",J127="",E127&lt;&gt;"",TODAY()&gt;WORKDAY(E127,Settings!$S$5)),"LATE – free video promised in 5 working days",IF(AND(E127&lt;&gt;"",E127=TODAY()),"Shooting today",""))))</f>
        <v/>
      </c>
    </row>
    <row r="128" customFormat="false" ht="15" hidden="false" customHeight="false" outlineLevel="0" collapsed="false">
      <c r="A128" s="17"/>
      <c r="B128" s="17"/>
      <c r="C128" s="44" t="str">
        <f aca="false">IF(B128="","",IFERROR(INDEX(Clients!$C$2:$C$501,MATCH(B128,Clients!$A$2:$A$501,0)),"Client ID not found"))</f>
        <v/>
      </c>
      <c r="D128" s="17"/>
      <c r="E128" s="40"/>
      <c r="F128" s="41"/>
      <c r="G128" s="17"/>
      <c r="H128" s="17"/>
      <c r="I128" s="17"/>
      <c r="J128" s="40"/>
      <c r="K128" s="17"/>
      <c r="L128" s="17"/>
      <c r="M128" s="17"/>
      <c r="N128" s="44" t="str">
        <f aca="true">IF(A128="","",IF(N(K128)&gt;Settings!$S$7,"Over revision limit",IF(AND(D128="Free video",J128="",E128&lt;&gt;"",TODAY()&gt;WORKDAY(E128,Settings!$S$5)),"LATE – free video promised in 5 working days",IF(AND(E128&lt;&gt;"",E128=TODAY()),"Shooting today",""))))</f>
        <v/>
      </c>
    </row>
    <row r="129" customFormat="false" ht="15" hidden="false" customHeight="false" outlineLevel="0" collapsed="false">
      <c r="A129" s="17"/>
      <c r="B129" s="17"/>
      <c r="C129" s="44" t="str">
        <f aca="false">IF(B129="","",IFERROR(INDEX(Clients!$C$2:$C$501,MATCH(B129,Clients!$A$2:$A$501,0)),"Client ID not found"))</f>
        <v/>
      </c>
      <c r="D129" s="17"/>
      <c r="E129" s="40"/>
      <c r="F129" s="41"/>
      <c r="G129" s="17"/>
      <c r="H129" s="17"/>
      <c r="I129" s="17"/>
      <c r="J129" s="40"/>
      <c r="K129" s="17"/>
      <c r="L129" s="17"/>
      <c r="M129" s="17"/>
      <c r="N129" s="44" t="str">
        <f aca="true">IF(A129="","",IF(N(K129)&gt;Settings!$S$7,"Over revision limit",IF(AND(D129="Free video",J129="",E129&lt;&gt;"",TODAY()&gt;WORKDAY(E129,Settings!$S$5)),"LATE – free video promised in 5 working days",IF(AND(E129&lt;&gt;"",E129=TODAY()),"Shooting today",""))))</f>
        <v/>
      </c>
    </row>
    <row r="130" customFormat="false" ht="15" hidden="false" customHeight="false" outlineLevel="0" collapsed="false">
      <c r="A130" s="17"/>
      <c r="B130" s="17"/>
      <c r="C130" s="44" t="str">
        <f aca="false">IF(B130="","",IFERROR(INDEX(Clients!$C$2:$C$501,MATCH(B130,Clients!$A$2:$A$501,0)),"Client ID not found"))</f>
        <v/>
      </c>
      <c r="D130" s="17"/>
      <c r="E130" s="40"/>
      <c r="F130" s="41"/>
      <c r="G130" s="17"/>
      <c r="H130" s="17"/>
      <c r="I130" s="17"/>
      <c r="J130" s="40"/>
      <c r="K130" s="17"/>
      <c r="L130" s="17"/>
      <c r="M130" s="17"/>
      <c r="N130" s="44" t="str">
        <f aca="true">IF(A130="","",IF(N(K130)&gt;Settings!$S$7,"Over revision limit",IF(AND(D130="Free video",J130="",E130&lt;&gt;"",TODAY()&gt;WORKDAY(E130,Settings!$S$5)),"LATE – free video promised in 5 working days",IF(AND(E130&lt;&gt;"",E130=TODAY()),"Shooting today",""))))</f>
        <v/>
      </c>
    </row>
    <row r="131" customFormat="false" ht="15" hidden="false" customHeight="false" outlineLevel="0" collapsed="false">
      <c r="A131" s="17"/>
      <c r="B131" s="17"/>
      <c r="C131" s="44" t="str">
        <f aca="false">IF(B131="","",IFERROR(INDEX(Clients!$C$2:$C$501,MATCH(B131,Clients!$A$2:$A$501,0)),"Client ID not found"))</f>
        <v/>
      </c>
      <c r="D131" s="17"/>
      <c r="E131" s="40"/>
      <c r="F131" s="41"/>
      <c r="G131" s="17"/>
      <c r="H131" s="17"/>
      <c r="I131" s="17"/>
      <c r="J131" s="40"/>
      <c r="K131" s="17"/>
      <c r="L131" s="17"/>
      <c r="M131" s="17"/>
      <c r="N131" s="44" t="str">
        <f aca="true">IF(A131="","",IF(N(K131)&gt;Settings!$S$7,"Over revision limit",IF(AND(D131="Free video",J131="",E131&lt;&gt;"",TODAY()&gt;WORKDAY(E131,Settings!$S$5)),"LATE – free video promised in 5 working days",IF(AND(E131&lt;&gt;"",E131=TODAY()),"Shooting today",""))))</f>
        <v/>
      </c>
    </row>
    <row r="132" customFormat="false" ht="15" hidden="false" customHeight="false" outlineLevel="0" collapsed="false">
      <c r="A132" s="17"/>
      <c r="B132" s="17"/>
      <c r="C132" s="44" t="str">
        <f aca="false">IF(B132="","",IFERROR(INDEX(Clients!$C$2:$C$501,MATCH(B132,Clients!$A$2:$A$501,0)),"Client ID not found"))</f>
        <v/>
      </c>
      <c r="D132" s="17"/>
      <c r="E132" s="40"/>
      <c r="F132" s="41"/>
      <c r="G132" s="17"/>
      <c r="H132" s="17"/>
      <c r="I132" s="17"/>
      <c r="J132" s="40"/>
      <c r="K132" s="17"/>
      <c r="L132" s="17"/>
      <c r="M132" s="17"/>
      <c r="N132" s="44" t="str">
        <f aca="true">IF(A132="","",IF(N(K132)&gt;Settings!$S$7,"Over revision limit",IF(AND(D132="Free video",J132="",E132&lt;&gt;"",TODAY()&gt;WORKDAY(E132,Settings!$S$5)),"LATE – free video promised in 5 working days",IF(AND(E132&lt;&gt;"",E132=TODAY()),"Shooting today",""))))</f>
        <v/>
      </c>
    </row>
    <row r="133" customFormat="false" ht="15" hidden="false" customHeight="false" outlineLevel="0" collapsed="false">
      <c r="A133" s="17"/>
      <c r="B133" s="17"/>
      <c r="C133" s="44" t="str">
        <f aca="false">IF(B133="","",IFERROR(INDEX(Clients!$C$2:$C$501,MATCH(B133,Clients!$A$2:$A$501,0)),"Client ID not found"))</f>
        <v/>
      </c>
      <c r="D133" s="17"/>
      <c r="E133" s="40"/>
      <c r="F133" s="41"/>
      <c r="G133" s="17"/>
      <c r="H133" s="17"/>
      <c r="I133" s="17"/>
      <c r="J133" s="40"/>
      <c r="K133" s="17"/>
      <c r="L133" s="17"/>
      <c r="M133" s="17"/>
      <c r="N133" s="44" t="str">
        <f aca="true">IF(A133="","",IF(N(K133)&gt;Settings!$S$7,"Over revision limit",IF(AND(D133="Free video",J133="",E133&lt;&gt;"",TODAY()&gt;WORKDAY(E133,Settings!$S$5)),"LATE – free video promised in 5 working days",IF(AND(E133&lt;&gt;"",E133=TODAY()),"Shooting today",""))))</f>
        <v/>
      </c>
    </row>
    <row r="134" customFormat="false" ht="15" hidden="false" customHeight="false" outlineLevel="0" collapsed="false">
      <c r="A134" s="17"/>
      <c r="B134" s="17"/>
      <c r="C134" s="44" t="str">
        <f aca="false">IF(B134="","",IFERROR(INDEX(Clients!$C$2:$C$501,MATCH(B134,Clients!$A$2:$A$501,0)),"Client ID not found"))</f>
        <v/>
      </c>
      <c r="D134" s="17"/>
      <c r="E134" s="40"/>
      <c r="F134" s="41"/>
      <c r="G134" s="17"/>
      <c r="H134" s="17"/>
      <c r="I134" s="17"/>
      <c r="J134" s="40"/>
      <c r="K134" s="17"/>
      <c r="L134" s="17"/>
      <c r="M134" s="17"/>
      <c r="N134" s="44" t="str">
        <f aca="true">IF(A134="","",IF(N(K134)&gt;Settings!$S$7,"Over revision limit",IF(AND(D134="Free video",J134="",E134&lt;&gt;"",TODAY()&gt;WORKDAY(E134,Settings!$S$5)),"LATE – free video promised in 5 working days",IF(AND(E134&lt;&gt;"",E134=TODAY()),"Shooting today",""))))</f>
        <v/>
      </c>
    </row>
    <row r="135" customFormat="false" ht="15" hidden="false" customHeight="false" outlineLevel="0" collapsed="false">
      <c r="A135" s="17"/>
      <c r="B135" s="17"/>
      <c r="C135" s="44" t="str">
        <f aca="false">IF(B135="","",IFERROR(INDEX(Clients!$C$2:$C$501,MATCH(B135,Clients!$A$2:$A$501,0)),"Client ID not found"))</f>
        <v/>
      </c>
      <c r="D135" s="17"/>
      <c r="E135" s="40"/>
      <c r="F135" s="41"/>
      <c r="G135" s="17"/>
      <c r="H135" s="17"/>
      <c r="I135" s="17"/>
      <c r="J135" s="40"/>
      <c r="K135" s="17"/>
      <c r="L135" s="17"/>
      <c r="M135" s="17"/>
      <c r="N135" s="44" t="str">
        <f aca="true">IF(A135="","",IF(N(K135)&gt;Settings!$S$7,"Over revision limit",IF(AND(D135="Free video",J135="",E135&lt;&gt;"",TODAY()&gt;WORKDAY(E135,Settings!$S$5)),"LATE – free video promised in 5 working days",IF(AND(E135&lt;&gt;"",E135=TODAY()),"Shooting today",""))))</f>
        <v/>
      </c>
    </row>
    <row r="136" customFormat="false" ht="15" hidden="false" customHeight="false" outlineLevel="0" collapsed="false">
      <c r="A136" s="17"/>
      <c r="B136" s="17"/>
      <c r="C136" s="44" t="str">
        <f aca="false">IF(B136="","",IFERROR(INDEX(Clients!$C$2:$C$501,MATCH(B136,Clients!$A$2:$A$501,0)),"Client ID not found"))</f>
        <v/>
      </c>
      <c r="D136" s="17"/>
      <c r="E136" s="40"/>
      <c r="F136" s="41"/>
      <c r="G136" s="17"/>
      <c r="H136" s="17"/>
      <c r="I136" s="17"/>
      <c r="J136" s="40"/>
      <c r="K136" s="17"/>
      <c r="L136" s="17"/>
      <c r="M136" s="17"/>
      <c r="N136" s="44" t="str">
        <f aca="true">IF(A136="","",IF(N(K136)&gt;Settings!$S$7,"Over revision limit",IF(AND(D136="Free video",J136="",E136&lt;&gt;"",TODAY()&gt;WORKDAY(E136,Settings!$S$5)),"LATE – free video promised in 5 working days",IF(AND(E136&lt;&gt;"",E136=TODAY()),"Shooting today",""))))</f>
        <v/>
      </c>
    </row>
    <row r="137" customFormat="false" ht="15" hidden="false" customHeight="false" outlineLevel="0" collapsed="false">
      <c r="A137" s="17"/>
      <c r="B137" s="17"/>
      <c r="C137" s="44" t="str">
        <f aca="false">IF(B137="","",IFERROR(INDEX(Clients!$C$2:$C$501,MATCH(B137,Clients!$A$2:$A$501,0)),"Client ID not found"))</f>
        <v/>
      </c>
      <c r="D137" s="17"/>
      <c r="E137" s="40"/>
      <c r="F137" s="41"/>
      <c r="G137" s="17"/>
      <c r="H137" s="17"/>
      <c r="I137" s="17"/>
      <c r="J137" s="40"/>
      <c r="K137" s="17"/>
      <c r="L137" s="17"/>
      <c r="M137" s="17"/>
      <c r="N137" s="44" t="str">
        <f aca="true">IF(A137="","",IF(N(K137)&gt;Settings!$S$7,"Over revision limit",IF(AND(D137="Free video",J137="",E137&lt;&gt;"",TODAY()&gt;WORKDAY(E137,Settings!$S$5)),"LATE – free video promised in 5 working days",IF(AND(E137&lt;&gt;"",E137=TODAY()),"Shooting today",""))))</f>
        <v/>
      </c>
    </row>
    <row r="138" customFormat="false" ht="15" hidden="false" customHeight="false" outlineLevel="0" collapsed="false">
      <c r="A138" s="17"/>
      <c r="B138" s="17"/>
      <c r="C138" s="44" t="str">
        <f aca="false">IF(B138="","",IFERROR(INDEX(Clients!$C$2:$C$501,MATCH(B138,Clients!$A$2:$A$501,0)),"Client ID not found"))</f>
        <v/>
      </c>
      <c r="D138" s="17"/>
      <c r="E138" s="40"/>
      <c r="F138" s="41"/>
      <c r="G138" s="17"/>
      <c r="H138" s="17"/>
      <c r="I138" s="17"/>
      <c r="J138" s="40"/>
      <c r="K138" s="17"/>
      <c r="L138" s="17"/>
      <c r="M138" s="17"/>
      <c r="N138" s="44" t="str">
        <f aca="true">IF(A138="","",IF(N(K138)&gt;Settings!$S$7,"Over revision limit",IF(AND(D138="Free video",J138="",E138&lt;&gt;"",TODAY()&gt;WORKDAY(E138,Settings!$S$5)),"LATE – free video promised in 5 working days",IF(AND(E138&lt;&gt;"",E138=TODAY()),"Shooting today",""))))</f>
        <v/>
      </c>
    </row>
    <row r="139" customFormat="false" ht="15" hidden="false" customHeight="false" outlineLevel="0" collapsed="false">
      <c r="A139" s="17"/>
      <c r="B139" s="17"/>
      <c r="C139" s="44" t="str">
        <f aca="false">IF(B139="","",IFERROR(INDEX(Clients!$C$2:$C$501,MATCH(B139,Clients!$A$2:$A$501,0)),"Client ID not found"))</f>
        <v/>
      </c>
      <c r="D139" s="17"/>
      <c r="E139" s="40"/>
      <c r="F139" s="41"/>
      <c r="G139" s="17"/>
      <c r="H139" s="17"/>
      <c r="I139" s="17"/>
      <c r="J139" s="40"/>
      <c r="K139" s="17"/>
      <c r="L139" s="17"/>
      <c r="M139" s="17"/>
      <c r="N139" s="44" t="str">
        <f aca="true">IF(A139="","",IF(N(K139)&gt;Settings!$S$7,"Over revision limit",IF(AND(D139="Free video",J139="",E139&lt;&gt;"",TODAY()&gt;WORKDAY(E139,Settings!$S$5)),"LATE – free video promised in 5 working days",IF(AND(E139&lt;&gt;"",E139=TODAY()),"Shooting today",""))))</f>
        <v/>
      </c>
    </row>
    <row r="140" customFormat="false" ht="15" hidden="false" customHeight="false" outlineLevel="0" collapsed="false">
      <c r="A140" s="17"/>
      <c r="B140" s="17"/>
      <c r="C140" s="44" t="str">
        <f aca="false">IF(B140="","",IFERROR(INDEX(Clients!$C$2:$C$501,MATCH(B140,Clients!$A$2:$A$501,0)),"Client ID not found"))</f>
        <v/>
      </c>
      <c r="D140" s="17"/>
      <c r="E140" s="40"/>
      <c r="F140" s="41"/>
      <c r="G140" s="17"/>
      <c r="H140" s="17"/>
      <c r="I140" s="17"/>
      <c r="J140" s="40"/>
      <c r="K140" s="17"/>
      <c r="L140" s="17"/>
      <c r="M140" s="17"/>
      <c r="N140" s="44" t="str">
        <f aca="true">IF(A140="","",IF(N(K140)&gt;Settings!$S$7,"Over revision limit",IF(AND(D140="Free video",J140="",E140&lt;&gt;"",TODAY()&gt;WORKDAY(E140,Settings!$S$5)),"LATE – free video promised in 5 working days",IF(AND(E140&lt;&gt;"",E140=TODAY()),"Shooting today",""))))</f>
        <v/>
      </c>
    </row>
    <row r="141" customFormat="false" ht="15" hidden="false" customHeight="false" outlineLevel="0" collapsed="false">
      <c r="A141" s="17"/>
      <c r="B141" s="17"/>
      <c r="C141" s="44" t="str">
        <f aca="false">IF(B141="","",IFERROR(INDEX(Clients!$C$2:$C$501,MATCH(B141,Clients!$A$2:$A$501,0)),"Client ID not found"))</f>
        <v/>
      </c>
      <c r="D141" s="17"/>
      <c r="E141" s="40"/>
      <c r="F141" s="41"/>
      <c r="G141" s="17"/>
      <c r="H141" s="17"/>
      <c r="I141" s="17"/>
      <c r="J141" s="40"/>
      <c r="K141" s="17"/>
      <c r="L141" s="17"/>
      <c r="M141" s="17"/>
      <c r="N141" s="44" t="str">
        <f aca="true">IF(A141="","",IF(N(K141)&gt;Settings!$S$7,"Over revision limit",IF(AND(D141="Free video",J141="",E141&lt;&gt;"",TODAY()&gt;WORKDAY(E141,Settings!$S$5)),"LATE – free video promised in 5 working days",IF(AND(E141&lt;&gt;"",E141=TODAY()),"Shooting today",""))))</f>
        <v/>
      </c>
    </row>
    <row r="142" customFormat="false" ht="15" hidden="false" customHeight="false" outlineLevel="0" collapsed="false">
      <c r="A142" s="17"/>
      <c r="B142" s="17"/>
      <c r="C142" s="44" t="str">
        <f aca="false">IF(B142="","",IFERROR(INDEX(Clients!$C$2:$C$501,MATCH(B142,Clients!$A$2:$A$501,0)),"Client ID not found"))</f>
        <v/>
      </c>
      <c r="D142" s="17"/>
      <c r="E142" s="40"/>
      <c r="F142" s="41"/>
      <c r="G142" s="17"/>
      <c r="H142" s="17"/>
      <c r="I142" s="17"/>
      <c r="J142" s="40"/>
      <c r="K142" s="17"/>
      <c r="L142" s="17"/>
      <c r="M142" s="17"/>
      <c r="N142" s="44" t="str">
        <f aca="true">IF(A142="","",IF(N(K142)&gt;Settings!$S$7,"Over revision limit",IF(AND(D142="Free video",J142="",E142&lt;&gt;"",TODAY()&gt;WORKDAY(E142,Settings!$S$5)),"LATE – free video promised in 5 working days",IF(AND(E142&lt;&gt;"",E142=TODAY()),"Shooting today",""))))</f>
        <v/>
      </c>
    </row>
    <row r="143" customFormat="false" ht="15" hidden="false" customHeight="false" outlineLevel="0" collapsed="false">
      <c r="A143" s="17"/>
      <c r="B143" s="17"/>
      <c r="C143" s="44" t="str">
        <f aca="false">IF(B143="","",IFERROR(INDEX(Clients!$C$2:$C$501,MATCH(B143,Clients!$A$2:$A$501,0)),"Client ID not found"))</f>
        <v/>
      </c>
      <c r="D143" s="17"/>
      <c r="E143" s="40"/>
      <c r="F143" s="41"/>
      <c r="G143" s="17"/>
      <c r="H143" s="17"/>
      <c r="I143" s="17"/>
      <c r="J143" s="40"/>
      <c r="K143" s="17"/>
      <c r="L143" s="17"/>
      <c r="M143" s="17"/>
      <c r="N143" s="44" t="str">
        <f aca="true">IF(A143="","",IF(N(K143)&gt;Settings!$S$7,"Over revision limit",IF(AND(D143="Free video",J143="",E143&lt;&gt;"",TODAY()&gt;WORKDAY(E143,Settings!$S$5)),"LATE – free video promised in 5 working days",IF(AND(E143&lt;&gt;"",E143=TODAY()),"Shooting today",""))))</f>
        <v/>
      </c>
    </row>
    <row r="144" customFormat="false" ht="15" hidden="false" customHeight="false" outlineLevel="0" collapsed="false">
      <c r="A144" s="17"/>
      <c r="B144" s="17"/>
      <c r="C144" s="44" t="str">
        <f aca="false">IF(B144="","",IFERROR(INDEX(Clients!$C$2:$C$501,MATCH(B144,Clients!$A$2:$A$501,0)),"Client ID not found"))</f>
        <v/>
      </c>
      <c r="D144" s="17"/>
      <c r="E144" s="40"/>
      <c r="F144" s="41"/>
      <c r="G144" s="17"/>
      <c r="H144" s="17"/>
      <c r="I144" s="17"/>
      <c r="J144" s="40"/>
      <c r="K144" s="17"/>
      <c r="L144" s="17"/>
      <c r="M144" s="17"/>
      <c r="N144" s="44" t="str">
        <f aca="true">IF(A144="","",IF(N(K144)&gt;Settings!$S$7,"Over revision limit",IF(AND(D144="Free video",J144="",E144&lt;&gt;"",TODAY()&gt;WORKDAY(E144,Settings!$S$5)),"LATE – free video promised in 5 working days",IF(AND(E144&lt;&gt;"",E144=TODAY()),"Shooting today",""))))</f>
        <v/>
      </c>
    </row>
    <row r="145" customFormat="false" ht="15" hidden="false" customHeight="false" outlineLevel="0" collapsed="false">
      <c r="A145" s="17"/>
      <c r="B145" s="17"/>
      <c r="C145" s="44" t="str">
        <f aca="false">IF(B145="","",IFERROR(INDEX(Clients!$C$2:$C$501,MATCH(B145,Clients!$A$2:$A$501,0)),"Client ID not found"))</f>
        <v/>
      </c>
      <c r="D145" s="17"/>
      <c r="E145" s="40"/>
      <c r="F145" s="41"/>
      <c r="G145" s="17"/>
      <c r="H145" s="17"/>
      <c r="I145" s="17"/>
      <c r="J145" s="40"/>
      <c r="K145" s="17"/>
      <c r="L145" s="17"/>
      <c r="M145" s="17"/>
      <c r="N145" s="44" t="str">
        <f aca="true">IF(A145="","",IF(N(K145)&gt;Settings!$S$7,"Over revision limit",IF(AND(D145="Free video",J145="",E145&lt;&gt;"",TODAY()&gt;WORKDAY(E145,Settings!$S$5)),"LATE – free video promised in 5 working days",IF(AND(E145&lt;&gt;"",E145=TODAY()),"Shooting today",""))))</f>
        <v/>
      </c>
    </row>
    <row r="146" customFormat="false" ht="15" hidden="false" customHeight="false" outlineLevel="0" collapsed="false">
      <c r="A146" s="17"/>
      <c r="B146" s="17"/>
      <c r="C146" s="44" t="str">
        <f aca="false">IF(B146="","",IFERROR(INDEX(Clients!$C$2:$C$501,MATCH(B146,Clients!$A$2:$A$501,0)),"Client ID not found"))</f>
        <v/>
      </c>
      <c r="D146" s="17"/>
      <c r="E146" s="40"/>
      <c r="F146" s="41"/>
      <c r="G146" s="17"/>
      <c r="H146" s="17"/>
      <c r="I146" s="17"/>
      <c r="J146" s="40"/>
      <c r="K146" s="17"/>
      <c r="L146" s="17"/>
      <c r="M146" s="17"/>
      <c r="N146" s="44" t="str">
        <f aca="true">IF(A146="","",IF(N(K146)&gt;Settings!$S$7,"Over revision limit",IF(AND(D146="Free video",J146="",E146&lt;&gt;"",TODAY()&gt;WORKDAY(E146,Settings!$S$5)),"LATE – free video promised in 5 working days",IF(AND(E146&lt;&gt;"",E146=TODAY()),"Shooting today",""))))</f>
        <v/>
      </c>
    </row>
    <row r="147" customFormat="false" ht="15" hidden="false" customHeight="false" outlineLevel="0" collapsed="false">
      <c r="A147" s="17"/>
      <c r="B147" s="17"/>
      <c r="C147" s="44" t="str">
        <f aca="false">IF(B147="","",IFERROR(INDEX(Clients!$C$2:$C$501,MATCH(B147,Clients!$A$2:$A$501,0)),"Client ID not found"))</f>
        <v/>
      </c>
      <c r="D147" s="17"/>
      <c r="E147" s="40"/>
      <c r="F147" s="41"/>
      <c r="G147" s="17"/>
      <c r="H147" s="17"/>
      <c r="I147" s="17"/>
      <c r="J147" s="40"/>
      <c r="K147" s="17"/>
      <c r="L147" s="17"/>
      <c r="M147" s="17"/>
      <c r="N147" s="44" t="str">
        <f aca="true">IF(A147="","",IF(N(K147)&gt;Settings!$S$7,"Over revision limit",IF(AND(D147="Free video",J147="",E147&lt;&gt;"",TODAY()&gt;WORKDAY(E147,Settings!$S$5)),"LATE – free video promised in 5 working days",IF(AND(E147&lt;&gt;"",E147=TODAY()),"Shooting today",""))))</f>
        <v/>
      </c>
    </row>
    <row r="148" customFormat="false" ht="15" hidden="false" customHeight="false" outlineLevel="0" collapsed="false">
      <c r="A148" s="17"/>
      <c r="B148" s="17"/>
      <c r="C148" s="44" t="str">
        <f aca="false">IF(B148="","",IFERROR(INDEX(Clients!$C$2:$C$501,MATCH(B148,Clients!$A$2:$A$501,0)),"Client ID not found"))</f>
        <v/>
      </c>
      <c r="D148" s="17"/>
      <c r="E148" s="40"/>
      <c r="F148" s="41"/>
      <c r="G148" s="17"/>
      <c r="H148" s="17"/>
      <c r="I148" s="17"/>
      <c r="J148" s="40"/>
      <c r="K148" s="17"/>
      <c r="L148" s="17"/>
      <c r="M148" s="17"/>
      <c r="N148" s="44" t="str">
        <f aca="true">IF(A148="","",IF(N(K148)&gt;Settings!$S$7,"Over revision limit",IF(AND(D148="Free video",J148="",E148&lt;&gt;"",TODAY()&gt;WORKDAY(E148,Settings!$S$5)),"LATE – free video promised in 5 working days",IF(AND(E148&lt;&gt;"",E148=TODAY()),"Shooting today",""))))</f>
        <v/>
      </c>
    </row>
    <row r="149" customFormat="false" ht="15" hidden="false" customHeight="false" outlineLevel="0" collapsed="false">
      <c r="A149" s="17"/>
      <c r="B149" s="17"/>
      <c r="C149" s="44" t="str">
        <f aca="false">IF(B149="","",IFERROR(INDEX(Clients!$C$2:$C$501,MATCH(B149,Clients!$A$2:$A$501,0)),"Client ID not found"))</f>
        <v/>
      </c>
      <c r="D149" s="17"/>
      <c r="E149" s="40"/>
      <c r="F149" s="41"/>
      <c r="G149" s="17"/>
      <c r="H149" s="17"/>
      <c r="I149" s="17"/>
      <c r="J149" s="40"/>
      <c r="K149" s="17"/>
      <c r="L149" s="17"/>
      <c r="M149" s="17"/>
      <c r="N149" s="44" t="str">
        <f aca="true">IF(A149="","",IF(N(K149)&gt;Settings!$S$7,"Over revision limit",IF(AND(D149="Free video",J149="",E149&lt;&gt;"",TODAY()&gt;WORKDAY(E149,Settings!$S$5)),"LATE – free video promised in 5 working days",IF(AND(E149&lt;&gt;"",E149=TODAY()),"Shooting today",""))))</f>
        <v/>
      </c>
    </row>
    <row r="150" customFormat="false" ht="15" hidden="false" customHeight="false" outlineLevel="0" collapsed="false">
      <c r="A150" s="17"/>
      <c r="B150" s="17"/>
      <c r="C150" s="44" t="str">
        <f aca="false">IF(B150="","",IFERROR(INDEX(Clients!$C$2:$C$501,MATCH(B150,Clients!$A$2:$A$501,0)),"Client ID not found"))</f>
        <v/>
      </c>
      <c r="D150" s="17"/>
      <c r="E150" s="40"/>
      <c r="F150" s="41"/>
      <c r="G150" s="17"/>
      <c r="H150" s="17"/>
      <c r="I150" s="17"/>
      <c r="J150" s="40"/>
      <c r="K150" s="17"/>
      <c r="L150" s="17"/>
      <c r="M150" s="17"/>
      <c r="N150" s="44" t="str">
        <f aca="true">IF(A150="","",IF(N(K150)&gt;Settings!$S$7,"Over revision limit",IF(AND(D150="Free video",J150="",E150&lt;&gt;"",TODAY()&gt;WORKDAY(E150,Settings!$S$5)),"LATE – free video promised in 5 working days",IF(AND(E150&lt;&gt;"",E150=TODAY()),"Shooting today",""))))</f>
        <v/>
      </c>
    </row>
    <row r="151" customFormat="false" ht="15" hidden="false" customHeight="false" outlineLevel="0" collapsed="false">
      <c r="A151" s="17"/>
      <c r="B151" s="17"/>
      <c r="C151" s="44" t="str">
        <f aca="false">IF(B151="","",IFERROR(INDEX(Clients!$C$2:$C$501,MATCH(B151,Clients!$A$2:$A$501,0)),"Client ID not found"))</f>
        <v/>
      </c>
      <c r="D151" s="17"/>
      <c r="E151" s="40"/>
      <c r="F151" s="41"/>
      <c r="G151" s="17"/>
      <c r="H151" s="17"/>
      <c r="I151" s="17"/>
      <c r="J151" s="40"/>
      <c r="K151" s="17"/>
      <c r="L151" s="17"/>
      <c r="M151" s="17"/>
      <c r="N151" s="44" t="str">
        <f aca="true">IF(A151="","",IF(N(K151)&gt;Settings!$S$7,"Over revision limit",IF(AND(D151="Free video",J151="",E151&lt;&gt;"",TODAY()&gt;WORKDAY(E151,Settings!$S$5)),"LATE – free video promised in 5 working days",IF(AND(E151&lt;&gt;"",E151=TODAY()),"Shooting today",""))))</f>
        <v/>
      </c>
    </row>
    <row r="152" customFormat="false" ht="15" hidden="false" customHeight="false" outlineLevel="0" collapsed="false">
      <c r="A152" s="17"/>
      <c r="B152" s="17"/>
      <c r="C152" s="44" t="str">
        <f aca="false">IF(B152="","",IFERROR(INDEX(Clients!$C$2:$C$501,MATCH(B152,Clients!$A$2:$A$501,0)),"Client ID not found"))</f>
        <v/>
      </c>
      <c r="D152" s="17"/>
      <c r="E152" s="40"/>
      <c r="F152" s="41"/>
      <c r="G152" s="17"/>
      <c r="H152" s="17"/>
      <c r="I152" s="17"/>
      <c r="J152" s="40"/>
      <c r="K152" s="17"/>
      <c r="L152" s="17"/>
      <c r="M152" s="17"/>
      <c r="N152" s="44" t="str">
        <f aca="true">IF(A152="","",IF(N(K152)&gt;Settings!$S$7,"Over revision limit",IF(AND(D152="Free video",J152="",E152&lt;&gt;"",TODAY()&gt;WORKDAY(E152,Settings!$S$5)),"LATE – free video promised in 5 working days",IF(AND(E152&lt;&gt;"",E152=TODAY()),"Shooting today",""))))</f>
        <v/>
      </c>
    </row>
    <row r="153" customFormat="false" ht="15" hidden="false" customHeight="false" outlineLevel="0" collapsed="false">
      <c r="A153" s="17"/>
      <c r="B153" s="17"/>
      <c r="C153" s="44" t="str">
        <f aca="false">IF(B153="","",IFERROR(INDEX(Clients!$C$2:$C$501,MATCH(B153,Clients!$A$2:$A$501,0)),"Client ID not found"))</f>
        <v/>
      </c>
      <c r="D153" s="17"/>
      <c r="E153" s="40"/>
      <c r="F153" s="41"/>
      <c r="G153" s="17"/>
      <c r="H153" s="17"/>
      <c r="I153" s="17"/>
      <c r="J153" s="40"/>
      <c r="K153" s="17"/>
      <c r="L153" s="17"/>
      <c r="M153" s="17"/>
      <c r="N153" s="44" t="str">
        <f aca="true">IF(A153="","",IF(N(K153)&gt;Settings!$S$7,"Over revision limit",IF(AND(D153="Free video",J153="",E153&lt;&gt;"",TODAY()&gt;WORKDAY(E153,Settings!$S$5)),"LATE – free video promised in 5 working days",IF(AND(E153&lt;&gt;"",E153=TODAY()),"Shooting today",""))))</f>
        <v/>
      </c>
    </row>
    <row r="154" customFormat="false" ht="15" hidden="false" customHeight="false" outlineLevel="0" collapsed="false">
      <c r="A154" s="17"/>
      <c r="B154" s="17"/>
      <c r="C154" s="44" t="str">
        <f aca="false">IF(B154="","",IFERROR(INDEX(Clients!$C$2:$C$501,MATCH(B154,Clients!$A$2:$A$501,0)),"Client ID not found"))</f>
        <v/>
      </c>
      <c r="D154" s="17"/>
      <c r="E154" s="40"/>
      <c r="F154" s="41"/>
      <c r="G154" s="17"/>
      <c r="H154" s="17"/>
      <c r="I154" s="17"/>
      <c r="J154" s="40"/>
      <c r="K154" s="17"/>
      <c r="L154" s="17"/>
      <c r="M154" s="17"/>
      <c r="N154" s="44" t="str">
        <f aca="true">IF(A154="","",IF(N(K154)&gt;Settings!$S$7,"Over revision limit",IF(AND(D154="Free video",J154="",E154&lt;&gt;"",TODAY()&gt;WORKDAY(E154,Settings!$S$5)),"LATE – free video promised in 5 working days",IF(AND(E154&lt;&gt;"",E154=TODAY()),"Shooting today",""))))</f>
        <v/>
      </c>
    </row>
    <row r="155" customFormat="false" ht="15" hidden="false" customHeight="false" outlineLevel="0" collapsed="false">
      <c r="A155" s="17"/>
      <c r="B155" s="17"/>
      <c r="C155" s="44" t="str">
        <f aca="false">IF(B155="","",IFERROR(INDEX(Clients!$C$2:$C$501,MATCH(B155,Clients!$A$2:$A$501,0)),"Client ID not found"))</f>
        <v/>
      </c>
      <c r="D155" s="17"/>
      <c r="E155" s="40"/>
      <c r="F155" s="41"/>
      <c r="G155" s="17"/>
      <c r="H155" s="17"/>
      <c r="I155" s="17"/>
      <c r="J155" s="40"/>
      <c r="K155" s="17"/>
      <c r="L155" s="17"/>
      <c r="M155" s="17"/>
      <c r="N155" s="44" t="str">
        <f aca="true">IF(A155="","",IF(N(K155)&gt;Settings!$S$7,"Over revision limit",IF(AND(D155="Free video",J155="",E155&lt;&gt;"",TODAY()&gt;WORKDAY(E155,Settings!$S$5)),"LATE – free video promised in 5 working days",IF(AND(E155&lt;&gt;"",E155=TODAY()),"Shooting today",""))))</f>
        <v/>
      </c>
    </row>
    <row r="156" customFormat="false" ht="15" hidden="false" customHeight="false" outlineLevel="0" collapsed="false">
      <c r="A156" s="17"/>
      <c r="B156" s="17"/>
      <c r="C156" s="44" t="str">
        <f aca="false">IF(B156="","",IFERROR(INDEX(Clients!$C$2:$C$501,MATCH(B156,Clients!$A$2:$A$501,0)),"Client ID not found"))</f>
        <v/>
      </c>
      <c r="D156" s="17"/>
      <c r="E156" s="40"/>
      <c r="F156" s="41"/>
      <c r="G156" s="17"/>
      <c r="H156" s="17"/>
      <c r="I156" s="17"/>
      <c r="J156" s="40"/>
      <c r="K156" s="17"/>
      <c r="L156" s="17"/>
      <c r="M156" s="17"/>
      <c r="N156" s="44" t="str">
        <f aca="true">IF(A156="","",IF(N(K156)&gt;Settings!$S$7,"Over revision limit",IF(AND(D156="Free video",J156="",E156&lt;&gt;"",TODAY()&gt;WORKDAY(E156,Settings!$S$5)),"LATE – free video promised in 5 working days",IF(AND(E156&lt;&gt;"",E156=TODAY()),"Shooting today",""))))</f>
        <v/>
      </c>
    </row>
    <row r="157" customFormat="false" ht="15" hidden="false" customHeight="false" outlineLevel="0" collapsed="false">
      <c r="A157" s="17"/>
      <c r="B157" s="17"/>
      <c r="C157" s="44" t="str">
        <f aca="false">IF(B157="","",IFERROR(INDEX(Clients!$C$2:$C$501,MATCH(B157,Clients!$A$2:$A$501,0)),"Client ID not found"))</f>
        <v/>
      </c>
      <c r="D157" s="17"/>
      <c r="E157" s="40"/>
      <c r="F157" s="41"/>
      <c r="G157" s="17"/>
      <c r="H157" s="17"/>
      <c r="I157" s="17"/>
      <c r="J157" s="40"/>
      <c r="K157" s="17"/>
      <c r="L157" s="17"/>
      <c r="M157" s="17"/>
      <c r="N157" s="44" t="str">
        <f aca="true">IF(A157="","",IF(N(K157)&gt;Settings!$S$7,"Over revision limit",IF(AND(D157="Free video",J157="",E157&lt;&gt;"",TODAY()&gt;WORKDAY(E157,Settings!$S$5)),"LATE – free video promised in 5 working days",IF(AND(E157&lt;&gt;"",E157=TODAY()),"Shooting today",""))))</f>
        <v/>
      </c>
    </row>
    <row r="158" customFormat="false" ht="15" hidden="false" customHeight="false" outlineLevel="0" collapsed="false">
      <c r="A158" s="17"/>
      <c r="B158" s="17"/>
      <c r="C158" s="44" t="str">
        <f aca="false">IF(B158="","",IFERROR(INDEX(Clients!$C$2:$C$501,MATCH(B158,Clients!$A$2:$A$501,0)),"Client ID not found"))</f>
        <v/>
      </c>
      <c r="D158" s="17"/>
      <c r="E158" s="40"/>
      <c r="F158" s="41"/>
      <c r="G158" s="17"/>
      <c r="H158" s="17"/>
      <c r="I158" s="17"/>
      <c r="J158" s="40"/>
      <c r="K158" s="17"/>
      <c r="L158" s="17"/>
      <c r="M158" s="17"/>
      <c r="N158" s="44" t="str">
        <f aca="true">IF(A158="","",IF(N(K158)&gt;Settings!$S$7,"Over revision limit",IF(AND(D158="Free video",J158="",E158&lt;&gt;"",TODAY()&gt;WORKDAY(E158,Settings!$S$5)),"LATE – free video promised in 5 working days",IF(AND(E158&lt;&gt;"",E158=TODAY()),"Shooting today",""))))</f>
        <v/>
      </c>
    </row>
    <row r="159" customFormat="false" ht="15" hidden="false" customHeight="false" outlineLevel="0" collapsed="false">
      <c r="A159" s="17"/>
      <c r="B159" s="17"/>
      <c r="C159" s="44" t="str">
        <f aca="false">IF(B159="","",IFERROR(INDEX(Clients!$C$2:$C$501,MATCH(B159,Clients!$A$2:$A$501,0)),"Client ID not found"))</f>
        <v/>
      </c>
      <c r="D159" s="17"/>
      <c r="E159" s="40"/>
      <c r="F159" s="41"/>
      <c r="G159" s="17"/>
      <c r="H159" s="17"/>
      <c r="I159" s="17"/>
      <c r="J159" s="40"/>
      <c r="K159" s="17"/>
      <c r="L159" s="17"/>
      <c r="M159" s="17"/>
      <c r="N159" s="44" t="str">
        <f aca="true">IF(A159="","",IF(N(K159)&gt;Settings!$S$7,"Over revision limit",IF(AND(D159="Free video",J159="",E159&lt;&gt;"",TODAY()&gt;WORKDAY(E159,Settings!$S$5)),"LATE – free video promised in 5 working days",IF(AND(E159&lt;&gt;"",E159=TODAY()),"Shooting today",""))))</f>
        <v/>
      </c>
    </row>
    <row r="160" customFormat="false" ht="15" hidden="false" customHeight="false" outlineLevel="0" collapsed="false">
      <c r="A160" s="17"/>
      <c r="B160" s="17"/>
      <c r="C160" s="44" t="str">
        <f aca="false">IF(B160="","",IFERROR(INDEX(Clients!$C$2:$C$501,MATCH(B160,Clients!$A$2:$A$501,0)),"Client ID not found"))</f>
        <v/>
      </c>
      <c r="D160" s="17"/>
      <c r="E160" s="40"/>
      <c r="F160" s="41"/>
      <c r="G160" s="17"/>
      <c r="H160" s="17"/>
      <c r="I160" s="17"/>
      <c r="J160" s="40"/>
      <c r="K160" s="17"/>
      <c r="L160" s="17"/>
      <c r="M160" s="17"/>
      <c r="N160" s="44" t="str">
        <f aca="true">IF(A160="","",IF(N(K160)&gt;Settings!$S$7,"Over revision limit",IF(AND(D160="Free video",J160="",E160&lt;&gt;"",TODAY()&gt;WORKDAY(E160,Settings!$S$5)),"LATE – free video promised in 5 working days",IF(AND(E160&lt;&gt;"",E160=TODAY()),"Shooting today",""))))</f>
        <v/>
      </c>
    </row>
    <row r="161" customFormat="false" ht="15" hidden="false" customHeight="false" outlineLevel="0" collapsed="false">
      <c r="A161" s="17"/>
      <c r="B161" s="17"/>
      <c r="C161" s="44" t="str">
        <f aca="false">IF(B161="","",IFERROR(INDEX(Clients!$C$2:$C$501,MATCH(B161,Clients!$A$2:$A$501,0)),"Client ID not found"))</f>
        <v/>
      </c>
      <c r="D161" s="17"/>
      <c r="E161" s="40"/>
      <c r="F161" s="41"/>
      <c r="G161" s="17"/>
      <c r="H161" s="17"/>
      <c r="I161" s="17"/>
      <c r="J161" s="40"/>
      <c r="K161" s="17"/>
      <c r="L161" s="17"/>
      <c r="M161" s="17"/>
      <c r="N161" s="44" t="str">
        <f aca="true">IF(A161="","",IF(N(K161)&gt;Settings!$S$7,"Over revision limit",IF(AND(D161="Free video",J161="",E161&lt;&gt;"",TODAY()&gt;WORKDAY(E161,Settings!$S$5)),"LATE – free video promised in 5 working days",IF(AND(E161&lt;&gt;"",E161=TODAY()),"Shooting today",""))))</f>
        <v/>
      </c>
    </row>
    <row r="162" customFormat="false" ht="15" hidden="false" customHeight="false" outlineLevel="0" collapsed="false">
      <c r="A162" s="17"/>
      <c r="B162" s="17"/>
      <c r="C162" s="44" t="str">
        <f aca="false">IF(B162="","",IFERROR(INDEX(Clients!$C$2:$C$501,MATCH(B162,Clients!$A$2:$A$501,0)),"Client ID not found"))</f>
        <v/>
      </c>
      <c r="D162" s="17"/>
      <c r="E162" s="40"/>
      <c r="F162" s="41"/>
      <c r="G162" s="17"/>
      <c r="H162" s="17"/>
      <c r="I162" s="17"/>
      <c r="J162" s="40"/>
      <c r="K162" s="17"/>
      <c r="L162" s="17"/>
      <c r="M162" s="17"/>
      <c r="N162" s="44" t="str">
        <f aca="true">IF(A162="","",IF(N(K162)&gt;Settings!$S$7,"Over revision limit",IF(AND(D162="Free video",J162="",E162&lt;&gt;"",TODAY()&gt;WORKDAY(E162,Settings!$S$5)),"LATE – free video promised in 5 working days",IF(AND(E162&lt;&gt;"",E162=TODAY()),"Shooting today",""))))</f>
        <v/>
      </c>
    </row>
    <row r="163" customFormat="false" ht="15" hidden="false" customHeight="false" outlineLevel="0" collapsed="false">
      <c r="A163" s="17"/>
      <c r="B163" s="17"/>
      <c r="C163" s="44" t="str">
        <f aca="false">IF(B163="","",IFERROR(INDEX(Clients!$C$2:$C$501,MATCH(B163,Clients!$A$2:$A$501,0)),"Client ID not found"))</f>
        <v/>
      </c>
      <c r="D163" s="17"/>
      <c r="E163" s="40"/>
      <c r="F163" s="41"/>
      <c r="G163" s="17"/>
      <c r="H163" s="17"/>
      <c r="I163" s="17"/>
      <c r="J163" s="40"/>
      <c r="K163" s="17"/>
      <c r="L163" s="17"/>
      <c r="M163" s="17"/>
      <c r="N163" s="44" t="str">
        <f aca="true">IF(A163="","",IF(N(K163)&gt;Settings!$S$7,"Over revision limit",IF(AND(D163="Free video",J163="",E163&lt;&gt;"",TODAY()&gt;WORKDAY(E163,Settings!$S$5)),"LATE – free video promised in 5 working days",IF(AND(E163&lt;&gt;"",E163=TODAY()),"Shooting today",""))))</f>
        <v/>
      </c>
    </row>
    <row r="164" customFormat="false" ht="15" hidden="false" customHeight="false" outlineLevel="0" collapsed="false">
      <c r="A164" s="17"/>
      <c r="B164" s="17"/>
      <c r="C164" s="44" t="str">
        <f aca="false">IF(B164="","",IFERROR(INDEX(Clients!$C$2:$C$501,MATCH(B164,Clients!$A$2:$A$501,0)),"Client ID not found"))</f>
        <v/>
      </c>
      <c r="D164" s="17"/>
      <c r="E164" s="40"/>
      <c r="F164" s="41"/>
      <c r="G164" s="17"/>
      <c r="H164" s="17"/>
      <c r="I164" s="17"/>
      <c r="J164" s="40"/>
      <c r="K164" s="17"/>
      <c r="L164" s="17"/>
      <c r="M164" s="17"/>
      <c r="N164" s="44" t="str">
        <f aca="true">IF(A164="","",IF(N(K164)&gt;Settings!$S$7,"Over revision limit",IF(AND(D164="Free video",J164="",E164&lt;&gt;"",TODAY()&gt;WORKDAY(E164,Settings!$S$5)),"LATE – free video promised in 5 working days",IF(AND(E164&lt;&gt;"",E164=TODAY()),"Shooting today",""))))</f>
        <v/>
      </c>
    </row>
    <row r="165" customFormat="false" ht="15" hidden="false" customHeight="false" outlineLevel="0" collapsed="false">
      <c r="A165" s="17"/>
      <c r="B165" s="17"/>
      <c r="C165" s="44" t="str">
        <f aca="false">IF(B165="","",IFERROR(INDEX(Clients!$C$2:$C$501,MATCH(B165,Clients!$A$2:$A$501,0)),"Client ID not found"))</f>
        <v/>
      </c>
      <c r="D165" s="17"/>
      <c r="E165" s="40"/>
      <c r="F165" s="41"/>
      <c r="G165" s="17"/>
      <c r="H165" s="17"/>
      <c r="I165" s="17"/>
      <c r="J165" s="40"/>
      <c r="K165" s="17"/>
      <c r="L165" s="17"/>
      <c r="M165" s="17"/>
      <c r="N165" s="44" t="str">
        <f aca="true">IF(A165="","",IF(N(K165)&gt;Settings!$S$7,"Over revision limit",IF(AND(D165="Free video",J165="",E165&lt;&gt;"",TODAY()&gt;WORKDAY(E165,Settings!$S$5)),"LATE – free video promised in 5 working days",IF(AND(E165&lt;&gt;"",E165=TODAY()),"Shooting today",""))))</f>
        <v/>
      </c>
    </row>
    <row r="166" customFormat="false" ht="15" hidden="false" customHeight="false" outlineLevel="0" collapsed="false">
      <c r="A166" s="17"/>
      <c r="B166" s="17"/>
      <c r="C166" s="44" t="str">
        <f aca="false">IF(B166="","",IFERROR(INDEX(Clients!$C$2:$C$501,MATCH(B166,Clients!$A$2:$A$501,0)),"Client ID not found"))</f>
        <v/>
      </c>
      <c r="D166" s="17"/>
      <c r="E166" s="40"/>
      <c r="F166" s="41"/>
      <c r="G166" s="17"/>
      <c r="H166" s="17"/>
      <c r="I166" s="17"/>
      <c r="J166" s="40"/>
      <c r="K166" s="17"/>
      <c r="L166" s="17"/>
      <c r="M166" s="17"/>
      <c r="N166" s="44" t="str">
        <f aca="true">IF(A166="","",IF(N(K166)&gt;Settings!$S$7,"Over revision limit",IF(AND(D166="Free video",J166="",E166&lt;&gt;"",TODAY()&gt;WORKDAY(E166,Settings!$S$5)),"LATE – free video promised in 5 working days",IF(AND(E166&lt;&gt;"",E166=TODAY()),"Shooting today",""))))</f>
        <v/>
      </c>
    </row>
    <row r="167" customFormat="false" ht="15" hidden="false" customHeight="false" outlineLevel="0" collapsed="false">
      <c r="A167" s="17"/>
      <c r="B167" s="17"/>
      <c r="C167" s="44" t="str">
        <f aca="false">IF(B167="","",IFERROR(INDEX(Clients!$C$2:$C$501,MATCH(B167,Clients!$A$2:$A$501,0)),"Client ID not found"))</f>
        <v/>
      </c>
      <c r="D167" s="17"/>
      <c r="E167" s="40"/>
      <c r="F167" s="41"/>
      <c r="G167" s="17"/>
      <c r="H167" s="17"/>
      <c r="I167" s="17"/>
      <c r="J167" s="40"/>
      <c r="K167" s="17"/>
      <c r="L167" s="17"/>
      <c r="M167" s="17"/>
      <c r="N167" s="44" t="str">
        <f aca="true">IF(A167="","",IF(N(K167)&gt;Settings!$S$7,"Over revision limit",IF(AND(D167="Free video",J167="",E167&lt;&gt;"",TODAY()&gt;WORKDAY(E167,Settings!$S$5)),"LATE – free video promised in 5 working days",IF(AND(E167&lt;&gt;"",E167=TODAY()),"Shooting today",""))))</f>
        <v/>
      </c>
    </row>
    <row r="168" customFormat="false" ht="15" hidden="false" customHeight="false" outlineLevel="0" collapsed="false">
      <c r="A168" s="17"/>
      <c r="B168" s="17"/>
      <c r="C168" s="44" t="str">
        <f aca="false">IF(B168="","",IFERROR(INDEX(Clients!$C$2:$C$501,MATCH(B168,Clients!$A$2:$A$501,0)),"Client ID not found"))</f>
        <v/>
      </c>
      <c r="D168" s="17"/>
      <c r="E168" s="40"/>
      <c r="F168" s="41"/>
      <c r="G168" s="17"/>
      <c r="H168" s="17"/>
      <c r="I168" s="17"/>
      <c r="J168" s="40"/>
      <c r="K168" s="17"/>
      <c r="L168" s="17"/>
      <c r="M168" s="17"/>
      <c r="N168" s="44" t="str">
        <f aca="true">IF(A168="","",IF(N(K168)&gt;Settings!$S$7,"Over revision limit",IF(AND(D168="Free video",J168="",E168&lt;&gt;"",TODAY()&gt;WORKDAY(E168,Settings!$S$5)),"LATE – free video promised in 5 working days",IF(AND(E168&lt;&gt;"",E168=TODAY()),"Shooting today",""))))</f>
        <v/>
      </c>
    </row>
    <row r="169" customFormat="false" ht="15" hidden="false" customHeight="false" outlineLevel="0" collapsed="false">
      <c r="A169" s="17"/>
      <c r="B169" s="17"/>
      <c r="C169" s="44" t="str">
        <f aca="false">IF(B169="","",IFERROR(INDEX(Clients!$C$2:$C$501,MATCH(B169,Clients!$A$2:$A$501,0)),"Client ID not found"))</f>
        <v/>
      </c>
      <c r="D169" s="17"/>
      <c r="E169" s="40"/>
      <c r="F169" s="41"/>
      <c r="G169" s="17"/>
      <c r="H169" s="17"/>
      <c r="I169" s="17"/>
      <c r="J169" s="40"/>
      <c r="K169" s="17"/>
      <c r="L169" s="17"/>
      <c r="M169" s="17"/>
      <c r="N169" s="44" t="str">
        <f aca="true">IF(A169="","",IF(N(K169)&gt;Settings!$S$7,"Over revision limit",IF(AND(D169="Free video",J169="",E169&lt;&gt;"",TODAY()&gt;WORKDAY(E169,Settings!$S$5)),"LATE – free video promised in 5 working days",IF(AND(E169&lt;&gt;"",E169=TODAY()),"Shooting today",""))))</f>
        <v/>
      </c>
    </row>
    <row r="170" customFormat="false" ht="15" hidden="false" customHeight="false" outlineLevel="0" collapsed="false">
      <c r="A170" s="17"/>
      <c r="B170" s="17"/>
      <c r="C170" s="44" t="str">
        <f aca="false">IF(B170="","",IFERROR(INDEX(Clients!$C$2:$C$501,MATCH(B170,Clients!$A$2:$A$501,0)),"Client ID not found"))</f>
        <v/>
      </c>
      <c r="D170" s="17"/>
      <c r="E170" s="40"/>
      <c r="F170" s="41"/>
      <c r="G170" s="17"/>
      <c r="H170" s="17"/>
      <c r="I170" s="17"/>
      <c r="J170" s="40"/>
      <c r="K170" s="17"/>
      <c r="L170" s="17"/>
      <c r="M170" s="17"/>
      <c r="N170" s="44" t="str">
        <f aca="true">IF(A170="","",IF(N(K170)&gt;Settings!$S$7,"Over revision limit",IF(AND(D170="Free video",J170="",E170&lt;&gt;"",TODAY()&gt;WORKDAY(E170,Settings!$S$5)),"LATE – free video promised in 5 working days",IF(AND(E170&lt;&gt;"",E170=TODAY()),"Shooting today",""))))</f>
        <v/>
      </c>
    </row>
    <row r="171" customFormat="false" ht="15" hidden="false" customHeight="false" outlineLevel="0" collapsed="false">
      <c r="A171" s="17"/>
      <c r="B171" s="17"/>
      <c r="C171" s="44" t="str">
        <f aca="false">IF(B171="","",IFERROR(INDEX(Clients!$C$2:$C$501,MATCH(B171,Clients!$A$2:$A$501,0)),"Client ID not found"))</f>
        <v/>
      </c>
      <c r="D171" s="17"/>
      <c r="E171" s="40"/>
      <c r="F171" s="41"/>
      <c r="G171" s="17"/>
      <c r="H171" s="17"/>
      <c r="I171" s="17"/>
      <c r="J171" s="40"/>
      <c r="K171" s="17"/>
      <c r="L171" s="17"/>
      <c r="M171" s="17"/>
      <c r="N171" s="44" t="str">
        <f aca="true">IF(A171="","",IF(N(K171)&gt;Settings!$S$7,"Over revision limit",IF(AND(D171="Free video",J171="",E171&lt;&gt;"",TODAY()&gt;WORKDAY(E171,Settings!$S$5)),"LATE – free video promised in 5 working days",IF(AND(E171&lt;&gt;"",E171=TODAY()),"Shooting today",""))))</f>
        <v/>
      </c>
    </row>
    <row r="172" customFormat="false" ht="15" hidden="false" customHeight="false" outlineLevel="0" collapsed="false">
      <c r="A172" s="17"/>
      <c r="B172" s="17"/>
      <c r="C172" s="44" t="str">
        <f aca="false">IF(B172="","",IFERROR(INDEX(Clients!$C$2:$C$501,MATCH(B172,Clients!$A$2:$A$501,0)),"Client ID not found"))</f>
        <v/>
      </c>
      <c r="D172" s="17"/>
      <c r="E172" s="40"/>
      <c r="F172" s="41"/>
      <c r="G172" s="17"/>
      <c r="H172" s="17"/>
      <c r="I172" s="17"/>
      <c r="J172" s="40"/>
      <c r="K172" s="17"/>
      <c r="L172" s="17"/>
      <c r="M172" s="17"/>
      <c r="N172" s="44" t="str">
        <f aca="true">IF(A172="","",IF(N(K172)&gt;Settings!$S$7,"Over revision limit",IF(AND(D172="Free video",J172="",E172&lt;&gt;"",TODAY()&gt;WORKDAY(E172,Settings!$S$5)),"LATE – free video promised in 5 working days",IF(AND(E172&lt;&gt;"",E172=TODAY()),"Shooting today",""))))</f>
        <v/>
      </c>
    </row>
    <row r="173" customFormat="false" ht="15" hidden="false" customHeight="false" outlineLevel="0" collapsed="false">
      <c r="A173" s="17"/>
      <c r="B173" s="17"/>
      <c r="C173" s="44" t="str">
        <f aca="false">IF(B173="","",IFERROR(INDEX(Clients!$C$2:$C$501,MATCH(B173,Clients!$A$2:$A$501,0)),"Client ID not found"))</f>
        <v/>
      </c>
      <c r="D173" s="17"/>
      <c r="E173" s="40"/>
      <c r="F173" s="41"/>
      <c r="G173" s="17"/>
      <c r="H173" s="17"/>
      <c r="I173" s="17"/>
      <c r="J173" s="40"/>
      <c r="K173" s="17"/>
      <c r="L173" s="17"/>
      <c r="M173" s="17"/>
      <c r="N173" s="44" t="str">
        <f aca="true">IF(A173="","",IF(N(K173)&gt;Settings!$S$7,"Over revision limit",IF(AND(D173="Free video",J173="",E173&lt;&gt;"",TODAY()&gt;WORKDAY(E173,Settings!$S$5)),"LATE – free video promised in 5 working days",IF(AND(E173&lt;&gt;"",E173=TODAY()),"Shooting today",""))))</f>
        <v/>
      </c>
    </row>
    <row r="174" customFormat="false" ht="15" hidden="false" customHeight="false" outlineLevel="0" collapsed="false">
      <c r="A174" s="17"/>
      <c r="B174" s="17"/>
      <c r="C174" s="44" t="str">
        <f aca="false">IF(B174="","",IFERROR(INDEX(Clients!$C$2:$C$501,MATCH(B174,Clients!$A$2:$A$501,0)),"Client ID not found"))</f>
        <v/>
      </c>
      <c r="D174" s="17"/>
      <c r="E174" s="40"/>
      <c r="F174" s="41"/>
      <c r="G174" s="17"/>
      <c r="H174" s="17"/>
      <c r="I174" s="17"/>
      <c r="J174" s="40"/>
      <c r="K174" s="17"/>
      <c r="L174" s="17"/>
      <c r="M174" s="17"/>
      <c r="N174" s="44" t="str">
        <f aca="true">IF(A174="","",IF(N(K174)&gt;Settings!$S$7,"Over revision limit",IF(AND(D174="Free video",J174="",E174&lt;&gt;"",TODAY()&gt;WORKDAY(E174,Settings!$S$5)),"LATE – free video promised in 5 working days",IF(AND(E174&lt;&gt;"",E174=TODAY()),"Shooting today",""))))</f>
        <v/>
      </c>
    </row>
    <row r="175" customFormat="false" ht="15" hidden="false" customHeight="false" outlineLevel="0" collapsed="false">
      <c r="A175" s="17"/>
      <c r="B175" s="17"/>
      <c r="C175" s="44" t="str">
        <f aca="false">IF(B175="","",IFERROR(INDEX(Clients!$C$2:$C$501,MATCH(B175,Clients!$A$2:$A$501,0)),"Client ID not found"))</f>
        <v/>
      </c>
      <c r="D175" s="17"/>
      <c r="E175" s="40"/>
      <c r="F175" s="41"/>
      <c r="G175" s="17"/>
      <c r="H175" s="17"/>
      <c r="I175" s="17"/>
      <c r="J175" s="40"/>
      <c r="K175" s="17"/>
      <c r="L175" s="17"/>
      <c r="M175" s="17"/>
      <c r="N175" s="44" t="str">
        <f aca="true">IF(A175="","",IF(N(K175)&gt;Settings!$S$7,"Over revision limit",IF(AND(D175="Free video",J175="",E175&lt;&gt;"",TODAY()&gt;WORKDAY(E175,Settings!$S$5)),"LATE – free video promised in 5 working days",IF(AND(E175&lt;&gt;"",E175=TODAY()),"Shooting today",""))))</f>
        <v/>
      </c>
    </row>
    <row r="176" customFormat="false" ht="15" hidden="false" customHeight="false" outlineLevel="0" collapsed="false">
      <c r="A176" s="17"/>
      <c r="B176" s="17"/>
      <c r="C176" s="44" t="str">
        <f aca="false">IF(B176="","",IFERROR(INDEX(Clients!$C$2:$C$501,MATCH(B176,Clients!$A$2:$A$501,0)),"Client ID not found"))</f>
        <v/>
      </c>
      <c r="D176" s="17"/>
      <c r="E176" s="40"/>
      <c r="F176" s="41"/>
      <c r="G176" s="17"/>
      <c r="H176" s="17"/>
      <c r="I176" s="17"/>
      <c r="J176" s="40"/>
      <c r="K176" s="17"/>
      <c r="L176" s="17"/>
      <c r="M176" s="17"/>
      <c r="N176" s="44" t="str">
        <f aca="true">IF(A176="","",IF(N(K176)&gt;Settings!$S$7,"Over revision limit",IF(AND(D176="Free video",J176="",E176&lt;&gt;"",TODAY()&gt;WORKDAY(E176,Settings!$S$5)),"LATE – free video promised in 5 working days",IF(AND(E176&lt;&gt;"",E176=TODAY()),"Shooting today",""))))</f>
        <v/>
      </c>
    </row>
    <row r="177" customFormat="false" ht="15" hidden="false" customHeight="false" outlineLevel="0" collapsed="false">
      <c r="A177" s="17"/>
      <c r="B177" s="17"/>
      <c r="C177" s="44" t="str">
        <f aca="false">IF(B177="","",IFERROR(INDEX(Clients!$C$2:$C$501,MATCH(B177,Clients!$A$2:$A$501,0)),"Client ID not found"))</f>
        <v/>
      </c>
      <c r="D177" s="17"/>
      <c r="E177" s="40"/>
      <c r="F177" s="41"/>
      <c r="G177" s="17"/>
      <c r="H177" s="17"/>
      <c r="I177" s="17"/>
      <c r="J177" s="40"/>
      <c r="K177" s="17"/>
      <c r="L177" s="17"/>
      <c r="M177" s="17"/>
      <c r="N177" s="44" t="str">
        <f aca="true">IF(A177="","",IF(N(K177)&gt;Settings!$S$7,"Over revision limit",IF(AND(D177="Free video",J177="",E177&lt;&gt;"",TODAY()&gt;WORKDAY(E177,Settings!$S$5)),"LATE – free video promised in 5 working days",IF(AND(E177&lt;&gt;"",E177=TODAY()),"Shooting today",""))))</f>
        <v/>
      </c>
    </row>
    <row r="178" customFormat="false" ht="15" hidden="false" customHeight="false" outlineLevel="0" collapsed="false">
      <c r="A178" s="17"/>
      <c r="B178" s="17"/>
      <c r="C178" s="44" t="str">
        <f aca="false">IF(B178="","",IFERROR(INDEX(Clients!$C$2:$C$501,MATCH(B178,Clients!$A$2:$A$501,0)),"Client ID not found"))</f>
        <v/>
      </c>
      <c r="D178" s="17"/>
      <c r="E178" s="40"/>
      <c r="F178" s="41"/>
      <c r="G178" s="17"/>
      <c r="H178" s="17"/>
      <c r="I178" s="17"/>
      <c r="J178" s="40"/>
      <c r="K178" s="17"/>
      <c r="L178" s="17"/>
      <c r="M178" s="17"/>
      <c r="N178" s="44" t="str">
        <f aca="true">IF(A178="","",IF(N(K178)&gt;Settings!$S$7,"Over revision limit",IF(AND(D178="Free video",J178="",E178&lt;&gt;"",TODAY()&gt;WORKDAY(E178,Settings!$S$5)),"LATE – free video promised in 5 working days",IF(AND(E178&lt;&gt;"",E178=TODAY()),"Shooting today",""))))</f>
        <v/>
      </c>
    </row>
    <row r="179" customFormat="false" ht="15" hidden="false" customHeight="false" outlineLevel="0" collapsed="false">
      <c r="A179" s="17"/>
      <c r="B179" s="17"/>
      <c r="C179" s="44" t="str">
        <f aca="false">IF(B179="","",IFERROR(INDEX(Clients!$C$2:$C$501,MATCH(B179,Clients!$A$2:$A$501,0)),"Client ID not found"))</f>
        <v/>
      </c>
      <c r="D179" s="17"/>
      <c r="E179" s="40"/>
      <c r="F179" s="41"/>
      <c r="G179" s="17"/>
      <c r="H179" s="17"/>
      <c r="I179" s="17"/>
      <c r="J179" s="40"/>
      <c r="K179" s="17"/>
      <c r="L179" s="17"/>
      <c r="M179" s="17"/>
      <c r="N179" s="44" t="str">
        <f aca="true">IF(A179="","",IF(N(K179)&gt;Settings!$S$7,"Over revision limit",IF(AND(D179="Free video",J179="",E179&lt;&gt;"",TODAY()&gt;WORKDAY(E179,Settings!$S$5)),"LATE – free video promised in 5 working days",IF(AND(E179&lt;&gt;"",E179=TODAY()),"Shooting today",""))))</f>
        <v/>
      </c>
    </row>
    <row r="180" customFormat="false" ht="15" hidden="false" customHeight="false" outlineLevel="0" collapsed="false">
      <c r="A180" s="17"/>
      <c r="B180" s="17"/>
      <c r="C180" s="44" t="str">
        <f aca="false">IF(B180="","",IFERROR(INDEX(Clients!$C$2:$C$501,MATCH(B180,Clients!$A$2:$A$501,0)),"Client ID not found"))</f>
        <v/>
      </c>
      <c r="D180" s="17"/>
      <c r="E180" s="40"/>
      <c r="F180" s="41"/>
      <c r="G180" s="17"/>
      <c r="H180" s="17"/>
      <c r="I180" s="17"/>
      <c r="J180" s="40"/>
      <c r="K180" s="17"/>
      <c r="L180" s="17"/>
      <c r="M180" s="17"/>
      <c r="N180" s="44" t="str">
        <f aca="true">IF(A180="","",IF(N(K180)&gt;Settings!$S$7,"Over revision limit",IF(AND(D180="Free video",J180="",E180&lt;&gt;"",TODAY()&gt;WORKDAY(E180,Settings!$S$5)),"LATE – free video promised in 5 working days",IF(AND(E180&lt;&gt;"",E180=TODAY()),"Shooting today",""))))</f>
        <v/>
      </c>
    </row>
    <row r="181" customFormat="false" ht="15" hidden="false" customHeight="false" outlineLevel="0" collapsed="false">
      <c r="A181" s="17"/>
      <c r="B181" s="17"/>
      <c r="C181" s="44" t="str">
        <f aca="false">IF(B181="","",IFERROR(INDEX(Clients!$C$2:$C$501,MATCH(B181,Clients!$A$2:$A$501,0)),"Client ID not found"))</f>
        <v/>
      </c>
      <c r="D181" s="17"/>
      <c r="E181" s="40"/>
      <c r="F181" s="41"/>
      <c r="G181" s="17"/>
      <c r="H181" s="17"/>
      <c r="I181" s="17"/>
      <c r="J181" s="40"/>
      <c r="K181" s="17"/>
      <c r="L181" s="17"/>
      <c r="M181" s="17"/>
      <c r="N181" s="44" t="str">
        <f aca="true">IF(A181="","",IF(N(K181)&gt;Settings!$S$7,"Over revision limit",IF(AND(D181="Free video",J181="",E181&lt;&gt;"",TODAY()&gt;WORKDAY(E181,Settings!$S$5)),"LATE – free video promised in 5 working days",IF(AND(E181&lt;&gt;"",E181=TODAY()),"Shooting today",""))))</f>
        <v/>
      </c>
    </row>
    <row r="182" customFormat="false" ht="15" hidden="false" customHeight="false" outlineLevel="0" collapsed="false">
      <c r="A182" s="17"/>
      <c r="B182" s="17"/>
      <c r="C182" s="44" t="str">
        <f aca="false">IF(B182="","",IFERROR(INDEX(Clients!$C$2:$C$501,MATCH(B182,Clients!$A$2:$A$501,0)),"Client ID not found"))</f>
        <v/>
      </c>
      <c r="D182" s="17"/>
      <c r="E182" s="40"/>
      <c r="F182" s="41"/>
      <c r="G182" s="17"/>
      <c r="H182" s="17"/>
      <c r="I182" s="17"/>
      <c r="J182" s="40"/>
      <c r="K182" s="17"/>
      <c r="L182" s="17"/>
      <c r="M182" s="17"/>
      <c r="N182" s="44" t="str">
        <f aca="true">IF(A182="","",IF(N(K182)&gt;Settings!$S$7,"Over revision limit",IF(AND(D182="Free video",J182="",E182&lt;&gt;"",TODAY()&gt;WORKDAY(E182,Settings!$S$5)),"LATE – free video promised in 5 working days",IF(AND(E182&lt;&gt;"",E182=TODAY()),"Shooting today",""))))</f>
        <v/>
      </c>
    </row>
    <row r="183" customFormat="false" ht="15" hidden="false" customHeight="false" outlineLevel="0" collapsed="false">
      <c r="A183" s="17"/>
      <c r="B183" s="17"/>
      <c r="C183" s="44" t="str">
        <f aca="false">IF(B183="","",IFERROR(INDEX(Clients!$C$2:$C$501,MATCH(B183,Clients!$A$2:$A$501,0)),"Client ID not found"))</f>
        <v/>
      </c>
      <c r="D183" s="17"/>
      <c r="E183" s="40"/>
      <c r="F183" s="41"/>
      <c r="G183" s="17"/>
      <c r="H183" s="17"/>
      <c r="I183" s="17"/>
      <c r="J183" s="40"/>
      <c r="K183" s="17"/>
      <c r="L183" s="17"/>
      <c r="M183" s="17"/>
      <c r="N183" s="44" t="str">
        <f aca="true">IF(A183="","",IF(N(K183)&gt;Settings!$S$7,"Over revision limit",IF(AND(D183="Free video",J183="",E183&lt;&gt;"",TODAY()&gt;WORKDAY(E183,Settings!$S$5)),"LATE – free video promised in 5 working days",IF(AND(E183&lt;&gt;"",E183=TODAY()),"Shooting today",""))))</f>
        <v/>
      </c>
    </row>
    <row r="184" customFormat="false" ht="15" hidden="false" customHeight="false" outlineLevel="0" collapsed="false">
      <c r="A184" s="17"/>
      <c r="B184" s="17"/>
      <c r="C184" s="44" t="str">
        <f aca="false">IF(B184="","",IFERROR(INDEX(Clients!$C$2:$C$501,MATCH(B184,Clients!$A$2:$A$501,0)),"Client ID not found"))</f>
        <v/>
      </c>
      <c r="D184" s="17"/>
      <c r="E184" s="40"/>
      <c r="F184" s="41"/>
      <c r="G184" s="17"/>
      <c r="H184" s="17"/>
      <c r="I184" s="17"/>
      <c r="J184" s="40"/>
      <c r="K184" s="17"/>
      <c r="L184" s="17"/>
      <c r="M184" s="17"/>
      <c r="N184" s="44" t="str">
        <f aca="true">IF(A184="","",IF(N(K184)&gt;Settings!$S$7,"Over revision limit",IF(AND(D184="Free video",J184="",E184&lt;&gt;"",TODAY()&gt;WORKDAY(E184,Settings!$S$5)),"LATE – free video promised in 5 working days",IF(AND(E184&lt;&gt;"",E184=TODAY()),"Shooting today",""))))</f>
        <v/>
      </c>
    </row>
    <row r="185" customFormat="false" ht="15" hidden="false" customHeight="false" outlineLevel="0" collapsed="false">
      <c r="A185" s="17"/>
      <c r="B185" s="17"/>
      <c r="C185" s="44" t="str">
        <f aca="false">IF(B185="","",IFERROR(INDEX(Clients!$C$2:$C$501,MATCH(B185,Clients!$A$2:$A$501,0)),"Client ID not found"))</f>
        <v/>
      </c>
      <c r="D185" s="17"/>
      <c r="E185" s="40"/>
      <c r="F185" s="41"/>
      <c r="G185" s="17"/>
      <c r="H185" s="17"/>
      <c r="I185" s="17"/>
      <c r="J185" s="40"/>
      <c r="K185" s="17"/>
      <c r="L185" s="17"/>
      <c r="M185" s="17"/>
      <c r="N185" s="44" t="str">
        <f aca="true">IF(A185="","",IF(N(K185)&gt;Settings!$S$7,"Over revision limit",IF(AND(D185="Free video",J185="",E185&lt;&gt;"",TODAY()&gt;WORKDAY(E185,Settings!$S$5)),"LATE – free video promised in 5 working days",IF(AND(E185&lt;&gt;"",E185=TODAY()),"Shooting today",""))))</f>
        <v/>
      </c>
    </row>
    <row r="186" customFormat="false" ht="15" hidden="false" customHeight="false" outlineLevel="0" collapsed="false">
      <c r="A186" s="17"/>
      <c r="B186" s="17"/>
      <c r="C186" s="44" t="str">
        <f aca="false">IF(B186="","",IFERROR(INDEX(Clients!$C$2:$C$501,MATCH(B186,Clients!$A$2:$A$501,0)),"Client ID not found"))</f>
        <v/>
      </c>
      <c r="D186" s="17"/>
      <c r="E186" s="40"/>
      <c r="F186" s="41"/>
      <c r="G186" s="17"/>
      <c r="H186" s="17"/>
      <c r="I186" s="17"/>
      <c r="J186" s="40"/>
      <c r="K186" s="17"/>
      <c r="L186" s="17"/>
      <c r="M186" s="17"/>
      <c r="N186" s="44" t="str">
        <f aca="true">IF(A186="","",IF(N(K186)&gt;Settings!$S$7,"Over revision limit",IF(AND(D186="Free video",J186="",E186&lt;&gt;"",TODAY()&gt;WORKDAY(E186,Settings!$S$5)),"LATE – free video promised in 5 working days",IF(AND(E186&lt;&gt;"",E186=TODAY()),"Shooting today",""))))</f>
        <v/>
      </c>
    </row>
    <row r="187" customFormat="false" ht="15" hidden="false" customHeight="false" outlineLevel="0" collapsed="false">
      <c r="A187" s="17"/>
      <c r="B187" s="17"/>
      <c r="C187" s="44" t="str">
        <f aca="false">IF(B187="","",IFERROR(INDEX(Clients!$C$2:$C$501,MATCH(B187,Clients!$A$2:$A$501,0)),"Client ID not found"))</f>
        <v/>
      </c>
      <c r="D187" s="17"/>
      <c r="E187" s="40"/>
      <c r="F187" s="41"/>
      <c r="G187" s="17"/>
      <c r="H187" s="17"/>
      <c r="I187" s="17"/>
      <c r="J187" s="40"/>
      <c r="K187" s="17"/>
      <c r="L187" s="17"/>
      <c r="M187" s="17"/>
      <c r="N187" s="44" t="str">
        <f aca="true">IF(A187="","",IF(N(K187)&gt;Settings!$S$7,"Over revision limit",IF(AND(D187="Free video",J187="",E187&lt;&gt;"",TODAY()&gt;WORKDAY(E187,Settings!$S$5)),"LATE – free video promised in 5 working days",IF(AND(E187&lt;&gt;"",E187=TODAY()),"Shooting today",""))))</f>
        <v/>
      </c>
    </row>
    <row r="188" customFormat="false" ht="15" hidden="false" customHeight="false" outlineLevel="0" collapsed="false">
      <c r="A188" s="17"/>
      <c r="B188" s="17"/>
      <c r="C188" s="44" t="str">
        <f aca="false">IF(B188="","",IFERROR(INDEX(Clients!$C$2:$C$501,MATCH(B188,Clients!$A$2:$A$501,0)),"Client ID not found"))</f>
        <v/>
      </c>
      <c r="D188" s="17"/>
      <c r="E188" s="40"/>
      <c r="F188" s="41"/>
      <c r="G188" s="17"/>
      <c r="H188" s="17"/>
      <c r="I188" s="17"/>
      <c r="J188" s="40"/>
      <c r="K188" s="17"/>
      <c r="L188" s="17"/>
      <c r="M188" s="17"/>
      <c r="N188" s="44" t="str">
        <f aca="true">IF(A188="","",IF(N(K188)&gt;Settings!$S$7,"Over revision limit",IF(AND(D188="Free video",J188="",E188&lt;&gt;"",TODAY()&gt;WORKDAY(E188,Settings!$S$5)),"LATE – free video promised in 5 working days",IF(AND(E188&lt;&gt;"",E188=TODAY()),"Shooting today",""))))</f>
        <v/>
      </c>
    </row>
    <row r="189" customFormat="false" ht="15" hidden="false" customHeight="false" outlineLevel="0" collapsed="false">
      <c r="A189" s="17"/>
      <c r="B189" s="17"/>
      <c r="C189" s="44" t="str">
        <f aca="false">IF(B189="","",IFERROR(INDEX(Clients!$C$2:$C$501,MATCH(B189,Clients!$A$2:$A$501,0)),"Client ID not found"))</f>
        <v/>
      </c>
      <c r="D189" s="17"/>
      <c r="E189" s="40"/>
      <c r="F189" s="41"/>
      <c r="G189" s="17"/>
      <c r="H189" s="17"/>
      <c r="I189" s="17"/>
      <c r="J189" s="40"/>
      <c r="K189" s="17"/>
      <c r="L189" s="17"/>
      <c r="M189" s="17"/>
      <c r="N189" s="44" t="str">
        <f aca="true">IF(A189="","",IF(N(K189)&gt;Settings!$S$7,"Over revision limit",IF(AND(D189="Free video",J189="",E189&lt;&gt;"",TODAY()&gt;WORKDAY(E189,Settings!$S$5)),"LATE – free video promised in 5 working days",IF(AND(E189&lt;&gt;"",E189=TODAY()),"Shooting today",""))))</f>
        <v/>
      </c>
    </row>
    <row r="190" customFormat="false" ht="15" hidden="false" customHeight="false" outlineLevel="0" collapsed="false">
      <c r="A190" s="17"/>
      <c r="B190" s="17"/>
      <c r="C190" s="44" t="str">
        <f aca="false">IF(B190="","",IFERROR(INDEX(Clients!$C$2:$C$501,MATCH(B190,Clients!$A$2:$A$501,0)),"Client ID not found"))</f>
        <v/>
      </c>
      <c r="D190" s="17"/>
      <c r="E190" s="40"/>
      <c r="F190" s="41"/>
      <c r="G190" s="17"/>
      <c r="H190" s="17"/>
      <c r="I190" s="17"/>
      <c r="J190" s="40"/>
      <c r="K190" s="17"/>
      <c r="L190" s="17"/>
      <c r="M190" s="17"/>
      <c r="N190" s="44" t="str">
        <f aca="true">IF(A190="","",IF(N(K190)&gt;Settings!$S$7,"Over revision limit",IF(AND(D190="Free video",J190="",E190&lt;&gt;"",TODAY()&gt;WORKDAY(E190,Settings!$S$5)),"LATE – free video promised in 5 working days",IF(AND(E190&lt;&gt;"",E190=TODAY()),"Shooting today",""))))</f>
        <v/>
      </c>
    </row>
    <row r="191" customFormat="false" ht="15" hidden="false" customHeight="false" outlineLevel="0" collapsed="false">
      <c r="A191" s="17"/>
      <c r="B191" s="17"/>
      <c r="C191" s="44" t="str">
        <f aca="false">IF(B191="","",IFERROR(INDEX(Clients!$C$2:$C$501,MATCH(B191,Clients!$A$2:$A$501,0)),"Client ID not found"))</f>
        <v/>
      </c>
      <c r="D191" s="17"/>
      <c r="E191" s="40"/>
      <c r="F191" s="41"/>
      <c r="G191" s="17"/>
      <c r="H191" s="17"/>
      <c r="I191" s="17"/>
      <c r="J191" s="40"/>
      <c r="K191" s="17"/>
      <c r="L191" s="17"/>
      <c r="M191" s="17"/>
      <c r="N191" s="44" t="str">
        <f aca="true">IF(A191="","",IF(N(K191)&gt;Settings!$S$7,"Over revision limit",IF(AND(D191="Free video",J191="",E191&lt;&gt;"",TODAY()&gt;WORKDAY(E191,Settings!$S$5)),"LATE – free video promised in 5 working days",IF(AND(E191&lt;&gt;"",E191=TODAY()),"Shooting today",""))))</f>
        <v/>
      </c>
    </row>
    <row r="192" customFormat="false" ht="15" hidden="false" customHeight="false" outlineLevel="0" collapsed="false">
      <c r="A192" s="17"/>
      <c r="B192" s="17"/>
      <c r="C192" s="44" t="str">
        <f aca="false">IF(B192="","",IFERROR(INDEX(Clients!$C$2:$C$501,MATCH(B192,Clients!$A$2:$A$501,0)),"Client ID not found"))</f>
        <v/>
      </c>
      <c r="D192" s="17"/>
      <c r="E192" s="40"/>
      <c r="F192" s="41"/>
      <c r="G192" s="17"/>
      <c r="H192" s="17"/>
      <c r="I192" s="17"/>
      <c r="J192" s="40"/>
      <c r="K192" s="17"/>
      <c r="L192" s="17"/>
      <c r="M192" s="17"/>
      <c r="N192" s="44" t="str">
        <f aca="true">IF(A192="","",IF(N(K192)&gt;Settings!$S$7,"Over revision limit",IF(AND(D192="Free video",J192="",E192&lt;&gt;"",TODAY()&gt;WORKDAY(E192,Settings!$S$5)),"LATE – free video promised in 5 working days",IF(AND(E192&lt;&gt;"",E192=TODAY()),"Shooting today",""))))</f>
        <v/>
      </c>
    </row>
    <row r="193" customFormat="false" ht="15" hidden="false" customHeight="false" outlineLevel="0" collapsed="false">
      <c r="A193" s="17"/>
      <c r="B193" s="17"/>
      <c r="C193" s="44" t="str">
        <f aca="false">IF(B193="","",IFERROR(INDEX(Clients!$C$2:$C$501,MATCH(B193,Clients!$A$2:$A$501,0)),"Client ID not found"))</f>
        <v/>
      </c>
      <c r="D193" s="17"/>
      <c r="E193" s="40"/>
      <c r="F193" s="41"/>
      <c r="G193" s="17"/>
      <c r="H193" s="17"/>
      <c r="I193" s="17"/>
      <c r="J193" s="40"/>
      <c r="K193" s="17"/>
      <c r="L193" s="17"/>
      <c r="M193" s="17"/>
      <c r="N193" s="44" t="str">
        <f aca="true">IF(A193="","",IF(N(K193)&gt;Settings!$S$7,"Over revision limit",IF(AND(D193="Free video",J193="",E193&lt;&gt;"",TODAY()&gt;WORKDAY(E193,Settings!$S$5)),"LATE – free video promised in 5 working days",IF(AND(E193&lt;&gt;"",E193=TODAY()),"Shooting today",""))))</f>
        <v/>
      </c>
    </row>
    <row r="194" customFormat="false" ht="15" hidden="false" customHeight="false" outlineLevel="0" collapsed="false">
      <c r="A194" s="17"/>
      <c r="B194" s="17"/>
      <c r="C194" s="44" t="str">
        <f aca="false">IF(B194="","",IFERROR(INDEX(Clients!$C$2:$C$501,MATCH(B194,Clients!$A$2:$A$501,0)),"Client ID not found"))</f>
        <v/>
      </c>
      <c r="D194" s="17"/>
      <c r="E194" s="40"/>
      <c r="F194" s="41"/>
      <c r="G194" s="17"/>
      <c r="H194" s="17"/>
      <c r="I194" s="17"/>
      <c r="J194" s="40"/>
      <c r="K194" s="17"/>
      <c r="L194" s="17"/>
      <c r="M194" s="17"/>
      <c r="N194" s="44" t="str">
        <f aca="true">IF(A194="","",IF(N(K194)&gt;Settings!$S$7,"Over revision limit",IF(AND(D194="Free video",J194="",E194&lt;&gt;"",TODAY()&gt;WORKDAY(E194,Settings!$S$5)),"LATE – free video promised in 5 working days",IF(AND(E194&lt;&gt;"",E194=TODAY()),"Shooting today",""))))</f>
        <v/>
      </c>
    </row>
    <row r="195" customFormat="false" ht="15" hidden="false" customHeight="false" outlineLevel="0" collapsed="false">
      <c r="A195" s="17"/>
      <c r="B195" s="17"/>
      <c r="C195" s="44" t="str">
        <f aca="false">IF(B195="","",IFERROR(INDEX(Clients!$C$2:$C$501,MATCH(B195,Clients!$A$2:$A$501,0)),"Client ID not found"))</f>
        <v/>
      </c>
      <c r="D195" s="17"/>
      <c r="E195" s="40"/>
      <c r="F195" s="41"/>
      <c r="G195" s="17"/>
      <c r="H195" s="17"/>
      <c r="I195" s="17"/>
      <c r="J195" s="40"/>
      <c r="K195" s="17"/>
      <c r="L195" s="17"/>
      <c r="M195" s="17"/>
      <c r="N195" s="44" t="str">
        <f aca="true">IF(A195="","",IF(N(K195)&gt;Settings!$S$7,"Over revision limit",IF(AND(D195="Free video",J195="",E195&lt;&gt;"",TODAY()&gt;WORKDAY(E195,Settings!$S$5)),"LATE – free video promised in 5 working days",IF(AND(E195&lt;&gt;"",E195=TODAY()),"Shooting today",""))))</f>
        <v/>
      </c>
    </row>
    <row r="196" customFormat="false" ht="15" hidden="false" customHeight="false" outlineLevel="0" collapsed="false">
      <c r="A196" s="17"/>
      <c r="B196" s="17"/>
      <c r="C196" s="44" t="str">
        <f aca="false">IF(B196="","",IFERROR(INDEX(Clients!$C$2:$C$501,MATCH(B196,Clients!$A$2:$A$501,0)),"Client ID not found"))</f>
        <v/>
      </c>
      <c r="D196" s="17"/>
      <c r="E196" s="40"/>
      <c r="F196" s="41"/>
      <c r="G196" s="17"/>
      <c r="H196" s="17"/>
      <c r="I196" s="17"/>
      <c r="J196" s="40"/>
      <c r="K196" s="17"/>
      <c r="L196" s="17"/>
      <c r="M196" s="17"/>
      <c r="N196" s="44" t="str">
        <f aca="true">IF(A196="","",IF(N(K196)&gt;Settings!$S$7,"Over revision limit",IF(AND(D196="Free video",J196="",E196&lt;&gt;"",TODAY()&gt;WORKDAY(E196,Settings!$S$5)),"LATE – free video promised in 5 working days",IF(AND(E196&lt;&gt;"",E196=TODAY()),"Shooting today",""))))</f>
        <v/>
      </c>
    </row>
    <row r="197" customFormat="false" ht="15" hidden="false" customHeight="false" outlineLevel="0" collapsed="false">
      <c r="A197" s="17"/>
      <c r="B197" s="17"/>
      <c r="C197" s="44" t="str">
        <f aca="false">IF(B197="","",IFERROR(INDEX(Clients!$C$2:$C$501,MATCH(B197,Clients!$A$2:$A$501,0)),"Client ID not found"))</f>
        <v/>
      </c>
      <c r="D197" s="17"/>
      <c r="E197" s="40"/>
      <c r="F197" s="41"/>
      <c r="G197" s="17"/>
      <c r="H197" s="17"/>
      <c r="I197" s="17"/>
      <c r="J197" s="40"/>
      <c r="K197" s="17"/>
      <c r="L197" s="17"/>
      <c r="M197" s="17"/>
      <c r="N197" s="44" t="str">
        <f aca="true">IF(A197="","",IF(N(K197)&gt;Settings!$S$7,"Over revision limit",IF(AND(D197="Free video",J197="",E197&lt;&gt;"",TODAY()&gt;WORKDAY(E197,Settings!$S$5)),"LATE – free video promised in 5 working days",IF(AND(E197&lt;&gt;"",E197=TODAY()),"Shooting today",""))))</f>
        <v/>
      </c>
    </row>
    <row r="198" customFormat="false" ht="15" hidden="false" customHeight="false" outlineLevel="0" collapsed="false">
      <c r="A198" s="17"/>
      <c r="B198" s="17"/>
      <c r="C198" s="44" t="str">
        <f aca="false">IF(B198="","",IFERROR(INDEX(Clients!$C$2:$C$501,MATCH(B198,Clients!$A$2:$A$501,0)),"Client ID not found"))</f>
        <v/>
      </c>
      <c r="D198" s="17"/>
      <c r="E198" s="40"/>
      <c r="F198" s="41"/>
      <c r="G198" s="17"/>
      <c r="H198" s="17"/>
      <c r="I198" s="17"/>
      <c r="J198" s="40"/>
      <c r="K198" s="17"/>
      <c r="L198" s="17"/>
      <c r="M198" s="17"/>
      <c r="N198" s="44" t="str">
        <f aca="true">IF(A198="","",IF(N(K198)&gt;Settings!$S$7,"Over revision limit",IF(AND(D198="Free video",J198="",E198&lt;&gt;"",TODAY()&gt;WORKDAY(E198,Settings!$S$5)),"LATE – free video promised in 5 working days",IF(AND(E198&lt;&gt;"",E198=TODAY()),"Shooting today",""))))</f>
        <v/>
      </c>
    </row>
    <row r="199" customFormat="false" ht="15" hidden="false" customHeight="false" outlineLevel="0" collapsed="false">
      <c r="A199" s="17"/>
      <c r="B199" s="17"/>
      <c r="C199" s="44" t="str">
        <f aca="false">IF(B199="","",IFERROR(INDEX(Clients!$C$2:$C$501,MATCH(B199,Clients!$A$2:$A$501,0)),"Client ID not found"))</f>
        <v/>
      </c>
      <c r="D199" s="17"/>
      <c r="E199" s="40"/>
      <c r="F199" s="41"/>
      <c r="G199" s="17"/>
      <c r="H199" s="17"/>
      <c r="I199" s="17"/>
      <c r="J199" s="40"/>
      <c r="K199" s="17"/>
      <c r="L199" s="17"/>
      <c r="M199" s="17"/>
      <c r="N199" s="44" t="str">
        <f aca="true">IF(A199="","",IF(N(K199)&gt;Settings!$S$7,"Over revision limit",IF(AND(D199="Free video",J199="",E199&lt;&gt;"",TODAY()&gt;WORKDAY(E199,Settings!$S$5)),"LATE – free video promised in 5 working days",IF(AND(E199&lt;&gt;"",E199=TODAY()),"Shooting today",""))))</f>
        <v/>
      </c>
    </row>
    <row r="200" customFormat="false" ht="15" hidden="false" customHeight="false" outlineLevel="0" collapsed="false">
      <c r="A200" s="17"/>
      <c r="B200" s="17"/>
      <c r="C200" s="44" t="str">
        <f aca="false">IF(B200="","",IFERROR(INDEX(Clients!$C$2:$C$501,MATCH(B200,Clients!$A$2:$A$501,0)),"Client ID not found"))</f>
        <v/>
      </c>
      <c r="D200" s="17"/>
      <c r="E200" s="40"/>
      <c r="F200" s="41"/>
      <c r="G200" s="17"/>
      <c r="H200" s="17"/>
      <c r="I200" s="17"/>
      <c r="J200" s="40"/>
      <c r="K200" s="17"/>
      <c r="L200" s="17"/>
      <c r="M200" s="17"/>
      <c r="N200" s="44" t="str">
        <f aca="true">IF(A200="","",IF(N(K200)&gt;Settings!$S$7,"Over revision limit",IF(AND(D200="Free video",J200="",E200&lt;&gt;"",TODAY()&gt;WORKDAY(E200,Settings!$S$5)),"LATE – free video promised in 5 working days",IF(AND(E200&lt;&gt;"",E200=TODAY()),"Shooting today",""))))</f>
        <v/>
      </c>
    </row>
    <row r="201" customFormat="false" ht="15" hidden="false" customHeight="false" outlineLevel="0" collapsed="false">
      <c r="A201" s="17"/>
      <c r="B201" s="17"/>
      <c r="C201" s="44" t="str">
        <f aca="false">IF(B201="","",IFERROR(INDEX(Clients!$C$2:$C$501,MATCH(B201,Clients!$A$2:$A$501,0)),"Client ID not found"))</f>
        <v/>
      </c>
      <c r="D201" s="17"/>
      <c r="E201" s="40"/>
      <c r="F201" s="41"/>
      <c r="G201" s="17"/>
      <c r="H201" s="17"/>
      <c r="I201" s="17"/>
      <c r="J201" s="40"/>
      <c r="K201" s="17"/>
      <c r="L201" s="17"/>
      <c r="M201" s="17"/>
      <c r="N201" s="44" t="str">
        <f aca="true">IF(A201="","",IF(N(K201)&gt;Settings!$S$7,"Over revision limit",IF(AND(D201="Free video",J201="",E201&lt;&gt;"",TODAY()&gt;WORKDAY(E201,Settings!$S$5)),"LATE – free video promised in 5 working days",IF(AND(E201&lt;&gt;"",E201=TODAY()),"Shooting today",""))))</f>
        <v/>
      </c>
    </row>
    <row r="202" customFormat="false" ht="15" hidden="false" customHeight="false" outlineLevel="0" collapsed="false">
      <c r="A202" s="17"/>
      <c r="B202" s="17"/>
      <c r="C202" s="44" t="str">
        <f aca="false">IF(B202="","",IFERROR(INDEX(Clients!$C$2:$C$501,MATCH(B202,Clients!$A$2:$A$501,0)),"Client ID not found"))</f>
        <v/>
      </c>
      <c r="D202" s="17"/>
      <c r="E202" s="40"/>
      <c r="F202" s="41"/>
      <c r="G202" s="17"/>
      <c r="H202" s="17"/>
      <c r="I202" s="17"/>
      <c r="J202" s="40"/>
      <c r="K202" s="17"/>
      <c r="L202" s="17"/>
      <c r="M202" s="17"/>
      <c r="N202" s="44" t="str">
        <f aca="true">IF(A202="","",IF(N(K202)&gt;Settings!$S$7,"Over revision limit",IF(AND(D202="Free video",J202="",E202&lt;&gt;"",TODAY()&gt;WORKDAY(E202,Settings!$S$5)),"LATE – free video promised in 5 working days",IF(AND(E202&lt;&gt;"",E202=TODAY()),"Shooting today",""))))</f>
        <v/>
      </c>
    </row>
    <row r="203" customFormat="false" ht="15" hidden="false" customHeight="false" outlineLevel="0" collapsed="false">
      <c r="A203" s="17"/>
      <c r="B203" s="17"/>
      <c r="C203" s="44" t="str">
        <f aca="false">IF(B203="","",IFERROR(INDEX(Clients!$C$2:$C$501,MATCH(B203,Clients!$A$2:$A$501,0)),"Client ID not found"))</f>
        <v/>
      </c>
      <c r="D203" s="17"/>
      <c r="E203" s="40"/>
      <c r="F203" s="41"/>
      <c r="G203" s="17"/>
      <c r="H203" s="17"/>
      <c r="I203" s="17"/>
      <c r="J203" s="40"/>
      <c r="K203" s="17"/>
      <c r="L203" s="17"/>
      <c r="M203" s="17"/>
      <c r="N203" s="44" t="str">
        <f aca="true">IF(A203="","",IF(N(K203)&gt;Settings!$S$7,"Over revision limit",IF(AND(D203="Free video",J203="",E203&lt;&gt;"",TODAY()&gt;WORKDAY(E203,Settings!$S$5)),"LATE – free video promised in 5 working days",IF(AND(E203&lt;&gt;"",E203=TODAY()),"Shooting today",""))))</f>
        <v/>
      </c>
    </row>
    <row r="204" customFormat="false" ht="15" hidden="false" customHeight="false" outlineLevel="0" collapsed="false">
      <c r="A204" s="17"/>
      <c r="B204" s="17"/>
      <c r="C204" s="44" t="str">
        <f aca="false">IF(B204="","",IFERROR(INDEX(Clients!$C$2:$C$501,MATCH(B204,Clients!$A$2:$A$501,0)),"Client ID not found"))</f>
        <v/>
      </c>
      <c r="D204" s="17"/>
      <c r="E204" s="40"/>
      <c r="F204" s="41"/>
      <c r="G204" s="17"/>
      <c r="H204" s="17"/>
      <c r="I204" s="17"/>
      <c r="J204" s="40"/>
      <c r="K204" s="17"/>
      <c r="L204" s="17"/>
      <c r="M204" s="17"/>
      <c r="N204" s="44" t="str">
        <f aca="true">IF(A204="","",IF(N(K204)&gt;Settings!$S$7,"Over revision limit",IF(AND(D204="Free video",J204="",E204&lt;&gt;"",TODAY()&gt;WORKDAY(E204,Settings!$S$5)),"LATE – free video promised in 5 working days",IF(AND(E204&lt;&gt;"",E204=TODAY()),"Shooting today",""))))</f>
        <v/>
      </c>
    </row>
    <row r="205" customFormat="false" ht="15" hidden="false" customHeight="false" outlineLevel="0" collapsed="false">
      <c r="A205" s="17"/>
      <c r="B205" s="17"/>
      <c r="C205" s="44" t="str">
        <f aca="false">IF(B205="","",IFERROR(INDEX(Clients!$C$2:$C$501,MATCH(B205,Clients!$A$2:$A$501,0)),"Client ID not found"))</f>
        <v/>
      </c>
      <c r="D205" s="17"/>
      <c r="E205" s="40"/>
      <c r="F205" s="41"/>
      <c r="G205" s="17"/>
      <c r="H205" s="17"/>
      <c r="I205" s="17"/>
      <c r="J205" s="40"/>
      <c r="K205" s="17"/>
      <c r="L205" s="17"/>
      <c r="M205" s="17"/>
      <c r="N205" s="44" t="str">
        <f aca="true">IF(A205="","",IF(N(K205)&gt;Settings!$S$7,"Over revision limit",IF(AND(D205="Free video",J205="",E205&lt;&gt;"",TODAY()&gt;WORKDAY(E205,Settings!$S$5)),"LATE – free video promised in 5 working days",IF(AND(E205&lt;&gt;"",E205=TODAY()),"Shooting today",""))))</f>
        <v/>
      </c>
    </row>
    <row r="206" customFormat="false" ht="15" hidden="false" customHeight="false" outlineLevel="0" collapsed="false">
      <c r="A206" s="17"/>
      <c r="B206" s="17"/>
      <c r="C206" s="44" t="str">
        <f aca="false">IF(B206="","",IFERROR(INDEX(Clients!$C$2:$C$501,MATCH(B206,Clients!$A$2:$A$501,0)),"Client ID not found"))</f>
        <v/>
      </c>
      <c r="D206" s="17"/>
      <c r="E206" s="40"/>
      <c r="F206" s="41"/>
      <c r="G206" s="17"/>
      <c r="H206" s="17"/>
      <c r="I206" s="17"/>
      <c r="J206" s="40"/>
      <c r="K206" s="17"/>
      <c r="L206" s="17"/>
      <c r="M206" s="17"/>
      <c r="N206" s="44" t="str">
        <f aca="true">IF(A206="","",IF(N(K206)&gt;Settings!$S$7,"Over revision limit",IF(AND(D206="Free video",J206="",E206&lt;&gt;"",TODAY()&gt;WORKDAY(E206,Settings!$S$5)),"LATE – free video promised in 5 working days",IF(AND(E206&lt;&gt;"",E206=TODAY()),"Shooting today",""))))</f>
        <v/>
      </c>
    </row>
    <row r="207" customFormat="false" ht="15" hidden="false" customHeight="false" outlineLevel="0" collapsed="false">
      <c r="A207" s="17"/>
      <c r="B207" s="17"/>
      <c r="C207" s="44" t="str">
        <f aca="false">IF(B207="","",IFERROR(INDEX(Clients!$C$2:$C$501,MATCH(B207,Clients!$A$2:$A$501,0)),"Client ID not found"))</f>
        <v/>
      </c>
      <c r="D207" s="17"/>
      <c r="E207" s="40"/>
      <c r="F207" s="41"/>
      <c r="G207" s="17"/>
      <c r="H207" s="17"/>
      <c r="I207" s="17"/>
      <c r="J207" s="40"/>
      <c r="K207" s="17"/>
      <c r="L207" s="17"/>
      <c r="M207" s="17"/>
      <c r="N207" s="44" t="str">
        <f aca="true">IF(A207="","",IF(N(K207)&gt;Settings!$S$7,"Over revision limit",IF(AND(D207="Free video",J207="",E207&lt;&gt;"",TODAY()&gt;WORKDAY(E207,Settings!$S$5)),"LATE – free video promised in 5 working days",IF(AND(E207&lt;&gt;"",E207=TODAY()),"Shooting today",""))))</f>
        <v/>
      </c>
    </row>
    <row r="208" customFormat="false" ht="15" hidden="false" customHeight="false" outlineLevel="0" collapsed="false">
      <c r="A208" s="17"/>
      <c r="B208" s="17"/>
      <c r="C208" s="44" t="str">
        <f aca="false">IF(B208="","",IFERROR(INDEX(Clients!$C$2:$C$501,MATCH(B208,Clients!$A$2:$A$501,0)),"Client ID not found"))</f>
        <v/>
      </c>
      <c r="D208" s="17"/>
      <c r="E208" s="40"/>
      <c r="F208" s="41"/>
      <c r="G208" s="17"/>
      <c r="H208" s="17"/>
      <c r="I208" s="17"/>
      <c r="J208" s="40"/>
      <c r="K208" s="17"/>
      <c r="L208" s="17"/>
      <c r="M208" s="17"/>
      <c r="N208" s="44" t="str">
        <f aca="true">IF(A208="","",IF(N(K208)&gt;Settings!$S$7,"Over revision limit",IF(AND(D208="Free video",J208="",E208&lt;&gt;"",TODAY()&gt;WORKDAY(E208,Settings!$S$5)),"LATE – free video promised in 5 working days",IF(AND(E208&lt;&gt;"",E208=TODAY()),"Shooting today",""))))</f>
        <v/>
      </c>
    </row>
    <row r="209" customFormat="false" ht="15" hidden="false" customHeight="false" outlineLevel="0" collapsed="false">
      <c r="A209" s="17"/>
      <c r="B209" s="17"/>
      <c r="C209" s="44" t="str">
        <f aca="false">IF(B209="","",IFERROR(INDEX(Clients!$C$2:$C$501,MATCH(B209,Clients!$A$2:$A$501,0)),"Client ID not found"))</f>
        <v/>
      </c>
      <c r="D209" s="17"/>
      <c r="E209" s="40"/>
      <c r="F209" s="41"/>
      <c r="G209" s="17"/>
      <c r="H209" s="17"/>
      <c r="I209" s="17"/>
      <c r="J209" s="40"/>
      <c r="K209" s="17"/>
      <c r="L209" s="17"/>
      <c r="M209" s="17"/>
      <c r="N209" s="44" t="str">
        <f aca="true">IF(A209="","",IF(N(K209)&gt;Settings!$S$7,"Over revision limit",IF(AND(D209="Free video",J209="",E209&lt;&gt;"",TODAY()&gt;WORKDAY(E209,Settings!$S$5)),"LATE – free video promised in 5 working days",IF(AND(E209&lt;&gt;"",E209=TODAY()),"Shooting today",""))))</f>
        <v/>
      </c>
    </row>
    <row r="210" customFormat="false" ht="15" hidden="false" customHeight="false" outlineLevel="0" collapsed="false">
      <c r="A210" s="17"/>
      <c r="B210" s="17"/>
      <c r="C210" s="44" t="str">
        <f aca="false">IF(B210="","",IFERROR(INDEX(Clients!$C$2:$C$501,MATCH(B210,Clients!$A$2:$A$501,0)),"Client ID not found"))</f>
        <v/>
      </c>
      <c r="D210" s="17"/>
      <c r="E210" s="40"/>
      <c r="F210" s="41"/>
      <c r="G210" s="17"/>
      <c r="H210" s="17"/>
      <c r="I210" s="17"/>
      <c r="J210" s="40"/>
      <c r="K210" s="17"/>
      <c r="L210" s="17"/>
      <c r="M210" s="17"/>
      <c r="N210" s="44" t="str">
        <f aca="true">IF(A210="","",IF(N(K210)&gt;Settings!$S$7,"Over revision limit",IF(AND(D210="Free video",J210="",E210&lt;&gt;"",TODAY()&gt;WORKDAY(E210,Settings!$S$5)),"LATE – free video promised in 5 working days",IF(AND(E210&lt;&gt;"",E210=TODAY()),"Shooting today",""))))</f>
        <v/>
      </c>
    </row>
    <row r="211" customFormat="false" ht="15" hidden="false" customHeight="false" outlineLevel="0" collapsed="false">
      <c r="A211" s="17"/>
      <c r="B211" s="17"/>
      <c r="C211" s="44" t="str">
        <f aca="false">IF(B211="","",IFERROR(INDEX(Clients!$C$2:$C$501,MATCH(B211,Clients!$A$2:$A$501,0)),"Client ID not found"))</f>
        <v/>
      </c>
      <c r="D211" s="17"/>
      <c r="E211" s="40"/>
      <c r="F211" s="41"/>
      <c r="G211" s="17"/>
      <c r="H211" s="17"/>
      <c r="I211" s="17"/>
      <c r="J211" s="40"/>
      <c r="K211" s="17"/>
      <c r="L211" s="17"/>
      <c r="M211" s="17"/>
      <c r="N211" s="44" t="str">
        <f aca="true">IF(A211="","",IF(N(K211)&gt;Settings!$S$7,"Over revision limit",IF(AND(D211="Free video",J211="",E211&lt;&gt;"",TODAY()&gt;WORKDAY(E211,Settings!$S$5)),"LATE – free video promised in 5 working days",IF(AND(E211&lt;&gt;"",E211=TODAY()),"Shooting today",""))))</f>
        <v/>
      </c>
    </row>
    <row r="212" customFormat="false" ht="15" hidden="false" customHeight="false" outlineLevel="0" collapsed="false">
      <c r="A212" s="17"/>
      <c r="B212" s="17"/>
      <c r="C212" s="44" t="str">
        <f aca="false">IF(B212="","",IFERROR(INDEX(Clients!$C$2:$C$501,MATCH(B212,Clients!$A$2:$A$501,0)),"Client ID not found"))</f>
        <v/>
      </c>
      <c r="D212" s="17"/>
      <c r="E212" s="40"/>
      <c r="F212" s="41"/>
      <c r="G212" s="17"/>
      <c r="H212" s="17"/>
      <c r="I212" s="17"/>
      <c r="J212" s="40"/>
      <c r="K212" s="17"/>
      <c r="L212" s="17"/>
      <c r="M212" s="17"/>
      <c r="N212" s="44" t="str">
        <f aca="true">IF(A212="","",IF(N(K212)&gt;Settings!$S$7,"Over revision limit",IF(AND(D212="Free video",J212="",E212&lt;&gt;"",TODAY()&gt;WORKDAY(E212,Settings!$S$5)),"LATE – free video promised in 5 working days",IF(AND(E212&lt;&gt;"",E212=TODAY()),"Shooting today",""))))</f>
        <v/>
      </c>
    </row>
    <row r="213" customFormat="false" ht="15" hidden="false" customHeight="false" outlineLevel="0" collapsed="false">
      <c r="A213" s="17"/>
      <c r="B213" s="17"/>
      <c r="C213" s="44" t="str">
        <f aca="false">IF(B213="","",IFERROR(INDEX(Clients!$C$2:$C$501,MATCH(B213,Clients!$A$2:$A$501,0)),"Client ID not found"))</f>
        <v/>
      </c>
      <c r="D213" s="17"/>
      <c r="E213" s="40"/>
      <c r="F213" s="41"/>
      <c r="G213" s="17"/>
      <c r="H213" s="17"/>
      <c r="I213" s="17"/>
      <c r="J213" s="40"/>
      <c r="K213" s="17"/>
      <c r="L213" s="17"/>
      <c r="M213" s="17"/>
      <c r="N213" s="44" t="str">
        <f aca="true">IF(A213="","",IF(N(K213)&gt;Settings!$S$7,"Over revision limit",IF(AND(D213="Free video",J213="",E213&lt;&gt;"",TODAY()&gt;WORKDAY(E213,Settings!$S$5)),"LATE – free video promised in 5 working days",IF(AND(E213&lt;&gt;"",E213=TODAY()),"Shooting today",""))))</f>
        <v/>
      </c>
    </row>
    <row r="214" customFormat="false" ht="15" hidden="false" customHeight="false" outlineLevel="0" collapsed="false">
      <c r="A214" s="17"/>
      <c r="B214" s="17"/>
      <c r="C214" s="44" t="str">
        <f aca="false">IF(B214="","",IFERROR(INDEX(Clients!$C$2:$C$501,MATCH(B214,Clients!$A$2:$A$501,0)),"Client ID not found"))</f>
        <v/>
      </c>
      <c r="D214" s="17"/>
      <c r="E214" s="40"/>
      <c r="F214" s="41"/>
      <c r="G214" s="17"/>
      <c r="H214" s="17"/>
      <c r="I214" s="17"/>
      <c r="J214" s="40"/>
      <c r="K214" s="17"/>
      <c r="L214" s="17"/>
      <c r="M214" s="17"/>
      <c r="N214" s="44" t="str">
        <f aca="true">IF(A214="","",IF(N(K214)&gt;Settings!$S$7,"Over revision limit",IF(AND(D214="Free video",J214="",E214&lt;&gt;"",TODAY()&gt;WORKDAY(E214,Settings!$S$5)),"LATE – free video promised in 5 working days",IF(AND(E214&lt;&gt;"",E214=TODAY()),"Shooting today",""))))</f>
        <v/>
      </c>
    </row>
    <row r="215" customFormat="false" ht="15" hidden="false" customHeight="false" outlineLevel="0" collapsed="false">
      <c r="A215" s="17"/>
      <c r="B215" s="17"/>
      <c r="C215" s="44" t="str">
        <f aca="false">IF(B215="","",IFERROR(INDEX(Clients!$C$2:$C$501,MATCH(B215,Clients!$A$2:$A$501,0)),"Client ID not found"))</f>
        <v/>
      </c>
      <c r="D215" s="17"/>
      <c r="E215" s="40"/>
      <c r="F215" s="41"/>
      <c r="G215" s="17"/>
      <c r="H215" s="17"/>
      <c r="I215" s="17"/>
      <c r="J215" s="40"/>
      <c r="K215" s="17"/>
      <c r="L215" s="17"/>
      <c r="M215" s="17"/>
      <c r="N215" s="44" t="str">
        <f aca="true">IF(A215="","",IF(N(K215)&gt;Settings!$S$7,"Over revision limit",IF(AND(D215="Free video",J215="",E215&lt;&gt;"",TODAY()&gt;WORKDAY(E215,Settings!$S$5)),"LATE – free video promised in 5 working days",IF(AND(E215&lt;&gt;"",E215=TODAY()),"Shooting today",""))))</f>
        <v/>
      </c>
    </row>
    <row r="216" customFormat="false" ht="15" hidden="false" customHeight="false" outlineLevel="0" collapsed="false">
      <c r="A216" s="17"/>
      <c r="B216" s="17"/>
      <c r="C216" s="44" t="str">
        <f aca="false">IF(B216="","",IFERROR(INDEX(Clients!$C$2:$C$501,MATCH(B216,Clients!$A$2:$A$501,0)),"Client ID not found"))</f>
        <v/>
      </c>
      <c r="D216" s="17"/>
      <c r="E216" s="40"/>
      <c r="F216" s="41"/>
      <c r="G216" s="17"/>
      <c r="H216" s="17"/>
      <c r="I216" s="17"/>
      <c r="J216" s="40"/>
      <c r="K216" s="17"/>
      <c r="L216" s="17"/>
      <c r="M216" s="17"/>
      <c r="N216" s="44" t="str">
        <f aca="true">IF(A216="","",IF(N(K216)&gt;Settings!$S$7,"Over revision limit",IF(AND(D216="Free video",J216="",E216&lt;&gt;"",TODAY()&gt;WORKDAY(E216,Settings!$S$5)),"LATE – free video promised in 5 working days",IF(AND(E216&lt;&gt;"",E216=TODAY()),"Shooting today",""))))</f>
        <v/>
      </c>
    </row>
    <row r="217" customFormat="false" ht="15" hidden="false" customHeight="false" outlineLevel="0" collapsed="false">
      <c r="A217" s="17"/>
      <c r="B217" s="17"/>
      <c r="C217" s="44" t="str">
        <f aca="false">IF(B217="","",IFERROR(INDEX(Clients!$C$2:$C$501,MATCH(B217,Clients!$A$2:$A$501,0)),"Client ID not found"))</f>
        <v/>
      </c>
      <c r="D217" s="17"/>
      <c r="E217" s="40"/>
      <c r="F217" s="41"/>
      <c r="G217" s="17"/>
      <c r="H217" s="17"/>
      <c r="I217" s="17"/>
      <c r="J217" s="40"/>
      <c r="K217" s="17"/>
      <c r="L217" s="17"/>
      <c r="M217" s="17"/>
      <c r="N217" s="44" t="str">
        <f aca="true">IF(A217="","",IF(N(K217)&gt;Settings!$S$7,"Over revision limit",IF(AND(D217="Free video",J217="",E217&lt;&gt;"",TODAY()&gt;WORKDAY(E217,Settings!$S$5)),"LATE – free video promised in 5 working days",IF(AND(E217&lt;&gt;"",E217=TODAY()),"Shooting today",""))))</f>
        <v/>
      </c>
    </row>
    <row r="218" customFormat="false" ht="15" hidden="false" customHeight="false" outlineLevel="0" collapsed="false">
      <c r="A218" s="17"/>
      <c r="B218" s="17"/>
      <c r="C218" s="44" t="str">
        <f aca="false">IF(B218="","",IFERROR(INDEX(Clients!$C$2:$C$501,MATCH(B218,Clients!$A$2:$A$501,0)),"Client ID not found"))</f>
        <v/>
      </c>
      <c r="D218" s="17"/>
      <c r="E218" s="40"/>
      <c r="F218" s="41"/>
      <c r="G218" s="17"/>
      <c r="H218" s="17"/>
      <c r="I218" s="17"/>
      <c r="J218" s="40"/>
      <c r="K218" s="17"/>
      <c r="L218" s="17"/>
      <c r="M218" s="17"/>
      <c r="N218" s="44" t="str">
        <f aca="true">IF(A218="","",IF(N(K218)&gt;Settings!$S$7,"Over revision limit",IF(AND(D218="Free video",J218="",E218&lt;&gt;"",TODAY()&gt;WORKDAY(E218,Settings!$S$5)),"LATE – free video promised in 5 working days",IF(AND(E218&lt;&gt;"",E218=TODAY()),"Shooting today",""))))</f>
        <v/>
      </c>
    </row>
    <row r="219" customFormat="false" ht="15" hidden="false" customHeight="false" outlineLevel="0" collapsed="false">
      <c r="A219" s="17"/>
      <c r="B219" s="17"/>
      <c r="C219" s="44" t="str">
        <f aca="false">IF(B219="","",IFERROR(INDEX(Clients!$C$2:$C$501,MATCH(B219,Clients!$A$2:$A$501,0)),"Client ID not found"))</f>
        <v/>
      </c>
      <c r="D219" s="17"/>
      <c r="E219" s="40"/>
      <c r="F219" s="41"/>
      <c r="G219" s="17"/>
      <c r="H219" s="17"/>
      <c r="I219" s="17"/>
      <c r="J219" s="40"/>
      <c r="K219" s="17"/>
      <c r="L219" s="17"/>
      <c r="M219" s="17"/>
      <c r="N219" s="44" t="str">
        <f aca="true">IF(A219="","",IF(N(K219)&gt;Settings!$S$7,"Over revision limit",IF(AND(D219="Free video",J219="",E219&lt;&gt;"",TODAY()&gt;WORKDAY(E219,Settings!$S$5)),"LATE – free video promised in 5 working days",IF(AND(E219&lt;&gt;"",E219=TODAY()),"Shooting today",""))))</f>
        <v/>
      </c>
    </row>
    <row r="220" customFormat="false" ht="15" hidden="false" customHeight="false" outlineLevel="0" collapsed="false">
      <c r="A220" s="17"/>
      <c r="B220" s="17"/>
      <c r="C220" s="44" t="str">
        <f aca="false">IF(B220="","",IFERROR(INDEX(Clients!$C$2:$C$501,MATCH(B220,Clients!$A$2:$A$501,0)),"Client ID not found"))</f>
        <v/>
      </c>
      <c r="D220" s="17"/>
      <c r="E220" s="40"/>
      <c r="F220" s="41"/>
      <c r="G220" s="17"/>
      <c r="H220" s="17"/>
      <c r="I220" s="17"/>
      <c r="J220" s="40"/>
      <c r="K220" s="17"/>
      <c r="L220" s="17"/>
      <c r="M220" s="17"/>
      <c r="N220" s="44" t="str">
        <f aca="true">IF(A220="","",IF(N(K220)&gt;Settings!$S$7,"Over revision limit",IF(AND(D220="Free video",J220="",E220&lt;&gt;"",TODAY()&gt;WORKDAY(E220,Settings!$S$5)),"LATE – free video promised in 5 working days",IF(AND(E220&lt;&gt;"",E220=TODAY()),"Shooting today",""))))</f>
        <v/>
      </c>
    </row>
    <row r="221" customFormat="false" ht="15" hidden="false" customHeight="false" outlineLevel="0" collapsed="false">
      <c r="A221" s="17"/>
      <c r="B221" s="17"/>
      <c r="C221" s="44" t="str">
        <f aca="false">IF(B221="","",IFERROR(INDEX(Clients!$C$2:$C$501,MATCH(B221,Clients!$A$2:$A$501,0)),"Client ID not found"))</f>
        <v/>
      </c>
      <c r="D221" s="17"/>
      <c r="E221" s="40"/>
      <c r="F221" s="41"/>
      <c r="G221" s="17"/>
      <c r="H221" s="17"/>
      <c r="I221" s="17"/>
      <c r="J221" s="40"/>
      <c r="K221" s="17"/>
      <c r="L221" s="17"/>
      <c r="M221" s="17"/>
      <c r="N221" s="44" t="str">
        <f aca="true">IF(A221="","",IF(N(K221)&gt;Settings!$S$7,"Over revision limit",IF(AND(D221="Free video",J221="",E221&lt;&gt;"",TODAY()&gt;WORKDAY(E221,Settings!$S$5)),"LATE – free video promised in 5 working days",IF(AND(E221&lt;&gt;"",E221=TODAY()),"Shooting today",""))))</f>
        <v/>
      </c>
    </row>
    <row r="222" customFormat="false" ht="15" hidden="false" customHeight="false" outlineLevel="0" collapsed="false">
      <c r="A222" s="17"/>
      <c r="B222" s="17"/>
      <c r="C222" s="44" t="str">
        <f aca="false">IF(B222="","",IFERROR(INDEX(Clients!$C$2:$C$501,MATCH(B222,Clients!$A$2:$A$501,0)),"Client ID not found"))</f>
        <v/>
      </c>
      <c r="D222" s="17"/>
      <c r="E222" s="40"/>
      <c r="F222" s="41"/>
      <c r="G222" s="17"/>
      <c r="H222" s="17"/>
      <c r="I222" s="17"/>
      <c r="J222" s="40"/>
      <c r="K222" s="17"/>
      <c r="L222" s="17"/>
      <c r="M222" s="17"/>
      <c r="N222" s="44" t="str">
        <f aca="true">IF(A222="","",IF(N(K222)&gt;Settings!$S$7,"Over revision limit",IF(AND(D222="Free video",J222="",E222&lt;&gt;"",TODAY()&gt;WORKDAY(E222,Settings!$S$5)),"LATE – free video promised in 5 working days",IF(AND(E222&lt;&gt;"",E222=TODAY()),"Shooting today",""))))</f>
        <v/>
      </c>
    </row>
    <row r="223" customFormat="false" ht="15" hidden="false" customHeight="false" outlineLevel="0" collapsed="false">
      <c r="A223" s="17"/>
      <c r="B223" s="17"/>
      <c r="C223" s="44" t="str">
        <f aca="false">IF(B223="","",IFERROR(INDEX(Clients!$C$2:$C$501,MATCH(B223,Clients!$A$2:$A$501,0)),"Client ID not found"))</f>
        <v/>
      </c>
      <c r="D223" s="17"/>
      <c r="E223" s="40"/>
      <c r="F223" s="41"/>
      <c r="G223" s="17"/>
      <c r="H223" s="17"/>
      <c r="I223" s="17"/>
      <c r="J223" s="40"/>
      <c r="K223" s="17"/>
      <c r="L223" s="17"/>
      <c r="M223" s="17"/>
      <c r="N223" s="44" t="str">
        <f aca="true">IF(A223="","",IF(N(K223)&gt;Settings!$S$7,"Over revision limit",IF(AND(D223="Free video",J223="",E223&lt;&gt;"",TODAY()&gt;WORKDAY(E223,Settings!$S$5)),"LATE – free video promised in 5 working days",IF(AND(E223&lt;&gt;"",E223=TODAY()),"Shooting today",""))))</f>
        <v/>
      </c>
    </row>
    <row r="224" customFormat="false" ht="15" hidden="false" customHeight="false" outlineLevel="0" collapsed="false">
      <c r="A224" s="17"/>
      <c r="B224" s="17"/>
      <c r="C224" s="44" t="str">
        <f aca="false">IF(B224="","",IFERROR(INDEX(Clients!$C$2:$C$501,MATCH(B224,Clients!$A$2:$A$501,0)),"Client ID not found"))</f>
        <v/>
      </c>
      <c r="D224" s="17"/>
      <c r="E224" s="40"/>
      <c r="F224" s="41"/>
      <c r="G224" s="17"/>
      <c r="H224" s="17"/>
      <c r="I224" s="17"/>
      <c r="J224" s="40"/>
      <c r="K224" s="17"/>
      <c r="L224" s="17"/>
      <c r="M224" s="17"/>
      <c r="N224" s="44" t="str">
        <f aca="true">IF(A224="","",IF(N(K224)&gt;Settings!$S$7,"Over revision limit",IF(AND(D224="Free video",J224="",E224&lt;&gt;"",TODAY()&gt;WORKDAY(E224,Settings!$S$5)),"LATE – free video promised in 5 working days",IF(AND(E224&lt;&gt;"",E224=TODAY()),"Shooting today",""))))</f>
        <v/>
      </c>
    </row>
    <row r="225" customFormat="false" ht="15" hidden="false" customHeight="false" outlineLevel="0" collapsed="false">
      <c r="A225" s="17"/>
      <c r="B225" s="17"/>
      <c r="C225" s="44" t="str">
        <f aca="false">IF(B225="","",IFERROR(INDEX(Clients!$C$2:$C$501,MATCH(B225,Clients!$A$2:$A$501,0)),"Client ID not found"))</f>
        <v/>
      </c>
      <c r="D225" s="17"/>
      <c r="E225" s="40"/>
      <c r="F225" s="41"/>
      <c r="G225" s="17"/>
      <c r="H225" s="17"/>
      <c r="I225" s="17"/>
      <c r="J225" s="40"/>
      <c r="K225" s="17"/>
      <c r="L225" s="17"/>
      <c r="M225" s="17"/>
      <c r="N225" s="44" t="str">
        <f aca="true">IF(A225="","",IF(N(K225)&gt;Settings!$S$7,"Over revision limit",IF(AND(D225="Free video",J225="",E225&lt;&gt;"",TODAY()&gt;WORKDAY(E225,Settings!$S$5)),"LATE – free video promised in 5 working days",IF(AND(E225&lt;&gt;"",E225=TODAY()),"Shooting today",""))))</f>
        <v/>
      </c>
    </row>
    <row r="226" customFormat="false" ht="15" hidden="false" customHeight="false" outlineLevel="0" collapsed="false">
      <c r="A226" s="17"/>
      <c r="B226" s="17"/>
      <c r="C226" s="44" t="str">
        <f aca="false">IF(B226="","",IFERROR(INDEX(Clients!$C$2:$C$501,MATCH(B226,Clients!$A$2:$A$501,0)),"Client ID not found"))</f>
        <v/>
      </c>
      <c r="D226" s="17"/>
      <c r="E226" s="40"/>
      <c r="F226" s="41"/>
      <c r="G226" s="17"/>
      <c r="H226" s="17"/>
      <c r="I226" s="17"/>
      <c r="J226" s="40"/>
      <c r="K226" s="17"/>
      <c r="L226" s="17"/>
      <c r="M226" s="17"/>
      <c r="N226" s="44" t="str">
        <f aca="true">IF(A226="","",IF(N(K226)&gt;Settings!$S$7,"Over revision limit",IF(AND(D226="Free video",J226="",E226&lt;&gt;"",TODAY()&gt;WORKDAY(E226,Settings!$S$5)),"LATE – free video promised in 5 working days",IF(AND(E226&lt;&gt;"",E226=TODAY()),"Shooting today",""))))</f>
        <v/>
      </c>
    </row>
    <row r="227" customFormat="false" ht="15" hidden="false" customHeight="false" outlineLevel="0" collapsed="false">
      <c r="A227" s="17"/>
      <c r="B227" s="17"/>
      <c r="C227" s="44" t="str">
        <f aca="false">IF(B227="","",IFERROR(INDEX(Clients!$C$2:$C$501,MATCH(B227,Clients!$A$2:$A$501,0)),"Client ID not found"))</f>
        <v/>
      </c>
      <c r="D227" s="17"/>
      <c r="E227" s="40"/>
      <c r="F227" s="41"/>
      <c r="G227" s="17"/>
      <c r="H227" s="17"/>
      <c r="I227" s="17"/>
      <c r="J227" s="40"/>
      <c r="K227" s="17"/>
      <c r="L227" s="17"/>
      <c r="M227" s="17"/>
      <c r="N227" s="44" t="str">
        <f aca="true">IF(A227="","",IF(N(K227)&gt;Settings!$S$7,"Over revision limit",IF(AND(D227="Free video",J227="",E227&lt;&gt;"",TODAY()&gt;WORKDAY(E227,Settings!$S$5)),"LATE – free video promised in 5 working days",IF(AND(E227&lt;&gt;"",E227=TODAY()),"Shooting today",""))))</f>
        <v/>
      </c>
    </row>
    <row r="228" customFormat="false" ht="15" hidden="false" customHeight="false" outlineLevel="0" collapsed="false">
      <c r="A228" s="17"/>
      <c r="B228" s="17"/>
      <c r="C228" s="44" t="str">
        <f aca="false">IF(B228="","",IFERROR(INDEX(Clients!$C$2:$C$501,MATCH(B228,Clients!$A$2:$A$501,0)),"Client ID not found"))</f>
        <v/>
      </c>
      <c r="D228" s="17"/>
      <c r="E228" s="40"/>
      <c r="F228" s="41"/>
      <c r="G228" s="17"/>
      <c r="H228" s="17"/>
      <c r="I228" s="17"/>
      <c r="J228" s="40"/>
      <c r="K228" s="17"/>
      <c r="L228" s="17"/>
      <c r="M228" s="17"/>
      <c r="N228" s="44" t="str">
        <f aca="true">IF(A228="","",IF(N(K228)&gt;Settings!$S$7,"Over revision limit",IF(AND(D228="Free video",J228="",E228&lt;&gt;"",TODAY()&gt;WORKDAY(E228,Settings!$S$5)),"LATE – free video promised in 5 working days",IF(AND(E228&lt;&gt;"",E228=TODAY()),"Shooting today",""))))</f>
        <v/>
      </c>
    </row>
    <row r="229" customFormat="false" ht="15" hidden="false" customHeight="false" outlineLevel="0" collapsed="false">
      <c r="A229" s="17"/>
      <c r="B229" s="17"/>
      <c r="C229" s="44" t="str">
        <f aca="false">IF(B229="","",IFERROR(INDEX(Clients!$C$2:$C$501,MATCH(B229,Clients!$A$2:$A$501,0)),"Client ID not found"))</f>
        <v/>
      </c>
      <c r="D229" s="17"/>
      <c r="E229" s="40"/>
      <c r="F229" s="41"/>
      <c r="G229" s="17"/>
      <c r="H229" s="17"/>
      <c r="I229" s="17"/>
      <c r="J229" s="40"/>
      <c r="K229" s="17"/>
      <c r="L229" s="17"/>
      <c r="M229" s="17"/>
      <c r="N229" s="44" t="str">
        <f aca="true">IF(A229="","",IF(N(K229)&gt;Settings!$S$7,"Over revision limit",IF(AND(D229="Free video",J229="",E229&lt;&gt;"",TODAY()&gt;WORKDAY(E229,Settings!$S$5)),"LATE – free video promised in 5 working days",IF(AND(E229&lt;&gt;"",E229=TODAY()),"Shooting today",""))))</f>
        <v/>
      </c>
    </row>
    <row r="230" customFormat="false" ht="15" hidden="false" customHeight="false" outlineLevel="0" collapsed="false">
      <c r="A230" s="17"/>
      <c r="B230" s="17"/>
      <c r="C230" s="44" t="str">
        <f aca="false">IF(B230="","",IFERROR(INDEX(Clients!$C$2:$C$501,MATCH(B230,Clients!$A$2:$A$501,0)),"Client ID not found"))</f>
        <v/>
      </c>
      <c r="D230" s="17"/>
      <c r="E230" s="40"/>
      <c r="F230" s="41"/>
      <c r="G230" s="17"/>
      <c r="H230" s="17"/>
      <c r="I230" s="17"/>
      <c r="J230" s="40"/>
      <c r="K230" s="17"/>
      <c r="L230" s="17"/>
      <c r="M230" s="17"/>
      <c r="N230" s="44" t="str">
        <f aca="true">IF(A230="","",IF(N(K230)&gt;Settings!$S$7,"Over revision limit",IF(AND(D230="Free video",J230="",E230&lt;&gt;"",TODAY()&gt;WORKDAY(E230,Settings!$S$5)),"LATE – free video promised in 5 working days",IF(AND(E230&lt;&gt;"",E230=TODAY()),"Shooting today",""))))</f>
        <v/>
      </c>
    </row>
    <row r="231" customFormat="false" ht="15" hidden="false" customHeight="false" outlineLevel="0" collapsed="false">
      <c r="A231" s="17"/>
      <c r="B231" s="17"/>
      <c r="C231" s="44" t="str">
        <f aca="false">IF(B231="","",IFERROR(INDEX(Clients!$C$2:$C$501,MATCH(B231,Clients!$A$2:$A$501,0)),"Client ID not found"))</f>
        <v/>
      </c>
      <c r="D231" s="17"/>
      <c r="E231" s="40"/>
      <c r="F231" s="41"/>
      <c r="G231" s="17"/>
      <c r="H231" s="17"/>
      <c r="I231" s="17"/>
      <c r="J231" s="40"/>
      <c r="K231" s="17"/>
      <c r="L231" s="17"/>
      <c r="M231" s="17"/>
      <c r="N231" s="44" t="str">
        <f aca="true">IF(A231="","",IF(N(K231)&gt;Settings!$S$7,"Over revision limit",IF(AND(D231="Free video",J231="",E231&lt;&gt;"",TODAY()&gt;WORKDAY(E231,Settings!$S$5)),"LATE – free video promised in 5 working days",IF(AND(E231&lt;&gt;"",E231=TODAY()),"Shooting today",""))))</f>
        <v/>
      </c>
    </row>
    <row r="232" customFormat="false" ht="15" hidden="false" customHeight="false" outlineLevel="0" collapsed="false">
      <c r="A232" s="17"/>
      <c r="B232" s="17"/>
      <c r="C232" s="44" t="str">
        <f aca="false">IF(B232="","",IFERROR(INDEX(Clients!$C$2:$C$501,MATCH(B232,Clients!$A$2:$A$501,0)),"Client ID not found"))</f>
        <v/>
      </c>
      <c r="D232" s="17"/>
      <c r="E232" s="40"/>
      <c r="F232" s="41"/>
      <c r="G232" s="17"/>
      <c r="H232" s="17"/>
      <c r="I232" s="17"/>
      <c r="J232" s="40"/>
      <c r="K232" s="17"/>
      <c r="L232" s="17"/>
      <c r="M232" s="17"/>
      <c r="N232" s="44" t="str">
        <f aca="true">IF(A232="","",IF(N(K232)&gt;Settings!$S$7,"Over revision limit",IF(AND(D232="Free video",J232="",E232&lt;&gt;"",TODAY()&gt;WORKDAY(E232,Settings!$S$5)),"LATE – free video promised in 5 working days",IF(AND(E232&lt;&gt;"",E232=TODAY()),"Shooting today",""))))</f>
        <v/>
      </c>
    </row>
    <row r="233" customFormat="false" ht="15" hidden="false" customHeight="false" outlineLevel="0" collapsed="false">
      <c r="A233" s="17"/>
      <c r="B233" s="17"/>
      <c r="C233" s="44" t="str">
        <f aca="false">IF(B233="","",IFERROR(INDEX(Clients!$C$2:$C$501,MATCH(B233,Clients!$A$2:$A$501,0)),"Client ID not found"))</f>
        <v/>
      </c>
      <c r="D233" s="17"/>
      <c r="E233" s="40"/>
      <c r="F233" s="41"/>
      <c r="G233" s="17"/>
      <c r="H233" s="17"/>
      <c r="I233" s="17"/>
      <c r="J233" s="40"/>
      <c r="K233" s="17"/>
      <c r="L233" s="17"/>
      <c r="M233" s="17"/>
      <c r="N233" s="44" t="str">
        <f aca="true">IF(A233="","",IF(N(K233)&gt;Settings!$S$7,"Over revision limit",IF(AND(D233="Free video",J233="",E233&lt;&gt;"",TODAY()&gt;WORKDAY(E233,Settings!$S$5)),"LATE – free video promised in 5 working days",IF(AND(E233&lt;&gt;"",E233=TODAY()),"Shooting today",""))))</f>
        <v/>
      </c>
    </row>
    <row r="234" customFormat="false" ht="15" hidden="false" customHeight="false" outlineLevel="0" collapsed="false">
      <c r="A234" s="17"/>
      <c r="B234" s="17"/>
      <c r="C234" s="44" t="str">
        <f aca="false">IF(B234="","",IFERROR(INDEX(Clients!$C$2:$C$501,MATCH(B234,Clients!$A$2:$A$501,0)),"Client ID not found"))</f>
        <v/>
      </c>
      <c r="D234" s="17"/>
      <c r="E234" s="40"/>
      <c r="F234" s="41"/>
      <c r="G234" s="17"/>
      <c r="H234" s="17"/>
      <c r="I234" s="17"/>
      <c r="J234" s="40"/>
      <c r="K234" s="17"/>
      <c r="L234" s="17"/>
      <c r="M234" s="17"/>
      <c r="N234" s="44" t="str">
        <f aca="true">IF(A234="","",IF(N(K234)&gt;Settings!$S$7,"Over revision limit",IF(AND(D234="Free video",J234="",E234&lt;&gt;"",TODAY()&gt;WORKDAY(E234,Settings!$S$5)),"LATE – free video promised in 5 working days",IF(AND(E234&lt;&gt;"",E234=TODAY()),"Shooting today",""))))</f>
        <v/>
      </c>
    </row>
    <row r="235" customFormat="false" ht="15" hidden="false" customHeight="false" outlineLevel="0" collapsed="false">
      <c r="A235" s="17"/>
      <c r="B235" s="17"/>
      <c r="C235" s="44" t="str">
        <f aca="false">IF(B235="","",IFERROR(INDEX(Clients!$C$2:$C$501,MATCH(B235,Clients!$A$2:$A$501,0)),"Client ID not found"))</f>
        <v/>
      </c>
      <c r="D235" s="17"/>
      <c r="E235" s="40"/>
      <c r="F235" s="41"/>
      <c r="G235" s="17"/>
      <c r="H235" s="17"/>
      <c r="I235" s="17"/>
      <c r="J235" s="40"/>
      <c r="K235" s="17"/>
      <c r="L235" s="17"/>
      <c r="M235" s="17"/>
      <c r="N235" s="44" t="str">
        <f aca="true">IF(A235="","",IF(N(K235)&gt;Settings!$S$7,"Over revision limit",IF(AND(D235="Free video",J235="",E235&lt;&gt;"",TODAY()&gt;WORKDAY(E235,Settings!$S$5)),"LATE – free video promised in 5 working days",IF(AND(E235&lt;&gt;"",E235=TODAY()),"Shooting today",""))))</f>
        <v/>
      </c>
    </row>
    <row r="236" customFormat="false" ht="15" hidden="false" customHeight="false" outlineLevel="0" collapsed="false">
      <c r="A236" s="17"/>
      <c r="B236" s="17"/>
      <c r="C236" s="44" t="str">
        <f aca="false">IF(B236="","",IFERROR(INDEX(Clients!$C$2:$C$501,MATCH(B236,Clients!$A$2:$A$501,0)),"Client ID not found"))</f>
        <v/>
      </c>
      <c r="D236" s="17"/>
      <c r="E236" s="40"/>
      <c r="F236" s="41"/>
      <c r="G236" s="17"/>
      <c r="H236" s="17"/>
      <c r="I236" s="17"/>
      <c r="J236" s="40"/>
      <c r="K236" s="17"/>
      <c r="L236" s="17"/>
      <c r="M236" s="17"/>
      <c r="N236" s="44" t="str">
        <f aca="true">IF(A236="","",IF(N(K236)&gt;Settings!$S$7,"Over revision limit",IF(AND(D236="Free video",J236="",E236&lt;&gt;"",TODAY()&gt;WORKDAY(E236,Settings!$S$5)),"LATE – free video promised in 5 working days",IF(AND(E236&lt;&gt;"",E236=TODAY()),"Shooting today",""))))</f>
        <v/>
      </c>
    </row>
    <row r="237" customFormat="false" ht="15" hidden="false" customHeight="false" outlineLevel="0" collapsed="false">
      <c r="A237" s="17"/>
      <c r="B237" s="17"/>
      <c r="C237" s="44" t="str">
        <f aca="false">IF(B237="","",IFERROR(INDEX(Clients!$C$2:$C$501,MATCH(B237,Clients!$A$2:$A$501,0)),"Client ID not found"))</f>
        <v/>
      </c>
      <c r="D237" s="17"/>
      <c r="E237" s="40"/>
      <c r="F237" s="41"/>
      <c r="G237" s="17"/>
      <c r="H237" s="17"/>
      <c r="I237" s="17"/>
      <c r="J237" s="40"/>
      <c r="K237" s="17"/>
      <c r="L237" s="17"/>
      <c r="M237" s="17"/>
      <c r="N237" s="44" t="str">
        <f aca="true">IF(A237="","",IF(N(K237)&gt;Settings!$S$7,"Over revision limit",IF(AND(D237="Free video",J237="",E237&lt;&gt;"",TODAY()&gt;WORKDAY(E237,Settings!$S$5)),"LATE – free video promised in 5 working days",IF(AND(E237&lt;&gt;"",E237=TODAY()),"Shooting today",""))))</f>
        <v/>
      </c>
    </row>
    <row r="238" customFormat="false" ht="15" hidden="false" customHeight="false" outlineLevel="0" collapsed="false">
      <c r="A238" s="17"/>
      <c r="B238" s="17"/>
      <c r="C238" s="44" t="str">
        <f aca="false">IF(B238="","",IFERROR(INDEX(Clients!$C$2:$C$501,MATCH(B238,Clients!$A$2:$A$501,0)),"Client ID not found"))</f>
        <v/>
      </c>
      <c r="D238" s="17"/>
      <c r="E238" s="40"/>
      <c r="F238" s="41"/>
      <c r="G238" s="17"/>
      <c r="H238" s="17"/>
      <c r="I238" s="17"/>
      <c r="J238" s="40"/>
      <c r="K238" s="17"/>
      <c r="L238" s="17"/>
      <c r="M238" s="17"/>
      <c r="N238" s="44" t="str">
        <f aca="true">IF(A238="","",IF(N(K238)&gt;Settings!$S$7,"Over revision limit",IF(AND(D238="Free video",J238="",E238&lt;&gt;"",TODAY()&gt;WORKDAY(E238,Settings!$S$5)),"LATE – free video promised in 5 working days",IF(AND(E238&lt;&gt;"",E238=TODAY()),"Shooting today",""))))</f>
        <v/>
      </c>
    </row>
    <row r="239" customFormat="false" ht="15" hidden="false" customHeight="false" outlineLevel="0" collapsed="false">
      <c r="A239" s="17"/>
      <c r="B239" s="17"/>
      <c r="C239" s="44" t="str">
        <f aca="false">IF(B239="","",IFERROR(INDEX(Clients!$C$2:$C$501,MATCH(B239,Clients!$A$2:$A$501,0)),"Client ID not found"))</f>
        <v/>
      </c>
      <c r="D239" s="17"/>
      <c r="E239" s="40"/>
      <c r="F239" s="41"/>
      <c r="G239" s="17"/>
      <c r="H239" s="17"/>
      <c r="I239" s="17"/>
      <c r="J239" s="40"/>
      <c r="K239" s="17"/>
      <c r="L239" s="17"/>
      <c r="M239" s="17"/>
      <c r="N239" s="44" t="str">
        <f aca="true">IF(A239="","",IF(N(K239)&gt;Settings!$S$7,"Over revision limit",IF(AND(D239="Free video",J239="",E239&lt;&gt;"",TODAY()&gt;WORKDAY(E239,Settings!$S$5)),"LATE – free video promised in 5 working days",IF(AND(E239&lt;&gt;"",E239=TODAY()),"Shooting today",""))))</f>
        <v/>
      </c>
    </row>
    <row r="240" customFormat="false" ht="15" hidden="false" customHeight="false" outlineLevel="0" collapsed="false">
      <c r="A240" s="17"/>
      <c r="B240" s="17"/>
      <c r="C240" s="44" t="str">
        <f aca="false">IF(B240="","",IFERROR(INDEX(Clients!$C$2:$C$501,MATCH(B240,Clients!$A$2:$A$501,0)),"Client ID not found"))</f>
        <v/>
      </c>
      <c r="D240" s="17"/>
      <c r="E240" s="40"/>
      <c r="F240" s="41"/>
      <c r="G240" s="17"/>
      <c r="H240" s="17"/>
      <c r="I240" s="17"/>
      <c r="J240" s="40"/>
      <c r="K240" s="17"/>
      <c r="L240" s="17"/>
      <c r="M240" s="17"/>
      <c r="N240" s="44" t="str">
        <f aca="true">IF(A240="","",IF(N(K240)&gt;Settings!$S$7,"Over revision limit",IF(AND(D240="Free video",J240="",E240&lt;&gt;"",TODAY()&gt;WORKDAY(E240,Settings!$S$5)),"LATE – free video promised in 5 working days",IF(AND(E240&lt;&gt;"",E240=TODAY()),"Shooting today",""))))</f>
        <v/>
      </c>
    </row>
    <row r="241" customFormat="false" ht="15" hidden="false" customHeight="false" outlineLevel="0" collapsed="false">
      <c r="A241" s="17"/>
      <c r="B241" s="17"/>
      <c r="C241" s="44" t="str">
        <f aca="false">IF(B241="","",IFERROR(INDEX(Clients!$C$2:$C$501,MATCH(B241,Clients!$A$2:$A$501,0)),"Client ID not found"))</f>
        <v/>
      </c>
      <c r="D241" s="17"/>
      <c r="E241" s="40"/>
      <c r="F241" s="41"/>
      <c r="G241" s="17"/>
      <c r="H241" s="17"/>
      <c r="I241" s="17"/>
      <c r="J241" s="40"/>
      <c r="K241" s="17"/>
      <c r="L241" s="17"/>
      <c r="M241" s="17"/>
      <c r="N241" s="44" t="str">
        <f aca="true">IF(A241="","",IF(N(K241)&gt;Settings!$S$7,"Over revision limit",IF(AND(D241="Free video",J241="",E241&lt;&gt;"",TODAY()&gt;WORKDAY(E241,Settings!$S$5)),"LATE – free video promised in 5 working days",IF(AND(E241&lt;&gt;"",E241=TODAY()),"Shooting today",""))))</f>
        <v/>
      </c>
    </row>
    <row r="242" customFormat="false" ht="15" hidden="false" customHeight="false" outlineLevel="0" collapsed="false">
      <c r="A242" s="17"/>
      <c r="B242" s="17"/>
      <c r="C242" s="44" t="str">
        <f aca="false">IF(B242="","",IFERROR(INDEX(Clients!$C$2:$C$501,MATCH(B242,Clients!$A$2:$A$501,0)),"Client ID not found"))</f>
        <v/>
      </c>
      <c r="D242" s="17"/>
      <c r="E242" s="40"/>
      <c r="F242" s="41"/>
      <c r="G242" s="17"/>
      <c r="H242" s="17"/>
      <c r="I242" s="17"/>
      <c r="J242" s="40"/>
      <c r="K242" s="17"/>
      <c r="L242" s="17"/>
      <c r="M242" s="17"/>
      <c r="N242" s="44" t="str">
        <f aca="true">IF(A242="","",IF(N(K242)&gt;Settings!$S$7,"Over revision limit",IF(AND(D242="Free video",J242="",E242&lt;&gt;"",TODAY()&gt;WORKDAY(E242,Settings!$S$5)),"LATE – free video promised in 5 working days",IF(AND(E242&lt;&gt;"",E242=TODAY()),"Shooting today",""))))</f>
        <v/>
      </c>
    </row>
    <row r="243" customFormat="false" ht="15" hidden="false" customHeight="false" outlineLevel="0" collapsed="false">
      <c r="A243" s="17"/>
      <c r="B243" s="17"/>
      <c r="C243" s="44" t="str">
        <f aca="false">IF(B243="","",IFERROR(INDEX(Clients!$C$2:$C$501,MATCH(B243,Clients!$A$2:$A$501,0)),"Client ID not found"))</f>
        <v/>
      </c>
      <c r="D243" s="17"/>
      <c r="E243" s="40"/>
      <c r="F243" s="41"/>
      <c r="G243" s="17"/>
      <c r="H243" s="17"/>
      <c r="I243" s="17"/>
      <c r="J243" s="40"/>
      <c r="K243" s="17"/>
      <c r="L243" s="17"/>
      <c r="M243" s="17"/>
      <c r="N243" s="44" t="str">
        <f aca="true">IF(A243="","",IF(N(K243)&gt;Settings!$S$7,"Over revision limit",IF(AND(D243="Free video",J243="",E243&lt;&gt;"",TODAY()&gt;WORKDAY(E243,Settings!$S$5)),"LATE – free video promised in 5 working days",IF(AND(E243&lt;&gt;"",E243=TODAY()),"Shooting today",""))))</f>
        <v/>
      </c>
    </row>
    <row r="244" customFormat="false" ht="15" hidden="false" customHeight="false" outlineLevel="0" collapsed="false">
      <c r="A244" s="17"/>
      <c r="B244" s="17"/>
      <c r="C244" s="44" t="str">
        <f aca="false">IF(B244="","",IFERROR(INDEX(Clients!$C$2:$C$501,MATCH(B244,Clients!$A$2:$A$501,0)),"Client ID not found"))</f>
        <v/>
      </c>
      <c r="D244" s="17"/>
      <c r="E244" s="40"/>
      <c r="F244" s="41"/>
      <c r="G244" s="17"/>
      <c r="H244" s="17"/>
      <c r="I244" s="17"/>
      <c r="J244" s="40"/>
      <c r="K244" s="17"/>
      <c r="L244" s="17"/>
      <c r="M244" s="17"/>
      <c r="N244" s="44" t="str">
        <f aca="true">IF(A244="","",IF(N(K244)&gt;Settings!$S$7,"Over revision limit",IF(AND(D244="Free video",J244="",E244&lt;&gt;"",TODAY()&gt;WORKDAY(E244,Settings!$S$5)),"LATE – free video promised in 5 working days",IF(AND(E244&lt;&gt;"",E244=TODAY()),"Shooting today",""))))</f>
        <v/>
      </c>
    </row>
    <row r="245" customFormat="false" ht="15" hidden="false" customHeight="false" outlineLevel="0" collapsed="false">
      <c r="A245" s="17"/>
      <c r="B245" s="17"/>
      <c r="C245" s="44" t="str">
        <f aca="false">IF(B245="","",IFERROR(INDEX(Clients!$C$2:$C$501,MATCH(B245,Clients!$A$2:$A$501,0)),"Client ID not found"))</f>
        <v/>
      </c>
      <c r="D245" s="17"/>
      <c r="E245" s="40"/>
      <c r="F245" s="41"/>
      <c r="G245" s="17"/>
      <c r="H245" s="17"/>
      <c r="I245" s="17"/>
      <c r="J245" s="40"/>
      <c r="K245" s="17"/>
      <c r="L245" s="17"/>
      <c r="M245" s="17"/>
      <c r="N245" s="44" t="str">
        <f aca="true">IF(A245="","",IF(N(K245)&gt;Settings!$S$7,"Over revision limit",IF(AND(D245="Free video",J245="",E245&lt;&gt;"",TODAY()&gt;WORKDAY(E245,Settings!$S$5)),"LATE – free video promised in 5 working days",IF(AND(E245&lt;&gt;"",E245=TODAY()),"Shooting today",""))))</f>
        <v/>
      </c>
    </row>
    <row r="246" customFormat="false" ht="15" hidden="false" customHeight="false" outlineLevel="0" collapsed="false">
      <c r="A246" s="17"/>
      <c r="B246" s="17"/>
      <c r="C246" s="44" t="str">
        <f aca="false">IF(B246="","",IFERROR(INDEX(Clients!$C$2:$C$501,MATCH(B246,Clients!$A$2:$A$501,0)),"Client ID not found"))</f>
        <v/>
      </c>
      <c r="D246" s="17"/>
      <c r="E246" s="40"/>
      <c r="F246" s="41"/>
      <c r="G246" s="17"/>
      <c r="H246" s="17"/>
      <c r="I246" s="17"/>
      <c r="J246" s="40"/>
      <c r="K246" s="17"/>
      <c r="L246" s="17"/>
      <c r="M246" s="17"/>
      <c r="N246" s="44" t="str">
        <f aca="true">IF(A246="","",IF(N(K246)&gt;Settings!$S$7,"Over revision limit",IF(AND(D246="Free video",J246="",E246&lt;&gt;"",TODAY()&gt;WORKDAY(E246,Settings!$S$5)),"LATE – free video promised in 5 working days",IF(AND(E246&lt;&gt;"",E246=TODAY()),"Shooting today",""))))</f>
        <v/>
      </c>
    </row>
    <row r="247" customFormat="false" ht="15" hidden="false" customHeight="false" outlineLevel="0" collapsed="false">
      <c r="A247" s="17"/>
      <c r="B247" s="17"/>
      <c r="C247" s="44" t="str">
        <f aca="false">IF(B247="","",IFERROR(INDEX(Clients!$C$2:$C$501,MATCH(B247,Clients!$A$2:$A$501,0)),"Client ID not found"))</f>
        <v/>
      </c>
      <c r="D247" s="17"/>
      <c r="E247" s="40"/>
      <c r="F247" s="41"/>
      <c r="G247" s="17"/>
      <c r="H247" s="17"/>
      <c r="I247" s="17"/>
      <c r="J247" s="40"/>
      <c r="K247" s="17"/>
      <c r="L247" s="17"/>
      <c r="M247" s="17"/>
      <c r="N247" s="44" t="str">
        <f aca="true">IF(A247="","",IF(N(K247)&gt;Settings!$S$7,"Over revision limit",IF(AND(D247="Free video",J247="",E247&lt;&gt;"",TODAY()&gt;WORKDAY(E247,Settings!$S$5)),"LATE – free video promised in 5 working days",IF(AND(E247&lt;&gt;"",E247=TODAY()),"Shooting today",""))))</f>
        <v/>
      </c>
    </row>
    <row r="248" customFormat="false" ht="15" hidden="false" customHeight="false" outlineLevel="0" collapsed="false">
      <c r="A248" s="17"/>
      <c r="B248" s="17"/>
      <c r="C248" s="44" t="str">
        <f aca="false">IF(B248="","",IFERROR(INDEX(Clients!$C$2:$C$501,MATCH(B248,Clients!$A$2:$A$501,0)),"Client ID not found"))</f>
        <v/>
      </c>
      <c r="D248" s="17"/>
      <c r="E248" s="40"/>
      <c r="F248" s="41"/>
      <c r="G248" s="17"/>
      <c r="H248" s="17"/>
      <c r="I248" s="17"/>
      <c r="J248" s="40"/>
      <c r="K248" s="17"/>
      <c r="L248" s="17"/>
      <c r="M248" s="17"/>
      <c r="N248" s="44" t="str">
        <f aca="true">IF(A248="","",IF(N(K248)&gt;Settings!$S$7,"Over revision limit",IF(AND(D248="Free video",J248="",E248&lt;&gt;"",TODAY()&gt;WORKDAY(E248,Settings!$S$5)),"LATE – free video promised in 5 working days",IF(AND(E248&lt;&gt;"",E248=TODAY()),"Shooting today",""))))</f>
        <v/>
      </c>
    </row>
    <row r="249" customFormat="false" ht="15" hidden="false" customHeight="false" outlineLevel="0" collapsed="false">
      <c r="A249" s="17"/>
      <c r="B249" s="17"/>
      <c r="C249" s="44" t="str">
        <f aca="false">IF(B249="","",IFERROR(INDEX(Clients!$C$2:$C$501,MATCH(B249,Clients!$A$2:$A$501,0)),"Client ID not found"))</f>
        <v/>
      </c>
      <c r="D249" s="17"/>
      <c r="E249" s="40"/>
      <c r="F249" s="41"/>
      <c r="G249" s="17"/>
      <c r="H249" s="17"/>
      <c r="I249" s="17"/>
      <c r="J249" s="40"/>
      <c r="K249" s="17"/>
      <c r="L249" s="17"/>
      <c r="M249" s="17"/>
      <c r="N249" s="44" t="str">
        <f aca="true">IF(A249="","",IF(N(K249)&gt;Settings!$S$7,"Over revision limit",IF(AND(D249="Free video",J249="",E249&lt;&gt;"",TODAY()&gt;WORKDAY(E249,Settings!$S$5)),"LATE – free video promised in 5 working days",IF(AND(E249&lt;&gt;"",E249=TODAY()),"Shooting today",""))))</f>
        <v/>
      </c>
    </row>
    <row r="250" customFormat="false" ht="15" hidden="false" customHeight="false" outlineLevel="0" collapsed="false">
      <c r="A250" s="17"/>
      <c r="B250" s="17"/>
      <c r="C250" s="44" t="str">
        <f aca="false">IF(B250="","",IFERROR(INDEX(Clients!$C$2:$C$501,MATCH(B250,Clients!$A$2:$A$501,0)),"Client ID not found"))</f>
        <v/>
      </c>
      <c r="D250" s="17"/>
      <c r="E250" s="40"/>
      <c r="F250" s="41"/>
      <c r="G250" s="17"/>
      <c r="H250" s="17"/>
      <c r="I250" s="17"/>
      <c r="J250" s="40"/>
      <c r="K250" s="17"/>
      <c r="L250" s="17"/>
      <c r="M250" s="17"/>
      <c r="N250" s="44" t="str">
        <f aca="true">IF(A250="","",IF(N(K250)&gt;Settings!$S$7,"Over revision limit",IF(AND(D250="Free video",J250="",E250&lt;&gt;"",TODAY()&gt;WORKDAY(E250,Settings!$S$5)),"LATE – free video promised in 5 working days",IF(AND(E250&lt;&gt;"",E250=TODAY()),"Shooting today",""))))</f>
        <v/>
      </c>
    </row>
    <row r="251" customFormat="false" ht="15" hidden="false" customHeight="false" outlineLevel="0" collapsed="false">
      <c r="A251" s="17"/>
      <c r="B251" s="17"/>
      <c r="C251" s="44" t="str">
        <f aca="false">IF(B251="","",IFERROR(INDEX(Clients!$C$2:$C$501,MATCH(B251,Clients!$A$2:$A$501,0)),"Client ID not found"))</f>
        <v/>
      </c>
      <c r="D251" s="17"/>
      <c r="E251" s="40"/>
      <c r="F251" s="41"/>
      <c r="G251" s="17"/>
      <c r="H251" s="17"/>
      <c r="I251" s="17"/>
      <c r="J251" s="40"/>
      <c r="K251" s="17"/>
      <c r="L251" s="17"/>
      <c r="M251" s="17"/>
      <c r="N251" s="44" t="str">
        <f aca="true">IF(A251="","",IF(N(K251)&gt;Settings!$S$7,"Over revision limit",IF(AND(D251="Free video",J251="",E251&lt;&gt;"",TODAY()&gt;WORKDAY(E251,Settings!$S$5)),"LATE – free video promised in 5 working days",IF(AND(E251&lt;&gt;"",E251=TODAY()),"Shooting today",""))))</f>
        <v/>
      </c>
    </row>
    <row r="252" customFormat="false" ht="15" hidden="false" customHeight="false" outlineLevel="0" collapsed="false">
      <c r="A252" s="17"/>
      <c r="B252" s="17"/>
      <c r="C252" s="44" t="str">
        <f aca="false">IF(B252="","",IFERROR(INDEX(Clients!$C$2:$C$501,MATCH(B252,Clients!$A$2:$A$501,0)),"Client ID not found"))</f>
        <v/>
      </c>
      <c r="D252" s="17"/>
      <c r="E252" s="40"/>
      <c r="F252" s="41"/>
      <c r="G252" s="17"/>
      <c r="H252" s="17"/>
      <c r="I252" s="17"/>
      <c r="J252" s="40"/>
      <c r="K252" s="17"/>
      <c r="L252" s="17"/>
      <c r="M252" s="17"/>
      <c r="N252" s="44" t="str">
        <f aca="true">IF(A252="","",IF(N(K252)&gt;Settings!$S$7,"Over revision limit",IF(AND(D252="Free video",J252="",E252&lt;&gt;"",TODAY()&gt;WORKDAY(E252,Settings!$S$5)),"LATE – free video promised in 5 working days",IF(AND(E252&lt;&gt;"",E252=TODAY()),"Shooting today",""))))</f>
        <v/>
      </c>
    </row>
    <row r="253" customFormat="false" ht="15" hidden="false" customHeight="false" outlineLevel="0" collapsed="false">
      <c r="A253" s="17"/>
      <c r="B253" s="17"/>
      <c r="C253" s="44" t="str">
        <f aca="false">IF(B253="","",IFERROR(INDEX(Clients!$C$2:$C$501,MATCH(B253,Clients!$A$2:$A$501,0)),"Client ID not found"))</f>
        <v/>
      </c>
      <c r="D253" s="17"/>
      <c r="E253" s="40"/>
      <c r="F253" s="41"/>
      <c r="G253" s="17"/>
      <c r="H253" s="17"/>
      <c r="I253" s="17"/>
      <c r="J253" s="40"/>
      <c r="K253" s="17"/>
      <c r="L253" s="17"/>
      <c r="M253" s="17"/>
      <c r="N253" s="44" t="str">
        <f aca="true">IF(A253="","",IF(N(K253)&gt;Settings!$S$7,"Over revision limit",IF(AND(D253="Free video",J253="",E253&lt;&gt;"",TODAY()&gt;WORKDAY(E253,Settings!$S$5)),"LATE – free video promised in 5 working days",IF(AND(E253&lt;&gt;"",E253=TODAY()),"Shooting today",""))))</f>
        <v/>
      </c>
    </row>
    <row r="254" customFormat="false" ht="15" hidden="false" customHeight="false" outlineLevel="0" collapsed="false">
      <c r="A254" s="17"/>
      <c r="B254" s="17"/>
      <c r="C254" s="44" t="str">
        <f aca="false">IF(B254="","",IFERROR(INDEX(Clients!$C$2:$C$501,MATCH(B254,Clients!$A$2:$A$501,0)),"Client ID not found"))</f>
        <v/>
      </c>
      <c r="D254" s="17"/>
      <c r="E254" s="40"/>
      <c r="F254" s="41"/>
      <c r="G254" s="17"/>
      <c r="H254" s="17"/>
      <c r="I254" s="17"/>
      <c r="J254" s="40"/>
      <c r="K254" s="17"/>
      <c r="L254" s="17"/>
      <c r="M254" s="17"/>
      <c r="N254" s="44" t="str">
        <f aca="true">IF(A254="","",IF(N(K254)&gt;Settings!$S$7,"Over revision limit",IF(AND(D254="Free video",J254="",E254&lt;&gt;"",TODAY()&gt;WORKDAY(E254,Settings!$S$5)),"LATE – free video promised in 5 working days",IF(AND(E254&lt;&gt;"",E254=TODAY()),"Shooting today",""))))</f>
        <v/>
      </c>
    </row>
    <row r="255" customFormat="false" ht="15" hidden="false" customHeight="false" outlineLevel="0" collapsed="false">
      <c r="A255" s="17"/>
      <c r="B255" s="17"/>
      <c r="C255" s="44" t="str">
        <f aca="false">IF(B255="","",IFERROR(INDEX(Clients!$C$2:$C$501,MATCH(B255,Clients!$A$2:$A$501,0)),"Client ID not found"))</f>
        <v/>
      </c>
      <c r="D255" s="17"/>
      <c r="E255" s="40"/>
      <c r="F255" s="41"/>
      <c r="G255" s="17"/>
      <c r="H255" s="17"/>
      <c r="I255" s="17"/>
      <c r="J255" s="40"/>
      <c r="K255" s="17"/>
      <c r="L255" s="17"/>
      <c r="M255" s="17"/>
      <c r="N255" s="44" t="str">
        <f aca="true">IF(A255="","",IF(N(K255)&gt;Settings!$S$7,"Over revision limit",IF(AND(D255="Free video",J255="",E255&lt;&gt;"",TODAY()&gt;WORKDAY(E255,Settings!$S$5)),"LATE – free video promised in 5 working days",IF(AND(E255&lt;&gt;"",E255=TODAY()),"Shooting today",""))))</f>
        <v/>
      </c>
    </row>
    <row r="256" customFormat="false" ht="15" hidden="false" customHeight="false" outlineLevel="0" collapsed="false">
      <c r="A256" s="17"/>
      <c r="B256" s="17"/>
      <c r="C256" s="44" t="str">
        <f aca="false">IF(B256="","",IFERROR(INDEX(Clients!$C$2:$C$501,MATCH(B256,Clients!$A$2:$A$501,0)),"Client ID not found"))</f>
        <v/>
      </c>
      <c r="D256" s="17"/>
      <c r="E256" s="40"/>
      <c r="F256" s="41"/>
      <c r="G256" s="17"/>
      <c r="H256" s="17"/>
      <c r="I256" s="17"/>
      <c r="J256" s="40"/>
      <c r="K256" s="17"/>
      <c r="L256" s="17"/>
      <c r="M256" s="17"/>
      <c r="N256" s="44" t="str">
        <f aca="true">IF(A256="","",IF(N(K256)&gt;Settings!$S$7,"Over revision limit",IF(AND(D256="Free video",J256="",E256&lt;&gt;"",TODAY()&gt;WORKDAY(E256,Settings!$S$5)),"LATE – free video promised in 5 working days",IF(AND(E256&lt;&gt;"",E256=TODAY()),"Shooting today",""))))</f>
        <v/>
      </c>
    </row>
    <row r="257" customFormat="false" ht="15" hidden="false" customHeight="false" outlineLevel="0" collapsed="false">
      <c r="A257" s="17"/>
      <c r="B257" s="17"/>
      <c r="C257" s="44" t="str">
        <f aca="false">IF(B257="","",IFERROR(INDEX(Clients!$C$2:$C$501,MATCH(B257,Clients!$A$2:$A$501,0)),"Client ID not found"))</f>
        <v/>
      </c>
      <c r="D257" s="17"/>
      <c r="E257" s="40"/>
      <c r="F257" s="41"/>
      <c r="G257" s="17"/>
      <c r="H257" s="17"/>
      <c r="I257" s="17"/>
      <c r="J257" s="40"/>
      <c r="K257" s="17"/>
      <c r="L257" s="17"/>
      <c r="M257" s="17"/>
      <c r="N257" s="44" t="str">
        <f aca="true">IF(A257="","",IF(N(K257)&gt;Settings!$S$7,"Over revision limit",IF(AND(D257="Free video",J257="",E257&lt;&gt;"",TODAY()&gt;WORKDAY(E257,Settings!$S$5)),"LATE – free video promised in 5 working days",IF(AND(E257&lt;&gt;"",E257=TODAY()),"Shooting today",""))))</f>
        <v/>
      </c>
    </row>
    <row r="258" customFormat="false" ht="15" hidden="false" customHeight="false" outlineLevel="0" collapsed="false">
      <c r="A258" s="17"/>
      <c r="B258" s="17"/>
      <c r="C258" s="44" t="str">
        <f aca="false">IF(B258="","",IFERROR(INDEX(Clients!$C$2:$C$501,MATCH(B258,Clients!$A$2:$A$501,0)),"Client ID not found"))</f>
        <v/>
      </c>
      <c r="D258" s="17"/>
      <c r="E258" s="40"/>
      <c r="F258" s="41"/>
      <c r="G258" s="17"/>
      <c r="H258" s="17"/>
      <c r="I258" s="17"/>
      <c r="J258" s="40"/>
      <c r="K258" s="17"/>
      <c r="L258" s="17"/>
      <c r="M258" s="17"/>
      <c r="N258" s="44" t="str">
        <f aca="true">IF(A258="","",IF(N(K258)&gt;Settings!$S$7,"Over revision limit",IF(AND(D258="Free video",J258="",E258&lt;&gt;"",TODAY()&gt;WORKDAY(E258,Settings!$S$5)),"LATE – free video promised in 5 working days",IF(AND(E258&lt;&gt;"",E258=TODAY()),"Shooting today",""))))</f>
        <v/>
      </c>
    </row>
    <row r="259" customFormat="false" ht="15" hidden="false" customHeight="false" outlineLevel="0" collapsed="false">
      <c r="A259" s="17"/>
      <c r="B259" s="17"/>
      <c r="C259" s="44" t="str">
        <f aca="false">IF(B259="","",IFERROR(INDEX(Clients!$C$2:$C$501,MATCH(B259,Clients!$A$2:$A$501,0)),"Client ID not found"))</f>
        <v/>
      </c>
      <c r="D259" s="17"/>
      <c r="E259" s="40"/>
      <c r="F259" s="41"/>
      <c r="G259" s="17"/>
      <c r="H259" s="17"/>
      <c r="I259" s="17"/>
      <c r="J259" s="40"/>
      <c r="K259" s="17"/>
      <c r="L259" s="17"/>
      <c r="M259" s="17"/>
      <c r="N259" s="44" t="str">
        <f aca="true">IF(A259="","",IF(N(K259)&gt;Settings!$S$7,"Over revision limit",IF(AND(D259="Free video",J259="",E259&lt;&gt;"",TODAY()&gt;WORKDAY(E259,Settings!$S$5)),"LATE – free video promised in 5 working days",IF(AND(E259&lt;&gt;"",E259=TODAY()),"Shooting today",""))))</f>
        <v/>
      </c>
    </row>
    <row r="260" customFormat="false" ht="15" hidden="false" customHeight="false" outlineLevel="0" collapsed="false">
      <c r="A260" s="17"/>
      <c r="B260" s="17"/>
      <c r="C260" s="44" t="str">
        <f aca="false">IF(B260="","",IFERROR(INDEX(Clients!$C$2:$C$501,MATCH(B260,Clients!$A$2:$A$501,0)),"Client ID not found"))</f>
        <v/>
      </c>
      <c r="D260" s="17"/>
      <c r="E260" s="40"/>
      <c r="F260" s="41"/>
      <c r="G260" s="17"/>
      <c r="H260" s="17"/>
      <c r="I260" s="17"/>
      <c r="J260" s="40"/>
      <c r="K260" s="17"/>
      <c r="L260" s="17"/>
      <c r="M260" s="17"/>
      <c r="N260" s="44" t="str">
        <f aca="true">IF(A260="","",IF(N(K260)&gt;Settings!$S$7,"Over revision limit",IF(AND(D260="Free video",J260="",E260&lt;&gt;"",TODAY()&gt;WORKDAY(E260,Settings!$S$5)),"LATE – free video promised in 5 working days",IF(AND(E260&lt;&gt;"",E260=TODAY()),"Shooting today",""))))</f>
        <v/>
      </c>
    </row>
    <row r="261" customFormat="false" ht="15" hidden="false" customHeight="false" outlineLevel="0" collapsed="false">
      <c r="A261" s="17"/>
      <c r="B261" s="17"/>
      <c r="C261" s="44" t="str">
        <f aca="false">IF(B261="","",IFERROR(INDEX(Clients!$C$2:$C$501,MATCH(B261,Clients!$A$2:$A$501,0)),"Client ID not found"))</f>
        <v/>
      </c>
      <c r="D261" s="17"/>
      <c r="E261" s="40"/>
      <c r="F261" s="41"/>
      <c r="G261" s="17"/>
      <c r="H261" s="17"/>
      <c r="I261" s="17"/>
      <c r="J261" s="40"/>
      <c r="K261" s="17"/>
      <c r="L261" s="17"/>
      <c r="M261" s="17"/>
      <c r="N261" s="44" t="str">
        <f aca="true">IF(A261="","",IF(N(K261)&gt;Settings!$S$7,"Over revision limit",IF(AND(D261="Free video",J261="",E261&lt;&gt;"",TODAY()&gt;WORKDAY(E261,Settings!$S$5)),"LATE – free video promised in 5 working days",IF(AND(E261&lt;&gt;"",E261=TODAY()),"Shooting today",""))))</f>
        <v/>
      </c>
    </row>
    <row r="262" customFormat="false" ht="15" hidden="false" customHeight="false" outlineLevel="0" collapsed="false">
      <c r="A262" s="17"/>
      <c r="B262" s="17"/>
      <c r="C262" s="44" t="str">
        <f aca="false">IF(B262="","",IFERROR(INDEX(Clients!$C$2:$C$501,MATCH(B262,Clients!$A$2:$A$501,0)),"Client ID not found"))</f>
        <v/>
      </c>
      <c r="D262" s="17"/>
      <c r="E262" s="40"/>
      <c r="F262" s="41"/>
      <c r="G262" s="17"/>
      <c r="H262" s="17"/>
      <c r="I262" s="17"/>
      <c r="J262" s="40"/>
      <c r="K262" s="17"/>
      <c r="L262" s="17"/>
      <c r="M262" s="17"/>
      <c r="N262" s="44" t="str">
        <f aca="true">IF(A262="","",IF(N(K262)&gt;Settings!$S$7,"Over revision limit",IF(AND(D262="Free video",J262="",E262&lt;&gt;"",TODAY()&gt;WORKDAY(E262,Settings!$S$5)),"LATE – free video promised in 5 working days",IF(AND(E262&lt;&gt;"",E262=TODAY()),"Shooting today",""))))</f>
        <v/>
      </c>
    </row>
    <row r="263" customFormat="false" ht="15" hidden="false" customHeight="false" outlineLevel="0" collapsed="false">
      <c r="A263" s="17"/>
      <c r="B263" s="17"/>
      <c r="C263" s="44" t="str">
        <f aca="false">IF(B263="","",IFERROR(INDEX(Clients!$C$2:$C$501,MATCH(B263,Clients!$A$2:$A$501,0)),"Client ID not found"))</f>
        <v/>
      </c>
      <c r="D263" s="17"/>
      <c r="E263" s="40"/>
      <c r="F263" s="41"/>
      <c r="G263" s="17"/>
      <c r="H263" s="17"/>
      <c r="I263" s="17"/>
      <c r="J263" s="40"/>
      <c r="K263" s="17"/>
      <c r="L263" s="17"/>
      <c r="M263" s="17"/>
      <c r="N263" s="44" t="str">
        <f aca="true">IF(A263="","",IF(N(K263)&gt;Settings!$S$7,"Over revision limit",IF(AND(D263="Free video",J263="",E263&lt;&gt;"",TODAY()&gt;WORKDAY(E263,Settings!$S$5)),"LATE – free video promised in 5 working days",IF(AND(E263&lt;&gt;"",E263=TODAY()),"Shooting today",""))))</f>
        <v/>
      </c>
    </row>
    <row r="264" customFormat="false" ht="15" hidden="false" customHeight="false" outlineLevel="0" collapsed="false">
      <c r="A264" s="17"/>
      <c r="B264" s="17"/>
      <c r="C264" s="44" t="str">
        <f aca="false">IF(B264="","",IFERROR(INDEX(Clients!$C$2:$C$501,MATCH(B264,Clients!$A$2:$A$501,0)),"Client ID not found"))</f>
        <v/>
      </c>
      <c r="D264" s="17"/>
      <c r="E264" s="40"/>
      <c r="F264" s="41"/>
      <c r="G264" s="17"/>
      <c r="H264" s="17"/>
      <c r="I264" s="17"/>
      <c r="J264" s="40"/>
      <c r="K264" s="17"/>
      <c r="L264" s="17"/>
      <c r="M264" s="17"/>
      <c r="N264" s="44" t="str">
        <f aca="true">IF(A264="","",IF(N(K264)&gt;Settings!$S$7,"Over revision limit",IF(AND(D264="Free video",J264="",E264&lt;&gt;"",TODAY()&gt;WORKDAY(E264,Settings!$S$5)),"LATE – free video promised in 5 working days",IF(AND(E264&lt;&gt;"",E264=TODAY()),"Shooting today",""))))</f>
        <v/>
      </c>
    </row>
    <row r="265" customFormat="false" ht="15" hidden="false" customHeight="false" outlineLevel="0" collapsed="false">
      <c r="A265" s="17"/>
      <c r="B265" s="17"/>
      <c r="C265" s="44" t="str">
        <f aca="false">IF(B265="","",IFERROR(INDEX(Clients!$C$2:$C$501,MATCH(B265,Clients!$A$2:$A$501,0)),"Client ID not found"))</f>
        <v/>
      </c>
      <c r="D265" s="17"/>
      <c r="E265" s="40"/>
      <c r="F265" s="41"/>
      <c r="G265" s="17"/>
      <c r="H265" s="17"/>
      <c r="I265" s="17"/>
      <c r="J265" s="40"/>
      <c r="K265" s="17"/>
      <c r="L265" s="17"/>
      <c r="M265" s="17"/>
      <c r="N265" s="44" t="str">
        <f aca="true">IF(A265="","",IF(N(K265)&gt;Settings!$S$7,"Over revision limit",IF(AND(D265="Free video",J265="",E265&lt;&gt;"",TODAY()&gt;WORKDAY(E265,Settings!$S$5)),"LATE – free video promised in 5 working days",IF(AND(E265&lt;&gt;"",E265=TODAY()),"Shooting today",""))))</f>
        <v/>
      </c>
    </row>
    <row r="266" customFormat="false" ht="15" hidden="false" customHeight="false" outlineLevel="0" collapsed="false">
      <c r="A266" s="17"/>
      <c r="B266" s="17"/>
      <c r="C266" s="44" t="str">
        <f aca="false">IF(B266="","",IFERROR(INDEX(Clients!$C$2:$C$501,MATCH(B266,Clients!$A$2:$A$501,0)),"Client ID not found"))</f>
        <v/>
      </c>
      <c r="D266" s="17"/>
      <c r="E266" s="40"/>
      <c r="F266" s="41"/>
      <c r="G266" s="17"/>
      <c r="H266" s="17"/>
      <c r="I266" s="17"/>
      <c r="J266" s="40"/>
      <c r="K266" s="17"/>
      <c r="L266" s="17"/>
      <c r="M266" s="17"/>
      <c r="N266" s="44" t="str">
        <f aca="true">IF(A266="","",IF(N(K266)&gt;Settings!$S$7,"Over revision limit",IF(AND(D266="Free video",J266="",E266&lt;&gt;"",TODAY()&gt;WORKDAY(E266,Settings!$S$5)),"LATE – free video promised in 5 working days",IF(AND(E266&lt;&gt;"",E266=TODAY()),"Shooting today",""))))</f>
        <v/>
      </c>
    </row>
    <row r="267" customFormat="false" ht="15" hidden="false" customHeight="false" outlineLevel="0" collapsed="false">
      <c r="A267" s="17"/>
      <c r="B267" s="17"/>
      <c r="C267" s="44" t="str">
        <f aca="false">IF(B267="","",IFERROR(INDEX(Clients!$C$2:$C$501,MATCH(B267,Clients!$A$2:$A$501,0)),"Client ID not found"))</f>
        <v/>
      </c>
      <c r="D267" s="17"/>
      <c r="E267" s="40"/>
      <c r="F267" s="41"/>
      <c r="G267" s="17"/>
      <c r="H267" s="17"/>
      <c r="I267" s="17"/>
      <c r="J267" s="40"/>
      <c r="K267" s="17"/>
      <c r="L267" s="17"/>
      <c r="M267" s="17"/>
      <c r="N267" s="44" t="str">
        <f aca="true">IF(A267="","",IF(N(K267)&gt;Settings!$S$7,"Over revision limit",IF(AND(D267="Free video",J267="",E267&lt;&gt;"",TODAY()&gt;WORKDAY(E267,Settings!$S$5)),"LATE – free video promised in 5 working days",IF(AND(E267&lt;&gt;"",E267=TODAY()),"Shooting today",""))))</f>
        <v/>
      </c>
    </row>
    <row r="268" customFormat="false" ht="15" hidden="false" customHeight="false" outlineLevel="0" collapsed="false">
      <c r="A268" s="17"/>
      <c r="B268" s="17"/>
      <c r="C268" s="44" t="str">
        <f aca="false">IF(B268="","",IFERROR(INDEX(Clients!$C$2:$C$501,MATCH(B268,Clients!$A$2:$A$501,0)),"Client ID not found"))</f>
        <v/>
      </c>
      <c r="D268" s="17"/>
      <c r="E268" s="40"/>
      <c r="F268" s="41"/>
      <c r="G268" s="17"/>
      <c r="H268" s="17"/>
      <c r="I268" s="17"/>
      <c r="J268" s="40"/>
      <c r="K268" s="17"/>
      <c r="L268" s="17"/>
      <c r="M268" s="17"/>
      <c r="N268" s="44" t="str">
        <f aca="true">IF(A268="","",IF(N(K268)&gt;Settings!$S$7,"Over revision limit",IF(AND(D268="Free video",J268="",E268&lt;&gt;"",TODAY()&gt;WORKDAY(E268,Settings!$S$5)),"LATE – free video promised in 5 working days",IF(AND(E268&lt;&gt;"",E268=TODAY()),"Shooting today",""))))</f>
        <v/>
      </c>
    </row>
    <row r="269" customFormat="false" ht="15" hidden="false" customHeight="false" outlineLevel="0" collapsed="false">
      <c r="A269" s="17"/>
      <c r="B269" s="17"/>
      <c r="C269" s="44" t="str">
        <f aca="false">IF(B269="","",IFERROR(INDEX(Clients!$C$2:$C$501,MATCH(B269,Clients!$A$2:$A$501,0)),"Client ID not found"))</f>
        <v/>
      </c>
      <c r="D269" s="17"/>
      <c r="E269" s="40"/>
      <c r="F269" s="41"/>
      <c r="G269" s="17"/>
      <c r="H269" s="17"/>
      <c r="I269" s="17"/>
      <c r="J269" s="40"/>
      <c r="K269" s="17"/>
      <c r="L269" s="17"/>
      <c r="M269" s="17"/>
      <c r="N269" s="44" t="str">
        <f aca="true">IF(A269="","",IF(N(K269)&gt;Settings!$S$7,"Over revision limit",IF(AND(D269="Free video",J269="",E269&lt;&gt;"",TODAY()&gt;WORKDAY(E269,Settings!$S$5)),"LATE – free video promised in 5 working days",IF(AND(E269&lt;&gt;"",E269=TODAY()),"Shooting today",""))))</f>
        <v/>
      </c>
    </row>
    <row r="270" customFormat="false" ht="15" hidden="false" customHeight="false" outlineLevel="0" collapsed="false">
      <c r="A270" s="17"/>
      <c r="B270" s="17"/>
      <c r="C270" s="44" t="str">
        <f aca="false">IF(B270="","",IFERROR(INDEX(Clients!$C$2:$C$501,MATCH(B270,Clients!$A$2:$A$501,0)),"Client ID not found"))</f>
        <v/>
      </c>
      <c r="D270" s="17"/>
      <c r="E270" s="40"/>
      <c r="F270" s="41"/>
      <c r="G270" s="17"/>
      <c r="H270" s="17"/>
      <c r="I270" s="17"/>
      <c r="J270" s="40"/>
      <c r="K270" s="17"/>
      <c r="L270" s="17"/>
      <c r="M270" s="17"/>
      <c r="N270" s="44" t="str">
        <f aca="true">IF(A270="","",IF(N(K270)&gt;Settings!$S$7,"Over revision limit",IF(AND(D270="Free video",J270="",E270&lt;&gt;"",TODAY()&gt;WORKDAY(E270,Settings!$S$5)),"LATE – free video promised in 5 working days",IF(AND(E270&lt;&gt;"",E270=TODAY()),"Shooting today",""))))</f>
        <v/>
      </c>
    </row>
    <row r="271" customFormat="false" ht="15" hidden="false" customHeight="false" outlineLevel="0" collapsed="false">
      <c r="A271" s="17"/>
      <c r="B271" s="17"/>
      <c r="C271" s="44" t="str">
        <f aca="false">IF(B271="","",IFERROR(INDEX(Clients!$C$2:$C$501,MATCH(B271,Clients!$A$2:$A$501,0)),"Client ID not found"))</f>
        <v/>
      </c>
      <c r="D271" s="17"/>
      <c r="E271" s="40"/>
      <c r="F271" s="41"/>
      <c r="G271" s="17"/>
      <c r="H271" s="17"/>
      <c r="I271" s="17"/>
      <c r="J271" s="40"/>
      <c r="K271" s="17"/>
      <c r="L271" s="17"/>
      <c r="M271" s="17"/>
      <c r="N271" s="44" t="str">
        <f aca="true">IF(A271="","",IF(N(K271)&gt;Settings!$S$7,"Over revision limit",IF(AND(D271="Free video",J271="",E271&lt;&gt;"",TODAY()&gt;WORKDAY(E271,Settings!$S$5)),"LATE – free video promised in 5 working days",IF(AND(E271&lt;&gt;"",E271=TODAY()),"Shooting today",""))))</f>
        <v/>
      </c>
    </row>
    <row r="272" customFormat="false" ht="15" hidden="false" customHeight="false" outlineLevel="0" collapsed="false">
      <c r="A272" s="17"/>
      <c r="B272" s="17"/>
      <c r="C272" s="44" t="str">
        <f aca="false">IF(B272="","",IFERROR(INDEX(Clients!$C$2:$C$501,MATCH(B272,Clients!$A$2:$A$501,0)),"Client ID not found"))</f>
        <v/>
      </c>
      <c r="D272" s="17"/>
      <c r="E272" s="40"/>
      <c r="F272" s="41"/>
      <c r="G272" s="17"/>
      <c r="H272" s="17"/>
      <c r="I272" s="17"/>
      <c r="J272" s="40"/>
      <c r="K272" s="17"/>
      <c r="L272" s="17"/>
      <c r="M272" s="17"/>
      <c r="N272" s="44" t="str">
        <f aca="true">IF(A272="","",IF(N(K272)&gt;Settings!$S$7,"Over revision limit",IF(AND(D272="Free video",J272="",E272&lt;&gt;"",TODAY()&gt;WORKDAY(E272,Settings!$S$5)),"LATE – free video promised in 5 working days",IF(AND(E272&lt;&gt;"",E272=TODAY()),"Shooting today",""))))</f>
        <v/>
      </c>
    </row>
    <row r="273" customFormat="false" ht="15" hidden="false" customHeight="false" outlineLevel="0" collapsed="false">
      <c r="A273" s="17"/>
      <c r="B273" s="17"/>
      <c r="C273" s="44" t="str">
        <f aca="false">IF(B273="","",IFERROR(INDEX(Clients!$C$2:$C$501,MATCH(B273,Clients!$A$2:$A$501,0)),"Client ID not found"))</f>
        <v/>
      </c>
      <c r="D273" s="17"/>
      <c r="E273" s="40"/>
      <c r="F273" s="41"/>
      <c r="G273" s="17"/>
      <c r="H273" s="17"/>
      <c r="I273" s="17"/>
      <c r="J273" s="40"/>
      <c r="K273" s="17"/>
      <c r="L273" s="17"/>
      <c r="M273" s="17"/>
      <c r="N273" s="44" t="str">
        <f aca="true">IF(A273="","",IF(N(K273)&gt;Settings!$S$7,"Over revision limit",IF(AND(D273="Free video",J273="",E273&lt;&gt;"",TODAY()&gt;WORKDAY(E273,Settings!$S$5)),"LATE – free video promised in 5 working days",IF(AND(E273&lt;&gt;"",E273=TODAY()),"Shooting today",""))))</f>
        <v/>
      </c>
    </row>
    <row r="274" customFormat="false" ht="15" hidden="false" customHeight="false" outlineLevel="0" collapsed="false">
      <c r="A274" s="17"/>
      <c r="B274" s="17"/>
      <c r="C274" s="44" t="str">
        <f aca="false">IF(B274="","",IFERROR(INDEX(Clients!$C$2:$C$501,MATCH(B274,Clients!$A$2:$A$501,0)),"Client ID not found"))</f>
        <v/>
      </c>
      <c r="D274" s="17"/>
      <c r="E274" s="40"/>
      <c r="F274" s="41"/>
      <c r="G274" s="17"/>
      <c r="H274" s="17"/>
      <c r="I274" s="17"/>
      <c r="J274" s="40"/>
      <c r="K274" s="17"/>
      <c r="L274" s="17"/>
      <c r="M274" s="17"/>
      <c r="N274" s="44" t="str">
        <f aca="true">IF(A274="","",IF(N(K274)&gt;Settings!$S$7,"Over revision limit",IF(AND(D274="Free video",J274="",E274&lt;&gt;"",TODAY()&gt;WORKDAY(E274,Settings!$S$5)),"LATE – free video promised in 5 working days",IF(AND(E274&lt;&gt;"",E274=TODAY()),"Shooting today",""))))</f>
        <v/>
      </c>
    </row>
    <row r="275" customFormat="false" ht="15" hidden="false" customHeight="false" outlineLevel="0" collapsed="false">
      <c r="A275" s="17"/>
      <c r="B275" s="17"/>
      <c r="C275" s="44" t="str">
        <f aca="false">IF(B275="","",IFERROR(INDEX(Clients!$C$2:$C$501,MATCH(B275,Clients!$A$2:$A$501,0)),"Client ID not found"))</f>
        <v/>
      </c>
      <c r="D275" s="17"/>
      <c r="E275" s="40"/>
      <c r="F275" s="41"/>
      <c r="G275" s="17"/>
      <c r="H275" s="17"/>
      <c r="I275" s="17"/>
      <c r="J275" s="40"/>
      <c r="K275" s="17"/>
      <c r="L275" s="17"/>
      <c r="M275" s="17"/>
      <c r="N275" s="44" t="str">
        <f aca="true">IF(A275="","",IF(N(K275)&gt;Settings!$S$7,"Over revision limit",IF(AND(D275="Free video",J275="",E275&lt;&gt;"",TODAY()&gt;WORKDAY(E275,Settings!$S$5)),"LATE – free video promised in 5 working days",IF(AND(E275&lt;&gt;"",E275=TODAY()),"Shooting today",""))))</f>
        <v/>
      </c>
    </row>
    <row r="276" customFormat="false" ht="15" hidden="false" customHeight="false" outlineLevel="0" collapsed="false">
      <c r="A276" s="17"/>
      <c r="B276" s="17"/>
      <c r="C276" s="44" t="str">
        <f aca="false">IF(B276="","",IFERROR(INDEX(Clients!$C$2:$C$501,MATCH(B276,Clients!$A$2:$A$501,0)),"Client ID not found"))</f>
        <v/>
      </c>
      <c r="D276" s="17"/>
      <c r="E276" s="40"/>
      <c r="F276" s="41"/>
      <c r="G276" s="17"/>
      <c r="H276" s="17"/>
      <c r="I276" s="17"/>
      <c r="J276" s="40"/>
      <c r="K276" s="17"/>
      <c r="L276" s="17"/>
      <c r="M276" s="17"/>
      <c r="N276" s="44" t="str">
        <f aca="true">IF(A276="","",IF(N(K276)&gt;Settings!$S$7,"Over revision limit",IF(AND(D276="Free video",J276="",E276&lt;&gt;"",TODAY()&gt;WORKDAY(E276,Settings!$S$5)),"LATE – free video promised in 5 working days",IF(AND(E276&lt;&gt;"",E276=TODAY()),"Shooting today",""))))</f>
        <v/>
      </c>
    </row>
    <row r="277" customFormat="false" ht="15" hidden="false" customHeight="false" outlineLevel="0" collapsed="false">
      <c r="A277" s="17"/>
      <c r="B277" s="17"/>
      <c r="C277" s="44" t="str">
        <f aca="false">IF(B277="","",IFERROR(INDEX(Clients!$C$2:$C$501,MATCH(B277,Clients!$A$2:$A$501,0)),"Client ID not found"))</f>
        <v/>
      </c>
      <c r="D277" s="17"/>
      <c r="E277" s="40"/>
      <c r="F277" s="41"/>
      <c r="G277" s="17"/>
      <c r="H277" s="17"/>
      <c r="I277" s="17"/>
      <c r="J277" s="40"/>
      <c r="K277" s="17"/>
      <c r="L277" s="17"/>
      <c r="M277" s="17"/>
      <c r="N277" s="44" t="str">
        <f aca="true">IF(A277="","",IF(N(K277)&gt;Settings!$S$7,"Over revision limit",IF(AND(D277="Free video",J277="",E277&lt;&gt;"",TODAY()&gt;WORKDAY(E277,Settings!$S$5)),"LATE – free video promised in 5 working days",IF(AND(E277&lt;&gt;"",E277=TODAY()),"Shooting today",""))))</f>
        <v/>
      </c>
    </row>
    <row r="278" customFormat="false" ht="15" hidden="false" customHeight="false" outlineLevel="0" collapsed="false">
      <c r="A278" s="17"/>
      <c r="B278" s="17"/>
      <c r="C278" s="44" t="str">
        <f aca="false">IF(B278="","",IFERROR(INDEX(Clients!$C$2:$C$501,MATCH(B278,Clients!$A$2:$A$501,0)),"Client ID not found"))</f>
        <v/>
      </c>
      <c r="D278" s="17"/>
      <c r="E278" s="40"/>
      <c r="F278" s="41"/>
      <c r="G278" s="17"/>
      <c r="H278" s="17"/>
      <c r="I278" s="17"/>
      <c r="J278" s="40"/>
      <c r="K278" s="17"/>
      <c r="L278" s="17"/>
      <c r="M278" s="17"/>
      <c r="N278" s="44" t="str">
        <f aca="true">IF(A278="","",IF(N(K278)&gt;Settings!$S$7,"Over revision limit",IF(AND(D278="Free video",J278="",E278&lt;&gt;"",TODAY()&gt;WORKDAY(E278,Settings!$S$5)),"LATE – free video promised in 5 working days",IF(AND(E278&lt;&gt;"",E278=TODAY()),"Shooting today",""))))</f>
        <v/>
      </c>
    </row>
    <row r="279" customFormat="false" ht="15" hidden="false" customHeight="false" outlineLevel="0" collapsed="false">
      <c r="A279" s="17"/>
      <c r="B279" s="17"/>
      <c r="C279" s="44" t="str">
        <f aca="false">IF(B279="","",IFERROR(INDEX(Clients!$C$2:$C$501,MATCH(B279,Clients!$A$2:$A$501,0)),"Client ID not found"))</f>
        <v/>
      </c>
      <c r="D279" s="17"/>
      <c r="E279" s="40"/>
      <c r="F279" s="41"/>
      <c r="G279" s="17"/>
      <c r="H279" s="17"/>
      <c r="I279" s="17"/>
      <c r="J279" s="40"/>
      <c r="K279" s="17"/>
      <c r="L279" s="17"/>
      <c r="M279" s="17"/>
      <c r="N279" s="44" t="str">
        <f aca="true">IF(A279="","",IF(N(K279)&gt;Settings!$S$7,"Over revision limit",IF(AND(D279="Free video",J279="",E279&lt;&gt;"",TODAY()&gt;WORKDAY(E279,Settings!$S$5)),"LATE – free video promised in 5 working days",IF(AND(E279&lt;&gt;"",E279=TODAY()),"Shooting today",""))))</f>
        <v/>
      </c>
    </row>
    <row r="280" customFormat="false" ht="15" hidden="false" customHeight="false" outlineLevel="0" collapsed="false">
      <c r="A280" s="17"/>
      <c r="B280" s="17"/>
      <c r="C280" s="44" t="str">
        <f aca="false">IF(B280="","",IFERROR(INDEX(Clients!$C$2:$C$501,MATCH(B280,Clients!$A$2:$A$501,0)),"Client ID not found"))</f>
        <v/>
      </c>
      <c r="D280" s="17"/>
      <c r="E280" s="40"/>
      <c r="F280" s="41"/>
      <c r="G280" s="17"/>
      <c r="H280" s="17"/>
      <c r="I280" s="17"/>
      <c r="J280" s="40"/>
      <c r="K280" s="17"/>
      <c r="L280" s="17"/>
      <c r="M280" s="17"/>
      <c r="N280" s="44" t="str">
        <f aca="true">IF(A280="","",IF(N(K280)&gt;Settings!$S$7,"Over revision limit",IF(AND(D280="Free video",J280="",E280&lt;&gt;"",TODAY()&gt;WORKDAY(E280,Settings!$S$5)),"LATE – free video promised in 5 working days",IF(AND(E280&lt;&gt;"",E280=TODAY()),"Shooting today",""))))</f>
        <v/>
      </c>
    </row>
    <row r="281" customFormat="false" ht="15" hidden="false" customHeight="false" outlineLevel="0" collapsed="false">
      <c r="A281" s="17"/>
      <c r="B281" s="17"/>
      <c r="C281" s="44" t="str">
        <f aca="false">IF(B281="","",IFERROR(INDEX(Clients!$C$2:$C$501,MATCH(B281,Clients!$A$2:$A$501,0)),"Client ID not found"))</f>
        <v/>
      </c>
      <c r="D281" s="17"/>
      <c r="E281" s="40"/>
      <c r="F281" s="41"/>
      <c r="G281" s="17"/>
      <c r="H281" s="17"/>
      <c r="I281" s="17"/>
      <c r="J281" s="40"/>
      <c r="K281" s="17"/>
      <c r="L281" s="17"/>
      <c r="M281" s="17"/>
      <c r="N281" s="44" t="str">
        <f aca="true">IF(A281="","",IF(N(K281)&gt;Settings!$S$7,"Over revision limit",IF(AND(D281="Free video",J281="",E281&lt;&gt;"",TODAY()&gt;WORKDAY(E281,Settings!$S$5)),"LATE – free video promised in 5 working days",IF(AND(E281&lt;&gt;"",E281=TODAY()),"Shooting today",""))))</f>
        <v/>
      </c>
    </row>
    <row r="282" customFormat="false" ht="15" hidden="false" customHeight="false" outlineLevel="0" collapsed="false">
      <c r="A282" s="17"/>
      <c r="B282" s="17"/>
      <c r="C282" s="44" t="str">
        <f aca="false">IF(B282="","",IFERROR(INDEX(Clients!$C$2:$C$501,MATCH(B282,Clients!$A$2:$A$501,0)),"Client ID not found"))</f>
        <v/>
      </c>
      <c r="D282" s="17"/>
      <c r="E282" s="40"/>
      <c r="F282" s="41"/>
      <c r="G282" s="17"/>
      <c r="H282" s="17"/>
      <c r="I282" s="17"/>
      <c r="J282" s="40"/>
      <c r="K282" s="17"/>
      <c r="L282" s="17"/>
      <c r="M282" s="17"/>
      <c r="N282" s="44" t="str">
        <f aca="true">IF(A282="","",IF(N(K282)&gt;Settings!$S$7,"Over revision limit",IF(AND(D282="Free video",J282="",E282&lt;&gt;"",TODAY()&gt;WORKDAY(E282,Settings!$S$5)),"LATE – free video promised in 5 working days",IF(AND(E282&lt;&gt;"",E282=TODAY()),"Shooting today",""))))</f>
        <v/>
      </c>
    </row>
    <row r="283" customFormat="false" ht="15" hidden="false" customHeight="false" outlineLevel="0" collapsed="false">
      <c r="A283" s="17"/>
      <c r="B283" s="17"/>
      <c r="C283" s="44" t="str">
        <f aca="false">IF(B283="","",IFERROR(INDEX(Clients!$C$2:$C$501,MATCH(B283,Clients!$A$2:$A$501,0)),"Client ID not found"))</f>
        <v/>
      </c>
      <c r="D283" s="17"/>
      <c r="E283" s="40"/>
      <c r="F283" s="41"/>
      <c r="G283" s="17"/>
      <c r="H283" s="17"/>
      <c r="I283" s="17"/>
      <c r="J283" s="40"/>
      <c r="K283" s="17"/>
      <c r="L283" s="17"/>
      <c r="M283" s="17"/>
      <c r="N283" s="44" t="str">
        <f aca="true">IF(A283="","",IF(N(K283)&gt;Settings!$S$7,"Over revision limit",IF(AND(D283="Free video",J283="",E283&lt;&gt;"",TODAY()&gt;WORKDAY(E283,Settings!$S$5)),"LATE – free video promised in 5 working days",IF(AND(E283&lt;&gt;"",E283=TODAY()),"Shooting today",""))))</f>
        <v/>
      </c>
    </row>
    <row r="284" customFormat="false" ht="15" hidden="false" customHeight="false" outlineLevel="0" collapsed="false">
      <c r="A284" s="17"/>
      <c r="B284" s="17"/>
      <c r="C284" s="44" t="str">
        <f aca="false">IF(B284="","",IFERROR(INDEX(Clients!$C$2:$C$501,MATCH(B284,Clients!$A$2:$A$501,0)),"Client ID not found"))</f>
        <v/>
      </c>
      <c r="D284" s="17"/>
      <c r="E284" s="40"/>
      <c r="F284" s="41"/>
      <c r="G284" s="17"/>
      <c r="H284" s="17"/>
      <c r="I284" s="17"/>
      <c r="J284" s="40"/>
      <c r="K284" s="17"/>
      <c r="L284" s="17"/>
      <c r="M284" s="17"/>
      <c r="N284" s="44" t="str">
        <f aca="true">IF(A284="","",IF(N(K284)&gt;Settings!$S$7,"Over revision limit",IF(AND(D284="Free video",J284="",E284&lt;&gt;"",TODAY()&gt;WORKDAY(E284,Settings!$S$5)),"LATE – free video promised in 5 working days",IF(AND(E284&lt;&gt;"",E284=TODAY()),"Shooting today",""))))</f>
        <v/>
      </c>
    </row>
    <row r="285" customFormat="false" ht="15" hidden="false" customHeight="false" outlineLevel="0" collapsed="false">
      <c r="A285" s="17"/>
      <c r="B285" s="17"/>
      <c r="C285" s="44" t="str">
        <f aca="false">IF(B285="","",IFERROR(INDEX(Clients!$C$2:$C$501,MATCH(B285,Clients!$A$2:$A$501,0)),"Client ID not found"))</f>
        <v/>
      </c>
      <c r="D285" s="17"/>
      <c r="E285" s="40"/>
      <c r="F285" s="41"/>
      <c r="G285" s="17"/>
      <c r="H285" s="17"/>
      <c r="I285" s="17"/>
      <c r="J285" s="40"/>
      <c r="K285" s="17"/>
      <c r="L285" s="17"/>
      <c r="M285" s="17"/>
      <c r="N285" s="44" t="str">
        <f aca="true">IF(A285="","",IF(N(K285)&gt;Settings!$S$7,"Over revision limit",IF(AND(D285="Free video",J285="",E285&lt;&gt;"",TODAY()&gt;WORKDAY(E285,Settings!$S$5)),"LATE – free video promised in 5 working days",IF(AND(E285&lt;&gt;"",E285=TODAY()),"Shooting today",""))))</f>
        <v/>
      </c>
    </row>
    <row r="286" customFormat="false" ht="15" hidden="false" customHeight="false" outlineLevel="0" collapsed="false">
      <c r="A286" s="17"/>
      <c r="B286" s="17"/>
      <c r="C286" s="44" t="str">
        <f aca="false">IF(B286="","",IFERROR(INDEX(Clients!$C$2:$C$501,MATCH(B286,Clients!$A$2:$A$501,0)),"Client ID not found"))</f>
        <v/>
      </c>
      <c r="D286" s="17"/>
      <c r="E286" s="40"/>
      <c r="F286" s="41"/>
      <c r="G286" s="17"/>
      <c r="H286" s="17"/>
      <c r="I286" s="17"/>
      <c r="J286" s="40"/>
      <c r="K286" s="17"/>
      <c r="L286" s="17"/>
      <c r="M286" s="17"/>
      <c r="N286" s="44" t="str">
        <f aca="true">IF(A286="","",IF(N(K286)&gt;Settings!$S$7,"Over revision limit",IF(AND(D286="Free video",J286="",E286&lt;&gt;"",TODAY()&gt;WORKDAY(E286,Settings!$S$5)),"LATE – free video promised in 5 working days",IF(AND(E286&lt;&gt;"",E286=TODAY()),"Shooting today",""))))</f>
        <v/>
      </c>
    </row>
    <row r="287" customFormat="false" ht="15" hidden="false" customHeight="false" outlineLevel="0" collapsed="false">
      <c r="A287" s="17"/>
      <c r="B287" s="17"/>
      <c r="C287" s="44" t="str">
        <f aca="false">IF(B287="","",IFERROR(INDEX(Clients!$C$2:$C$501,MATCH(B287,Clients!$A$2:$A$501,0)),"Client ID not found"))</f>
        <v/>
      </c>
      <c r="D287" s="17"/>
      <c r="E287" s="40"/>
      <c r="F287" s="41"/>
      <c r="G287" s="17"/>
      <c r="H287" s="17"/>
      <c r="I287" s="17"/>
      <c r="J287" s="40"/>
      <c r="K287" s="17"/>
      <c r="L287" s="17"/>
      <c r="M287" s="17"/>
      <c r="N287" s="44" t="str">
        <f aca="true">IF(A287="","",IF(N(K287)&gt;Settings!$S$7,"Over revision limit",IF(AND(D287="Free video",J287="",E287&lt;&gt;"",TODAY()&gt;WORKDAY(E287,Settings!$S$5)),"LATE – free video promised in 5 working days",IF(AND(E287&lt;&gt;"",E287=TODAY()),"Shooting today",""))))</f>
        <v/>
      </c>
    </row>
    <row r="288" customFormat="false" ht="15" hidden="false" customHeight="false" outlineLevel="0" collapsed="false">
      <c r="A288" s="17"/>
      <c r="B288" s="17"/>
      <c r="C288" s="44" t="str">
        <f aca="false">IF(B288="","",IFERROR(INDEX(Clients!$C$2:$C$501,MATCH(B288,Clients!$A$2:$A$501,0)),"Client ID not found"))</f>
        <v/>
      </c>
      <c r="D288" s="17"/>
      <c r="E288" s="40"/>
      <c r="F288" s="41"/>
      <c r="G288" s="17"/>
      <c r="H288" s="17"/>
      <c r="I288" s="17"/>
      <c r="J288" s="40"/>
      <c r="K288" s="17"/>
      <c r="L288" s="17"/>
      <c r="M288" s="17"/>
      <c r="N288" s="44" t="str">
        <f aca="true">IF(A288="","",IF(N(K288)&gt;Settings!$S$7,"Over revision limit",IF(AND(D288="Free video",J288="",E288&lt;&gt;"",TODAY()&gt;WORKDAY(E288,Settings!$S$5)),"LATE – free video promised in 5 working days",IF(AND(E288&lt;&gt;"",E288=TODAY()),"Shooting today",""))))</f>
        <v/>
      </c>
    </row>
    <row r="289" customFormat="false" ht="15" hidden="false" customHeight="false" outlineLevel="0" collapsed="false">
      <c r="A289" s="17"/>
      <c r="B289" s="17"/>
      <c r="C289" s="44" t="str">
        <f aca="false">IF(B289="","",IFERROR(INDEX(Clients!$C$2:$C$501,MATCH(B289,Clients!$A$2:$A$501,0)),"Client ID not found"))</f>
        <v/>
      </c>
      <c r="D289" s="17"/>
      <c r="E289" s="40"/>
      <c r="F289" s="41"/>
      <c r="G289" s="17"/>
      <c r="H289" s="17"/>
      <c r="I289" s="17"/>
      <c r="J289" s="40"/>
      <c r="K289" s="17"/>
      <c r="L289" s="17"/>
      <c r="M289" s="17"/>
      <c r="N289" s="44" t="str">
        <f aca="true">IF(A289="","",IF(N(K289)&gt;Settings!$S$7,"Over revision limit",IF(AND(D289="Free video",J289="",E289&lt;&gt;"",TODAY()&gt;WORKDAY(E289,Settings!$S$5)),"LATE – free video promised in 5 working days",IF(AND(E289&lt;&gt;"",E289=TODAY()),"Shooting today",""))))</f>
        <v/>
      </c>
    </row>
    <row r="290" customFormat="false" ht="15" hidden="false" customHeight="false" outlineLevel="0" collapsed="false">
      <c r="A290" s="17"/>
      <c r="B290" s="17"/>
      <c r="C290" s="44" t="str">
        <f aca="false">IF(B290="","",IFERROR(INDEX(Clients!$C$2:$C$501,MATCH(B290,Clients!$A$2:$A$501,0)),"Client ID not found"))</f>
        <v/>
      </c>
      <c r="D290" s="17"/>
      <c r="E290" s="40"/>
      <c r="F290" s="41"/>
      <c r="G290" s="17"/>
      <c r="H290" s="17"/>
      <c r="I290" s="17"/>
      <c r="J290" s="40"/>
      <c r="K290" s="17"/>
      <c r="L290" s="17"/>
      <c r="M290" s="17"/>
      <c r="N290" s="44" t="str">
        <f aca="true">IF(A290="","",IF(N(K290)&gt;Settings!$S$7,"Over revision limit",IF(AND(D290="Free video",J290="",E290&lt;&gt;"",TODAY()&gt;WORKDAY(E290,Settings!$S$5)),"LATE – free video promised in 5 working days",IF(AND(E290&lt;&gt;"",E290=TODAY()),"Shooting today",""))))</f>
        <v/>
      </c>
    </row>
    <row r="291" customFormat="false" ht="15" hidden="false" customHeight="false" outlineLevel="0" collapsed="false">
      <c r="A291" s="17"/>
      <c r="B291" s="17"/>
      <c r="C291" s="44" t="str">
        <f aca="false">IF(B291="","",IFERROR(INDEX(Clients!$C$2:$C$501,MATCH(B291,Clients!$A$2:$A$501,0)),"Client ID not found"))</f>
        <v/>
      </c>
      <c r="D291" s="17"/>
      <c r="E291" s="40"/>
      <c r="F291" s="41"/>
      <c r="G291" s="17"/>
      <c r="H291" s="17"/>
      <c r="I291" s="17"/>
      <c r="J291" s="40"/>
      <c r="K291" s="17"/>
      <c r="L291" s="17"/>
      <c r="M291" s="17"/>
      <c r="N291" s="44" t="str">
        <f aca="true">IF(A291="","",IF(N(K291)&gt;Settings!$S$7,"Over revision limit",IF(AND(D291="Free video",J291="",E291&lt;&gt;"",TODAY()&gt;WORKDAY(E291,Settings!$S$5)),"LATE – free video promised in 5 working days",IF(AND(E291&lt;&gt;"",E291=TODAY()),"Shooting today",""))))</f>
        <v/>
      </c>
    </row>
    <row r="292" customFormat="false" ht="15" hidden="false" customHeight="false" outlineLevel="0" collapsed="false">
      <c r="A292" s="17"/>
      <c r="B292" s="17"/>
      <c r="C292" s="44" t="str">
        <f aca="false">IF(B292="","",IFERROR(INDEX(Clients!$C$2:$C$501,MATCH(B292,Clients!$A$2:$A$501,0)),"Client ID not found"))</f>
        <v/>
      </c>
      <c r="D292" s="17"/>
      <c r="E292" s="40"/>
      <c r="F292" s="41"/>
      <c r="G292" s="17"/>
      <c r="H292" s="17"/>
      <c r="I292" s="17"/>
      <c r="J292" s="40"/>
      <c r="K292" s="17"/>
      <c r="L292" s="17"/>
      <c r="M292" s="17"/>
      <c r="N292" s="44" t="str">
        <f aca="true">IF(A292="","",IF(N(K292)&gt;Settings!$S$7,"Over revision limit",IF(AND(D292="Free video",J292="",E292&lt;&gt;"",TODAY()&gt;WORKDAY(E292,Settings!$S$5)),"LATE – free video promised in 5 working days",IF(AND(E292&lt;&gt;"",E292=TODAY()),"Shooting today",""))))</f>
        <v/>
      </c>
    </row>
    <row r="293" customFormat="false" ht="15" hidden="false" customHeight="false" outlineLevel="0" collapsed="false">
      <c r="A293" s="17"/>
      <c r="B293" s="17"/>
      <c r="C293" s="44" t="str">
        <f aca="false">IF(B293="","",IFERROR(INDEX(Clients!$C$2:$C$501,MATCH(B293,Clients!$A$2:$A$501,0)),"Client ID not found"))</f>
        <v/>
      </c>
      <c r="D293" s="17"/>
      <c r="E293" s="40"/>
      <c r="F293" s="41"/>
      <c r="G293" s="17"/>
      <c r="H293" s="17"/>
      <c r="I293" s="17"/>
      <c r="J293" s="40"/>
      <c r="K293" s="17"/>
      <c r="L293" s="17"/>
      <c r="M293" s="17"/>
      <c r="N293" s="44" t="str">
        <f aca="true">IF(A293="","",IF(N(K293)&gt;Settings!$S$7,"Over revision limit",IF(AND(D293="Free video",J293="",E293&lt;&gt;"",TODAY()&gt;WORKDAY(E293,Settings!$S$5)),"LATE – free video promised in 5 working days",IF(AND(E293&lt;&gt;"",E293=TODAY()),"Shooting today",""))))</f>
        <v/>
      </c>
    </row>
    <row r="294" customFormat="false" ht="15" hidden="false" customHeight="false" outlineLevel="0" collapsed="false">
      <c r="A294" s="17"/>
      <c r="B294" s="17"/>
      <c r="C294" s="44" t="str">
        <f aca="false">IF(B294="","",IFERROR(INDEX(Clients!$C$2:$C$501,MATCH(B294,Clients!$A$2:$A$501,0)),"Client ID not found"))</f>
        <v/>
      </c>
      <c r="D294" s="17"/>
      <c r="E294" s="40"/>
      <c r="F294" s="41"/>
      <c r="G294" s="17"/>
      <c r="H294" s="17"/>
      <c r="I294" s="17"/>
      <c r="J294" s="40"/>
      <c r="K294" s="17"/>
      <c r="L294" s="17"/>
      <c r="M294" s="17"/>
      <c r="N294" s="44" t="str">
        <f aca="true">IF(A294="","",IF(N(K294)&gt;Settings!$S$7,"Over revision limit",IF(AND(D294="Free video",J294="",E294&lt;&gt;"",TODAY()&gt;WORKDAY(E294,Settings!$S$5)),"LATE – free video promised in 5 working days",IF(AND(E294&lt;&gt;"",E294=TODAY()),"Shooting today",""))))</f>
        <v/>
      </c>
    </row>
    <row r="295" customFormat="false" ht="15" hidden="false" customHeight="false" outlineLevel="0" collapsed="false">
      <c r="A295" s="17"/>
      <c r="B295" s="17"/>
      <c r="C295" s="44" t="str">
        <f aca="false">IF(B295="","",IFERROR(INDEX(Clients!$C$2:$C$501,MATCH(B295,Clients!$A$2:$A$501,0)),"Client ID not found"))</f>
        <v/>
      </c>
      <c r="D295" s="17"/>
      <c r="E295" s="40"/>
      <c r="F295" s="41"/>
      <c r="G295" s="17"/>
      <c r="H295" s="17"/>
      <c r="I295" s="17"/>
      <c r="J295" s="40"/>
      <c r="K295" s="17"/>
      <c r="L295" s="17"/>
      <c r="M295" s="17"/>
      <c r="N295" s="44" t="str">
        <f aca="true">IF(A295="","",IF(N(K295)&gt;Settings!$S$7,"Over revision limit",IF(AND(D295="Free video",J295="",E295&lt;&gt;"",TODAY()&gt;WORKDAY(E295,Settings!$S$5)),"LATE – free video promised in 5 working days",IF(AND(E295&lt;&gt;"",E295=TODAY()),"Shooting today",""))))</f>
        <v/>
      </c>
    </row>
    <row r="296" customFormat="false" ht="15" hidden="false" customHeight="false" outlineLevel="0" collapsed="false">
      <c r="A296" s="17"/>
      <c r="B296" s="17"/>
      <c r="C296" s="44" t="str">
        <f aca="false">IF(B296="","",IFERROR(INDEX(Clients!$C$2:$C$501,MATCH(B296,Clients!$A$2:$A$501,0)),"Client ID not found"))</f>
        <v/>
      </c>
      <c r="D296" s="17"/>
      <c r="E296" s="40"/>
      <c r="F296" s="41"/>
      <c r="G296" s="17"/>
      <c r="H296" s="17"/>
      <c r="I296" s="17"/>
      <c r="J296" s="40"/>
      <c r="K296" s="17"/>
      <c r="L296" s="17"/>
      <c r="M296" s="17"/>
      <c r="N296" s="44" t="str">
        <f aca="true">IF(A296="","",IF(N(K296)&gt;Settings!$S$7,"Over revision limit",IF(AND(D296="Free video",J296="",E296&lt;&gt;"",TODAY()&gt;WORKDAY(E296,Settings!$S$5)),"LATE – free video promised in 5 working days",IF(AND(E296&lt;&gt;"",E296=TODAY()),"Shooting today",""))))</f>
        <v/>
      </c>
    </row>
    <row r="297" customFormat="false" ht="15" hidden="false" customHeight="false" outlineLevel="0" collapsed="false">
      <c r="A297" s="17"/>
      <c r="B297" s="17"/>
      <c r="C297" s="44" t="str">
        <f aca="false">IF(B297="","",IFERROR(INDEX(Clients!$C$2:$C$501,MATCH(B297,Clients!$A$2:$A$501,0)),"Client ID not found"))</f>
        <v/>
      </c>
      <c r="D297" s="17"/>
      <c r="E297" s="40"/>
      <c r="F297" s="41"/>
      <c r="G297" s="17"/>
      <c r="H297" s="17"/>
      <c r="I297" s="17"/>
      <c r="J297" s="40"/>
      <c r="K297" s="17"/>
      <c r="L297" s="17"/>
      <c r="M297" s="17"/>
      <c r="N297" s="44" t="str">
        <f aca="true">IF(A297="","",IF(N(K297)&gt;Settings!$S$7,"Over revision limit",IF(AND(D297="Free video",J297="",E297&lt;&gt;"",TODAY()&gt;WORKDAY(E297,Settings!$S$5)),"LATE – free video promised in 5 working days",IF(AND(E297&lt;&gt;"",E297=TODAY()),"Shooting today",""))))</f>
        <v/>
      </c>
    </row>
    <row r="298" customFormat="false" ht="15" hidden="false" customHeight="false" outlineLevel="0" collapsed="false">
      <c r="A298" s="17"/>
      <c r="B298" s="17"/>
      <c r="C298" s="44" t="str">
        <f aca="false">IF(B298="","",IFERROR(INDEX(Clients!$C$2:$C$501,MATCH(B298,Clients!$A$2:$A$501,0)),"Client ID not found"))</f>
        <v/>
      </c>
      <c r="D298" s="17"/>
      <c r="E298" s="40"/>
      <c r="F298" s="41"/>
      <c r="G298" s="17"/>
      <c r="H298" s="17"/>
      <c r="I298" s="17"/>
      <c r="J298" s="40"/>
      <c r="K298" s="17"/>
      <c r="L298" s="17"/>
      <c r="M298" s="17"/>
      <c r="N298" s="44" t="str">
        <f aca="true">IF(A298="","",IF(N(K298)&gt;Settings!$S$7,"Over revision limit",IF(AND(D298="Free video",J298="",E298&lt;&gt;"",TODAY()&gt;WORKDAY(E298,Settings!$S$5)),"LATE – free video promised in 5 working days",IF(AND(E298&lt;&gt;"",E298=TODAY()),"Shooting today",""))))</f>
        <v/>
      </c>
    </row>
    <row r="299" customFormat="false" ht="15" hidden="false" customHeight="false" outlineLevel="0" collapsed="false">
      <c r="A299" s="17"/>
      <c r="B299" s="17"/>
      <c r="C299" s="44" t="str">
        <f aca="false">IF(B299="","",IFERROR(INDEX(Clients!$C$2:$C$501,MATCH(B299,Clients!$A$2:$A$501,0)),"Client ID not found"))</f>
        <v/>
      </c>
      <c r="D299" s="17"/>
      <c r="E299" s="40"/>
      <c r="F299" s="41"/>
      <c r="G299" s="17"/>
      <c r="H299" s="17"/>
      <c r="I299" s="17"/>
      <c r="J299" s="40"/>
      <c r="K299" s="17"/>
      <c r="L299" s="17"/>
      <c r="M299" s="17"/>
      <c r="N299" s="44" t="str">
        <f aca="true">IF(A299="","",IF(N(K299)&gt;Settings!$S$7,"Over revision limit",IF(AND(D299="Free video",J299="",E299&lt;&gt;"",TODAY()&gt;WORKDAY(E299,Settings!$S$5)),"LATE – free video promised in 5 working days",IF(AND(E299&lt;&gt;"",E299=TODAY()),"Shooting today",""))))</f>
        <v/>
      </c>
    </row>
    <row r="300" customFormat="false" ht="15" hidden="false" customHeight="false" outlineLevel="0" collapsed="false">
      <c r="A300" s="17"/>
      <c r="B300" s="17"/>
      <c r="C300" s="44" t="str">
        <f aca="false">IF(B300="","",IFERROR(INDEX(Clients!$C$2:$C$501,MATCH(B300,Clients!$A$2:$A$501,0)),"Client ID not found"))</f>
        <v/>
      </c>
      <c r="D300" s="17"/>
      <c r="E300" s="40"/>
      <c r="F300" s="41"/>
      <c r="G300" s="17"/>
      <c r="H300" s="17"/>
      <c r="I300" s="17"/>
      <c r="J300" s="40"/>
      <c r="K300" s="17"/>
      <c r="L300" s="17"/>
      <c r="M300" s="17"/>
      <c r="N300" s="44" t="str">
        <f aca="true">IF(A300="","",IF(N(K300)&gt;Settings!$S$7,"Over revision limit",IF(AND(D300="Free video",J300="",E300&lt;&gt;"",TODAY()&gt;WORKDAY(E300,Settings!$S$5)),"LATE – free video promised in 5 working days",IF(AND(E300&lt;&gt;"",E300=TODAY()),"Shooting today",""))))</f>
        <v/>
      </c>
    </row>
    <row r="301" customFormat="false" ht="15" hidden="false" customHeight="false" outlineLevel="0" collapsed="false">
      <c r="A301" s="17"/>
      <c r="B301" s="17"/>
      <c r="C301" s="44" t="str">
        <f aca="false">IF(B301="","",IFERROR(INDEX(Clients!$C$2:$C$501,MATCH(B301,Clients!$A$2:$A$501,0)),"Client ID not found"))</f>
        <v/>
      </c>
      <c r="D301" s="17"/>
      <c r="E301" s="40"/>
      <c r="F301" s="41"/>
      <c r="G301" s="17"/>
      <c r="H301" s="17"/>
      <c r="I301" s="17"/>
      <c r="J301" s="40"/>
      <c r="K301" s="17"/>
      <c r="L301" s="17"/>
      <c r="M301" s="17"/>
      <c r="N301" s="44" t="str">
        <f aca="true">IF(A301="","",IF(N(K301)&gt;Settings!$S$7,"Over revision limit",IF(AND(D301="Free video",J301="",E301&lt;&gt;"",TODAY()&gt;WORKDAY(E301,Settings!$S$5)),"LATE – free video promised in 5 working days",IF(AND(E301&lt;&gt;"",E301=TODAY()),"Shooting today",""))))</f>
        <v/>
      </c>
    </row>
    <row r="302" customFormat="false" ht="15" hidden="false" customHeight="false" outlineLevel="0" collapsed="false">
      <c r="A302" s="17"/>
      <c r="B302" s="17"/>
      <c r="C302" s="44" t="str">
        <f aca="false">IF(B302="","",IFERROR(INDEX(Clients!$C$2:$C$501,MATCH(B302,Clients!$A$2:$A$501,0)),"Client ID not found"))</f>
        <v/>
      </c>
      <c r="D302" s="17"/>
      <c r="E302" s="40"/>
      <c r="F302" s="41"/>
      <c r="G302" s="17"/>
      <c r="H302" s="17"/>
      <c r="I302" s="17"/>
      <c r="J302" s="40"/>
      <c r="K302" s="17"/>
      <c r="L302" s="17"/>
      <c r="M302" s="17"/>
      <c r="N302" s="44" t="str">
        <f aca="true">IF(A302="","",IF(N(K302)&gt;Settings!$S$7,"Over revision limit",IF(AND(D302="Free video",J302="",E302&lt;&gt;"",TODAY()&gt;WORKDAY(E302,Settings!$S$5)),"LATE – free video promised in 5 working days",IF(AND(E302&lt;&gt;"",E302=TODAY()),"Shooting today",""))))</f>
        <v/>
      </c>
    </row>
    <row r="303" customFormat="false" ht="15" hidden="false" customHeight="false" outlineLevel="0" collapsed="false">
      <c r="A303" s="17"/>
      <c r="B303" s="17"/>
      <c r="C303" s="44" t="str">
        <f aca="false">IF(B303="","",IFERROR(INDEX(Clients!$C$2:$C$501,MATCH(B303,Clients!$A$2:$A$501,0)),"Client ID not found"))</f>
        <v/>
      </c>
      <c r="D303" s="17"/>
      <c r="E303" s="40"/>
      <c r="F303" s="41"/>
      <c r="G303" s="17"/>
      <c r="H303" s="17"/>
      <c r="I303" s="17"/>
      <c r="J303" s="40"/>
      <c r="K303" s="17"/>
      <c r="L303" s="17"/>
      <c r="M303" s="17"/>
      <c r="N303" s="44" t="str">
        <f aca="true">IF(A303="","",IF(N(K303)&gt;Settings!$S$7,"Over revision limit",IF(AND(D303="Free video",J303="",E303&lt;&gt;"",TODAY()&gt;WORKDAY(E303,Settings!$S$5)),"LATE – free video promised in 5 working days",IF(AND(E303&lt;&gt;"",E303=TODAY()),"Shooting today",""))))</f>
        <v/>
      </c>
    </row>
    <row r="304" customFormat="false" ht="15" hidden="false" customHeight="false" outlineLevel="0" collapsed="false">
      <c r="A304" s="17"/>
      <c r="B304" s="17"/>
      <c r="C304" s="44" t="str">
        <f aca="false">IF(B304="","",IFERROR(INDEX(Clients!$C$2:$C$501,MATCH(B304,Clients!$A$2:$A$501,0)),"Client ID not found"))</f>
        <v/>
      </c>
      <c r="D304" s="17"/>
      <c r="E304" s="40"/>
      <c r="F304" s="41"/>
      <c r="G304" s="17"/>
      <c r="H304" s="17"/>
      <c r="I304" s="17"/>
      <c r="J304" s="40"/>
      <c r="K304" s="17"/>
      <c r="L304" s="17"/>
      <c r="M304" s="17"/>
      <c r="N304" s="44" t="str">
        <f aca="true">IF(A304="","",IF(N(K304)&gt;Settings!$S$7,"Over revision limit",IF(AND(D304="Free video",J304="",E304&lt;&gt;"",TODAY()&gt;WORKDAY(E304,Settings!$S$5)),"LATE – free video promised in 5 working days",IF(AND(E304&lt;&gt;"",E304=TODAY()),"Shooting today",""))))</f>
        <v/>
      </c>
    </row>
    <row r="305" customFormat="false" ht="15" hidden="false" customHeight="false" outlineLevel="0" collapsed="false">
      <c r="A305" s="17"/>
      <c r="B305" s="17"/>
      <c r="C305" s="44" t="str">
        <f aca="false">IF(B305="","",IFERROR(INDEX(Clients!$C$2:$C$501,MATCH(B305,Clients!$A$2:$A$501,0)),"Client ID not found"))</f>
        <v/>
      </c>
      <c r="D305" s="17"/>
      <c r="E305" s="40"/>
      <c r="F305" s="41"/>
      <c r="G305" s="17"/>
      <c r="H305" s="17"/>
      <c r="I305" s="17"/>
      <c r="J305" s="40"/>
      <c r="K305" s="17"/>
      <c r="L305" s="17"/>
      <c r="M305" s="17"/>
      <c r="N305" s="44" t="str">
        <f aca="true">IF(A305="","",IF(N(K305)&gt;Settings!$S$7,"Over revision limit",IF(AND(D305="Free video",J305="",E305&lt;&gt;"",TODAY()&gt;WORKDAY(E305,Settings!$S$5)),"LATE – free video promised in 5 working days",IF(AND(E305&lt;&gt;"",E305=TODAY()),"Shooting today",""))))</f>
        <v/>
      </c>
    </row>
    <row r="306" customFormat="false" ht="15" hidden="false" customHeight="false" outlineLevel="0" collapsed="false">
      <c r="A306" s="17"/>
      <c r="B306" s="17"/>
      <c r="C306" s="44" t="str">
        <f aca="false">IF(B306="","",IFERROR(INDEX(Clients!$C$2:$C$501,MATCH(B306,Clients!$A$2:$A$501,0)),"Client ID not found"))</f>
        <v/>
      </c>
      <c r="D306" s="17"/>
      <c r="E306" s="40"/>
      <c r="F306" s="41"/>
      <c r="G306" s="17"/>
      <c r="H306" s="17"/>
      <c r="I306" s="17"/>
      <c r="J306" s="40"/>
      <c r="K306" s="17"/>
      <c r="L306" s="17"/>
      <c r="M306" s="17"/>
      <c r="N306" s="44" t="str">
        <f aca="true">IF(A306="","",IF(N(K306)&gt;Settings!$S$7,"Over revision limit",IF(AND(D306="Free video",J306="",E306&lt;&gt;"",TODAY()&gt;WORKDAY(E306,Settings!$S$5)),"LATE – free video promised in 5 working days",IF(AND(E306&lt;&gt;"",E306=TODAY()),"Shooting today",""))))</f>
        <v/>
      </c>
    </row>
    <row r="307" customFormat="false" ht="15" hidden="false" customHeight="false" outlineLevel="0" collapsed="false">
      <c r="A307" s="17"/>
      <c r="B307" s="17"/>
      <c r="C307" s="44" t="str">
        <f aca="false">IF(B307="","",IFERROR(INDEX(Clients!$C$2:$C$501,MATCH(B307,Clients!$A$2:$A$501,0)),"Client ID not found"))</f>
        <v/>
      </c>
      <c r="D307" s="17"/>
      <c r="E307" s="40"/>
      <c r="F307" s="41"/>
      <c r="G307" s="17"/>
      <c r="H307" s="17"/>
      <c r="I307" s="17"/>
      <c r="J307" s="40"/>
      <c r="K307" s="17"/>
      <c r="L307" s="17"/>
      <c r="M307" s="17"/>
      <c r="N307" s="44" t="str">
        <f aca="true">IF(A307="","",IF(N(K307)&gt;Settings!$S$7,"Over revision limit",IF(AND(D307="Free video",J307="",E307&lt;&gt;"",TODAY()&gt;WORKDAY(E307,Settings!$S$5)),"LATE – free video promised in 5 working days",IF(AND(E307&lt;&gt;"",E307=TODAY()),"Shooting today",""))))</f>
        <v/>
      </c>
    </row>
    <row r="308" customFormat="false" ht="15" hidden="false" customHeight="false" outlineLevel="0" collapsed="false">
      <c r="A308" s="17"/>
      <c r="B308" s="17"/>
      <c r="C308" s="44" t="str">
        <f aca="false">IF(B308="","",IFERROR(INDEX(Clients!$C$2:$C$501,MATCH(B308,Clients!$A$2:$A$501,0)),"Client ID not found"))</f>
        <v/>
      </c>
      <c r="D308" s="17"/>
      <c r="E308" s="40"/>
      <c r="F308" s="41"/>
      <c r="G308" s="17"/>
      <c r="H308" s="17"/>
      <c r="I308" s="17"/>
      <c r="J308" s="40"/>
      <c r="K308" s="17"/>
      <c r="L308" s="17"/>
      <c r="M308" s="17"/>
      <c r="N308" s="44" t="str">
        <f aca="true">IF(A308="","",IF(N(K308)&gt;Settings!$S$7,"Over revision limit",IF(AND(D308="Free video",J308="",E308&lt;&gt;"",TODAY()&gt;WORKDAY(E308,Settings!$S$5)),"LATE – free video promised in 5 working days",IF(AND(E308&lt;&gt;"",E308=TODAY()),"Shooting today",""))))</f>
        <v/>
      </c>
    </row>
    <row r="309" customFormat="false" ht="15" hidden="false" customHeight="false" outlineLevel="0" collapsed="false">
      <c r="A309" s="17"/>
      <c r="B309" s="17"/>
      <c r="C309" s="44" t="str">
        <f aca="false">IF(B309="","",IFERROR(INDEX(Clients!$C$2:$C$501,MATCH(B309,Clients!$A$2:$A$501,0)),"Client ID not found"))</f>
        <v/>
      </c>
      <c r="D309" s="17"/>
      <c r="E309" s="40"/>
      <c r="F309" s="41"/>
      <c r="G309" s="17"/>
      <c r="H309" s="17"/>
      <c r="I309" s="17"/>
      <c r="J309" s="40"/>
      <c r="K309" s="17"/>
      <c r="L309" s="17"/>
      <c r="M309" s="17"/>
      <c r="N309" s="44" t="str">
        <f aca="true">IF(A309="","",IF(N(K309)&gt;Settings!$S$7,"Over revision limit",IF(AND(D309="Free video",J309="",E309&lt;&gt;"",TODAY()&gt;WORKDAY(E309,Settings!$S$5)),"LATE – free video promised in 5 working days",IF(AND(E309&lt;&gt;"",E309=TODAY()),"Shooting today",""))))</f>
        <v/>
      </c>
    </row>
    <row r="310" customFormat="false" ht="15" hidden="false" customHeight="false" outlineLevel="0" collapsed="false">
      <c r="A310" s="17"/>
      <c r="B310" s="17"/>
      <c r="C310" s="44" t="str">
        <f aca="false">IF(B310="","",IFERROR(INDEX(Clients!$C$2:$C$501,MATCH(B310,Clients!$A$2:$A$501,0)),"Client ID not found"))</f>
        <v/>
      </c>
      <c r="D310" s="17"/>
      <c r="E310" s="40"/>
      <c r="F310" s="41"/>
      <c r="G310" s="17"/>
      <c r="H310" s="17"/>
      <c r="I310" s="17"/>
      <c r="J310" s="40"/>
      <c r="K310" s="17"/>
      <c r="L310" s="17"/>
      <c r="M310" s="17"/>
      <c r="N310" s="44" t="str">
        <f aca="true">IF(A310="","",IF(N(K310)&gt;Settings!$S$7,"Over revision limit",IF(AND(D310="Free video",J310="",E310&lt;&gt;"",TODAY()&gt;WORKDAY(E310,Settings!$S$5)),"LATE – free video promised in 5 working days",IF(AND(E310&lt;&gt;"",E310=TODAY()),"Shooting today",""))))</f>
        <v/>
      </c>
    </row>
    <row r="311" customFormat="false" ht="15" hidden="false" customHeight="false" outlineLevel="0" collapsed="false">
      <c r="A311" s="17"/>
      <c r="B311" s="17"/>
      <c r="C311" s="44" t="str">
        <f aca="false">IF(B311="","",IFERROR(INDEX(Clients!$C$2:$C$501,MATCH(B311,Clients!$A$2:$A$501,0)),"Client ID not found"))</f>
        <v/>
      </c>
      <c r="D311" s="17"/>
      <c r="E311" s="40"/>
      <c r="F311" s="41"/>
      <c r="G311" s="17"/>
      <c r="H311" s="17"/>
      <c r="I311" s="17"/>
      <c r="J311" s="40"/>
      <c r="K311" s="17"/>
      <c r="L311" s="17"/>
      <c r="M311" s="17"/>
      <c r="N311" s="44" t="str">
        <f aca="true">IF(A311="","",IF(N(K311)&gt;Settings!$S$7,"Over revision limit",IF(AND(D311="Free video",J311="",E311&lt;&gt;"",TODAY()&gt;WORKDAY(E311,Settings!$S$5)),"LATE – free video promised in 5 working days",IF(AND(E311&lt;&gt;"",E311=TODAY()),"Shooting today",""))))</f>
        <v/>
      </c>
    </row>
    <row r="312" customFormat="false" ht="15" hidden="false" customHeight="false" outlineLevel="0" collapsed="false">
      <c r="A312" s="17"/>
      <c r="B312" s="17"/>
      <c r="C312" s="44" t="str">
        <f aca="false">IF(B312="","",IFERROR(INDEX(Clients!$C$2:$C$501,MATCH(B312,Clients!$A$2:$A$501,0)),"Client ID not found"))</f>
        <v/>
      </c>
      <c r="D312" s="17"/>
      <c r="E312" s="40"/>
      <c r="F312" s="41"/>
      <c r="G312" s="17"/>
      <c r="H312" s="17"/>
      <c r="I312" s="17"/>
      <c r="J312" s="40"/>
      <c r="K312" s="17"/>
      <c r="L312" s="17"/>
      <c r="M312" s="17"/>
      <c r="N312" s="44" t="str">
        <f aca="true">IF(A312="","",IF(N(K312)&gt;Settings!$S$7,"Over revision limit",IF(AND(D312="Free video",J312="",E312&lt;&gt;"",TODAY()&gt;WORKDAY(E312,Settings!$S$5)),"LATE – free video promised in 5 working days",IF(AND(E312&lt;&gt;"",E312=TODAY()),"Shooting today",""))))</f>
        <v/>
      </c>
    </row>
    <row r="313" customFormat="false" ht="15" hidden="false" customHeight="false" outlineLevel="0" collapsed="false">
      <c r="A313" s="17"/>
      <c r="B313" s="17"/>
      <c r="C313" s="44" t="str">
        <f aca="false">IF(B313="","",IFERROR(INDEX(Clients!$C$2:$C$501,MATCH(B313,Clients!$A$2:$A$501,0)),"Client ID not found"))</f>
        <v/>
      </c>
      <c r="D313" s="17"/>
      <c r="E313" s="40"/>
      <c r="F313" s="41"/>
      <c r="G313" s="17"/>
      <c r="H313" s="17"/>
      <c r="I313" s="17"/>
      <c r="J313" s="40"/>
      <c r="K313" s="17"/>
      <c r="L313" s="17"/>
      <c r="M313" s="17"/>
      <c r="N313" s="44" t="str">
        <f aca="true">IF(A313="","",IF(N(K313)&gt;Settings!$S$7,"Over revision limit",IF(AND(D313="Free video",J313="",E313&lt;&gt;"",TODAY()&gt;WORKDAY(E313,Settings!$S$5)),"LATE – free video promised in 5 working days",IF(AND(E313&lt;&gt;"",E313=TODAY()),"Shooting today",""))))</f>
        <v/>
      </c>
    </row>
    <row r="314" customFormat="false" ht="15" hidden="false" customHeight="false" outlineLevel="0" collapsed="false">
      <c r="A314" s="17"/>
      <c r="B314" s="17"/>
      <c r="C314" s="44" t="str">
        <f aca="false">IF(B314="","",IFERROR(INDEX(Clients!$C$2:$C$501,MATCH(B314,Clients!$A$2:$A$501,0)),"Client ID not found"))</f>
        <v/>
      </c>
      <c r="D314" s="17"/>
      <c r="E314" s="40"/>
      <c r="F314" s="41"/>
      <c r="G314" s="17"/>
      <c r="H314" s="17"/>
      <c r="I314" s="17"/>
      <c r="J314" s="40"/>
      <c r="K314" s="17"/>
      <c r="L314" s="17"/>
      <c r="M314" s="17"/>
      <c r="N314" s="44" t="str">
        <f aca="true">IF(A314="","",IF(N(K314)&gt;Settings!$S$7,"Over revision limit",IF(AND(D314="Free video",J314="",E314&lt;&gt;"",TODAY()&gt;WORKDAY(E314,Settings!$S$5)),"LATE – free video promised in 5 working days",IF(AND(E314&lt;&gt;"",E314=TODAY()),"Shooting today",""))))</f>
        <v/>
      </c>
    </row>
    <row r="315" customFormat="false" ht="15" hidden="false" customHeight="false" outlineLevel="0" collapsed="false">
      <c r="A315" s="17"/>
      <c r="B315" s="17"/>
      <c r="C315" s="44" t="str">
        <f aca="false">IF(B315="","",IFERROR(INDEX(Clients!$C$2:$C$501,MATCH(B315,Clients!$A$2:$A$501,0)),"Client ID not found"))</f>
        <v/>
      </c>
      <c r="D315" s="17"/>
      <c r="E315" s="40"/>
      <c r="F315" s="41"/>
      <c r="G315" s="17"/>
      <c r="H315" s="17"/>
      <c r="I315" s="17"/>
      <c r="J315" s="40"/>
      <c r="K315" s="17"/>
      <c r="L315" s="17"/>
      <c r="M315" s="17"/>
      <c r="N315" s="44" t="str">
        <f aca="true">IF(A315="","",IF(N(K315)&gt;Settings!$S$7,"Over revision limit",IF(AND(D315="Free video",J315="",E315&lt;&gt;"",TODAY()&gt;WORKDAY(E315,Settings!$S$5)),"LATE – free video promised in 5 working days",IF(AND(E315&lt;&gt;"",E315=TODAY()),"Shooting today",""))))</f>
        <v/>
      </c>
    </row>
    <row r="316" customFormat="false" ht="15" hidden="false" customHeight="false" outlineLevel="0" collapsed="false">
      <c r="A316" s="17"/>
      <c r="B316" s="17"/>
      <c r="C316" s="44" t="str">
        <f aca="false">IF(B316="","",IFERROR(INDEX(Clients!$C$2:$C$501,MATCH(B316,Clients!$A$2:$A$501,0)),"Client ID not found"))</f>
        <v/>
      </c>
      <c r="D316" s="17"/>
      <c r="E316" s="40"/>
      <c r="F316" s="41"/>
      <c r="G316" s="17"/>
      <c r="H316" s="17"/>
      <c r="I316" s="17"/>
      <c r="J316" s="40"/>
      <c r="K316" s="17"/>
      <c r="L316" s="17"/>
      <c r="M316" s="17"/>
      <c r="N316" s="44" t="str">
        <f aca="true">IF(A316="","",IF(N(K316)&gt;Settings!$S$7,"Over revision limit",IF(AND(D316="Free video",J316="",E316&lt;&gt;"",TODAY()&gt;WORKDAY(E316,Settings!$S$5)),"LATE – free video promised in 5 working days",IF(AND(E316&lt;&gt;"",E316=TODAY()),"Shooting today",""))))</f>
        <v/>
      </c>
    </row>
    <row r="317" customFormat="false" ht="15" hidden="false" customHeight="false" outlineLevel="0" collapsed="false">
      <c r="A317" s="17"/>
      <c r="B317" s="17"/>
      <c r="C317" s="44" t="str">
        <f aca="false">IF(B317="","",IFERROR(INDEX(Clients!$C$2:$C$501,MATCH(B317,Clients!$A$2:$A$501,0)),"Client ID not found"))</f>
        <v/>
      </c>
      <c r="D317" s="17"/>
      <c r="E317" s="40"/>
      <c r="F317" s="41"/>
      <c r="G317" s="17"/>
      <c r="H317" s="17"/>
      <c r="I317" s="17"/>
      <c r="J317" s="40"/>
      <c r="K317" s="17"/>
      <c r="L317" s="17"/>
      <c r="M317" s="17"/>
      <c r="N317" s="44" t="str">
        <f aca="true">IF(A317="","",IF(N(K317)&gt;Settings!$S$7,"Over revision limit",IF(AND(D317="Free video",J317="",E317&lt;&gt;"",TODAY()&gt;WORKDAY(E317,Settings!$S$5)),"LATE – free video promised in 5 working days",IF(AND(E317&lt;&gt;"",E317=TODAY()),"Shooting today",""))))</f>
        <v/>
      </c>
    </row>
    <row r="318" customFormat="false" ht="15" hidden="false" customHeight="false" outlineLevel="0" collapsed="false">
      <c r="A318" s="17"/>
      <c r="B318" s="17"/>
      <c r="C318" s="44" t="str">
        <f aca="false">IF(B318="","",IFERROR(INDEX(Clients!$C$2:$C$501,MATCH(B318,Clients!$A$2:$A$501,0)),"Client ID not found"))</f>
        <v/>
      </c>
      <c r="D318" s="17"/>
      <c r="E318" s="40"/>
      <c r="F318" s="41"/>
      <c r="G318" s="17"/>
      <c r="H318" s="17"/>
      <c r="I318" s="17"/>
      <c r="J318" s="40"/>
      <c r="K318" s="17"/>
      <c r="L318" s="17"/>
      <c r="M318" s="17"/>
      <c r="N318" s="44" t="str">
        <f aca="true">IF(A318="","",IF(N(K318)&gt;Settings!$S$7,"Over revision limit",IF(AND(D318="Free video",J318="",E318&lt;&gt;"",TODAY()&gt;WORKDAY(E318,Settings!$S$5)),"LATE – free video promised in 5 working days",IF(AND(E318&lt;&gt;"",E318=TODAY()),"Shooting today",""))))</f>
        <v/>
      </c>
    </row>
    <row r="319" customFormat="false" ht="15" hidden="false" customHeight="false" outlineLevel="0" collapsed="false">
      <c r="A319" s="17"/>
      <c r="B319" s="17"/>
      <c r="C319" s="44" t="str">
        <f aca="false">IF(B319="","",IFERROR(INDEX(Clients!$C$2:$C$501,MATCH(B319,Clients!$A$2:$A$501,0)),"Client ID not found"))</f>
        <v/>
      </c>
      <c r="D319" s="17"/>
      <c r="E319" s="40"/>
      <c r="F319" s="41"/>
      <c r="G319" s="17"/>
      <c r="H319" s="17"/>
      <c r="I319" s="17"/>
      <c r="J319" s="40"/>
      <c r="K319" s="17"/>
      <c r="L319" s="17"/>
      <c r="M319" s="17"/>
      <c r="N319" s="44" t="str">
        <f aca="true">IF(A319="","",IF(N(K319)&gt;Settings!$S$7,"Over revision limit",IF(AND(D319="Free video",J319="",E319&lt;&gt;"",TODAY()&gt;WORKDAY(E319,Settings!$S$5)),"LATE – free video promised in 5 working days",IF(AND(E319&lt;&gt;"",E319=TODAY()),"Shooting today",""))))</f>
        <v/>
      </c>
    </row>
    <row r="320" customFormat="false" ht="15" hidden="false" customHeight="false" outlineLevel="0" collapsed="false">
      <c r="A320" s="17"/>
      <c r="B320" s="17"/>
      <c r="C320" s="44" t="str">
        <f aca="false">IF(B320="","",IFERROR(INDEX(Clients!$C$2:$C$501,MATCH(B320,Clients!$A$2:$A$501,0)),"Client ID not found"))</f>
        <v/>
      </c>
      <c r="D320" s="17"/>
      <c r="E320" s="40"/>
      <c r="F320" s="41"/>
      <c r="G320" s="17"/>
      <c r="H320" s="17"/>
      <c r="I320" s="17"/>
      <c r="J320" s="40"/>
      <c r="K320" s="17"/>
      <c r="L320" s="17"/>
      <c r="M320" s="17"/>
      <c r="N320" s="44" t="str">
        <f aca="true">IF(A320="","",IF(N(K320)&gt;Settings!$S$7,"Over revision limit",IF(AND(D320="Free video",J320="",E320&lt;&gt;"",TODAY()&gt;WORKDAY(E320,Settings!$S$5)),"LATE – free video promised in 5 working days",IF(AND(E320&lt;&gt;"",E320=TODAY()),"Shooting today",""))))</f>
        <v/>
      </c>
    </row>
    <row r="321" customFormat="false" ht="15" hidden="false" customHeight="false" outlineLevel="0" collapsed="false">
      <c r="A321" s="17"/>
      <c r="B321" s="17"/>
      <c r="C321" s="44" t="str">
        <f aca="false">IF(B321="","",IFERROR(INDEX(Clients!$C$2:$C$501,MATCH(B321,Clients!$A$2:$A$501,0)),"Client ID not found"))</f>
        <v/>
      </c>
      <c r="D321" s="17"/>
      <c r="E321" s="40"/>
      <c r="F321" s="41"/>
      <c r="G321" s="17"/>
      <c r="H321" s="17"/>
      <c r="I321" s="17"/>
      <c r="J321" s="40"/>
      <c r="K321" s="17"/>
      <c r="L321" s="17"/>
      <c r="M321" s="17"/>
      <c r="N321" s="44" t="str">
        <f aca="true">IF(A321="","",IF(N(K321)&gt;Settings!$S$7,"Over revision limit",IF(AND(D321="Free video",J321="",E321&lt;&gt;"",TODAY()&gt;WORKDAY(E321,Settings!$S$5)),"LATE – free video promised in 5 working days",IF(AND(E321&lt;&gt;"",E321=TODAY()),"Shooting today",""))))</f>
        <v/>
      </c>
    </row>
    <row r="322" customFormat="false" ht="15" hidden="false" customHeight="false" outlineLevel="0" collapsed="false">
      <c r="A322" s="17"/>
      <c r="B322" s="17"/>
      <c r="C322" s="44" t="str">
        <f aca="false">IF(B322="","",IFERROR(INDEX(Clients!$C$2:$C$501,MATCH(B322,Clients!$A$2:$A$501,0)),"Client ID not found"))</f>
        <v/>
      </c>
      <c r="D322" s="17"/>
      <c r="E322" s="40"/>
      <c r="F322" s="41"/>
      <c r="G322" s="17"/>
      <c r="H322" s="17"/>
      <c r="I322" s="17"/>
      <c r="J322" s="40"/>
      <c r="K322" s="17"/>
      <c r="L322" s="17"/>
      <c r="M322" s="17"/>
      <c r="N322" s="44" t="str">
        <f aca="true">IF(A322="","",IF(N(K322)&gt;Settings!$S$7,"Over revision limit",IF(AND(D322="Free video",J322="",E322&lt;&gt;"",TODAY()&gt;WORKDAY(E322,Settings!$S$5)),"LATE – free video promised in 5 working days",IF(AND(E322&lt;&gt;"",E322=TODAY()),"Shooting today",""))))</f>
        <v/>
      </c>
    </row>
    <row r="323" customFormat="false" ht="15" hidden="false" customHeight="false" outlineLevel="0" collapsed="false">
      <c r="A323" s="17"/>
      <c r="B323" s="17"/>
      <c r="C323" s="44" t="str">
        <f aca="false">IF(B323="","",IFERROR(INDEX(Clients!$C$2:$C$501,MATCH(B323,Clients!$A$2:$A$501,0)),"Client ID not found"))</f>
        <v/>
      </c>
      <c r="D323" s="17"/>
      <c r="E323" s="40"/>
      <c r="F323" s="41"/>
      <c r="G323" s="17"/>
      <c r="H323" s="17"/>
      <c r="I323" s="17"/>
      <c r="J323" s="40"/>
      <c r="K323" s="17"/>
      <c r="L323" s="17"/>
      <c r="M323" s="17"/>
      <c r="N323" s="44" t="str">
        <f aca="true">IF(A323="","",IF(N(K323)&gt;Settings!$S$7,"Over revision limit",IF(AND(D323="Free video",J323="",E323&lt;&gt;"",TODAY()&gt;WORKDAY(E323,Settings!$S$5)),"LATE – free video promised in 5 working days",IF(AND(E323&lt;&gt;"",E323=TODAY()),"Shooting today",""))))</f>
        <v/>
      </c>
    </row>
    <row r="324" customFormat="false" ht="15" hidden="false" customHeight="false" outlineLevel="0" collapsed="false">
      <c r="A324" s="17"/>
      <c r="B324" s="17"/>
      <c r="C324" s="44" t="str">
        <f aca="false">IF(B324="","",IFERROR(INDEX(Clients!$C$2:$C$501,MATCH(B324,Clients!$A$2:$A$501,0)),"Client ID not found"))</f>
        <v/>
      </c>
      <c r="D324" s="17"/>
      <c r="E324" s="40"/>
      <c r="F324" s="41"/>
      <c r="G324" s="17"/>
      <c r="H324" s="17"/>
      <c r="I324" s="17"/>
      <c r="J324" s="40"/>
      <c r="K324" s="17"/>
      <c r="L324" s="17"/>
      <c r="M324" s="17"/>
      <c r="N324" s="44" t="str">
        <f aca="true">IF(A324="","",IF(N(K324)&gt;Settings!$S$7,"Over revision limit",IF(AND(D324="Free video",J324="",E324&lt;&gt;"",TODAY()&gt;WORKDAY(E324,Settings!$S$5)),"LATE – free video promised in 5 working days",IF(AND(E324&lt;&gt;"",E324=TODAY()),"Shooting today",""))))</f>
        <v/>
      </c>
    </row>
    <row r="325" customFormat="false" ht="15" hidden="false" customHeight="false" outlineLevel="0" collapsed="false">
      <c r="A325" s="17"/>
      <c r="B325" s="17"/>
      <c r="C325" s="44" t="str">
        <f aca="false">IF(B325="","",IFERROR(INDEX(Clients!$C$2:$C$501,MATCH(B325,Clients!$A$2:$A$501,0)),"Client ID not found"))</f>
        <v/>
      </c>
      <c r="D325" s="17"/>
      <c r="E325" s="40"/>
      <c r="F325" s="41"/>
      <c r="G325" s="17"/>
      <c r="H325" s="17"/>
      <c r="I325" s="17"/>
      <c r="J325" s="40"/>
      <c r="K325" s="17"/>
      <c r="L325" s="17"/>
      <c r="M325" s="17"/>
      <c r="N325" s="44" t="str">
        <f aca="true">IF(A325="","",IF(N(K325)&gt;Settings!$S$7,"Over revision limit",IF(AND(D325="Free video",J325="",E325&lt;&gt;"",TODAY()&gt;WORKDAY(E325,Settings!$S$5)),"LATE – free video promised in 5 working days",IF(AND(E325&lt;&gt;"",E325=TODAY()),"Shooting today",""))))</f>
        <v/>
      </c>
    </row>
    <row r="326" customFormat="false" ht="15" hidden="false" customHeight="false" outlineLevel="0" collapsed="false">
      <c r="A326" s="17"/>
      <c r="B326" s="17"/>
      <c r="C326" s="44" t="str">
        <f aca="false">IF(B326="","",IFERROR(INDEX(Clients!$C$2:$C$501,MATCH(B326,Clients!$A$2:$A$501,0)),"Client ID not found"))</f>
        <v/>
      </c>
      <c r="D326" s="17"/>
      <c r="E326" s="40"/>
      <c r="F326" s="41"/>
      <c r="G326" s="17"/>
      <c r="H326" s="17"/>
      <c r="I326" s="17"/>
      <c r="J326" s="40"/>
      <c r="K326" s="17"/>
      <c r="L326" s="17"/>
      <c r="M326" s="17"/>
      <c r="N326" s="44" t="str">
        <f aca="true">IF(A326="","",IF(N(K326)&gt;Settings!$S$7,"Over revision limit",IF(AND(D326="Free video",J326="",E326&lt;&gt;"",TODAY()&gt;WORKDAY(E326,Settings!$S$5)),"LATE – free video promised in 5 working days",IF(AND(E326&lt;&gt;"",E326=TODAY()),"Shooting today",""))))</f>
        <v/>
      </c>
    </row>
    <row r="327" customFormat="false" ht="15" hidden="false" customHeight="false" outlineLevel="0" collapsed="false">
      <c r="A327" s="17"/>
      <c r="B327" s="17"/>
      <c r="C327" s="44" t="str">
        <f aca="false">IF(B327="","",IFERROR(INDEX(Clients!$C$2:$C$501,MATCH(B327,Clients!$A$2:$A$501,0)),"Client ID not found"))</f>
        <v/>
      </c>
      <c r="D327" s="17"/>
      <c r="E327" s="40"/>
      <c r="F327" s="41"/>
      <c r="G327" s="17"/>
      <c r="H327" s="17"/>
      <c r="I327" s="17"/>
      <c r="J327" s="40"/>
      <c r="K327" s="17"/>
      <c r="L327" s="17"/>
      <c r="M327" s="17"/>
      <c r="N327" s="44" t="str">
        <f aca="true">IF(A327="","",IF(N(K327)&gt;Settings!$S$7,"Over revision limit",IF(AND(D327="Free video",J327="",E327&lt;&gt;"",TODAY()&gt;WORKDAY(E327,Settings!$S$5)),"LATE – free video promised in 5 working days",IF(AND(E327&lt;&gt;"",E327=TODAY()),"Shooting today",""))))</f>
        <v/>
      </c>
    </row>
    <row r="328" customFormat="false" ht="15" hidden="false" customHeight="false" outlineLevel="0" collapsed="false">
      <c r="A328" s="17"/>
      <c r="B328" s="17"/>
      <c r="C328" s="44" t="str">
        <f aca="false">IF(B328="","",IFERROR(INDEX(Clients!$C$2:$C$501,MATCH(B328,Clients!$A$2:$A$501,0)),"Client ID not found"))</f>
        <v/>
      </c>
      <c r="D328" s="17"/>
      <c r="E328" s="40"/>
      <c r="F328" s="41"/>
      <c r="G328" s="17"/>
      <c r="H328" s="17"/>
      <c r="I328" s="17"/>
      <c r="J328" s="40"/>
      <c r="K328" s="17"/>
      <c r="L328" s="17"/>
      <c r="M328" s="17"/>
      <c r="N328" s="44" t="str">
        <f aca="true">IF(A328="","",IF(N(K328)&gt;Settings!$S$7,"Over revision limit",IF(AND(D328="Free video",J328="",E328&lt;&gt;"",TODAY()&gt;WORKDAY(E328,Settings!$S$5)),"LATE – free video promised in 5 working days",IF(AND(E328&lt;&gt;"",E328=TODAY()),"Shooting today",""))))</f>
        <v/>
      </c>
    </row>
    <row r="329" customFormat="false" ht="15" hidden="false" customHeight="false" outlineLevel="0" collapsed="false">
      <c r="A329" s="17"/>
      <c r="B329" s="17"/>
      <c r="C329" s="44" t="str">
        <f aca="false">IF(B329="","",IFERROR(INDEX(Clients!$C$2:$C$501,MATCH(B329,Clients!$A$2:$A$501,0)),"Client ID not found"))</f>
        <v/>
      </c>
      <c r="D329" s="17"/>
      <c r="E329" s="40"/>
      <c r="F329" s="41"/>
      <c r="G329" s="17"/>
      <c r="H329" s="17"/>
      <c r="I329" s="17"/>
      <c r="J329" s="40"/>
      <c r="K329" s="17"/>
      <c r="L329" s="17"/>
      <c r="M329" s="17"/>
      <c r="N329" s="44" t="str">
        <f aca="true">IF(A329="","",IF(N(K329)&gt;Settings!$S$7,"Over revision limit",IF(AND(D329="Free video",J329="",E329&lt;&gt;"",TODAY()&gt;WORKDAY(E329,Settings!$S$5)),"LATE – free video promised in 5 working days",IF(AND(E329&lt;&gt;"",E329=TODAY()),"Shooting today",""))))</f>
        <v/>
      </c>
    </row>
    <row r="330" customFormat="false" ht="15" hidden="false" customHeight="false" outlineLevel="0" collapsed="false">
      <c r="A330" s="17"/>
      <c r="B330" s="17"/>
      <c r="C330" s="44" t="str">
        <f aca="false">IF(B330="","",IFERROR(INDEX(Clients!$C$2:$C$501,MATCH(B330,Clients!$A$2:$A$501,0)),"Client ID not found"))</f>
        <v/>
      </c>
      <c r="D330" s="17"/>
      <c r="E330" s="40"/>
      <c r="F330" s="41"/>
      <c r="G330" s="17"/>
      <c r="H330" s="17"/>
      <c r="I330" s="17"/>
      <c r="J330" s="40"/>
      <c r="K330" s="17"/>
      <c r="L330" s="17"/>
      <c r="M330" s="17"/>
      <c r="N330" s="44" t="str">
        <f aca="true">IF(A330="","",IF(N(K330)&gt;Settings!$S$7,"Over revision limit",IF(AND(D330="Free video",J330="",E330&lt;&gt;"",TODAY()&gt;WORKDAY(E330,Settings!$S$5)),"LATE – free video promised in 5 working days",IF(AND(E330&lt;&gt;"",E330=TODAY()),"Shooting today",""))))</f>
        <v/>
      </c>
    </row>
    <row r="331" customFormat="false" ht="15" hidden="false" customHeight="false" outlineLevel="0" collapsed="false">
      <c r="A331" s="17"/>
      <c r="B331" s="17"/>
      <c r="C331" s="44" t="str">
        <f aca="false">IF(B331="","",IFERROR(INDEX(Clients!$C$2:$C$501,MATCH(B331,Clients!$A$2:$A$501,0)),"Client ID not found"))</f>
        <v/>
      </c>
      <c r="D331" s="17"/>
      <c r="E331" s="40"/>
      <c r="F331" s="41"/>
      <c r="G331" s="17"/>
      <c r="H331" s="17"/>
      <c r="I331" s="17"/>
      <c r="J331" s="40"/>
      <c r="K331" s="17"/>
      <c r="L331" s="17"/>
      <c r="M331" s="17"/>
      <c r="N331" s="44" t="str">
        <f aca="true">IF(A331="","",IF(N(K331)&gt;Settings!$S$7,"Over revision limit",IF(AND(D331="Free video",J331="",E331&lt;&gt;"",TODAY()&gt;WORKDAY(E331,Settings!$S$5)),"LATE – free video promised in 5 working days",IF(AND(E331&lt;&gt;"",E331=TODAY()),"Shooting today",""))))</f>
        <v/>
      </c>
    </row>
    <row r="332" customFormat="false" ht="15" hidden="false" customHeight="false" outlineLevel="0" collapsed="false">
      <c r="A332" s="17"/>
      <c r="B332" s="17"/>
      <c r="C332" s="44" t="str">
        <f aca="false">IF(B332="","",IFERROR(INDEX(Clients!$C$2:$C$501,MATCH(B332,Clients!$A$2:$A$501,0)),"Client ID not found"))</f>
        <v/>
      </c>
      <c r="D332" s="17"/>
      <c r="E332" s="40"/>
      <c r="F332" s="41"/>
      <c r="G332" s="17"/>
      <c r="H332" s="17"/>
      <c r="I332" s="17"/>
      <c r="J332" s="40"/>
      <c r="K332" s="17"/>
      <c r="L332" s="17"/>
      <c r="M332" s="17"/>
      <c r="N332" s="44" t="str">
        <f aca="true">IF(A332="","",IF(N(K332)&gt;Settings!$S$7,"Over revision limit",IF(AND(D332="Free video",J332="",E332&lt;&gt;"",TODAY()&gt;WORKDAY(E332,Settings!$S$5)),"LATE – free video promised in 5 working days",IF(AND(E332&lt;&gt;"",E332=TODAY()),"Shooting today",""))))</f>
        <v/>
      </c>
    </row>
    <row r="333" customFormat="false" ht="15" hidden="false" customHeight="false" outlineLevel="0" collapsed="false">
      <c r="A333" s="17"/>
      <c r="B333" s="17"/>
      <c r="C333" s="44" t="str">
        <f aca="false">IF(B333="","",IFERROR(INDEX(Clients!$C$2:$C$501,MATCH(B333,Clients!$A$2:$A$501,0)),"Client ID not found"))</f>
        <v/>
      </c>
      <c r="D333" s="17"/>
      <c r="E333" s="40"/>
      <c r="F333" s="41"/>
      <c r="G333" s="17"/>
      <c r="H333" s="17"/>
      <c r="I333" s="17"/>
      <c r="J333" s="40"/>
      <c r="K333" s="17"/>
      <c r="L333" s="17"/>
      <c r="M333" s="17"/>
      <c r="N333" s="44" t="str">
        <f aca="true">IF(A333="","",IF(N(K333)&gt;Settings!$S$7,"Over revision limit",IF(AND(D333="Free video",J333="",E333&lt;&gt;"",TODAY()&gt;WORKDAY(E333,Settings!$S$5)),"LATE – free video promised in 5 working days",IF(AND(E333&lt;&gt;"",E333=TODAY()),"Shooting today",""))))</f>
        <v/>
      </c>
    </row>
    <row r="334" customFormat="false" ht="15" hidden="false" customHeight="false" outlineLevel="0" collapsed="false">
      <c r="A334" s="17"/>
      <c r="B334" s="17"/>
      <c r="C334" s="44" t="str">
        <f aca="false">IF(B334="","",IFERROR(INDEX(Clients!$C$2:$C$501,MATCH(B334,Clients!$A$2:$A$501,0)),"Client ID not found"))</f>
        <v/>
      </c>
      <c r="D334" s="17"/>
      <c r="E334" s="40"/>
      <c r="F334" s="41"/>
      <c r="G334" s="17"/>
      <c r="H334" s="17"/>
      <c r="I334" s="17"/>
      <c r="J334" s="40"/>
      <c r="K334" s="17"/>
      <c r="L334" s="17"/>
      <c r="M334" s="17"/>
      <c r="N334" s="44" t="str">
        <f aca="true">IF(A334="","",IF(N(K334)&gt;Settings!$S$7,"Over revision limit",IF(AND(D334="Free video",J334="",E334&lt;&gt;"",TODAY()&gt;WORKDAY(E334,Settings!$S$5)),"LATE – free video promised in 5 working days",IF(AND(E334&lt;&gt;"",E334=TODAY()),"Shooting today",""))))</f>
        <v/>
      </c>
    </row>
    <row r="335" customFormat="false" ht="15" hidden="false" customHeight="false" outlineLevel="0" collapsed="false">
      <c r="A335" s="17"/>
      <c r="B335" s="17"/>
      <c r="C335" s="44" t="str">
        <f aca="false">IF(B335="","",IFERROR(INDEX(Clients!$C$2:$C$501,MATCH(B335,Clients!$A$2:$A$501,0)),"Client ID not found"))</f>
        <v/>
      </c>
      <c r="D335" s="17"/>
      <c r="E335" s="40"/>
      <c r="F335" s="41"/>
      <c r="G335" s="17"/>
      <c r="H335" s="17"/>
      <c r="I335" s="17"/>
      <c r="J335" s="40"/>
      <c r="K335" s="17"/>
      <c r="L335" s="17"/>
      <c r="M335" s="17"/>
      <c r="N335" s="44" t="str">
        <f aca="true">IF(A335="","",IF(N(K335)&gt;Settings!$S$7,"Over revision limit",IF(AND(D335="Free video",J335="",E335&lt;&gt;"",TODAY()&gt;WORKDAY(E335,Settings!$S$5)),"LATE – free video promised in 5 working days",IF(AND(E335&lt;&gt;"",E335=TODAY()),"Shooting today",""))))</f>
        <v/>
      </c>
    </row>
    <row r="336" customFormat="false" ht="15" hidden="false" customHeight="false" outlineLevel="0" collapsed="false">
      <c r="A336" s="17"/>
      <c r="B336" s="17"/>
      <c r="C336" s="44" t="str">
        <f aca="false">IF(B336="","",IFERROR(INDEX(Clients!$C$2:$C$501,MATCH(B336,Clients!$A$2:$A$501,0)),"Client ID not found"))</f>
        <v/>
      </c>
      <c r="D336" s="17"/>
      <c r="E336" s="40"/>
      <c r="F336" s="41"/>
      <c r="G336" s="17"/>
      <c r="H336" s="17"/>
      <c r="I336" s="17"/>
      <c r="J336" s="40"/>
      <c r="K336" s="17"/>
      <c r="L336" s="17"/>
      <c r="M336" s="17"/>
      <c r="N336" s="44" t="str">
        <f aca="true">IF(A336="","",IF(N(K336)&gt;Settings!$S$7,"Over revision limit",IF(AND(D336="Free video",J336="",E336&lt;&gt;"",TODAY()&gt;WORKDAY(E336,Settings!$S$5)),"LATE – free video promised in 5 working days",IF(AND(E336&lt;&gt;"",E336=TODAY()),"Shooting today",""))))</f>
        <v/>
      </c>
    </row>
    <row r="337" customFormat="false" ht="15" hidden="false" customHeight="false" outlineLevel="0" collapsed="false">
      <c r="A337" s="17"/>
      <c r="B337" s="17"/>
      <c r="C337" s="44" t="str">
        <f aca="false">IF(B337="","",IFERROR(INDEX(Clients!$C$2:$C$501,MATCH(B337,Clients!$A$2:$A$501,0)),"Client ID not found"))</f>
        <v/>
      </c>
      <c r="D337" s="17"/>
      <c r="E337" s="40"/>
      <c r="F337" s="41"/>
      <c r="G337" s="17"/>
      <c r="H337" s="17"/>
      <c r="I337" s="17"/>
      <c r="J337" s="40"/>
      <c r="K337" s="17"/>
      <c r="L337" s="17"/>
      <c r="M337" s="17"/>
      <c r="N337" s="44" t="str">
        <f aca="true">IF(A337="","",IF(N(K337)&gt;Settings!$S$7,"Over revision limit",IF(AND(D337="Free video",J337="",E337&lt;&gt;"",TODAY()&gt;WORKDAY(E337,Settings!$S$5)),"LATE – free video promised in 5 working days",IF(AND(E337&lt;&gt;"",E337=TODAY()),"Shooting today",""))))</f>
        <v/>
      </c>
    </row>
    <row r="338" customFormat="false" ht="15" hidden="false" customHeight="false" outlineLevel="0" collapsed="false">
      <c r="A338" s="17"/>
      <c r="B338" s="17"/>
      <c r="C338" s="44" t="str">
        <f aca="false">IF(B338="","",IFERROR(INDEX(Clients!$C$2:$C$501,MATCH(B338,Clients!$A$2:$A$501,0)),"Client ID not found"))</f>
        <v/>
      </c>
      <c r="D338" s="17"/>
      <c r="E338" s="40"/>
      <c r="F338" s="41"/>
      <c r="G338" s="17"/>
      <c r="H338" s="17"/>
      <c r="I338" s="17"/>
      <c r="J338" s="40"/>
      <c r="K338" s="17"/>
      <c r="L338" s="17"/>
      <c r="M338" s="17"/>
      <c r="N338" s="44" t="str">
        <f aca="true">IF(A338="","",IF(N(K338)&gt;Settings!$S$7,"Over revision limit",IF(AND(D338="Free video",J338="",E338&lt;&gt;"",TODAY()&gt;WORKDAY(E338,Settings!$S$5)),"LATE – free video promised in 5 working days",IF(AND(E338&lt;&gt;"",E338=TODAY()),"Shooting today",""))))</f>
        <v/>
      </c>
    </row>
    <row r="339" customFormat="false" ht="15" hidden="false" customHeight="false" outlineLevel="0" collapsed="false">
      <c r="A339" s="17"/>
      <c r="B339" s="17"/>
      <c r="C339" s="44" t="str">
        <f aca="false">IF(B339="","",IFERROR(INDEX(Clients!$C$2:$C$501,MATCH(B339,Clients!$A$2:$A$501,0)),"Client ID not found"))</f>
        <v/>
      </c>
      <c r="D339" s="17"/>
      <c r="E339" s="40"/>
      <c r="F339" s="41"/>
      <c r="G339" s="17"/>
      <c r="H339" s="17"/>
      <c r="I339" s="17"/>
      <c r="J339" s="40"/>
      <c r="K339" s="17"/>
      <c r="L339" s="17"/>
      <c r="M339" s="17"/>
      <c r="N339" s="44" t="str">
        <f aca="true">IF(A339="","",IF(N(K339)&gt;Settings!$S$7,"Over revision limit",IF(AND(D339="Free video",J339="",E339&lt;&gt;"",TODAY()&gt;WORKDAY(E339,Settings!$S$5)),"LATE – free video promised in 5 working days",IF(AND(E339&lt;&gt;"",E339=TODAY()),"Shooting today",""))))</f>
        <v/>
      </c>
    </row>
    <row r="340" customFormat="false" ht="15" hidden="false" customHeight="false" outlineLevel="0" collapsed="false">
      <c r="A340" s="17"/>
      <c r="B340" s="17"/>
      <c r="C340" s="44" t="str">
        <f aca="false">IF(B340="","",IFERROR(INDEX(Clients!$C$2:$C$501,MATCH(B340,Clients!$A$2:$A$501,0)),"Client ID not found"))</f>
        <v/>
      </c>
      <c r="D340" s="17"/>
      <c r="E340" s="40"/>
      <c r="F340" s="41"/>
      <c r="G340" s="17"/>
      <c r="H340" s="17"/>
      <c r="I340" s="17"/>
      <c r="J340" s="40"/>
      <c r="K340" s="17"/>
      <c r="L340" s="17"/>
      <c r="M340" s="17"/>
      <c r="N340" s="44" t="str">
        <f aca="true">IF(A340="","",IF(N(K340)&gt;Settings!$S$7,"Over revision limit",IF(AND(D340="Free video",J340="",E340&lt;&gt;"",TODAY()&gt;WORKDAY(E340,Settings!$S$5)),"LATE – free video promised in 5 working days",IF(AND(E340&lt;&gt;"",E340=TODAY()),"Shooting today",""))))</f>
        <v/>
      </c>
    </row>
    <row r="341" customFormat="false" ht="15" hidden="false" customHeight="false" outlineLevel="0" collapsed="false">
      <c r="A341" s="17"/>
      <c r="B341" s="17"/>
      <c r="C341" s="44" t="str">
        <f aca="false">IF(B341="","",IFERROR(INDEX(Clients!$C$2:$C$501,MATCH(B341,Clients!$A$2:$A$501,0)),"Client ID not found"))</f>
        <v/>
      </c>
      <c r="D341" s="17"/>
      <c r="E341" s="40"/>
      <c r="F341" s="41"/>
      <c r="G341" s="17"/>
      <c r="H341" s="17"/>
      <c r="I341" s="17"/>
      <c r="J341" s="40"/>
      <c r="K341" s="17"/>
      <c r="L341" s="17"/>
      <c r="M341" s="17"/>
      <c r="N341" s="44" t="str">
        <f aca="true">IF(A341="","",IF(N(K341)&gt;Settings!$S$7,"Over revision limit",IF(AND(D341="Free video",J341="",E341&lt;&gt;"",TODAY()&gt;WORKDAY(E341,Settings!$S$5)),"LATE – free video promised in 5 working days",IF(AND(E341&lt;&gt;"",E341=TODAY()),"Shooting today",""))))</f>
        <v/>
      </c>
    </row>
    <row r="342" customFormat="false" ht="15" hidden="false" customHeight="false" outlineLevel="0" collapsed="false">
      <c r="A342" s="17"/>
      <c r="B342" s="17"/>
      <c r="C342" s="44" t="str">
        <f aca="false">IF(B342="","",IFERROR(INDEX(Clients!$C$2:$C$501,MATCH(B342,Clients!$A$2:$A$501,0)),"Client ID not found"))</f>
        <v/>
      </c>
      <c r="D342" s="17"/>
      <c r="E342" s="40"/>
      <c r="F342" s="41"/>
      <c r="G342" s="17"/>
      <c r="H342" s="17"/>
      <c r="I342" s="17"/>
      <c r="J342" s="40"/>
      <c r="K342" s="17"/>
      <c r="L342" s="17"/>
      <c r="M342" s="17"/>
      <c r="N342" s="44" t="str">
        <f aca="true">IF(A342="","",IF(N(K342)&gt;Settings!$S$7,"Over revision limit",IF(AND(D342="Free video",J342="",E342&lt;&gt;"",TODAY()&gt;WORKDAY(E342,Settings!$S$5)),"LATE – free video promised in 5 working days",IF(AND(E342&lt;&gt;"",E342=TODAY()),"Shooting today",""))))</f>
        <v/>
      </c>
    </row>
    <row r="343" customFormat="false" ht="15" hidden="false" customHeight="false" outlineLevel="0" collapsed="false">
      <c r="A343" s="17"/>
      <c r="B343" s="17"/>
      <c r="C343" s="44" t="str">
        <f aca="false">IF(B343="","",IFERROR(INDEX(Clients!$C$2:$C$501,MATCH(B343,Clients!$A$2:$A$501,0)),"Client ID not found"))</f>
        <v/>
      </c>
      <c r="D343" s="17"/>
      <c r="E343" s="40"/>
      <c r="F343" s="41"/>
      <c r="G343" s="17"/>
      <c r="H343" s="17"/>
      <c r="I343" s="17"/>
      <c r="J343" s="40"/>
      <c r="K343" s="17"/>
      <c r="L343" s="17"/>
      <c r="M343" s="17"/>
      <c r="N343" s="44" t="str">
        <f aca="true">IF(A343="","",IF(N(K343)&gt;Settings!$S$7,"Over revision limit",IF(AND(D343="Free video",J343="",E343&lt;&gt;"",TODAY()&gt;WORKDAY(E343,Settings!$S$5)),"LATE – free video promised in 5 working days",IF(AND(E343&lt;&gt;"",E343=TODAY()),"Shooting today",""))))</f>
        <v/>
      </c>
    </row>
    <row r="344" customFormat="false" ht="15" hidden="false" customHeight="false" outlineLevel="0" collapsed="false">
      <c r="A344" s="17"/>
      <c r="B344" s="17"/>
      <c r="C344" s="44" t="str">
        <f aca="false">IF(B344="","",IFERROR(INDEX(Clients!$C$2:$C$501,MATCH(B344,Clients!$A$2:$A$501,0)),"Client ID not found"))</f>
        <v/>
      </c>
      <c r="D344" s="17"/>
      <c r="E344" s="40"/>
      <c r="F344" s="41"/>
      <c r="G344" s="17"/>
      <c r="H344" s="17"/>
      <c r="I344" s="17"/>
      <c r="J344" s="40"/>
      <c r="K344" s="17"/>
      <c r="L344" s="17"/>
      <c r="M344" s="17"/>
      <c r="N344" s="44" t="str">
        <f aca="true">IF(A344="","",IF(N(K344)&gt;Settings!$S$7,"Over revision limit",IF(AND(D344="Free video",J344="",E344&lt;&gt;"",TODAY()&gt;WORKDAY(E344,Settings!$S$5)),"LATE – free video promised in 5 working days",IF(AND(E344&lt;&gt;"",E344=TODAY()),"Shooting today",""))))</f>
        <v/>
      </c>
    </row>
    <row r="345" customFormat="false" ht="15" hidden="false" customHeight="false" outlineLevel="0" collapsed="false">
      <c r="A345" s="17"/>
      <c r="B345" s="17"/>
      <c r="C345" s="44" t="str">
        <f aca="false">IF(B345="","",IFERROR(INDEX(Clients!$C$2:$C$501,MATCH(B345,Clients!$A$2:$A$501,0)),"Client ID not found"))</f>
        <v/>
      </c>
      <c r="D345" s="17"/>
      <c r="E345" s="40"/>
      <c r="F345" s="41"/>
      <c r="G345" s="17"/>
      <c r="H345" s="17"/>
      <c r="I345" s="17"/>
      <c r="J345" s="40"/>
      <c r="K345" s="17"/>
      <c r="L345" s="17"/>
      <c r="M345" s="17"/>
      <c r="N345" s="44" t="str">
        <f aca="true">IF(A345="","",IF(N(K345)&gt;Settings!$S$7,"Over revision limit",IF(AND(D345="Free video",J345="",E345&lt;&gt;"",TODAY()&gt;WORKDAY(E345,Settings!$S$5)),"LATE – free video promised in 5 working days",IF(AND(E345&lt;&gt;"",E345=TODAY()),"Shooting today",""))))</f>
        <v/>
      </c>
    </row>
    <row r="346" customFormat="false" ht="15" hidden="false" customHeight="false" outlineLevel="0" collapsed="false">
      <c r="A346" s="17"/>
      <c r="B346" s="17"/>
      <c r="C346" s="44" t="str">
        <f aca="false">IF(B346="","",IFERROR(INDEX(Clients!$C$2:$C$501,MATCH(B346,Clients!$A$2:$A$501,0)),"Client ID not found"))</f>
        <v/>
      </c>
      <c r="D346" s="17"/>
      <c r="E346" s="40"/>
      <c r="F346" s="41"/>
      <c r="G346" s="17"/>
      <c r="H346" s="17"/>
      <c r="I346" s="17"/>
      <c r="J346" s="40"/>
      <c r="K346" s="17"/>
      <c r="L346" s="17"/>
      <c r="M346" s="17"/>
      <c r="N346" s="44" t="str">
        <f aca="true">IF(A346="","",IF(N(K346)&gt;Settings!$S$7,"Over revision limit",IF(AND(D346="Free video",J346="",E346&lt;&gt;"",TODAY()&gt;WORKDAY(E346,Settings!$S$5)),"LATE – free video promised in 5 working days",IF(AND(E346&lt;&gt;"",E346=TODAY()),"Shooting today",""))))</f>
        <v/>
      </c>
    </row>
    <row r="347" customFormat="false" ht="15" hidden="false" customHeight="false" outlineLevel="0" collapsed="false">
      <c r="A347" s="17"/>
      <c r="B347" s="17"/>
      <c r="C347" s="44" t="str">
        <f aca="false">IF(B347="","",IFERROR(INDEX(Clients!$C$2:$C$501,MATCH(B347,Clients!$A$2:$A$501,0)),"Client ID not found"))</f>
        <v/>
      </c>
      <c r="D347" s="17"/>
      <c r="E347" s="40"/>
      <c r="F347" s="41"/>
      <c r="G347" s="17"/>
      <c r="H347" s="17"/>
      <c r="I347" s="17"/>
      <c r="J347" s="40"/>
      <c r="K347" s="17"/>
      <c r="L347" s="17"/>
      <c r="M347" s="17"/>
      <c r="N347" s="44" t="str">
        <f aca="true">IF(A347="","",IF(N(K347)&gt;Settings!$S$7,"Over revision limit",IF(AND(D347="Free video",J347="",E347&lt;&gt;"",TODAY()&gt;WORKDAY(E347,Settings!$S$5)),"LATE – free video promised in 5 working days",IF(AND(E347&lt;&gt;"",E347=TODAY()),"Shooting today",""))))</f>
        <v/>
      </c>
    </row>
    <row r="348" customFormat="false" ht="15" hidden="false" customHeight="false" outlineLevel="0" collapsed="false">
      <c r="A348" s="17"/>
      <c r="B348" s="17"/>
      <c r="C348" s="44" t="str">
        <f aca="false">IF(B348="","",IFERROR(INDEX(Clients!$C$2:$C$501,MATCH(B348,Clients!$A$2:$A$501,0)),"Client ID not found"))</f>
        <v/>
      </c>
      <c r="D348" s="17"/>
      <c r="E348" s="40"/>
      <c r="F348" s="41"/>
      <c r="G348" s="17"/>
      <c r="H348" s="17"/>
      <c r="I348" s="17"/>
      <c r="J348" s="40"/>
      <c r="K348" s="17"/>
      <c r="L348" s="17"/>
      <c r="M348" s="17"/>
      <c r="N348" s="44" t="str">
        <f aca="true">IF(A348="","",IF(N(K348)&gt;Settings!$S$7,"Over revision limit",IF(AND(D348="Free video",J348="",E348&lt;&gt;"",TODAY()&gt;WORKDAY(E348,Settings!$S$5)),"LATE – free video promised in 5 working days",IF(AND(E348&lt;&gt;"",E348=TODAY()),"Shooting today",""))))</f>
        <v/>
      </c>
    </row>
    <row r="349" customFormat="false" ht="15" hidden="false" customHeight="false" outlineLevel="0" collapsed="false">
      <c r="A349" s="17"/>
      <c r="B349" s="17"/>
      <c r="C349" s="44" t="str">
        <f aca="false">IF(B349="","",IFERROR(INDEX(Clients!$C$2:$C$501,MATCH(B349,Clients!$A$2:$A$501,0)),"Client ID not found"))</f>
        <v/>
      </c>
      <c r="D349" s="17"/>
      <c r="E349" s="40"/>
      <c r="F349" s="41"/>
      <c r="G349" s="17"/>
      <c r="H349" s="17"/>
      <c r="I349" s="17"/>
      <c r="J349" s="40"/>
      <c r="K349" s="17"/>
      <c r="L349" s="17"/>
      <c r="M349" s="17"/>
      <c r="N349" s="44" t="str">
        <f aca="true">IF(A349="","",IF(N(K349)&gt;Settings!$S$7,"Over revision limit",IF(AND(D349="Free video",J349="",E349&lt;&gt;"",TODAY()&gt;WORKDAY(E349,Settings!$S$5)),"LATE – free video promised in 5 working days",IF(AND(E349&lt;&gt;"",E349=TODAY()),"Shooting today",""))))</f>
        <v/>
      </c>
    </row>
    <row r="350" customFormat="false" ht="15" hidden="false" customHeight="false" outlineLevel="0" collapsed="false">
      <c r="A350" s="17"/>
      <c r="B350" s="17"/>
      <c r="C350" s="44" t="str">
        <f aca="false">IF(B350="","",IFERROR(INDEX(Clients!$C$2:$C$501,MATCH(B350,Clients!$A$2:$A$501,0)),"Client ID not found"))</f>
        <v/>
      </c>
      <c r="D350" s="17"/>
      <c r="E350" s="40"/>
      <c r="F350" s="41"/>
      <c r="G350" s="17"/>
      <c r="H350" s="17"/>
      <c r="I350" s="17"/>
      <c r="J350" s="40"/>
      <c r="K350" s="17"/>
      <c r="L350" s="17"/>
      <c r="M350" s="17"/>
      <c r="N350" s="44" t="str">
        <f aca="true">IF(A350="","",IF(N(K350)&gt;Settings!$S$7,"Over revision limit",IF(AND(D350="Free video",J350="",E350&lt;&gt;"",TODAY()&gt;WORKDAY(E350,Settings!$S$5)),"LATE – free video promised in 5 working days",IF(AND(E350&lt;&gt;"",E350=TODAY()),"Shooting today",""))))</f>
        <v/>
      </c>
    </row>
    <row r="351" customFormat="false" ht="15" hidden="false" customHeight="false" outlineLevel="0" collapsed="false">
      <c r="A351" s="17"/>
      <c r="B351" s="17"/>
      <c r="C351" s="44" t="str">
        <f aca="false">IF(B351="","",IFERROR(INDEX(Clients!$C$2:$C$501,MATCH(B351,Clients!$A$2:$A$501,0)),"Client ID not found"))</f>
        <v/>
      </c>
      <c r="D351" s="17"/>
      <c r="E351" s="40"/>
      <c r="F351" s="41"/>
      <c r="G351" s="17"/>
      <c r="H351" s="17"/>
      <c r="I351" s="17"/>
      <c r="J351" s="40"/>
      <c r="K351" s="17"/>
      <c r="L351" s="17"/>
      <c r="M351" s="17"/>
      <c r="N351" s="44" t="str">
        <f aca="true">IF(A351="","",IF(N(K351)&gt;Settings!$S$7,"Over revision limit",IF(AND(D351="Free video",J351="",E351&lt;&gt;"",TODAY()&gt;WORKDAY(E351,Settings!$S$5)),"LATE – free video promised in 5 working days",IF(AND(E351&lt;&gt;"",E351=TODAY()),"Shooting today",""))))</f>
        <v/>
      </c>
    </row>
    <row r="352" customFormat="false" ht="15" hidden="false" customHeight="false" outlineLevel="0" collapsed="false">
      <c r="A352" s="17"/>
      <c r="B352" s="17"/>
      <c r="C352" s="44" t="str">
        <f aca="false">IF(B352="","",IFERROR(INDEX(Clients!$C$2:$C$501,MATCH(B352,Clients!$A$2:$A$501,0)),"Client ID not found"))</f>
        <v/>
      </c>
      <c r="D352" s="17"/>
      <c r="E352" s="40"/>
      <c r="F352" s="41"/>
      <c r="G352" s="17"/>
      <c r="H352" s="17"/>
      <c r="I352" s="17"/>
      <c r="J352" s="40"/>
      <c r="K352" s="17"/>
      <c r="L352" s="17"/>
      <c r="M352" s="17"/>
      <c r="N352" s="44" t="str">
        <f aca="true">IF(A352="","",IF(N(K352)&gt;Settings!$S$7,"Over revision limit",IF(AND(D352="Free video",J352="",E352&lt;&gt;"",TODAY()&gt;WORKDAY(E352,Settings!$S$5)),"LATE – free video promised in 5 working days",IF(AND(E352&lt;&gt;"",E352=TODAY()),"Shooting today",""))))</f>
        <v/>
      </c>
    </row>
    <row r="353" customFormat="false" ht="15" hidden="false" customHeight="false" outlineLevel="0" collapsed="false">
      <c r="A353" s="17"/>
      <c r="B353" s="17"/>
      <c r="C353" s="44" t="str">
        <f aca="false">IF(B353="","",IFERROR(INDEX(Clients!$C$2:$C$501,MATCH(B353,Clients!$A$2:$A$501,0)),"Client ID not found"))</f>
        <v/>
      </c>
      <c r="D353" s="17"/>
      <c r="E353" s="40"/>
      <c r="F353" s="41"/>
      <c r="G353" s="17"/>
      <c r="H353" s="17"/>
      <c r="I353" s="17"/>
      <c r="J353" s="40"/>
      <c r="K353" s="17"/>
      <c r="L353" s="17"/>
      <c r="M353" s="17"/>
      <c r="N353" s="44" t="str">
        <f aca="true">IF(A353="","",IF(N(K353)&gt;Settings!$S$7,"Over revision limit",IF(AND(D353="Free video",J353="",E353&lt;&gt;"",TODAY()&gt;WORKDAY(E353,Settings!$S$5)),"LATE – free video promised in 5 working days",IF(AND(E353&lt;&gt;"",E353=TODAY()),"Shooting today",""))))</f>
        <v/>
      </c>
    </row>
    <row r="354" customFormat="false" ht="15" hidden="false" customHeight="false" outlineLevel="0" collapsed="false">
      <c r="A354" s="17"/>
      <c r="B354" s="17"/>
      <c r="C354" s="44" t="str">
        <f aca="false">IF(B354="","",IFERROR(INDEX(Clients!$C$2:$C$501,MATCH(B354,Clients!$A$2:$A$501,0)),"Client ID not found"))</f>
        <v/>
      </c>
      <c r="D354" s="17"/>
      <c r="E354" s="40"/>
      <c r="F354" s="41"/>
      <c r="G354" s="17"/>
      <c r="H354" s="17"/>
      <c r="I354" s="17"/>
      <c r="J354" s="40"/>
      <c r="K354" s="17"/>
      <c r="L354" s="17"/>
      <c r="M354" s="17"/>
      <c r="N354" s="44" t="str">
        <f aca="true">IF(A354="","",IF(N(K354)&gt;Settings!$S$7,"Over revision limit",IF(AND(D354="Free video",J354="",E354&lt;&gt;"",TODAY()&gt;WORKDAY(E354,Settings!$S$5)),"LATE – free video promised in 5 working days",IF(AND(E354&lt;&gt;"",E354=TODAY()),"Shooting today",""))))</f>
        <v/>
      </c>
    </row>
    <row r="355" customFormat="false" ht="15" hidden="false" customHeight="false" outlineLevel="0" collapsed="false">
      <c r="A355" s="17"/>
      <c r="B355" s="17"/>
      <c r="C355" s="44" t="str">
        <f aca="false">IF(B355="","",IFERROR(INDEX(Clients!$C$2:$C$501,MATCH(B355,Clients!$A$2:$A$501,0)),"Client ID not found"))</f>
        <v/>
      </c>
      <c r="D355" s="17"/>
      <c r="E355" s="40"/>
      <c r="F355" s="41"/>
      <c r="G355" s="17"/>
      <c r="H355" s="17"/>
      <c r="I355" s="17"/>
      <c r="J355" s="40"/>
      <c r="K355" s="17"/>
      <c r="L355" s="17"/>
      <c r="M355" s="17"/>
      <c r="N355" s="44" t="str">
        <f aca="true">IF(A355="","",IF(N(K355)&gt;Settings!$S$7,"Over revision limit",IF(AND(D355="Free video",J355="",E355&lt;&gt;"",TODAY()&gt;WORKDAY(E355,Settings!$S$5)),"LATE – free video promised in 5 working days",IF(AND(E355&lt;&gt;"",E355=TODAY()),"Shooting today",""))))</f>
        <v/>
      </c>
    </row>
    <row r="356" customFormat="false" ht="15" hidden="false" customHeight="false" outlineLevel="0" collapsed="false">
      <c r="A356" s="17"/>
      <c r="B356" s="17"/>
      <c r="C356" s="44" t="str">
        <f aca="false">IF(B356="","",IFERROR(INDEX(Clients!$C$2:$C$501,MATCH(B356,Clients!$A$2:$A$501,0)),"Client ID not found"))</f>
        <v/>
      </c>
      <c r="D356" s="17"/>
      <c r="E356" s="40"/>
      <c r="F356" s="41"/>
      <c r="G356" s="17"/>
      <c r="H356" s="17"/>
      <c r="I356" s="17"/>
      <c r="J356" s="40"/>
      <c r="K356" s="17"/>
      <c r="L356" s="17"/>
      <c r="M356" s="17"/>
      <c r="N356" s="44" t="str">
        <f aca="true">IF(A356="","",IF(N(K356)&gt;Settings!$S$7,"Over revision limit",IF(AND(D356="Free video",J356="",E356&lt;&gt;"",TODAY()&gt;WORKDAY(E356,Settings!$S$5)),"LATE – free video promised in 5 working days",IF(AND(E356&lt;&gt;"",E356=TODAY()),"Shooting today",""))))</f>
        <v/>
      </c>
    </row>
    <row r="357" customFormat="false" ht="15" hidden="false" customHeight="false" outlineLevel="0" collapsed="false">
      <c r="A357" s="17"/>
      <c r="B357" s="17"/>
      <c r="C357" s="44" t="str">
        <f aca="false">IF(B357="","",IFERROR(INDEX(Clients!$C$2:$C$501,MATCH(B357,Clients!$A$2:$A$501,0)),"Client ID not found"))</f>
        <v/>
      </c>
      <c r="D357" s="17"/>
      <c r="E357" s="40"/>
      <c r="F357" s="41"/>
      <c r="G357" s="17"/>
      <c r="H357" s="17"/>
      <c r="I357" s="17"/>
      <c r="J357" s="40"/>
      <c r="K357" s="17"/>
      <c r="L357" s="17"/>
      <c r="M357" s="17"/>
      <c r="N357" s="44" t="str">
        <f aca="true">IF(A357="","",IF(N(K357)&gt;Settings!$S$7,"Over revision limit",IF(AND(D357="Free video",J357="",E357&lt;&gt;"",TODAY()&gt;WORKDAY(E357,Settings!$S$5)),"LATE – free video promised in 5 working days",IF(AND(E357&lt;&gt;"",E357=TODAY()),"Shooting today",""))))</f>
        <v/>
      </c>
    </row>
    <row r="358" customFormat="false" ht="15" hidden="false" customHeight="false" outlineLevel="0" collapsed="false">
      <c r="A358" s="17"/>
      <c r="B358" s="17"/>
      <c r="C358" s="44" t="str">
        <f aca="false">IF(B358="","",IFERROR(INDEX(Clients!$C$2:$C$501,MATCH(B358,Clients!$A$2:$A$501,0)),"Client ID not found"))</f>
        <v/>
      </c>
      <c r="D358" s="17"/>
      <c r="E358" s="40"/>
      <c r="F358" s="41"/>
      <c r="G358" s="17"/>
      <c r="H358" s="17"/>
      <c r="I358" s="17"/>
      <c r="J358" s="40"/>
      <c r="K358" s="17"/>
      <c r="L358" s="17"/>
      <c r="M358" s="17"/>
      <c r="N358" s="44" t="str">
        <f aca="true">IF(A358="","",IF(N(K358)&gt;Settings!$S$7,"Over revision limit",IF(AND(D358="Free video",J358="",E358&lt;&gt;"",TODAY()&gt;WORKDAY(E358,Settings!$S$5)),"LATE – free video promised in 5 working days",IF(AND(E358&lt;&gt;"",E358=TODAY()),"Shooting today",""))))</f>
        <v/>
      </c>
    </row>
    <row r="359" customFormat="false" ht="15" hidden="false" customHeight="false" outlineLevel="0" collapsed="false">
      <c r="A359" s="17"/>
      <c r="B359" s="17"/>
      <c r="C359" s="44" t="str">
        <f aca="false">IF(B359="","",IFERROR(INDEX(Clients!$C$2:$C$501,MATCH(B359,Clients!$A$2:$A$501,0)),"Client ID not found"))</f>
        <v/>
      </c>
      <c r="D359" s="17"/>
      <c r="E359" s="40"/>
      <c r="F359" s="41"/>
      <c r="G359" s="17"/>
      <c r="H359" s="17"/>
      <c r="I359" s="17"/>
      <c r="J359" s="40"/>
      <c r="K359" s="17"/>
      <c r="L359" s="17"/>
      <c r="M359" s="17"/>
      <c r="N359" s="44" t="str">
        <f aca="true">IF(A359="","",IF(N(K359)&gt;Settings!$S$7,"Over revision limit",IF(AND(D359="Free video",J359="",E359&lt;&gt;"",TODAY()&gt;WORKDAY(E359,Settings!$S$5)),"LATE – free video promised in 5 working days",IF(AND(E359&lt;&gt;"",E359=TODAY()),"Shooting today",""))))</f>
        <v/>
      </c>
    </row>
    <row r="360" customFormat="false" ht="15" hidden="false" customHeight="false" outlineLevel="0" collapsed="false">
      <c r="A360" s="17"/>
      <c r="B360" s="17"/>
      <c r="C360" s="44" t="str">
        <f aca="false">IF(B360="","",IFERROR(INDEX(Clients!$C$2:$C$501,MATCH(B360,Clients!$A$2:$A$501,0)),"Client ID not found"))</f>
        <v/>
      </c>
      <c r="D360" s="17"/>
      <c r="E360" s="40"/>
      <c r="F360" s="41"/>
      <c r="G360" s="17"/>
      <c r="H360" s="17"/>
      <c r="I360" s="17"/>
      <c r="J360" s="40"/>
      <c r="K360" s="17"/>
      <c r="L360" s="17"/>
      <c r="M360" s="17"/>
      <c r="N360" s="44" t="str">
        <f aca="true">IF(A360="","",IF(N(K360)&gt;Settings!$S$7,"Over revision limit",IF(AND(D360="Free video",J360="",E360&lt;&gt;"",TODAY()&gt;WORKDAY(E360,Settings!$S$5)),"LATE – free video promised in 5 working days",IF(AND(E360&lt;&gt;"",E360=TODAY()),"Shooting today",""))))</f>
        <v/>
      </c>
    </row>
    <row r="361" customFormat="false" ht="15" hidden="false" customHeight="false" outlineLevel="0" collapsed="false">
      <c r="A361" s="17"/>
      <c r="B361" s="17"/>
      <c r="C361" s="44" t="str">
        <f aca="false">IF(B361="","",IFERROR(INDEX(Clients!$C$2:$C$501,MATCH(B361,Clients!$A$2:$A$501,0)),"Client ID not found"))</f>
        <v/>
      </c>
      <c r="D361" s="17"/>
      <c r="E361" s="40"/>
      <c r="F361" s="41"/>
      <c r="G361" s="17"/>
      <c r="H361" s="17"/>
      <c r="I361" s="17"/>
      <c r="J361" s="40"/>
      <c r="K361" s="17"/>
      <c r="L361" s="17"/>
      <c r="M361" s="17"/>
      <c r="N361" s="44" t="str">
        <f aca="true">IF(A361="","",IF(N(K361)&gt;Settings!$S$7,"Over revision limit",IF(AND(D361="Free video",J361="",E361&lt;&gt;"",TODAY()&gt;WORKDAY(E361,Settings!$S$5)),"LATE – free video promised in 5 working days",IF(AND(E361&lt;&gt;"",E361=TODAY()),"Shooting today",""))))</f>
        <v/>
      </c>
    </row>
    <row r="362" customFormat="false" ht="15" hidden="false" customHeight="false" outlineLevel="0" collapsed="false">
      <c r="A362" s="17"/>
      <c r="B362" s="17"/>
      <c r="C362" s="44" t="str">
        <f aca="false">IF(B362="","",IFERROR(INDEX(Clients!$C$2:$C$501,MATCH(B362,Clients!$A$2:$A$501,0)),"Client ID not found"))</f>
        <v/>
      </c>
      <c r="D362" s="17"/>
      <c r="E362" s="40"/>
      <c r="F362" s="41"/>
      <c r="G362" s="17"/>
      <c r="H362" s="17"/>
      <c r="I362" s="17"/>
      <c r="J362" s="40"/>
      <c r="K362" s="17"/>
      <c r="L362" s="17"/>
      <c r="M362" s="17"/>
      <c r="N362" s="44" t="str">
        <f aca="true">IF(A362="","",IF(N(K362)&gt;Settings!$S$7,"Over revision limit",IF(AND(D362="Free video",J362="",E362&lt;&gt;"",TODAY()&gt;WORKDAY(E362,Settings!$S$5)),"LATE – free video promised in 5 working days",IF(AND(E362&lt;&gt;"",E362=TODAY()),"Shooting today",""))))</f>
        <v/>
      </c>
    </row>
    <row r="363" customFormat="false" ht="15" hidden="false" customHeight="false" outlineLevel="0" collapsed="false">
      <c r="A363" s="17"/>
      <c r="B363" s="17"/>
      <c r="C363" s="44" t="str">
        <f aca="false">IF(B363="","",IFERROR(INDEX(Clients!$C$2:$C$501,MATCH(B363,Clients!$A$2:$A$501,0)),"Client ID not found"))</f>
        <v/>
      </c>
      <c r="D363" s="17"/>
      <c r="E363" s="40"/>
      <c r="F363" s="41"/>
      <c r="G363" s="17"/>
      <c r="H363" s="17"/>
      <c r="I363" s="17"/>
      <c r="J363" s="40"/>
      <c r="K363" s="17"/>
      <c r="L363" s="17"/>
      <c r="M363" s="17"/>
      <c r="N363" s="44" t="str">
        <f aca="true">IF(A363="","",IF(N(K363)&gt;Settings!$S$7,"Over revision limit",IF(AND(D363="Free video",J363="",E363&lt;&gt;"",TODAY()&gt;WORKDAY(E363,Settings!$S$5)),"LATE – free video promised in 5 working days",IF(AND(E363&lt;&gt;"",E363=TODAY()),"Shooting today",""))))</f>
        <v/>
      </c>
    </row>
    <row r="364" customFormat="false" ht="15" hidden="false" customHeight="false" outlineLevel="0" collapsed="false">
      <c r="A364" s="17"/>
      <c r="B364" s="17"/>
      <c r="C364" s="44" t="str">
        <f aca="false">IF(B364="","",IFERROR(INDEX(Clients!$C$2:$C$501,MATCH(B364,Clients!$A$2:$A$501,0)),"Client ID not found"))</f>
        <v/>
      </c>
      <c r="D364" s="17"/>
      <c r="E364" s="40"/>
      <c r="F364" s="41"/>
      <c r="G364" s="17"/>
      <c r="H364" s="17"/>
      <c r="I364" s="17"/>
      <c r="J364" s="40"/>
      <c r="K364" s="17"/>
      <c r="L364" s="17"/>
      <c r="M364" s="17"/>
      <c r="N364" s="44" t="str">
        <f aca="true">IF(A364="","",IF(N(K364)&gt;Settings!$S$7,"Over revision limit",IF(AND(D364="Free video",J364="",E364&lt;&gt;"",TODAY()&gt;WORKDAY(E364,Settings!$S$5)),"LATE – free video promised in 5 working days",IF(AND(E364&lt;&gt;"",E364=TODAY()),"Shooting today",""))))</f>
        <v/>
      </c>
    </row>
    <row r="365" customFormat="false" ht="15" hidden="false" customHeight="false" outlineLevel="0" collapsed="false">
      <c r="A365" s="17"/>
      <c r="B365" s="17"/>
      <c r="C365" s="44" t="str">
        <f aca="false">IF(B365="","",IFERROR(INDEX(Clients!$C$2:$C$501,MATCH(B365,Clients!$A$2:$A$501,0)),"Client ID not found"))</f>
        <v/>
      </c>
      <c r="D365" s="17"/>
      <c r="E365" s="40"/>
      <c r="F365" s="41"/>
      <c r="G365" s="17"/>
      <c r="H365" s="17"/>
      <c r="I365" s="17"/>
      <c r="J365" s="40"/>
      <c r="K365" s="17"/>
      <c r="L365" s="17"/>
      <c r="M365" s="17"/>
      <c r="N365" s="44" t="str">
        <f aca="true">IF(A365="","",IF(N(K365)&gt;Settings!$S$7,"Over revision limit",IF(AND(D365="Free video",J365="",E365&lt;&gt;"",TODAY()&gt;WORKDAY(E365,Settings!$S$5)),"LATE – free video promised in 5 working days",IF(AND(E365&lt;&gt;"",E365=TODAY()),"Shooting today",""))))</f>
        <v/>
      </c>
    </row>
    <row r="366" customFormat="false" ht="15" hidden="false" customHeight="false" outlineLevel="0" collapsed="false">
      <c r="A366" s="17"/>
      <c r="B366" s="17"/>
      <c r="C366" s="44" t="str">
        <f aca="false">IF(B366="","",IFERROR(INDEX(Clients!$C$2:$C$501,MATCH(B366,Clients!$A$2:$A$501,0)),"Client ID not found"))</f>
        <v/>
      </c>
      <c r="D366" s="17"/>
      <c r="E366" s="40"/>
      <c r="F366" s="41"/>
      <c r="G366" s="17"/>
      <c r="H366" s="17"/>
      <c r="I366" s="17"/>
      <c r="J366" s="40"/>
      <c r="K366" s="17"/>
      <c r="L366" s="17"/>
      <c r="M366" s="17"/>
      <c r="N366" s="44" t="str">
        <f aca="true">IF(A366="","",IF(N(K366)&gt;Settings!$S$7,"Over revision limit",IF(AND(D366="Free video",J366="",E366&lt;&gt;"",TODAY()&gt;WORKDAY(E366,Settings!$S$5)),"LATE – free video promised in 5 working days",IF(AND(E366&lt;&gt;"",E366=TODAY()),"Shooting today",""))))</f>
        <v/>
      </c>
    </row>
    <row r="367" customFormat="false" ht="15" hidden="false" customHeight="false" outlineLevel="0" collapsed="false">
      <c r="A367" s="17"/>
      <c r="B367" s="17"/>
      <c r="C367" s="44" t="str">
        <f aca="false">IF(B367="","",IFERROR(INDEX(Clients!$C$2:$C$501,MATCH(B367,Clients!$A$2:$A$501,0)),"Client ID not found"))</f>
        <v/>
      </c>
      <c r="D367" s="17"/>
      <c r="E367" s="40"/>
      <c r="F367" s="41"/>
      <c r="G367" s="17"/>
      <c r="H367" s="17"/>
      <c r="I367" s="17"/>
      <c r="J367" s="40"/>
      <c r="K367" s="17"/>
      <c r="L367" s="17"/>
      <c r="M367" s="17"/>
      <c r="N367" s="44" t="str">
        <f aca="true">IF(A367="","",IF(N(K367)&gt;Settings!$S$7,"Over revision limit",IF(AND(D367="Free video",J367="",E367&lt;&gt;"",TODAY()&gt;WORKDAY(E367,Settings!$S$5)),"LATE – free video promised in 5 working days",IF(AND(E367&lt;&gt;"",E367=TODAY()),"Shooting today",""))))</f>
        <v/>
      </c>
    </row>
    <row r="368" customFormat="false" ht="15" hidden="false" customHeight="false" outlineLevel="0" collapsed="false">
      <c r="A368" s="17"/>
      <c r="B368" s="17"/>
      <c r="C368" s="44" t="str">
        <f aca="false">IF(B368="","",IFERROR(INDEX(Clients!$C$2:$C$501,MATCH(B368,Clients!$A$2:$A$501,0)),"Client ID not found"))</f>
        <v/>
      </c>
      <c r="D368" s="17"/>
      <c r="E368" s="40"/>
      <c r="F368" s="41"/>
      <c r="G368" s="17"/>
      <c r="H368" s="17"/>
      <c r="I368" s="17"/>
      <c r="J368" s="40"/>
      <c r="K368" s="17"/>
      <c r="L368" s="17"/>
      <c r="M368" s="17"/>
      <c r="N368" s="44" t="str">
        <f aca="true">IF(A368="","",IF(N(K368)&gt;Settings!$S$7,"Over revision limit",IF(AND(D368="Free video",J368="",E368&lt;&gt;"",TODAY()&gt;WORKDAY(E368,Settings!$S$5)),"LATE – free video promised in 5 working days",IF(AND(E368&lt;&gt;"",E368=TODAY()),"Shooting today",""))))</f>
        <v/>
      </c>
    </row>
    <row r="369" customFormat="false" ht="15" hidden="false" customHeight="false" outlineLevel="0" collapsed="false">
      <c r="A369" s="17"/>
      <c r="B369" s="17"/>
      <c r="C369" s="44" t="str">
        <f aca="false">IF(B369="","",IFERROR(INDEX(Clients!$C$2:$C$501,MATCH(B369,Clients!$A$2:$A$501,0)),"Client ID not found"))</f>
        <v/>
      </c>
      <c r="D369" s="17"/>
      <c r="E369" s="40"/>
      <c r="F369" s="41"/>
      <c r="G369" s="17"/>
      <c r="H369" s="17"/>
      <c r="I369" s="17"/>
      <c r="J369" s="40"/>
      <c r="K369" s="17"/>
      <c r="L369" s="17"/>
      <c r="M369" s="17"/>
      <c r="N369" s="44" t="str">
        <f aca="true">IF(A369="","",IF(N(K369)&gt;Settings!$S$7,"Over revision limit",IF(AND(D369="Free video",J369="",E369&lt;&gt;"",TODAY()&gt;WORKDAY(E369,Settings!$S$5)),"LATE – free video promised in 5 working days",IF(AND(E369&lt;&gt;"",E369=TODAY()),"Shooting today",""))))</f>
        <v/>
      </c>
    </row>
    <row r="370" customFormat="false" ht="15" hidden="false" customHeight="false" outlineLevel="0" collapsed="false">
      <c r="A370" s="17"/>
      <c r="B370" s="17"/>
      <c r="C370" s="44" t="str">
        <f aca="false">IF(B370="","",IFERROR(INDEX(Clients!$C$2:$C$501,MATCH(B370,Clients!$A$2:$A$501,0)),"Client ID not found"))</f>
        <v/>
      </c>
      <c r="D370" s="17"/>
      <c r="E370" s="40"/>
      <c r="F370" s="41"/>
      <c r="G370" s="17"/>
      <c r="H370" s="17"/>
      <c r="I370" s="17"/>
      <c r="J370" s="40"/>
      <c r="K370" s="17"/>
      <c r="L370" s="17"/>
      <c r="M370" s="17"/>
      <c r="N370" s="44" t="str">
        <f aca="true">IF(A370="","",IF(N(K370)&gt;Settings!$S$7,"Over revision limit",IF(AND(D370="Free video",J370="",E370&lt;&gt;"",TODAY()&gt;WORKDAY(E370,Settings!$S$5)),"LATE – free video promised in 5 working days",IF(AND(E370&lt;&gt;"",E370=TODAY()),"Shooting today",""))))</f>
        <v/>
      </c>
    </row>
    <row r="371" customFormat="false" ht="15" hidden="false" customHeight="false" outlineLevel="0" collapsed="false">
      <c r="A371" s="17"/>
      <c r="B371" s="17"/>
      <c r="C371" s="44" t="str">
        <f aca="false">IF(B371="","",IFERROR(INDEX(Clients!$C$2:$C$501,MATCH(B371,Clients!$A$2:$A$501,0)),"Client ID not found"))</f>
        <v/>
      </c>
      <c r="D371" s="17"/>
      <c r="E371" s="40"/>
      <c r="F371" s="41"/>
      <c r="G371" s="17"/>
      <c r="H371" s="17"/>
      <c r="I371" s="17"/>
      <c r="J371" s="40"/>
      <c r="K371" s="17"/>
      <c r="L371" s="17"/>
      <c r="M371" s="17"/>
      <c r="N371" s="44" t="str">
        <f aca="true">IF(A371="","",IF(N(K371)&gt;Settings!$S$7,"Over revision limit",IF(AND(D371="Free video",J371="",E371&lt;&gt;"",TODAY()&gt;WORKDAY(E371,Settings!$S$5)),"LATE – free video promised in 5 working days",IF(AND(E371&lt;&gt;"",E371=TODAY()),"Shooting today",""))))</f>
        <v/>
      </c>
    </row>
    <row r="372" customFormat="false" ht="15" hidden="false" customHeight="false" outlineLevel="0" collapsed="false">
      <c r="A372" s="17"/>
      <c r="B372" s="17"/>
      <c r="C372" s="44" t="str">
        <f aca="false">IF(B372="","",IFERROR(INDEX(Clients!$C$2:$C$501,MATCH(B372,Clients!$A$2:$A$501,0)),"Client ID not found"))</f>
        <v/>
      </c>
      <c r="D372" s="17"/>
      <c r="E372" s="40"/>
      <c r="F372" s="41"/>
      <c r="G372" s="17"/>
      <c r="H372" s="17"/>
      <c r="I372" s="17"/>
      <c r="J372" s="40"/>
      <c r="K372" s="17"/>
      <c r="L372" s="17"/>
      <c r="M372" s="17"/>
      <c r="N372" s="44" t="str">
        <f aca="true">IF(A372="","",IF(N(K372)&gt;Settings!$S$7,"Over revision limit",IF(AND(D372="Free video",J372="",E372&lt;&gt;"",TODAY()&gt;WORKDAY(E372,Settings!$S$5)),"LATE – free video promised in 5 working days",IF(AND(E372&lt;&gt;"",E372=TODAY()),"Shooting today",""))))</f>
        <v/>
      </c>
    </row>
    <row r="373" customFormat="false" ht="15" hidden="false" customHeight="false" outlineLevel="0" collapsed="false">
      <c r="A373" s="17"/>
      <c r="B373" s="17"/>
      <c r="C373" s="44" t="str">
        <f aca="false">IF(B373="","",IFERROR(INDEX(Clients!$C$2:$C$501,MATCH(B373,Clients!$A$2:$A$501,0)),"Client ID not found"))</f>
        <v/>
      </c>
      <c r="D373" s="17"/>
      <c r="E373" s="40"/>
      <c r="F373" s="41"/>
      <c r="G373" s="17"/>
      <c r="H373" s="17"/>
      <c r="I373" s="17"/>
      <c r="J373" s="40"/>
      <c r="K373" s="17"/>
      <c r="L373" s="17"/>
      <c r="M373" s="17"/>
      <c r="N373" s="44" t="str">
        <f aca="true">IF(A373="","",IF(N(K373)&gt;Settings!$S$7,"Over revision limit",IF(AND(D373="Free video",J373="",E373&lt;&gt;"",TODAY()&gt;WORKDAY(E373,Settings!$S$5)),"LATE – free video promised in 5 working days",IF(AND(E373&lt;&gt;"",E373=TODAY()),"Shooting today",""))))</f>
        <v/>
      </c>
    </row>
    <row r="374" customFormat="false" ht="15" hidden="false" customHeight="false" outlineLevel="0" collapsed="false">
      <c r="A374" s="17"/>
      <c r="B374" s="17"/>
      <c r="C374" s="44" t="str">
        <f aca="false">IF(B374="","",IFERROR(INDEX(Clients!$C$2:$C$501,MATCH(B374,Clients!$A$2:$A$501,0)),"Client ID not found"))</f>
        <v/>
      </c>
      <c r="D374" s="17"/>
      <c r="E374" s="40"/>
      <c r="F374" s="41"/>
      <c r="G374" s="17"/>
      <c r="H374" s="17"/>
      <c r="I374" s="17"/>
      <c r="J374" s="40"/>
      <c r="K374" s="17"/>
      <c r="L374" s="17"/>
      <c r="M374" s="17"/>
      <c r="N374" s="44" t="str">
        <f aca="true">IF(A374="","",IF(N(K374)&gt;Settings!$S$7,"Over revision limit",IF(AND(D374="Free video",J374="",E374&lt;&gt;"",TODAY()&gt;WORKDAY(E374,Settings!$S$5)),"LATE – free video promised in 5 working days",IF(AND(E374&lt;&gt;"",E374=TODAY()),"Shooting today",""))))</f>
        <v/>
      </c>
    </row>
    <row r="375" customFormat="false" ht="15" hidden="false" customHeight="false" outlineLevel="0" collapsed="false">
      <c r="A375" s="17"/>
      <c r="B375" s="17"/>
      <c r="C375" s="44" t="str">
        <f aca="false">IF(B375="","",IFERROR(INDEX(Clients!$C$2:$C$501,MATCH(B375,Clients!$A$2:$A$501,0)),"Client ID not found"))</f>
        <v/>
      </c>
      <c r="D375" s="17"/>
      <c r="E375" s="40"/>
      <c r="F375" s="41"/>
      <c r="G375" s="17"/>
      <c r="H375" s="17"/>
      <c r="I375" s="17"/>
      <c r="J375" s="40"/>
      <c r="K375" s="17"/>
      <c r="L375" s="17"/>
      <c r="M375" s="17"/>
      <c r="N375" s="44" t="str">
        <f aca="true">IF(A375="","",IF(N(K375)&gt;Settings!$S$7,"Over revision limit",IF(AND(D375="Free video",J375="",E375&lt;&gt;"",TODAY()&gt;WORKDAY(E375,Settings!$S$5)),"LATE – free video promised in 5 working days",IF(AND(E375&lt;&gt;"",E375=TODAY()),"Shooting today",""))))</f>
        <v/>
      </c>
    </row>
    <row r="376" customFormat="false" ht="15" hidden="false" customHeight="false" outlineLevel="0" collapsed="false">
      <c r="A376" s="17"/>
      <c r="B376" s="17"/>
      <c r="C376" s="44" t="str">
        <f aca="false">IF(B376="","",IFERROR(INDEX(Clients!$C$2:$C$501,MATCH(B376,Clients!$A$2:$A$501,0)),"Client ID not found"))</f>
        <v/>
      </c>
      <c r="D376" s="17"/>
      <c r="E376" s="40"/>
      <c r="F376" s="41"/>
      <c r="G376" s="17"/>
      <c r="H376" s="17"/>
      <c r="I376" s="17"/>
      <c r="J376" s="40"/>
      <c r="K376" s="17"/>
      <c r="L376" s="17"/>
      <c r="M376" s="17"/>
      <c r="N376" s="44" t="str">
        <f aca="true">IF(A376="","",IF(N(K376)&gt;Settings!$S$7,"Over revision limit",IF(AND(D376="Free video",J376="",E376&lt;&gt;"",TODAY()&gt;WORKDAY(E376,Settings!$S$5)),"LATE – free video promised in 5 working days",IF(AND(E376&lt;&gt;"",E376=TODAY()),"Shooting today",""))))</f>
        <v/>
      </c>
    </row>
    <row r="377" customFormat="false" ht="15" hidden="false" customHeight="false" outlineLevel="0" collapsed="false">
      <c r="A377" s="17"/>
      <c r="B377" s="17"/>
      <c r="C377" s="44" t="str">
        <f aca="false">IF(B377="","",IFERROR(INDEX(Clients!$C$2:$C$501,MATCH(B377,Clients!$A$2:$A$501,0)),"Client ID not found"))</f>
        <v/>
      </c>
      <c r="D377" s="17"/>
      <c r="E377" s="40"/>
      <c r="F377" s="41"/>
      <c r="G377" s="17"/>
      <c r="H377" s="17"/>
      <c r="I377" s="17"/>
      <c r="J377" s="40"/>
      <c r="K377" s="17"/>
      <c r="L377" s="17"/>
      <c r="M377" s="17"/>
      <c r="N377" s="44" t="str">
        <f aca="true">IF(A377="","",IF(N(K377)&gt;Settings!$S$7,"Over revision limit",IF(AND(D377="Free video",J377="",E377&lt;&gt;"",TODAY()&gt;WORKDAY(E377,Settings!$S$5)),"LATE – free video promised in 5 working days",IF(AND(E377&lt;&gt;"",E377=TODAY()),"Shooting today",""))))</f>
        <v/>
      </c>
    </row>
    <row r="378" customFormat="false" ht="15" hidden="false" customHeight="false" outlineLevel="0" collapsed="false">
      <c r="A378" s="17"/>
      <c r="B378" s="17"/>
      <c r="C378" s="44" t="str">
        <f aca="false">IF(B378="","",IFERROR(INDEX(Clients!$C$2:$C$501,MATCH(B378,Clients!$A$2:$A$501,0)),"Client ID not found"))</f>
        <v/>
      </c>
      <c r="D378" s="17"/>
      <c r="E378" s="40"/>
      <c r="F378" s="41"/>
      <c r="G378" s="17"/>
      <c r="H378" s="17"/>
      <c r="I378" s="17"/>
      <c r="J378" s="40"/>
      <c r="K378" s="17"/>
      <c r="L378" s="17"/>
      <c r="M378" s="17"/>
      <c r="N378" s="44" t="str">
        <f aca="true">IF(A378="","",IF(N(K378)&gt;Settings!$S$7,"Over revision limit",IF(AND(D378="Free video",J378="",E378&lt;&gt;"",TODAY()&gt;WORKDAY(E378,Settings!$S$5)),"LATE – free video promised in 5 working days",IF(AND(E378&lt;&gt;"",E378=TODAY()),"Shooting today",""))))</f>
        <v/>
      </c>
    </row>
    <row r="379" customFormat="false" ht="15" hidden="false" customHeight="false" outlineLevel="0" collapsed="false">
      <c r="A379" s="17"/>
      <c r="B379" s="17"/>
      <c r="C379" s="44" t="str">
        <f aca="false">IF(B379="","",IFERROR(INDEX(Clients!$C$2:$C$501,MATCH(B379,Clients!$A$2:$A$501,0)),"Client ID not found"))</f>
        <v/>
      </c>
      <c r="D379" s="17"/>
      <c r="E379" s="40"/>
      <c r="F379" s="41"/>
      <c r="G379" s="17"/>
      <c r="H379" s="17"/>
      <c r="I379" s="17"/>
      <c r="J379" s="40"/>
      <c r="K379" s="17"/>
      <c r="L379" s="17"/>
      <c r="M379" s="17"/>
      <c r="N379" s="44" t="str">
        <f aca="true">IF(A379="","",IF(N(K379)&gt;Settings!$S$7,"Over revision limit",IF(AND(D379="Free video",J379="",E379&lt;&gt;"",TODAY()&gt;WORKDAY(E379,Settings!$S$5)),"LATE – free video promised in 5 working days",IF(AND(E379&lt;&gt;"",E379=TODAY()),"Shooting today",""))))</f>
        <v/>
      </c>
    </row>
    <row r="380" customFormat="false" ht="15" hidden="false" customHeight="false" outlineLevel="0" collapsed="false">
      <c r="A380" s="17"/>
      <c r="B380" s="17"/>
      <c r="C380" s="44" t="str">
        <f aca="false">IF(B380="","",IFERROR(INDEX(Clients!$C$2:$C$501,MATCH(B380,Clients!$A$2:$A$501,0)),"Client ID not found"))</f>
        <v/>
      </c>
      <c r="D380" s="17"/>
      <c r="E380" s="40"/>
      <c r="F380" s="41"/>
      <c r="G380" s="17"/>
      <c r="H380" s="17"/>
      <c r="I380" s="17"/>
      <c r="J380" s="40"/>
      <c r="K380" s="17"/>
      <c r="L380" s="17"/>
      <c r="M380" s="17"/>
      <c r="N380" s="44" t="str">
        <f aca="true">IF(A380="","",IF(N(K380)&gt;Settings!$S$7,"Over revision limit",IF(AND(D380="Free video",J380="",E380&lt;&gt;"",TODAY()&gt;WORKDAY(E380,Settings!$S$5)),"LATE – free video promised in 5 working days",IF(AND(E380&lt;&gt;"",E380=TODAY()),"Shooting today",""))))</f>
        <v/>
      </c>
    </row>
    <row r="381" customFormat="false" ht="15" hidden="false" customHeight="false" outlineLevel="0" collapsed="false">
      <c r="A381" s="17"/>
      <c r="B381" s="17"/>
      <c r="C381" s="44" t="str">
        <f aca="false">IF(B381="","",IFERROR(INDEX(Clients!$C$2:$C$501,MATCH(B381,Clients!$A$2:$A$501,0)),"Client ID not found"))</f>
        <v/>
      </c>
      <c r="D381" s="17"/>
      <c r="E381" s="40"/>
      <c r="F381" s="41"/>
      <c r="G381" s="17"/>
      <c r="H381" s="17"/>
      <c r="I381" s="17"/>
      <c r="J381" s="40"/>
      <c r="K381" s="17"/>
      <c r="L381" s="17"/>
      <c r="M381" s="17"/>
      <c r="N381" s="44" t="str">
        <f aca="true">IF(A381="","",IF(N(K381)&gt;Settings!$S$7,"Over revision limit",IF(AND(D381="Free video",J381="",E381&lt;&gt;"",TODAY()&gt;WORKDAY(E381,Settings!$S$5)),"LATE – free video promised in 5 working days",IF(AND(E381&lt;&gt;"",E381=TODAY()),"Shooting today",""))))</f>
        <v/>
      </c>
    </row>
    <row r="382" customFormat="false" ht="15" hidden="false" customHeight="false" outlineLevel="0" collapsed="false">
      <c r="A382" s="17"/>
      <c r="B382" s="17"/>
      <c r="C382" s="44" t="str">
        <f aca="false">IF(B382="","",IFERROR(INDEX(Clients!$C$2:$C$501,MATCH(B382,Clients!$A$2:$A$501,0)),"Client ID not found"))</f>
        <v/>
      </c>
      <c r="D382" s="17"/>
      <c r="E382" s="40"/>
      <c r="F382" s="41"/>
      <c r="G382" s="17"/>
      <c r="H382" s="17"/>
      <c r="I382" s="17"/>
      <c r="J382" s="40"/>
      <c r="K382" s="17"/>
      <c r="L382" s="17"/>
      <c r="M382" s="17"/>
      <c r="N382" s="44" t="str">
        <f aca="true">IF(A382="","",IF(N(K382)&gt;Settings!$S$7,"Over revision limit",IF(AND(D382="Free video",J382="",E382&lt;&gt;"",TODAY()&gt;WORKDAY(E382,Settings!$S$5)),"LATE – free video promised in 5 working days",IF(AND(E382&lt;&gt;"",E382=TODAY()),"Shooting today",""))))</f>
        <v/>
      </c>
    </row>
    <row r="383" customFormat="false" ht="15" hidden="false" customHeight="false" outlineLevel="0" collapsed="false">
      <c r="A383" s="17"/>
      <c r="B383" s="17"/>
      <c r="C383" s="44" t="str">
        <f aca="false">IF(B383="","",IFERROR(INDEX(Clients!$C$2:$C$501,MATCH(B383,Clients!$A$2:$A$501,0)),"Client ID not found"))</f>
        <v/>
      </c>
      <c r="D383" s="17"/>
      <c r="E383" s="40"/>
      <c r="F383" s="41"/>
      <c r="G383" s="17"/>
      <c r="H383" s="17"/>
      <c r="I383" s="17"/>
      <c r="J383" s="40"/>
      <c r="K383" s="17"/>
      <c r="L383" s="17"/>
      <c r="M383" s="17"/>
      <c r="N383" s="44" t="str">
        <f aca="true">IF(A383="","",IF(N(K383)&gt;Settings!$S$7,"Over revision limit",IF(AND(D383="Free video",J383="",E383&lt;&gt;"",TODAY()&gt;WORKDAY(E383,Settings!$S$5)),"LATE – free video promised in 5 working days",IF(AND(E383&lt;&gt;"",E383=TODAY()),"Shooting today",""))))</f>
        <v/>
      </c>
    </row>
    <row r="384" customFormat="false" ht="15" hidden="false" customHeight="false" outlineLevel="0" collapsed="false">
      <c r="A384" s="17"/>
      <c r="B384" s="17"/>
      <c r="C384" s="44" t="str">
        <f aca="false">IF(B384="","",IFERROR(INDEX(Clients!$C$2:$C$501,MATCH(B384,Clients!$A$2:$A$501,0)),"Client ID not found"))</f>
        <v/>
      </c>
      <c r="D384" s="17"/>
      <c r="E384" s="40"/>
      <c r="F384" s="41"/>
      <c r="G384" s="17"/>
      <c r="H384" s="17"/>
      <c r="I384" s="17"/>
      <c r="J384" s="40"/>
      <c r="K384" s="17"/>
      <c r="L384" s="17"/>
      <c r="M384" s="17"/>
      <c r="N384" s="44" t="str">
        <f aca="true">IF(A384="","",IF(N(K384)&gt;Settings!$S$7,"Over revision limit",IF(AND(D384="Free video",J384="",E384&lt;&gt;"",TODAY()&gt;WORKDAY(E384,Settings!$S$5)),"LATE – free video promised in 5 working days",IF(AND(E384&lt;&gt;"",E384=TODAY()),"Shooting today",""))))</f>
        <v/>
      </c>
    </row>
    <row r="385" customFormat="false" ht="15" hidden="false" customHeight="false" outlineLevel="0" collapsed="false">
      <c r="A385" s="17"/>
      <c r="B385" s="17"/>
      <c r="C385" s="44" t="str">
        <f aca="false">IF(B385="","",IFERROR(INDEX(Clients!$C$2:$C$501,MATCH(B385,Clients!$A$2:$A$501,0)),"Client ID not found"))</f>
        <v/>
      </c>
      <c r="D385" s="17"/>
      <c r="E385" s="40"/>
      <c r="F385" s="41"/>
      <c r="G385" s="17"/>
      <c r="H385" s="17"/>
      <c r="I385" s="17"/>
      <c r="J385" s="40"/>
      <c r="K385" s="17"/>
      <c r="L385" s="17"/>
      <c r="M385" s="17"/>
      <c r="N385" s="44" t="str">
        <f aca="true">IF(A385="","",IF(N(K385)&gt;Settings!$S$7,"Over revision limit",IF(AND(D385="Free video",J385="",E385&lt;&gt;"",TODAY()&gt;WORKDAY(E385,Settings!$S$5)),"LATE – free video promised in 5 working days",IF(AND(E385&lt;&gt;"",E385=TODAY()),"Shooting today",""))))</f>
        <v/>
      </c>
    </row>
    <row r="386" customFormat="false" ht="15" hidden="false" customHeight="false" outlineLevel="0" collapsed="false">
      <c r="A386" s="17"/>
      <c r="B386" s="17"/>
      <c r="C386" s="44" t="str">
        <f aca="false">IF(B386="","",IFERROR(INDEX(Clients!$C$2:$C$501,MATCH(B386,Clients!$A$2:$A$501,0)),"Client ID not found"))</f>
        <v/>
      </c>
      <c r="D386" s="17"/>
      <c r="E386" s="40"/>
      <c r="F386" s="41"/>
      <c r="G386" s="17"/>
      <c r="H386" s="17"/>
      <c r="I386" s="17"/>
      <c r="J386" s="40"/>
      <c r="K386" s="17"/>
      <c r="L386" s="17"/>
      <c r="M386" s="17"/>
      <c r="N386" s="44" t="str">
        <f aca="true">IF(A386="","",IF(N(K386)&gt;Settings!$S$7,"Over revision limit",IF(AND(D386="Free video",J386="",E386&lt;&gt;"",TODAY()&gt;WORKDAY(E386,Settings!$S$5)),"LATE – free video promised in 5 working days",IF(AND(E386&lt;&gt;"",E386=TODAY()),"Shooting today",""))))</f>
        <v/>
      </c>
    </row>
    <row r="387" customFormat="false" ht="15" hidden="false" customHeight="false" outlineLevel="0" collapsed="false">
      <c r="A387" s="17"/>
      <c r="B387" s="17"/>
      <c r="C387" s="44" t="str">
        <f aca="false">IF(B387="","",IFERROR(INDEX(Clients!$C$2:$C$501,MATCH(B387,Clients!$A$2:$A$501,0)),"Client ID not found"))</f>
        <v/>
      </c>
      <c r="D387" s="17"/>
      <c r="E387" s="40"/>
      <c r="F387" s="41"/>
      <c r="G387" s="17"/>
      <c r="H387" s="17"/>
      <c r="I387" s="17"/>
      <c r="J387" s="40"/>
      <c r="K387" s="17"/>
      <c r="L387" s="17"/>
      <c r="M387" s="17"/>
      <c r="N387" s="44" t="str">
        <f aca="true">IF(A387="","",IF(N(K387)&gt;Settings!$S$7,"Over revision limit",IF(AND(D387="Free video",J387="",E387&lt;&gt;"",TODAY()&gt;WORKDAY(E387,Settings!$S$5)),"LATE – free video promised in 5 working days",IF(AND(E387&lt;&gt;"",E387=TODAY()),"Shooting today",""))))</f>
        <v/>
      </c>
    </row>
    <row r="388" customFormat="false" ht="15" hidden="false" customHeight="false" outlineLevel="0" collapsed="false">
      <c r="A388" s="17"/>
      <c r="B388" s="17"/>
      <c r="C388" s="44" t="str">
        <f aca="false">IF(B388="","",IFERROR(INDEX(Clients!$C$2:$C$501,MATCH(B388,Clients!$A$2:$A$501,0)),"Client ID not found"))</f>
        <v/>
      </c>
      <c r="D388" s="17"/>
      <c r="E388" s="40"/>
      <c r="F388" s="41"/>
      <c r="G388" s="17"/>
      <c r="H388" s="17"/>
      <c r="I388" s="17"/>
      <c r="J388" s="40"/>
      <c r="K388" s="17"/>
      <c r="L388" s="17"/>
      <c r="M388" s="17"/>
      <c r="N388" s="44" t="str">
        <f aca="true">IF(A388="","",IF(N(K388)&gt;Settings!$S$7,"Over revision limit",IF(AND(D388="Free video",J388="",E388&lt;&gt;"",TODAY()&gt;WORKDAY(E388,Settings!$S$5)),"LATE – free video promised in 5 working days",IF(AND(E388&lt;&gt;"",E388=TODAY()),"Shooting today",""))))</f>
        <v/>
      </c>
    </row>
    <row r="389" customFormat="false" ht="15" hidden="false" customHeight="false" outlineLevel="0" collapsed="false">
      <c r="A389" s="17"/>
      <c r="B389" s="17"/>
      <c r="C389" s="44" t="str">
        <f aca="false">IF(B389="","",IFERROR(INDEX(Clients!$C$2:$C$501,MATCH(B389,Clients!$A$2:$A$501,0)),"Client ID not found"))</f>
        <v/>
      </c>
      <c r="D389" s="17"/>
      <c r="E389" s="40"/>
      <c r="F389" s="41"/>
      <c r="G389" s="17"/>
      <c r="H389" s="17"/>
      <c r="I389" s="17"/>
      <c r="J389" s="40"/>
      <c r="K389" s="17"/>
      <c r="L389" s="17"/>
      <c r="M389" s="17"/>
      <c r="N389" s="44" t="str">
        <f aca="true">IF(A389="","",IF(N(K389)&gt;Settings!$S$7,"Over revision limit",IF(AND(D389="Free video",J389="",E389&lt;&gt;"",TODAY()&gt;WORKDAY(E389,Settings!$S$5)),"LATE – free video promised in 5 working days",IF(AND(E389&lt;&gt;"",E389=TODAY()),"Shooting today",""))))</f>
        <v/>
      </c>
    </row>
    <row r="390" customFormat="false" ht="15" hidden="false" customHeight="false" outlineLevel="0" collapsed="false">
      <c r="A390" s="17"/>
      <c r="B390" s="17"/>
      <c r="C390" s="44" t="str">
        <f aca="false">IF(B390="","",IFERROR(INDEX(Clients!$C$2:$C$501,MATCH(B390,Clients!$A$2:$A$501,0)),"Client ID not found"))</f>
        <v/>
      </c>
      <c r="D390" s="17"/>
      <c r="E390" s="40"/>
      <c r="F390" s="41"/>
      <c r="G390" s="17"/>
      <c r="H390" s="17"/>
      <c r="I390" s="17"/>
      <c r="J390" s="40"/>
      <c r="K390" s="17"/>
      <c r="L390" s="17"/>
      <c r="M390" s="17"/>
      <c r="N390" s="44" t="str">
        <f aca="true">IF(A390="","",IF(N(K390)&gt;Settings!$S$7,"Over revision limit",IF(AND(D390="Free video",J390="",E390&lt;&gt;"",TODAY()&gt;WORKDAY(E390,Settings!$S$5)),"LATE – free video promised in 5 working days",IF(AND(E390&lt;&gt;"",E390=TODAY()),"Shooting today",""))))</f>
        <v/>
      </c>
    </row>
    <row r="391" customFormat="false" ht="15" hidden="false" customHeight="false" outlineLevel="0" collapsed="false">
      <c r="A391" s="17"/>
      <c r="B391" s="17"/>
      <c r="C391" s="44" t="str">
        <f aca="false">IF(B391="","",IFERROR(INDEX(Clients!$C$2:$C$501,MATCH(B391,Clients!$A$2:$A$501,0)),"Client ID not found"))</f>
        <v/>
      </c>
      <c r="D391" s="17"/>
      <c r="E391" s="40"/>
      <c r="F391" s="41"/>
      <c r="G391" s="17"/>
      <c r="H391" s="17"/>
      <c r="I391" s="17"/>
      <c r="J391" s="40"/>
      <c r="K391" s="17"/>
      <c r="L391" s="17"/>
      <c r="M391" s="17"/>
      <c r="N391" s="44" t="str">
        <f aca="true">IF(A391="","",IF(N(K391)&gt;Settings!$S$7,"Over revision limit",IF(AND(D391="Free video",J391="",E391&lt;&gt;"",TODAY()&gt;WORKDAY(E391,Settings!$S$5)),"LATE – free video promised in 5 working days",IF(AND(E391&lt;&gt;"",E391=TODAY()),"Shooting today",""))))</f>
        <v/>
      </c>
    </row>
    <row r="392" customFormat="false" ht="15" hidden="false" customHeight="false" outlineLevel="0" collapsed="false">
      <c r="A392" s="17"/>
      <c r="B392" s="17"/>
      <c r="C392" s="44" t="str">
        <f aca="false">IF(B392="","",IFERROR(INDEX(Clients!$C$2:$C$501,MATCH(B392,Clients!$A$2:$A$501,0)),"Client ID not found"))</f>
        <v/>
      </c>
      <c r="D392" s="17"/>
      <c r="E392" s="40"/>
      <c r="F392" s="41"/>
      <c r="G392" s="17"/>
      <c r="H392" s="17"/>
      <c r="I392" s="17"/>
      <c r="J392" s="40"/>
      <c r="K392" s="17"/>
      <c r="L392" s="17"/>
      <c r="M392" s="17"/>
      <c r="N392" s="44" t="str">
        <f aca="true">IF(A392="","",IF(N(K392)&gt;Settings!$S$7,"Over revision limit",IF(AND(D392="Free video",J392="",E392&lt;&gt;"",TODAY()&gt;WORKDAY(E392,Settings!$S$5)),"LATE – free video promised in 5 working days",IF(AND(E392&lt;&gt;"",E392=TODAY()),"Shooting today",""))))</f>
        <v/>
      </c>
    </row>
    <row r="393" customFormat="false" ht="15" hidden="false" customHeight="false" outlineLevel="0" collapsed="false">
      <c r="A393" s="17"/>
      <c r="B393" s="17"/>
      <c r="C393" s="44" t="str">
        <f aca="false">IF(B393="","",IFERROR(INDEX(Clients!$C$2:$C$501,MATCH(B393,Clients!$A$2:$A$501,0)),"Client ID not found"))</f>
        <v/>
      </c>
      <c r="D393" s="17"/>
      <c r="E393" s="40"/>
      <c r="F393" s="41"/>
      <c r="G393" s="17"/>
      <c r="H393" s="17"/>
      <c r="I393" s="17"/>
      <c r="J393" s="40"/>
      <c r="K393" s="17"/>
      <c r="L393" s="17"/>
      <c r="M393" s="17"/>
      <c r="N393" s="44" t="str">
        <f aca="true">IF(A393="","",IF(N(K393)&gt;Settings!$S$7,"Over revision limit",IF(AND(D393="Free video",J393="",E393&lt;&gt;"",TODAY()&gt;WORKDAY(E393,Settings!$S$5)),"LATE – free video promised in 5 working days",IF(AND(E393&lt;&gt;"",E393=TODAY()),"Shooting today",""))))</f>
        <v/>
      </c>
    </row>
    <row r="394" customFormat="false" ht="15" hidden="false" customHeight="false" outlineLevel="0" collapsed="false">
      <c r="A394" s="17"/>
      <c r="B394" s="17"/>
      <c r="C394" s="44" t="str">
        <f aca="false">IF(B394="","",IFERROR(INDEX(Clients!$C$2:$C$501,MATCH(B394,Clients!$A$2:$A$501,0)),"Client ID not found"))</f>
        <v/>
      </c>
      <c r="D394" s="17"/>
      <c r="E394" s="40"/>
      <c r="F394" s="41"/>
      <c r="G394" s="17"/>
      <c r="H394" s="17"/>
      <c r="I394" s="17"/>
      <c r="J394" s="40"/>
      <c r="K394" s="17"/>
      <c r="L394" s="17"/>
      <c r="M394" s="17"/>
      <c r="N394" s="44" t="str">
        <f aca="true">IF(A394="","",IF(N(K394)&gt;Settings!$S$7,"Over revision limit",IF(AND(D394="Free video",J394="",E394&lt;&gt;"",TODAY()&gt;WORKDAY(E394,Settings!$S$5)),"LATE – free video promised in 5 working days",IF(AND(E394&lt;&gt;"",E394=TODAY()),"Shooting today",""))))</f>
        <v/>
      </c>
    </row>
    <row r="395" customFormat="false" ht="15" hidden="false" customHeight="false" outlineLevel="0" collapsed="false">
      <c r="A395" s="17"/>
      <c r="B395" s="17"/>
      <c r="C395" s="44" t="str">
        <f aca="false">IF(B395="","",IFERROR(INDEX(Clients!$C$2:$C$501,MATCH(B395,Clients!$A$2:$A$501,0)),"Client ID not found"))</f>
        <v/>
      </c>
      <c r="D395" s="17"/>
      <c r="E395" s="40"/>
      <c r="F395" s="41"/>
      <c r="G395" s="17"/>
      <c r="H395" s="17"/>
      <c r="I395" s="17"/>
      <c r="J395" s="40"/>
      <c r="K395" s="17"/>
      <c r="L395" s="17"/>
      <c r="M395" s="17"/>
      <c r="N395" s="44" t="str">
        <f aca="true">IF(A395="","",IF(N(K395)&gt;Settings!$S$7,"Over revision limit",IF(AND(D395="Free video",J395="",E395&lt;&gt;"",TODAY()&gt;WORKDAY(E395,Settings!$S$5)),"LATE – free video promised in 5 working days",IF(AND(E395&lt;&gt;"",E395=TODAY()),"Shooting today",""))))</f>
        <v/>
      </c>
    </row>
    <row r="396" customFormat="false" ht="15" hidden="false" customHeight="false" outlineLevel="0" collapsed="false">
      <c r="A396" s="17"/>
      <c r="B396" s="17"/>
      <c r="C396" s="44" t="str">
        <f aca="false">IF(B396="","",IFERROR(INDEX(Clients!$C$2:$C$501,MATCH(B396,Clients!$A$2:$A$501,0)),"Client ID not found"))</f>
        <v/>
      </c>
      <c r="D396" s="17"/>
      <c r="E396" s="40"/>
      <c r="F396" s="41"/>
      <c r="G396" s="17"/>
      <c r="H396" s="17"/>
      <c r="I396" s="17"/>
      <c r="J396" s="40"/>
      <c r="K396" s="17"/>
      <c r="L396" s="17"/>
      <c r="M396" s="17"/>
      <c r="N396" s="44" t="str">
        <f aca="true">IF(A396="","",IF(N(K396)&gt;Settings!$S$7,"Over revision limit",IF(AND(D396="Free video",J396="",E396&lt;&gt;"",TODAY()&gt;WORKDAY(E396,Settings!$S$5)),"LATE – free video promised in 5 working days",IF(AND(E396&lt;&gt;"",E396=TODAY()),"Shooting today",""))))</f>
        <v/>
      </c>
    </row>
    <row r="397" customFormat="false" ht="15" hidden="false" customHeight="false" outlineLevel="0" collapsed="false">
      <c r="A397" s="17"/>
      <c r="B397" s="17"/>
      <c r="C397" s="44" t="str">
        <f aca="false">IF(B397="","",IFERROR(INDEX(Clients!$C$2:$C$501,MATCH(B397,Clients!$A$2:$A$501,0)),"Client ID not found"))</f>
        <v/>
      </c>
      <c r="D397" s="17"/>
      <c r="E397" s="40"/>
      <c r="F397" s="41"/>
      <c r="G397" s="17"/>
      <c r="H397" s="17"/>
      <c r="I397" s="17"/>
      <c r="J397" s="40"/>
      <c r="K397" s="17"/>
      <c r="L397" s="17"/>
      <c r="M397" s="17"/>
      <c r="N397" s="44" t="str">
        <f aca="true">IF(A397="","",IF(N(K397)&gt;Settings!$S$7,"Over revision limit",IF(AND(D397="Free video",J397="",E397&lt;&gt;"",TODAY()&gt;WORKDAY(E397,Settings!$S$5)),"LATE – free video promised in 5 working days",IF(AND(E397&lt;&gt;"",E397=TODAY()),"Shooting today",""))))</f>
        <v/>
      </c>
    </row>
    <row r="398" customFormat="false" ht="15" hidden="false" customHeight="false" outlineLevel="0" collapsed="false">
      <c r="A398" s="17"/>
      <c r="B398" s="17"/>
      <c r="C398" s="44" t="str">
        <f aca="false">IF(B398="","",IFERROR(INDEX(Clients!$C$2:$C$501,MATCH(B398,Clients!$A$2:$A$501,0)),"Client ID not found"))</f>
        <v/>
      </c>
      <c r="D398" s="17"/>
      <c r="E398" s="40"/>
      <c r="F398" s="41"/>
      <c r="G398" s="17"/>
      <c r="H398" s="17"/>
      <c r="I398" s="17"/>
      <c r="J398" s="40"/>
      <c r="K398" s="17"/>
      <c r="L398" s="17"/>
      <c r="M398" s="17"/>
      <c r="N398" s="44" t="str">
        <f aca="true">IF(A398="","",IF(N(K398)&gt;Settings!$S$7,"Over revision limit",IF(AND(D398="Free video",J398="",E398&lt;&gt;"",TODAY()&gt;WORKDAY(E398,Settings!$S$5)),"LATE – free video promised in 5 working days",IF(AND(E398&lt;&gt;"",E398=TODAY()),"Shooting today",""))))</f>
        <v/>
      </c>
    </row>
    <row r="399" customFormat="false" ht="15" hidden="false" customHeight="false" outlineLevel="0" collapsed="false">
      <c r="A399" s="17"/>
      <c r="B399" s="17"/>
      <c r="C399" s="44" t="str">
        <f aca="false">IF(B399="","",IFERROR(INDEX(Clients!$C$2:$C$501,MATCH(B399,Clients!$A$2:$A$501,0)),"Client ID not found"))</f>
        <v/>
      </c>
      <c r="D399" s="17"/>
      <c r="E399" s="40"/>
      <c r="F399" s="41"/>
      <c r="G399" s="17"/>
      <c r="H399" s="17"/>
      <c r="I399" s="17"/>
      <c r="J399" s="40"/>
      <c r="K399" s="17"/>
      <c r="L399" s="17"/>
      <c r="M399" s="17"/>
      <c r="N399" s="44" t="str">
        <f aca="true">IF(A399="","",IF(N(K399)&gt;Settings!$S$7,"Over revision limit",IF(AND(D399="Free video",J399="",E399&lt;&gt;"",TODAY()&gt;WORKDAY(E399,Settings!$S$5)),"LATE – free video promised in 5 working days",IF(AND(E399&lt;&gt;"",E399=TODAY()),"Shooting today",""))))</f>
        <v/>
      </c>
    </row>
    <row r="400" customFormat="false" ht="15" hidden="false" customHeight="false" outlineLevel="0" collapsed="false">
      <c r="A400" s="17"/>
      <c r="B400" s="17"/>
      <c r="C400" s="44" t="str">
        <f aca="false">IF(B400="","",IFERROR(INDEX(Clients!$C$2:$C$501,MATCH(B400,Clients!$A$2:$A$501,0)),"Client ID not found"))</f>
        <v/>
      </c>
      <c r="D400" s="17"/>
      <c r="E400" s="40"/>
      <c r="F400" s="41"/>
      <c r="G400" s="17"/>
      <c r="H400" s="17"/>
      <c r="I400" s="17"/>
      <c r="J400" s="40"/>
      <c r="K400" s="17"/>
      <c r="L400" s="17"/>
      <c r="M400" s="17"/>
      <c r="N400" s="44" t="str">
        <f aca="true">IF(A400="","",IF(N(K400)&gt;Settings!$S$7,"Over revision limit",IF(AND(D400="Free video",J400="",E400&lt;&gt;"",TODAY()&gt;WORKDAY(E400,Settings!$S$5)),"LATE – free video promised in 5 working days",IF(AND(E400&lt;&gt;"",E400=TODAY()),"Shooting today",""))))</f>
        <v/>
      </c>
    </row>
    <row r="401" customFormat="false" ht="15" hidden="false" customHeight="false" outlineLevel="0" collapsed="false">
      <c r="A401" s="17"/>
      <c r="B401" s="17"/>
      <c r="C401" s="44" t="str">
        <f aca="false">IF(B401="","",IFERROR(INDEX(Clients!$C$2:$C$501,MATCH(B401,Clients!$A$2:$A$501,0)),"Client ID not found"))</f>
        <v/>
      </c>
      <c r="D401" s="17"/>
      <c r="E401" s="40"/>
      <c r="F401" s="41"/>
      <c r="G401" s="17"/>
      <c r="H401" s="17"/>
      <c r="I401" s="17"/>
      <c r="J401" s="40"/>
      <c r="K401" s="17"/>
      <c r="L401" s="17"/>
      <c r="M401" s="17"/>
      <c r="N401" s="44" t="str">
        <f aca="true">IF(A401="","",IF(N(K401)&gt;Settings!$S$7,"Over revision limit",IF(AND(D401="Free video",J401="",E401&lt;&gt;"",TODAY()&gt;WORKDAY(E401,Settings!$S$5)),"LATE – free video promised in 5 working days",IF(AND(E401&lt;&gt;"",E401=TODAY()),"Shooting today",""))))</f>
        <v/>
      </c>
    </row>
    <row r="402" customFormat="false" ht="15" hidden="false" customHeight="false" outlineLevel="0" collapsed="false">
      <c r="A402" s="17"/>
      <c r="B402" s="17"/>
      <c r="C402" s="44" t="str">
        <f aca="false">IF(B402="","",IFERROR(INDEX(Clients!$C$2:$C$501,MATCH(B402,Clients!$A$2:$A$501,0)),"Client ID not found"))</f>
        <v/>
      </c>
      <c r="D402" s="17"/>
      <c r="E402" s="40"/>
      <c r="F402" s="41"/>
      <c r="G402" s="17"/>
      <c r="H402" s="17"/>
      <c r="I402" s="17"/>
      <c r="J402" s="40"/>
      <c r="K402" s="17"/>
      <c r="L402" s="17"/>
      <c r="M402" s="17"/>
      <c r="N402" s="44" t="str">
        <f aca="true">IF(A402="","",IF(N(K402)&gt;Settings!$S$7,"Over revision limit",IF(AND(D402="Free video",J402="",E402&lt;&gt;"",TODAY()&gt;WORKDAY(E402,Settings!$S$5)),"LATE – free video promised in 5 working days",IF(AND(E402&lt;&gt;"",E402=TODAY()),"Shooting today",""))))</f>
        <v/>
      </c>
    </row>
    <row r="403" customFormat="false" ht="15" hidden="false" customHeight="false" outlineLevel="0" collapsed="false">
      <c r="A403" s="17"/>
      <c r="B403" s="17"/>
      <c r="C403" s="44" t="str">
        <f aca="false">IF(B403="","",IFERROR(INDEX(Clients!$C$2:$C$501,MATCH(B403,Clients!$A$2:$A$501,0)),"Client ID not found"))</f>
        <v/>
      </c>
      <c r="D403" s="17"/>
      <c r="E403" s="40"/>
      <c r="F403" s="41"/>
      <c r="G403" s="17"/>
      <c r="H403" s="17"/>
      <c r="I403" s="17"/>
      <c r="J403" s="40"/>
      <c r="K403" s="17"/>
      <c r="L403" s="17"/>
      <c r="M403" s="17"/>
      <c r="N403" s="44" t="str">
        <f aca="true">IF(A403="","",IF(N(K403)&gt;Settings!$S$7,"Over revision limit",IF(AND(D403="Free video",J403="",E403&lt;&gt;"",TODAY()&gt;WORKDAY(E403,Settings!$S$5)),"LATE – free video promised in 5 working days",IF(AND(E403&lt;&gt;"",E403=TODAY()),"Shooting today",""))))</f>
        <v/>
      </c>
    </row>
    <row r="404" customFormat="false" ht="15" hidden="false" customHeight="false" outlineLevel="0" collapsed="false">
      <c r="A404" s="17"/>
      <c r="B404" s="17"/>
      <c r="C404" s="44" t="str">
        <f aca="false">IF(B404="","",IFERROR(INDEX(Clients!$C$2:$C$501,MATCH(B404,Clients!$A$2:$A$501,0)),"Client ID not found"))</f>
        <v/>
      </c>
      <c r="D404" s="17"/>
      <c r="E404" s="40"/>
      <c r="F404" s="41"/>
      <c r="G404" s="17"/>
      <c r="H404" s="17"/>
      <c r="I404" s="17"/>
      <c r="J404" s="40"/>
      <c r="K404" s="17"/>
      <c r="L404" s="17"/>
      <c r="M404" s="17"/>
      <c r="N404" s="44" t="str">
        <f aca="true">IF(A404="","",IF(N(K404)&gt;Settings!$S$7,"Over revision limit",IF(AND(D404="Free video",J404="",E404&lt;&gt;"",TODAY()&gt;WORKDAY(E404,Settings!$S$5)),"LATE – free video promised in 5 working days",IF(AND(E404&lt;&gt;"",E404=TODAY()),"Shooting today",""))))</f>
        <v/>
      </c>
    </row>
    <row r="405" customFormat="false" ht="15" hidden="false" customHeight="false" outlineLevel="0" collapsed="false">
      <c r="A405" s="17"/>
      <c r="B405" s="17"/>
      <c r="C405" s="44" t="str">
        <f aca="false">IF(B405="","",IFERROR(INDEX(Clients!$C$2:$C$501,MATCH(B405,Clients!$A$2:$A$501,0)),"Client ID not found"))</f>
        <v/>
      </c>
      <c r="D405" s="17"/>
      <c r="E405" s="40"/>
      <c r="F405" s="41"/>
      <c r="G405" s="17"/>
      <c r="H405" s="17"/>
      <c r="I405" s="17"/>
      <c r="J405" s="40"/>
      <c r="K405" s="17"/>
      <c r="L405" s="17"/>
      <c r="M405" s="17"/>
      <c r="N405" s="44" t="str">
        <f aca="true">IF(A405="","",IF(N(K405)&gt;Settings!$S$7,"Over revision limit",IF(AND(D405="Free video",J405="",E405&lt;&gt;"",TODAY()&gt;WORKDAY(E405,Settings!$S$5)),"LATE – free video promised in 5 working days",IF(AND(E405&lt;&gt;"",E405=TODAY()),"Shooting today",""))))</f>
        <v/>
      </c>
    </row>
    <row r="406" customFormat="false" ht="15" hidden="false" customHeight="false" outlineLevel="0" collapsed="false">
      <c r="A406" s="17"/>
      <c r="B406" s="17"/>
      <c r="C406" s="44" t="str">
        <f aca="false">IF(B406="","",IFERROR(INDEX(Clients!$C$2:$C$501,MATCH(B406,Clients!$A$2:$A$501,0)),"Client ID not found"))</f>
        <v/>
      </c>
      <c r="D406" s="17"/>
      <c r="E406" s="40"/>
      <c r="F406" s="41"/>
      <c r="G406" s="17"/>
      <c r="H406" s="17"/>
      <c r="I406" s="17"/>
      <c r="J406" s="40"/>
      <c r="K406" s="17"/>
      <c r="L406" s="17"/>
      <c r="M406" s="17"/>
      <c r="N406" s="44" t="str">
        <f aca="true">IF(A406="","",IF(N(K406)&gt;Settings!$S$7,"Over revision limit",IF(AND(D406="Free video",J406="",E406&lt;&gt;"",TODAY()&gt;WORKDAY(E406,Settings!$S$5)),"LATE – free video promised in 5 working days",IF(AND(E406&lt;&gt;"",E406=TODAY()),"Shooting today",""))))</f>
        <v/>
      </c>
    </row>
    <row r="407" customFormat="false" ht="15" hidden="false" customHeight="false" outlineLevel="0" collapsed="false">
      <c r="A407" s="17"/>
      <c r="B407" s="17"/>
      <c r="C407" s="44" t="str">
        <f aca="false">IF(B407="","",IFERROR(INDEX(Clients!$C$2:$C$501,MATCH(B407,Clients!$A$2:$A$501,0)),"Client ID not found"))</f>
        <v/>
      </c>
      <c r="D407" s="17"/>
      <c r="E407" s="40"/>
      <c r="F407" s="41"/>
      <c r="G407" s="17"/>
      <c r="H407" s="17"/>
      <c r="I407" s="17"/>
      <c r="J407" s="40"/>
      <c r="K407" s="17"/>
      <c r="L407" s="17"/>
      <c r="M407" s="17"/>
      <c r="N407" s="44" t="str">
        <f aca="true">IF(A407="","",IF(N(K407)&gt;Settings!$S$7,"Over revision limit",IF(AND(D407="Free video",J407="",E407&lt;&gt;"",TODAY()&gt;WORKDAY(E407,Settings!$S$5)),"LATE – free video promised in 5 working days",IF(AND(E407&lt;&gt;"",E407=TODAY()),"Shooting today",""))))</f>
        <v/>
      </c>
    </row>
    <row r="408" customFormat="false" ht="15" hidden="false" customHeight="false" outlineLevel="0" collapsed="false">
      <c r="A408" s="17"/>
      <c r="B408" s="17"/>
      <c r="C408" s="44" t="str">
        <f aca="false">IF(B408="","",IFERROR(INDEX(Clients!$C$2:$C$501,MATCH(B408,Clients!$A$2:$A$501,0)),"Client ID not found"))</f>
        <v/>
      </c>
      <c r="D408" s="17"/>
      <c r="E408" s="40"/>
      <c r="F408" s="41"/>
      <c r="G408" s="17"/>
      <c r="H408" s="17"/>
      <c r="I408" s="17"/>
      <c r="J408" s="40"/>
      <c r="K408" s="17"/>
      <c r="L408" s="17"/>
      <c r="M408" s="17"/>
      <c r="N408" s="44" t="str">
        <f aca="true">IF(A408="","",IF(N(K408)&gt;Settings!$S$7,"Over revision limit",IF(AND(D408="Free video",J408="",E408&lt;&gt;"",TODAY()&gt;WORKDAY(E408,Settings!$S$5)),"LATE – free video promised in 5 working days",IF(AND(E408&lt;&gt;"",E408=TODAY()),"Shooting today",""))))</f>
        <v/>
      </c>
    </row>
    <row r="409" customFormat="false" ht="15" hidden="false" customHeight="false" outlineLevel="0" collapsed="false">
      <c r="A409" s="17"/>
      <c r="B409" s="17"/>
      <c r="C409" s="44" t="str">
        <f aca="false">IF(B409="","",IFERROR(INDEX(Clients!$C$2:$C$501,MATCH(B409,Clients!$A$2:$A$501,0)),"Client ID not found"))</f>
        <v/>
      </c>
      <c r="D409" s="17"/>
      <c r="E409" s="40"/>
      <c r="F409" s="41"/>
      <c r="G409" s="17"/>
      <c r="H409" s="17"/>
      <c r="I409" s="17"/>
      <c r="J409" s="40"/>
      <c r="K409" s="17"/>
      <c r="L409" s="17"/>
      <c r="M409" s="17"/>
      <c r="N409" s="44" t="str">
        <f aca="true">IF(A409="","",IF(N(K409)&gt;Settings!$S$7,"Over revision limit",IF(AND(D409="Free video",J409="",E409&lt;&gt;"",TODAY()&gt;WORKDAY(E409,Settings!$S$5)),"LATE – free video promised in 5 working days",IF(AND(E409&lt;&gt;"",E409=TODAY()),"Shooting today",""))))</f>
        <v/>
      </c>
    </row>
    <row r="410" customFormat="false" ht="15" hidden="false" customHeight="false" outlineLevel="0" collapsed="false">
      <c r="A410" s="17"/>
      <c r="B410" s="17"/>
      <c r="C410" s="44" t="str">
        <f aca="false">IF(B410="","",IFERROR(INDEX(Clients!$C$2:$C$501,MATCH(B410,Clients!$A$2:$A$501,0)),"Client ID not found"))</f>
        <v/>
      </c>
      <c r="D410" s="17"/>
      <c r="E410" s="40"/>
      <c r="F410" s="41"/>
      <c r="G410" s="17"/>
      <c r="H410" s="17"/>
      <c r="I410" s="17"/>
      <c r="J410" s="40"/>
      <c r="K410" s="17"/>
      <c r="L410" s="17"/>
      <c r="M410" s="17"/>
      <c r="N410" s="44" t="str">
        <f aca="true">IF(A410="","",IF(N(K410)&gt;Settings!$S$7,"Over revision limit",IF(AND(D410="Free video",J410="",E410&lt;&gt;"",TODAY()&gt;WORKDAY(E410,Settings!$S$5)),"LATE – free video promised in 5 working days",IF(AND(E410&lt;&gt;"",E410=TODAY()),"Shooting today",""))))</f>
        <v/>
      </c>
    </row>
    <row r="411" customFormat="false" ht="15" hidden="false" customHeight="false" outlineLevel="0" collapsed="false">
      <c r="A411" s="17"/>
      <c r="B411" s="17"/>
      <c r="C411" s="44" t="str">
        <f aca="false">IF(B411="","",IFERROR(INDEX(Clients!$C$2:$C$501,MATCH(B411,Clients!$A$2:$A$501,0)),"Client ID not found"))</f>
        <v/>
      </c>
      <c r="D411" s="17"/>
      <c r="E411" s="40"/>
      <c r="F411" s="41"/>
      <c r="G411" s="17"/>
      <c r="H411" s="17"/>
      <c r="I411" s="17"/>
      <c r="J411" s="40"/>
      <c r="K411" s="17"/>
      <c r="L411" s="17"/>
      <c r="M411" s="17"/>
      <c r="N411" s="44" t="str">
        <f aca="true">IF(A411="","",IF(N(K411)&gt;Settings!$S$7,"Over revision limit",IF(AND(D411="Free video",J411="",E411&lt;&gt;"",TODAY()&gt;WORKDAY(E411,Settings!$S$5)),"LATE – free video promised in 5 working days",IF(AND(E411&lt;&gt;"",E411=TODAY()),"Shooting today",""))))</f>
        <v/>
      </c>
    </row>
    <row r="412" customFormat="false" ht="15" hidden="false" customHeight="false" outlineLevel="0" collapsed="false">
      <c r="A412" s="17"/>
      <c r="B412" s="17"/>
      <c r="C412" s="44" t="str">
        <f aca="false">IF(B412="","",IFERROR(INDEX(Clients!$C$2:$C$501,MATCH(B412,Clients!$A$2:$A$501,0)),"Client ID not found"))</f>
        <v/>
      </c>
      <c r="D412" s="17"/>
      <c r="E412" s="40"/>
      <c r="F412" s="41"/>
      <c r="G412" s="17"/>
      <c r="H412" s="17"/>
      <c r="I412" s="17"/>
      <c r="J412" s="40"/>
      <c r="K412" s="17"/>
      <c r="L412" s="17"/>
      <c r="M412" s="17"/>
      <c r="N412" s="44" t="str">
        <f aca="true">IF(A412="","",IF(N(K412)&gt;Settings!$S$7,"Over revision limit",IF(AND(D412="Free video",J412="",E412&lt;&gt;"",TODAY()&gt;WORKDAY(E412,Settings!$S$5)),"LATE – free video promised in 5 working days",IF(AND(E412&lt;&gt;"",E412=TODAY()),"Shooting today",""))))</f>
        <v/>
      </c>
    </row>
    <row r="413" customFormat="false" ht="15" hidden="false" customHeight="false" outlineLevel="0" collapsed="false">
      <c r="A413" s="17"/>
      <c r="B413" s="17"/>
      <c r="C413" s="44" t="str">
        <f aca="false">IF(B413="","",IFERROR(INDEX(Clients!$C$2:$C$501,MATCH(B413,Clients!$A$2:$A$501,0)),"Client ID not found"))</f>
        <v/>
      </c>
      <c r="D413" s="17"/>
      <c r="E413" s="40"/>
      <c r="F413" s="41"/>
      <c r="G413" s="17"/>
      <c r="H413" s="17"/>
      <c r="I413" s="17"/>
      <c r="J413" s="40"/>
      <c r="K413" s="17"/>
      <c r="L413" s="17"/>
      <c r="M413" s="17"/>
      <c r="N413" s="44" t="str">
        <f aca="true">IF(A413="","",IF(N(K413)&gt;Settings!$S$7,"Over revision limit",IF(AND(D413="Free video",J413="",E413&lt;&gt;"",TODAY()&gt;WORKDAY(E413,Settings!$S$5)),"LATE – free video promised in 5 working days",IF(AND(E413&lt;&gt;"",E413=TODAY()),"Shooting today",""))))</f>
        <v/>
      </c>
    </row>
    <row r="414" customFormat="false" ht="15" hidden="false" customHeight="false" outlineLevel="0" collapsed="false">
      <c r="A414" s="17"/>
      <c r="B414" s="17"/>
      <c r="C414" s="44" t="str">
        <f aca="false">IF(B414="","",IFERROR(INDEX(Clients!$C$2:$C$501,MATCH(B414,Clients!$A$2:$A$501,0)),"Client ID not found"))</f>
        <v/>
      </c>
      <c r="D414" s="17"/>
      <c r="E414" s="40"/>
      <c r="F414" s="41"/>
      <c r="G414" s="17"/>
      <c r="H414" s="17"/>
      <c r="I414" s="17"/>
      <c r="J414" s="40"/>
      <c r="K414" s="17"/>
      <c r="L414" s="17"/>
      <c r="M414" s="17"/>
      <c r="N414" s="44" t="str">
        <f aca="true">IF(A414="","",IF(N(K414)&gt;Settings!$S$7,"Over revision limit",IF(AND(D414="Free video",J414="",E414&lt;&gt;"",TODAY()&gt;WORKDAY(E414,Settings!$S$5)),"LATE – free video promised in 5 working days",IF(AND(E414&lt;&gt;"",E414=TODAY()),"Shooting today",""))))</f>
        <v/>
      </c>
    </row>
    <row r="415" customFormat="false" ht="15" hidden="false" customHeight="false" outlineLevel="0" collapsed="false">
      <c r="A415" s="17"/>
      <c r="B415" s="17"/>
      <c r="C415" s="44" t="str">
        <f aca="false">IF(B415="","",IFERROR(INDEX(Clients!$C$2:$C$501,MATCH(B415,Clients!$A$2:$A$501,0)),"Client ID not found"))</f>
        <v/>
      </c>
      <c r="D415" s="17"/>
      <c r="E415" s="40"/>
      <c r="F415" s="41"/>
      <c r="G415" s="17"/>
      <c r="H415" s="17"/>
      <c r="I415" s="17"/>
      <c r="J415" s="40"/>
      <c r="K415" s="17"/>
      <c r="L415" s="17"/>
      <c r="M415" s="17"/>
      <c r="N415" s="44" t="str">
        <f aca="true">IF(A415="","",IF(N(K415)&gt;Settings!$S$7,"Over revision limit",IF(AND(D415="Free video",J415="",E415&lt;&gt;"",TODAY()&gt;WORKDAY(E415,Settings!$S$5)),"LATE – free video promised in 5 working days",IF(AND(E415&lt;&gt;"",E415=TODAY()),"Shooting today",""))))</f>
        <v/>
      </c>
    </row>
    <row r="416" customFormat="false" ht="15" hidden="false" customHeight="false" outlineLevel="0" collapsed="false">
      <c r="A416" s="17"/>
      <c r="B416" s="17"/>
      <c r="C416" s="44" t="str">
        <f aca="false">IF(B416="","",IFERROR(INDEX(Clients!$C$2:$C$501,MATCH(B416,Clients!$A$2:$A$501,0)),"Client ID not found"))</f>
        <v/>
      </c>
      <c r="D416" s="17"/>
      <c r="E416" s="40"/>
      <c r="F416" s="41"/>
      <c r="G416" s="17"/>
      <c r="H416" s="17"/>
      <c r="I416" s="17"/>
      <c r="J416" s="40"/>
      <c r="K416" s="17"/>
      <c r="L416" s="17"/>
      <c r="M416" s="17"/>
      <c r="N416" s="44" t="str">
        <f aca="true">IF(A416="","",IF(N(K416)&gt;Settings!$S$7,"Over revision limit",IF(AND(D416="Free video",J416="",E416&lt;&gt;"",TODAY()&gt;WORKDAY(E416,Settings!$S$5)),"LATE – free video promised in 5 working days",IF(AND(E416&lt;&gt;"",E416=TODAY()),"Shooting today",""))))</f>
        <v/>
      </c>
    </row>
    <row r="417" customFormat="false" ht="15" hidden="false" customHeight="false" outlineLevel="0" collapsed="false">
      <c r="A417" s="17"/>
      <c r="B417" s="17"/>
      <c r="C417" s="44" t="str">
        <f aca="false">IF(B417="","",IFERROR(INDEX(Clients!$C$2:$C$501,MATCH(B417,Clients!$A$2:$A$501,0)),"Client ID not found"))</f>
        <v/>
      </c>
      <c r="D417" s="17"/>
      <c r="E417" s="40"/>
      <c r="F417" s="41"/>
      <c r="G417" s="17"/>
      <c r="H417" s="17"/>
      <c r="I417" s="17"/>
      <c r="J417" s="40"/>
      <c r="K417" s="17"/>
      <c r="L417" s="17"/>
      <c r="M417" s="17"/>
      <c r="N417" s="44" t="str">
        <f aca="true">IF(A417="","",IF(N(K417)&gt;Settings!$S$7,"Over revision limit",IF(AND(D417="Free video",J417="",E417&lt;&gt;"",TODAY()&gt;WORKDAY(E417,Settings!$S$5)),"LATE – free video promised in 5 working days",IF(AND(E417&lt;&gt;"",E417=TODAY()),"Shooting today",""))))</f>
        <v/>
      </c>
    </row>
    <row r="418" customFormat="false" ht="15" hidden="false" customHeight="false" outlineLevel="0" collapsed="false">
      <c r="A418" s="17"/>
      <c r="B418" s="17"/>
      <c r="C418" s="44" t="str">
        <f aca="false">IF(B418="","",IFERROR(INDEX(Clients!$C$2:$C$501,MATCH(B418,Clients!$A$2:$A$501,0)),"Client ID not found"))</f>
        <v/>
      </c>
      <c r="D418" s="17"/>
      <c r="E418" s="40"/>
      <c r="F418" s="41"/>
      <c r="G418" s="17"/>
      <c r="H418" s="17"/>
      <c r="I418" s="17"/>
      <c r="J418" s="40"/>
      <c r="K418" s="17"/>
      <c r="L418" s="17"/>
      <c r="M418" s="17"/>
      <c r="N418" s="44" t="str">
        <f aca="true">IF(A418="","",IF(N(K418)&gt;Settings!$S$7,"Over revision limit",IF(AND(D418="Free video",J418="",E418&lt;&gt;"",TODAY()&gt;WORKDAY(E418,Settings!$S$5)),"LATE – free video promised in 5 working days",IF(AND(E418&lt;&gt;"",E418=TODAY()),"Shooting today",""))))</f>
        <v/>
      </c>
    </row>
    <row r="419" customFormat="false" ht="15" hidden="false" customHeight="false" outlineLevel="0" collapsed="false">
      <c r="A419" s="17"/>
      <c r="B419" s="17"/>
      <c r="C419" s="44" t="str">
        <f aca="false">IF(B419="","",IFERROR(INDEX(Clients!$C$2:$C$501,MATCH(B419,Clients!$A$2:$A$501,0)),"Client ID not found"))</f>
        <v/>
      </c>
      <c r="D419" s="17"/>
      <c r="E419" s="40"/>
      <c r="F419" s="41"/>
      <c r="G419" s="17"/>
      <c r="H419" s="17"/>
      <c r="I419" s="17"/>
      <c r="J419" s="40"/>
      <c r="K419" s="17"/>
      <c r="L419" s="17"/>
      <c r="M419" s="17"/>
      <c r="N419" s="44" t="str">
        <f aca="true">IF(A419="","",IF(N(K419)&gt;Settings!$S$7,"Over revision limit",IF(AND(D419="Free video",J419="",E419&lt;&gt;"",TODAY()&gt;WORKDAY(E419,Settings!$S$5)),"LATE – free video promised in 5 working days",IF(AND(E419&lt;&gt;"",E419=TODAY()),"Shooting today",""))))</f>
        <v/>
      </c>
    </row>
    <row r="420" customFormat="false" ht="15" hidden="false" customHeight="false" outlineLevel="0" collapsed="false">
      <c r="A420" s="17"/>
      <c r="B420" s="17"/>
      <c r="C420" s="44" t="str">
        <f aca="false">IF(B420="","",IFERROR(INDEX(Clients!$C$2:$C$501,MATCH(B420,Clients!$A$2:$A$501,0)),"Client ID not found"))</f>
        <v/>
      </c>
      <c r="D420" s="17"/>
      <c r="E420" s="40"/>
      <c r="F420" s="41"/>
      <c r="G420" s="17"/>
      <c r="H420" s="17"/>
      <c r="I420" s="17"/>
      <c r="J420" s="40"/>
      <c r="K420" s="17"/>
      <c r="L420" s="17"/>
      <c r="M420" s="17"/>
      <c r="N420" s="44" t="str">
        <f aca="true">IF(A420="","",IF(N(K420)&gt;Settings!$S$7,"Over revision limit",IF(AND(D420="Free video",J420="",E420&lt;&gt;"",TODAY()&gt;WORKDAY(E420,Settings!$S$5)),"LATE – free video promised in 5 working days",IF(AND(E420&lt;&gt;"",E420=TODAY()),"Shooting today",""))))</f>
        <v/>
      </c>
    </row>
    <row r="421" customFormat="false" ht="15" hidden="false" customHeight="false" outlineLevel="0" collapsed="false">
      <c r="A421" s="17"/>
      <c r="B421" s="17"/>
      <c r="C421" s="44" t="str">
        <f aca="false">IF(B421="","",IFERROR(INDEX(Clients!$C$2:$C$501,MATCH(B421,Clients!$A$2:$A$501,0)),"Client ID not found"))</f>
        <v/>
      </c>
      <c r="D421" s="17"/>
      <c r="E421" s="40"/>
      <c r="F421" s="41"/>
      <c r="G421" s="17"/>
      <c r="H421" s="17"/>
      <c r="I421" s="17"/>
      <c r="J421" s="40"/>
      <c r="K421" s="17"/>
      <c r="L421" s="17"/>
      <c r="M421" s="17"/>
      <c r="N421" s="44" t="str">
        <f aca="true">IF(A421="","",IF(N(K421)&gt;Settings!$S$7,"Over revision limit",IF(AND(D421="Free video",J421="",E421&lt;&gt;"",TODAY()&gt;WORKDAY(E421,Settings!$S$5)),"LATE – free video promised in 5 working days",IF(AND(E421&lt;&gt;"",E421=TODAY()),"Shooting today",""))))</f>
        <v/>
      </c>
    </row>
    <row r="422" customFormat="false" ht="15" hidden="false" customHeight="false" outlineLevel="0" collapsed="false">
      <c r="A422" s="17"/>
      <c r="B422" s="17"/>
      <c r="C422" s="44" t="str">
        <f aca="false">IF(B422="","",IFERROR(INDEX(Clients!$C$2:$C$501,MATCH(B422,Clients!$A$2:$A$501,0)),"Client ID not found"))</f>
        <v/>
      </c>
      <c r="D422" s="17"/>
      <c r="E422" s="40"/>
      <c r="F422" s="41"/>
      <c r="G422" s="17"/>
      <c r="H422" s="17"/>
      <c r="I422" s="17"/>
      <c r="J422" s="40"/>
      <c r="K422" s="17"/>
      <c r="L422" s="17"/>
      <c r="M422" s="17"/>
      <c r="N422" s="44" t="str">
        <f aca="true">IF(A422="","",IF(N(K422)&gt;Settings!$S$7,"Over revision limit",IF(AND(D422="Free video",J422="",E422&lt;&gt;"",TODAY()&gt;WORKDAY(E422,Settings!$S$5)),"LATE – free video promised in 5 working days",IF(AND(E422&lt;&gt;"",E422=TODAY()),"Shooting today",""))))</f>
        <v/>
      </c>
    </row>
    <row r="423" customFormat="false" ht="15" hidden="false" customHeight="false" outlineLevel="0" collapsed="false">
      <c r="A423" s="17"/>
      <c r="B423" s="17"/>
      <c r="C423" s="44" t="str">
        <f aca="false">IF(B423="","",IFERROR(INDEX(Clients!$C$2:$C$501,MATCH(B423,Clients!$A$2:$A$501,0)),"Client ID not found"))</f>
        <v/>
      </c>
      <c r="D423" s="17"/>
      <c r="E423" s="40"/>
      <c r="F423" s="41"/>
      <c r="G423" s="17"/>
      <c r="H423" s="17"/>
      <c r="I423" s="17"/>
      <c r="J423" s="40"/>
      <c r="K423" s="17"/>
      <c r="L423" s="17"/>
      <c r="M423" s="17"/>
      <c r="N423" s="44" t="str">
        <f aca="true">IF(A423="","",IF(N(K423)&gt;Settings!$S$7,"Over revision limit",IF(AND(D423="Free video",J423="",E423&lt;&gt;"",TODAY()&gt;WORKDAY(E423,Settings!$S$5)),"LATE – free video promised in 5 working days",IF(AND(E423&lt;&gt;"",E423=TODAY()),"Shooting today",""))))</f>
        <v/>
      </c>
    </row>
    <row r="424" customFormat="false" ht="15" hidden="false" customHeight="false" outlineLevel="0" collapsed="false">
      <c r="A424" s="17"/>
      <c r="B424" s="17"/>
      <c r="C424" s="44" t="str">
        <f aca="false">IF(B424="","",IFERROR(INDEX(Clients!$C$2:$C$501,MATCH(B424,Clients!$A$2:$A$501,0)),"Client ID not found"))</f>
        <v/>
      </c>
      <c r="D424" s="17"/>
      <c r="E424" s="40"/>
      <c r="F424" s="41"/>
      <c r="G424" s="17"/>
      <c r="H424" s="17"/>
      <c r="I424" s="17"/>
      <c r="J424" s="40"/>
      <c r="K424" s="17"/>
      <c r="L424" s="17"/>
      <c r="M424" s="17"/>
      <c r="N424" s="44" t="str">
        <f aca="true">IF(A424="","",IF(N(K424)&gt;Settings!$S$7,"Over revision limit",IF(AND(D424="Free video",J424="",E424&lt;&gt;"",TODAY()&gt;WORKDAY(E424,Settings!$S$5)),"LATE – free video promised in 5 working days",IF(AND(E424&lt;&gt;"",E424=TODAY()),"Shooting today",""))))</f>
        <v/>
      </c>
    </row>
    <row r="425" customFormat="false" ht="15" hidden="false" customHeight="false" outlineLevel="0" collapsed="false">
      <c r="A425" s="17"/>
      <c r="B425" s="17"/>
      <c r="C425" s="44" t="str">
        <f aca="false">IF(B425="","",IFERROR(INDEX(Clients!$C$2:$C$501,MATCH(B425,Clients!$A$2:$A$501,0)),"Client ID not found"))</f>
        <v/>
      </c>
      <c r="D425" s="17"/>
      <c r="E425" s="40"/>
      <c r="F425" s="41"/>
      <c r="G425" s="17"/>
      <c r="H425" s="17"/>
      <c r="I425" s="17"/>
      <c r="J425" s="40"/>
      <c r="K425" s="17"/>
      <c r="L425" s="17"/>
      <c r="M425" s="17"/>
      <c r="N425" s="44" t="str">
        <f aca="true">IF(A425="","",IF(N(K425)&gt;Settings!$S$7,"Over revision limit",IF(AND(D425="Free video",J425="",E425&lt;&gt;"",TODAY()&gt;WORKDAY(E425,Settings!$S$5)),"LATE – free video promised in 5 working days",IF(AND(E425&lt;&gt;"",E425=TODAY()),"Shooting today",""))))</f>
        <v/>
      </c>
    </row>
    <row r="426" customFormat="false" ht="15" hidden="false" customHeight="false" outlineLevel="0" collapsed="false">
      <c r="A426" s="17"/>
      <c r="B426" s="17"/>
      <c r="C426" s="44" t="str">
        <f aca="false">IF(B426="","",IFERROR(INDEX(Clients!$C$2:$C$501,MATCH(B426,Clients!$A$2:$A$501,0)),"Client ID not found"))</f>
        <v/>
      </c>
      <c r="D426" s="17"/>
      <c r="E426" s="40"/>
      <c r="F426" s="41"/>
      <c r="G426" s="17"/>
      <c r="H426" s="17"/>
      <c r="I426" s="17"/>
      <c r="J426" s="40"/>
      <c r="K426" s="17"/>
      <c r="L426" s="17"/>
      <c r="M426" s="17"/>
      <c r="N426" s="44" t="str">
        <f aca="true">IF(A426="","",IF(N(K426)&gt;Settings!$S$7,"Over revision limit",IF(AND(D426="Free video",J426="",E426&lt;&gt;"",TODAY()&gt;WORKDAY(E426,Settings!$S$5)),"LATE – free video promised in 5 working days",IF(AND(E426&lt;&gt;"",E426=TODAY()),"Shooting today",""))))</f>
        <v/>
      </c>
    </row>
    <row r="427" customFormat="false" ht="15" hidden="false" customHeight="false" outlineLevel="0" collapsed="false">
      <c r="A427" s="17"/>
      <c r="B427" s="17"/>
      <c r="C427" s="44" t="str">
        <f aca="false">IF(B427="","",IFERROR(INDEX(Clients!$C$2:$C$501,MATCH(B427,Clients!$A$2:$A$501,0)),"Client ID not found"))</f>
        <v/>
      </c>
      <c r="D427" s="17"/>
      <c r="E427" s="40"/>
      <c r="F427" s="41"/>
      <c r="G427" s="17"/>
      <c r="H427" s="17"/>
      <c r="I427" s="17"/>
      <c r="J427" s="40"/>
      <c r="K427" s="17"/>
      <c r="L427" s="17"/>
      <c r="M427" s="17"/>
      <c r="N427" s="44" t="str">
        <f aca="true">IF(A427="","",IF(N(K427)&gt;Settings!$S$7,"Over revision limit",IF(AND(D427="Free video",J427="",E427&lt;&gt;"",TODAY()&gt;WORKDAY(E427,Settings!$S$5)),"LATE – free video promised in 5 working days",IF(AND(E427&lt;&gt;"",E427=TODAY()),"Shooting today",""))))</f>
        <v/>
      </c>
    </row>
    <row r="428" customFormat="false" ht="15" hidden="false" customHeight="false" outlineLevel="0" collapsed="false">
      <c r="A428" s="17"/>
      <c r="B428" s="17"/>
      <c r="C428" s="44" t="str">
        <f aca="false">IF(B428="","",IFERROR(INDEX(Clients!$C$2:$C$501,MATCH(B428,Clients!$A$2:$A$501,0)),"Client ID not found"))</f>
        <v/>
      </c>
      <c r="D428" s="17"/>
      <c r="E428" s="40"/>
      <c r="F428" s="41"/>
      <c r="G428" s="17"/>
      <c r="H428" s="17"/>
      <c r="I428" s="17"/>
      <c r="J428" s="40"/>
      <c r="K428" s="17"/>
      <c r="L428" s="17"/>
      <c r="M428" s="17"/>
      <c r="N428" s="44" t="str">
        <f aca="true">IF(A428="","",IF(N(K428)&gt;Settings!$S$7,"Over revision limit",IF(AND(D428="Free video",J428="",E428&lt;&gt;"",TODAY()&gt;WORKDAY(E428,Settings!$S$5)),"LATE – free video promised in 5 working days",IF(AND(E428&lt;&gt;"",E428=TODAY()),"Shooting today",""))))</f>
        <v/>
      </c>
    </row>
    <row r="429" customFormat="false" ht="15" hidden="false" customHeight="false" outlineLevel="0" collapsed="false">
      <c r="A429" s="17"/>
      <c r="B429" s="17"/>
      <c r="C429" s="44" t="str">
        <f aca="false">IF(B429="","",IFERROR(INDEX(Clients!$C$2:$C$501,MATCH(B429,Clients!$A$2:$A$501,0)),"Client ID not found"))</f>
        <v/>
      </c>
      <c r="D429" s="17"/>
      <c r="E429" s="40"/>
      <c r="F429" s="41"/>
      <c r="G429" s="17"/>
      <c r="H429" s="17"/>
      <c r="I429" s="17"/>
      <c r="J429" s="40"/>
      <c r="K429" s="17"/>
      <c r="L429" s="17"/>
      <c r="M429" s="17"/>
      <c r="N429" s="44" t="str">
        <f aca="true">IF(A429="","",IF(N(K429)&gt;Settings!$S$7,"Over revision limit",IF(AND(D429="Free video",J429="",E429&lt;&gt;"",TODAY()&gt;WORKDAY(E429,Settings!$S$5)),"LATE – free video promised in 5 working days",IF(AND(E429&lt;&gt;"",E429=TODAY()),"Shooting today",""))))</f>
        <v/>
      </c>
    </row>
    <row r="430" customFormat="false" ht="15" hidden="false" customHeight="false" outlineLevel="0" collapsed="false">
      <c r="A430" s="17"/>
      <c r="B430" s="17"/>
      <c r="C430" s="44" t="str">
        <f aca="false">IF(B430="","",IFERROR(INDEX(Clients!$C$2:$C$501,MATCH(B430,Clients!$A$2:$A$501,0)),"Client ID not found"))</f>
        <v/>
      </c>
      <c r="D430" s="17"/>
      <c r="E430" s="40"/>
      <c r="F430" s="41"/>
      <c r="G430" s="17"/>
      <c r="H430" s="17"/>
      <c r="I430" s="17"/>
      <c r="J430" s="40"/>
      <c r="K430" s="17"/>
      <c r="L430" s="17"/>
      <c r="M430" s="17"/>
      <c r="N430" s="44" t="str">
        <f aca="true">IF(A430="","",IF(N(K430)&gt;Settings!$S$7,"Over revision limit",IF(AND(D430="Free video",J430="",E430&lt;&gt;"",TODAY()&gt;WORKDAY(E430,Settings!$S$5)),"LATE – free video promised in 5 working days",IF(AND(E430&lt;&gt;"",E430=TODAY()),"Shooting today",""))))</f>
        <v/>
      </c>
    </row>
    <row r="431" customFormat="false" ht="15" hidden="false" customHeight="false" outlineLevel="0" collapsed="false">
      <c r="A431" s="17"/>
      <c r="B431" s="17"/>
      <c r="C431" s="44" t="str">
        <f aca="false">IF(B431="","",IFERROR(INDEX(Clients!$C$2:$C$501,MATCH(B431,Clients!$A$2:$A$501,0)),"Client ID not found"))</f>
        <v/>
      </c>
      <c r="D431" s="17"/>
      <c r="E431" s="40"/>
      <c r="F431" s="41"/>
      <c r="G431" s="17"/>
      <c r="H431" s="17"/>
      <c r="I431" s="17"/>
      <c r="J431" s="40"/>
      <c r="K431" s="17"/>
      <c r="L431" s="17"/>
      <c r="M431" s="17"/>
      <c r="N431" s="44" t="str">
        <f aca="true">IF(A431="","",IF(N(K431)&gt;Settings!$S$7,"Over revision limit",IF(AND(D431="Free video",J431="",E431&lt;&gt;"",TODAY()&gt;WORKDAY(E431,Settings!$S$5)),"LATE – free video promised in 5 working days",IF(AND(E431&lt;&gt;"",E431=TODAY()),"Shooting today",""))))</f>
        <v/>
      </c>
    </row>
    <row r="432" customFormat="false" ht="15" hidden="false" customHeight="false" outlineLevel="0" collapsed="false">
      <c r="A432" s="17"/>
      <c r="B432" s="17"/>
      <c r="C432" s="44" t="str">
        <f aca="false">IF(B432="","",IFERROR(INDEX(Clients!$C$2:$C$501,MATCH(B432,Clients!$A$2:$A$501,0)),"Client ID not found"))</f>
        <v/>
      </c>
      <c r="D432" s="17"/>
      <c r="E432" s="40"/>
      <c r="F432" s="41"/>
      <c r="G432" s="17"/>
      <c r="H432" s="17"/>
      <c r="I432" s="17"/>
      <c r="J432" s="40"/>
      <c r="K432" s="17"/>
      <c r="L432" s="17"/>
      <c r="M432" s="17"/>
      <c r="N432" s="44" t="str">
        <f aca="true">IF(A432="","",IF(N(K432)&gt;Settings!$S$7,"Over revision limit",IF(AND(D432="Free video",J432="",E432&lt;&gt;"",TODAY()&gt;WORKDAY(E432,Settings!$S$5)),"LATE – free video promised in 5 working days",IF(AND(E432&lt;&gt;"",E432=TODAY()),"Shooting today",""))))</f>
        <v/>
      </c>
    </row>
    <row r="433" customFormat="false" ht="15" hidden="false" customHeight="false" outlineLevel="0" collapsed="false">
      <c r="A433" s="17"/>
      <c r="B433" s="17"/>
      <c r="C433" s="44" t="str">
        <f aca="false">IF(B433="","",IFERROR(INDEX(Clients!$C$2:$C$501,MATCH(B433,Clients!$A$2:$A$501,0)),"Client ID not found"))</f>
        <v/>
      </c>
      <c r="D433" s="17"/>
      <c r="E433" s="40"/>
      <c r="F433" s="41"/>
      <c r="G433" s="17"/>
      <c r="H433" s="17"/>
      <c r="I433" s="17"/>
      <c r="J433" s="40"/>
      <c r="K433" s="17"/>
      <c r="L433" s="17"/>
      <c r="M433" s="17"/>
      <c r="N433" s="44" t="str">
        <f aca="true">IF(A433="","",IF(N(K433)&gt;Settings!$S$7,"Over revision limit",IF(AND(D433="Free video",J433="",E433&lt;&gt;"",TODAY()&gt;WORKDAY(E433,Settings!$S$5)),"LATE – free video promised in 5 working days",IF(AND(E433&lt;&gt;"",E433=TODAY()),"Shooting today",""))))</f>
        <v/>
      </c>
    </row>
    <row r="434" customFormat="false" ht="15" hidden="false" customHeight="false" outlineLevel="0" collapsed="false">
      <c r="A434" s="17"/>
      <c r="B434" s="17"/>
      <c r="C434" s="44" t="str">
        <f aca="false">IF(B434="","",IFERROR(INDEX(Clients!$C$2:$C$501,MATCH(B434,Clients!$A$2:$A$501,0)),"Client ID not found"))</f>
        <v/>
      </c>
      <c r="D434" s="17"/>
      <c r="E434" s="40"/>
      <c r="F434" s="41"/>
      <c r="G434" s="17"/>
      <c r="H434" s="17"/>
      <c r="I434" s="17"/>
      <c r="J434" s="40"/>
      <c r="K434" s="17"/>
      <c r="L434" s="17"/>
      <c r="M434" s="17"/>
      <c r="N434" s="44" t="str">
        <f aca="true">IF(A434="","",IF(N(K434)&gt;Settings!$S$7,"Over revision limit",IF(AND(D434="Free video",J434="",E434&lt;&gt;"",TODAY()&gt;WORKDAY(E434,Settings!$S$5)),"LATE – free video promised in 5 working days",IF(AND(E434&lt;&gt;"",E434=TODAY()),"Shooting today",""))))</f>
        <v/>
      </c>
    </row>
    <row r="435" customFormat="false" ht="15" hidden="false" customHeight="false" outlineLevel="0" collapsed="false">
      <c r="A435" s="17"/>
      <c r="B435" s="17"/>
      <c r="C435" s="44" t="str">
        <f aca="false">IF(B435="","",IFERROR(INDEX(Clients!$C$2:$C$501,MATCH(B435,Clients!$A$2:$A$501,0)),"Client ID not found"))</f>
        <v/>
      </c>
      <c r="D435" s="17"/>
      <c r="E435" s="40"/>
      <c r="F435" s="41"/>
      <c r="G435" s="17"/>
      <c r="H435" s="17"/>
      <c r="I435" s="17"/>
      <c r="J435" s="40"/>
      <c r="K435" s="17"/>
      <c r="L435" s="17"/>
      <c r="M435" s="17"/>
      <c r="N435" s="44" t="str">
        <f aca="true">IF(A435="","",IF(N(K435)&gt;Settings!$S$7,"Over revision limit",IF(AND(D435="Free video",J435="",E435&lt;&gt;"",TODAY()&gt;WORKDAY(E435,Settings!$S$5)),"LATE – free video promised in 5 working days",IF(AND(E435&lt;&gt;"",E435=TODAY()),"Shooting today",""))))</f>
        <v/>
      </c>
    </row>
    <row r="436" customFormat="false" ht="15" hidden="false" customHeight="false" outlineLevel="0" collapsed="false">
      <c r="A436" s="17"/>
      <c r="B436" s="17"/>
      <c r="C436" s="44" t="str">
        <f aca="false">IF(B436="","",IFERROR(INDEX(Clients!$C$2:$C$501,MATCH(B436,Clients!$A$2:$A$501,0)),"Client ID not found"))</f>
        <v/>
      </c>
      <c r="D436" s="17"/>
      <c r="E436" s="40"/>
      <c r="F436" s="41"/>
      <c r="G436" s="17"/>
      <c r="H436" s="17"/>
      <c r="I436" s="17"/>
      <c r="J436" s="40"/>
      <c r="K436" s="17"/>
      <c r="L436" s="17"/>
      <c r="M436" s="17"/>
      <c r="N436" s="44" t="str">
        <f aca="true">IF(A436="","",IF(N(K436)&gt;Settings!$S$7,"Over revision limit",IF(AND(D436="Free video",J436="",E436&lt;&gt;"",TODAY()&gt;WORKDAY(E436,Settings!$S$5)),"LATE – free video promised in 5 working days",IF(AND(E436&lt;&gt;"",E436=TODAY()),"Shooting today",""))))</f>
        <v/>
      </c>
    </row>
    <row r="437" customFormat="false" ht="15" hidden="false" customHeight="false" outlineLevel="0" collapsed="false">
      <c r="A437" s="17"/>
      <c r="B437" s="17"/>
      <c r="C437" s="44" t="str">
        <f aca="false">IF(B437="","",IFERROR(INDEX(Clients!$C$2:$C$501,MATCH(B437,Clients!$A$2:$A$501,0)),"Client ID not found"))</f>
        <v/>
      </c>
      <c r="D437" s="17"/>
      <c r="E437" s="40"/>
      <c r="F437" s="41"/>
      <c r="G437" s="17"/>
      <c r="H437" s="17"/>
      <c r="I437" s="17"/>
      <c r="J437" s="40"/>
      <c r="K437" s="17"/>
      <c r="L437" s="17"/>
      <c r="M437" s="17"/>
      <c r="N437" s="44" t="str">
        <f aca="true">IF(A437="","",IF(N(K437)&gt;Settings!$S$7,"Over revision limit",IF(AND(D437="Free video",J437="",E437&lt;&gt;"",TODAY()&gt;WORKDAY(E437,Settings!$S$5)),"LATE – free video promised in 5 working days",IF(AND(E437&lt;&gt;"",E437=TODAY()),"Shooting today",""))))</f>
        <v/>
      </c>
    </row>
    <row r="438" customFormat="false" ht="15" hidden="false" customHeight="false" outlineLevel="0" collapsed="false">
      <c r="A438" s="17"/>
      <c r="B438" s="17"/>
      <c r="C438" s="44" t="str">
        <f aca="false">IF(B438="","",IFERROR(INDEX(Clients!$C$2:$C$501,MATCH(B438,Clients!$A$2:$A$501,0)),"Client ID not found"))</f>
        <v/>
      </c>
      <c r="D438" s="17"/>
      <c r="E438" s="40"/>
      <c r="F438" s="41"/>
      <c r="G438" s="17"/>
      <c r="H438" s="17"/>
      <c r="I438" s="17"/>
      <c r="J438" s="40"/>
      <c r="K438" s="17"/>
      <c r="L438" s="17"/>
      <c r="M438" s="17"/>
      <c r="N438" s="44" t="str">
        <f aca="true">IF(A438="","",IF(N(K438)&gt;Settings!$S$7,"Over revision limit",IF(AND(D438="Free video",J438="",E438&lt;&gt;"",TODAY()&gt;WORKDAY(E438,Settings!$S$5)),"LATE – free video promised in 5 working days",IF(AND(E438&lt;&gt;"",E438=TODAY()),"Shooting today",""))))</f>
        <v/>
      </c>
    </row>
    <row r="439" customFormat="false" ht="15" hidden="false" customHeight="false" outlineLevel="0" collapsed="false">
      <c r="A439" s="17"/>
      <c r="B439" s="17"/>
      <c r="C439" s="44" t="str">
        <f aca="false">IF(B439="","",IFERROR(INDEX(Clients!$C$2:$C$501,MATCH(B439,Clients!$A$2:$A$501,0)),"Client ID not found"))</f>
        <v/>
      </c>
      <c r="D439" s="17"/>
      <c r="E439" s="40"/>
      <c r="F439" s="41"/>
      <c r="G439" s="17"/>
      <c r="H439" s="17"/>
      <c r="I439" s="17"/>
      <c r="J439" s="40"/>
      <c r="K439" s="17"/>
      <c r="L439" s="17"/>
      <c r="M439" s="17"/>
      <c r="N439" s="44" t="str">
        <f aca="true">IF(A439="","",IF(N(K439)&gt;Settings!$S$7,"Over revision limit",IF(AND(D439="Free video",J439="",E439&lt;&gt;"",TODAY()&gt;WORKDAY(E439,Settings!$S$5)),"LATE – free video promised in 5 working days",IF(AND(E439&lt;&gt;"",E439=TODAY()),"Shooting today",""))))</f>
        <v/>
      </c>
    </row>
    <row r="440" customFormat="false" ht="15" hidden="false" customHeight="false" outlineLevel="0" collapsed="false">
      <c r="A440" s="17"/>
      <c r="B440" s="17"/>
      <c r="C440" s="44" t="str">
        <f aca="false">IF(B440="","",IFERROR(INDEX(Clients!$C$2:$C$501,MATCH(B440,Clients!$A$2:$A$501,0)),"Client ID not found"))</f>
        <v/>
      </c>
      <c r="D440" s="17"/>
      <c r="E440" s="40"/>
      <c r="F440" s="41"/>
      <c r="G440" s="17"/>
      <c r="H440" s="17"/>
      <c r="I440" s="17"/>
      <c r="J440" s="40"/>
      <c r="K440" s="17"/>
      <c r="L440" s="17"/>
      <c r="M440" s="17"/>
      <c r="N440" s="44" t="str">
        <f aca="true">IF(A440="","",IF(N(K440)&gt;Settings!$S$7,"Over revision limit",IF(AND(D440="Free video",J440="",E440&lt;&gt;"",TODAY()&gt;WORKDAY(E440,Settings!$S$5)),"LATE – free video promised in 5 working days",IF(AND(E440&lt;&gt;"",E440=TODAY()),"Shooting today",""))))</f>
        <v/>
      </c>
    </row>
    <row r="441" customFormat="false" ht="15" hidden="false" customHeight="false" outlineLevel="0" collapsed="false">
      <c r="A441" s="17"/>
      <c r="B441" s="17"/>
      <c r="C441" s="44" t="str">
        <f aca="false">IF(B441="","",IFERROR(INDEX(Clients!$C$2:$C$501,MATCH(B441,Clients!$A$2:$A$501,0)),"Client ID not found"))</f>
        <v/>
      </c>
      <c r="D441" s="17"/>
      <c r="E441" s="40"/>
      <c r="F441" s="41"/>
      <c r="G441" s="17"/>
      <c r="H441" s="17"/>
      <c r="I441" s="17"/>
      <c r="J441" s="40"/>
      <c r="K441" s="17"/>
      <c r="L441" s="17"/>
      <c r="M441" s="17"/>
      <c r="N441" s="44" t="str">
        <f aca="true">IF(A441="","",IF(N(K441)&gt;Settings!$S$7,"Over revision limit",IF(AND(D441="Free video",J441="",E441&lt;&gt;"",TODAY()&gt;WORKDAY(E441,Settings!$S$5)),"LATE – free video promised in 5 working days",IF(AND(E441&lt;&gt;"",E441=TODAY()),"Shooting today",""))))</f>
        <v/>
      </c>
    </row>
    <row r="442" customFormat="false" ht="15" hidden="false" customHeight="false" outlineLevel="0" collapsed="false">
      <c r="A442" s="17"/>
      <c r="B442" s="17"/>
      <c r="C442" s="44" t="str">
        <f aca="false">IF(B442="","",IFERROR(INDEX(Clients!$C$2:$C$501,MATCH(B442,Clients!$A$2:$A$501,0)),"Client ID not found"))</f>
        <v/>
      </c>
      <c r="D442" s="17"/>
      <c r="E442" s="40"/>
      <c r="F442" s="41"/>
      <c r="G442" s="17"/>
      <c r="H442" s="17"/>
      <c r="I442" s="17"/>
      <c r="J442" s="40"/>
      <c r="K442" s="17"/>
      <c r="L442" s="17"/>
      <c r="M442" s="17"/>
      <c r="N442" s="44" t="str">
        <f aca="true">IF(A442="","",IF(N(K442)&gt;Settings!$S$7,"Over revision limit",IF(AND(D442="Free video",J442="",E442&lt;&gt;"",TODAY()&gt;WORKDAY(E442,Settings!$S$5)),"LATE – free video promised in 5 working days",IF(AND(E442&lt;&gt;"",E442=TODAY()),"Shooting today",""))))</f>
        <v/>
      </c>
    </row>
    <row r="443" customFormat="false" ht="15" hidden="false" customHeight="false" outlineLevel="0" collapsed="false">
      <c r="A443" s="17"/>
      <c r="B443" s="17"/>
      <c r="C443" s="44" t="str">
        <f aca="false">IF(B443="","",IFERROR(INDEX(Clients!$C$2:$C$501,MATCH(B443,Clients!$A$2:$A$501,0)),"Client ID not found"))</f>
        <v/>
      </c>
      <c r="D443" s="17"/>
      <c r="E443" s="40"/>
      <c r="F443" s="41"/>
      <c r="G443" s="17"/>
      <c r="H443" s="17"/>
      <c r="I443" s="17"/>
      <c r="J443" s="40"/>
      <c r="K443" s="17"/>
      <c r="L443" s="17"/>
      <c r="M443" s="17"/>
      <c r="N443" s="44" t="str">
        <f aca="true">IF(A443="","",IF(N(K443)&gt;Settings!$S$7,"Over revision limit",IF(AND(D443="Free video",J443="",E443&lt;&gt;"",TODAY()&gt;WORKDAY(E443,Settings!$S$5)),"LATE – free video promised in 5 working days",IF(AND(E443&lt;&gt;"",E443=TODAY()),"Shooting today",""))))</f>
        <v/>
      </c>
    </row>
    <row r="444" customFormat="false" ht="15" hidden="false" customHeight="false" outlineLevel="0" collapsed="false">
      <c r="A444" s="17"/>
      <c r="B444" s="17"/>
      <c r="C444" s="44" t="str">
        <f aca="false">IF(B444="","",IFERROR(INDEX(Clients!$C$2:$C$501,MATCH(B444,Clients!$A$2:$A$501,0)),"Client ID not found"))</f>
        <v/>
      </c>
      <c r="D444" s="17"/>
      <c r="E444" s="40"/>
      <c r="F444" s="41"/>
      <c r="G444" s="17"/>
      <c r="H444" s="17"/>
      <c r="I444" s="17"/>
      <c r="J444" s="40"/>
      <c r="K444" s="17"/>
      <c r="L444" s="17"/>
      <c r="M444" s="17"/>
      <c r="N444" s="44" t="str">
        <f aca="true">IF(A444="","",IF(N(K444)&gt;Settings!$S$7,"Over revision limit",IF(AND(D444="Free video",J444="",E444&lt;&gt;"",TODAY()&gt;WORKDAY(E444,Settings!$S$5)),"LATE – free video promised in 5 working days",IF(AND(E444&lt;&gt;"",E444=TODAY()),"Shooting today",""))))</f>
        <v/>
      </c>
    </row>
    <row r="445" customFormat="false" ht="15" hidden="false" customHeight="false" outlineLevel="0" collapsed="false">
      <c r="A445" s="17"/>
      <c r="B445" s="17"/>
      <c r="C445" s="44" t="str">
        <f aca="false">IF(B445="","",IFERROR(INDEX(Clients!$C$2:$C$501,MATCH(B445,Clients!$A$2:$A$501,0)),"Client ID not found"))</f>
        <v/>
      </c>
      <c r="D445" s="17"/>
      <c r="E445" s="40"/>
      <c r="F445" s="41"/>
      <c r="G445" s="17"/>
      <c r="H445" s="17"/>
      <c r="I445" s="17"/>
      <c r="J445" s="40"/>
      <c r="K445" s="17"/>
      <c r="L445" s="17"/>
      <c r="M445" s="17"/>
      <c r="N445" s="44" t="str">
        <f aca="true">IF(A445="","",IF(N(K445)&gt;Settings!$S$7,"Over revision limit",IF(AND(D445="Free video",J445="",E445&lt;&gt;"",TODAY()&gt;WORKDAY(E445,Settings!$S$5)),"LATE – free video promised in 5 working days",IF(AND(E445&lt;&gt;"",E445=TODAY()),"Shooting today",""))))</f>
        <v/>
      </c>
    </row>
    <row r="446" customFormat="false" ht="15" hidden="false" customHeight="false" outlineLevel="0" collapsed="false">
      <c r="A446" s="17"/>
      <c r="B446" s="17"/>
      <c r="C446" s="44" t="str">
        <f aca="false">IF(B446="","",IFERROR(INDEX(Clients!$C$2:$C$501,MATCH(B446,Clients!$A$2:$A$501,0)),"Client ID not found"))</f>
        <v/>
      </c>
      <c r="D446" s="17"/>
      <c r="E446" s="40"/>
      <c r="F446" s="41"/>
      <c r="G446" s="17"/>
      <c r="H446" s="17"/>
      <c r="I446" s="17"/>
      <c r="J446" s="40"/>
      <c r="K446" s="17"/>
      <c r="L446" s="17"/>
      <c r="M446" s="17"/>
      <c r="N446" s="44" t="str">
        <f aca="true">IF(A446="","",IF(N(K446)&gt;Settings!$S$7,"Over revision limit",IF(AND(D446="Free video",J446="",E446&lt;&gt;"",TODAY()&gt;WORKDAY(E446,Settings!$S$5)),"LATE – free video promised in 5 working days",IF(AND(E446&lt;&gt;"",E446=TODAY()),"Shooting today",""))))</f>
        <v/>
      </c>
    </row>
    <row r="447" customFormat="false" ht="15" hidden="false" customHeight="false" outlineLevel="0" collapsed="false">
      <c r="A447" s="17"/>
      <c r="B447" s="17"/>
      <c r="C447" s="44" t="str">
        <f aca="false">IF(B447="","",IFERROR(INDEX(Clients!$C$2:$C$501,MATCH(B447,Clients!$A$2:$A$501,0)),"Client ID not found"))</f>
        <v/>
      </c>
      <c r="D447" s="17"/>
      <c r="E447" s="40"/>
      <c r="F447" s="41"/>
      <c r="G447" s="17"/>
      <c r="H447" s="17"/>
      <c r="I447" s="17"/>
      <c r="J447" s="40"/>
      <c r="K447" s="17"/>
      <c r="L447" s="17"/>
      <c r="M447" s="17"/>
      <c r="N447" s="44" t="str">
        <f aca="true">IF(A447="","",IF(N(K447)&gt;Settings!$S$7,"Over revision limit",IF(AND(D447="Free video",J447="",E447&lt;&gt;"",TODAY()&gt;WORKDAY(E447,Settings!$S$5)),"LATE – free video promised in 5 working days",IF(AND(E447&lt;&gt;"",E447=TODAY()),"Shooting today",""))))</f>
        <v/>
      </c>
    </row>
    <row r="448" customFormat="false" ht="15" hidden="false" customHeight="false" outlineLevel="0" collapsed="false">
      <c r="A448" s="17"/>
      <c r="B448" s="17"/>
      <c r="C448" s="44" t="str">
        <f aca="false">IF(B448="","",IFERROR(INDEX(Clients!$C$2:$C$501,MATCH(B448,Clients!$A$2:$A$501,0)),"Client ID not found"))</f>
        <v/>
      </c>
      <c r="D448" s="17"/>
      <c r="E448" s="40"/>
      <c r="F448" s="41"/>
      <c r="G448" s="17"/>
      <c r="H448" s="17"/>
      <c r="I448" s="17"/>
      <c r="J448" s="40"/>
      <c r="K448" s="17"/>
      <c r="L448" s="17"/>
      <c r="M448" s="17"/>
      <c r="N448" s="44" t="str">
        <f aca="true">IF(A448="","",IF(N(K448)&gt;Settings!$S$7,"Over revision limit",IF(AND(D448="Free video",J448="",E448&lt;&gt;"",TODAY()&gt;WORKDAY(E448,Settings!$S$5)),"LATE – free video promised in 5 working days",IF(AND(E448&lt;&gt;"",E448=TODAY()),"Shooting today",""))))</f>
        <v/>
      </c>
    </row>
    <row r="449" customFormat="false" ht="15" hidden="false" customHeight="false" outlineLevel="0" collapsed="false">
      <c r="A449" s="17"/>
      <c r="B449" s="17"/>
      <c r="C449" s="44" t="str">
        <f aca="false">IF(B449="","",IFERROR(INDEX(Clients!$C$2:$C$501,MATCH(B449,Clients!$A$2:$A$501,0)),"Client ID not found"))</f>
        <v/>
      </c>
      <c r="D449" s="17"/>
      <c r="E449" s="40"/>
      <c r="F449" s="41"/>
      <c r="G449" s="17"/>
      <c r="H449" s="17"/>
      <c r="I449" s="17"/>
      <c r="J449" s="40"/>
      <c r="K449" s="17"/>
      <c r="L449" s="17"/>
      <c r="M449" s="17"/>
      <c r="N449" s="44" t="str">
        <f aca="true">IF(A449="","",IF(N(K449)&gt;Settings!$S$7,"Over revision limit",IF(AND(D449="Free video",J449="",E449&lt;&gt;"",TODAY()&gt;WORKDAY(E449,Settings!$S$5)),"LATE – free video promised in 5 working days",IF(AND(E449&lt;&gt;"",E449=TODAY()),"Shooting today",""))))</f>
        <v/>
      </c>
    </row>
    <row r="450" customFormat="false" ht="15" hidden="false" customHeight="false" outlineLevel="0" collapsed="false">
      <c r="A450" s="17"/>
      <c r="B450" s="17"/>
      <c r="C450" s="44" t="str">
        <f aca="false">IF(B450="","",IFERROR(INDEX(Clients!$C$2:$C$501,MATCH(B450,Clients!$A$2:$A$501,0)),"Client ID not found"))</f>
        <v/>
      </c>
      <c r="D450" s="17"/>
      <c r="E450" s="40"/>
      <c r="F450" s="41"/>
      <c r="G450" s="17"/>
      <c r="H450" s="17"/>
      <c r="I450" s="17"/>
      <c r="J450" s="40"/>
      <c r="K450" s="17"/>
      <c r="L450" s="17"/>
      <c r="M450" s="17"/>
      <c r="N450" s="44" t="str">
        <f aca="true">IF(A450="","",IF(N(K450)&gt;Settings!$S$7,"Over revision limit",IF(AND(D450="Free video",J450="",E450&lt;&gt;"",TODAY()&gt;WORKDAY(E450,Settings!$S$5)),"LATE – free video promised in 5 working days",IF(AND(E450&lt;&gt;"",E450=TODAY()),"Shooting today",""))))</f>
        <v/>
      </c>
    </row>
    <row r="451" customFormat="false" ht="15" hidden="false" customHeight="false" outlineLevel="0" collapsed="false">
      <c r="A451" s="17"/>
      <c r="B451" s="17"/>
      <c r="C451" s="44" t="str">
        <f aca="false">IF(B451="","",IFERROR(INDEX(Clients!$C$2:$C$501,MATCH(B451,Clients!$A$2:$A$501,0)),"Client ID not found"))</f>
        <v/>
      </c>
      <c r="D451" s="17"/>
      <c r="E451" s="40"/>
      <c r="F451" s="41"/>
      <c r="G451" s="17"/>
      <c r="H451" s="17"/>
      <c r="I451" s="17"/>
      <c r="J451" s="40"/>
      <c r="K451" s="17"/>
      <c r="L451" s="17"/>
      <c r="M451" s="17"/>
      <c r="N451" s="44" t="str">
        <f aca="true">IF(A451="","",IF(N(K451)&gt;Settings!$S$7,"Over revision limit",IF(AND(D451="Free video",J451="",E451&lt;&gt;"",TODAY()&gt;WORKDAY(E451,Settings!$S$5)),"LATE – free video promised in 5 working days",IF(AND(E451&lt;&gt;"",E451=TODAY()),"Shooting today",""))))</f>
        <v/>
      </c>
    </row>
    <row r="452" customFormat="false" ht="15" hidden="false" customHeight="false" outlineLevel="0" collapsed="false">
      <c r="A452" s="17"/>
      <c r="B452" s="17"/>
      <c r="C452" s="44" t="str">
        <f aca="false">IF(B452="","",IFERROR(INDEX(Clients!$C$2:$C$501,MATCH(B452,Clients!$A$2:$A$501,0)),"Client ID not found"))</f>
        <v/>
      </c>
      <c r="D452" s="17"/>
      <c r="E452" s="40"/>
      <c r="F452" s="41"/>
      <c r="G452" s="17"/>
      <c r="H452" s="17"/>
      <c r="I452" s="17"/>
      <c r="J452" s="40"/>
      <c r="K452" s="17"/>
      <c r="L452" s="17"/>
      <c r="M452" s="17"/>
      <c r="N452" s="44" t="str">
        <f aca="true">IF(A452="","",IF(N(K452)&gt;Settings!$S$7,"Over revision limit",IF(AND(D452="Free video",J452="",E452&lt;&gt;"",TODAY()&gt;WORKDAY(E452,Settings!$S$5)),"LATE – free video promised in 5 working days",IF(AND(E452&lt;&gt;"",E452=TODAY()),"Shooting today",""))))</f>
        <v/>
      </c>
    </row>
    <row r="453" customFormat="false" ht="15" hidden="false" customHeight="false" outlineLevel="0" collapsed="false">
      <c r="A453" s="17"/>
      <c r="B453" s="17"/>
      <c r="C453" s="44" t="str">
        <f aca="false">IF(B453="","",IFERROR(INDEX(Clients!$C$2:$C$501,MATCH(B453,Clients!$A$2:$A$501,0)),"Client ID not found"))</f>
        <v/>
      </c>
      <c r="D453" s="17"/>
      <c r="E453" s="40"/>
      <c r="F453" s="41"/>
      <c r="G453" s="17"/>
      <c r="H453" s="17"/>
      <c r="I453" s="17"/>
      <c r="J453" s="40"/>
      <c r="K453" s="17"/>
      <c r="L453" s="17"/>
      <c r="M453" s="17"/>
      <c r="N453" s="44" t="str">
        <f aca="true">IF(A453="","",IF(N(K453)&gt;Settings!$S$7,"Over revision limit",IF(AND(D453="Free video",J453="",E453&lt;&gt;"",TODAY()&gt;WORKDAY(E453,Settings!$S$5)),"LATE – free video promised in 5 working days",IF(AND(E453&lt;&gt;"",E453=TODAY()),"Shooting today",""))))</f>
        <v/>
      </c>
    </row>
    <row r="454" customFormat="false" ht="15" hidden="false" customHeight="false" outlineLevel="0" collapsed="false">
      <c r="A454" s="17"/>
      <c r="B454" s="17"/>
      <c r="C454" s="44" t="str">
        <f aca="false">IF(B454="","",IFERROR(INDEX(Clients!$C$2:$C$501,MATCH(B454,Clients!$A$2:$A$501,0)),"Client ID not found"))</f>
        <v/>
      </c>
      <c r="D454" s="17"/>
      <c r="E454" s="40"/>
      <c r="F454" s="41"/>
      <c r="G454" s="17"/>
      <c r="H454" s="17"/>
      <c r="I454" s="17"/>
      <c r="J454" s="40"/>
      <c r="K454" s="17"/>
      <c r="L454" s="17"/>
      <c r="M454" s="17"/>
      <c r="N454" s="44" t="str">
        <f aca="true">IF(A454="","",IF(N(K454)&gt;Settings!$S$7,"Over revision limit",IF(AND(D454="Free video",J454="",E454&lt;&gt;"",TODAY()&gt;WORKDAY(E454,Settings!$S$5)),"LATE – free video promised in 5 working days",IF(AND(E454&lt;&gt;"",E454=TODAY()),"Shooting today",""))))</f>
        <v/>
      </c>
    </row>
    <row r="455" customFormat="false" ht="15" hidden="false" customHeight="false" outlineLevel="0" collapsed="false">
      <c r="A455" s="17"/>
      <c r="B455" s="17"/>
      <c r="C455" s="44" t="str">
        <f aca="false">IF(B455="","",IFERROR(INDEX(Clients!$C$2:$C$501,MATCH(B455,Clients!$A$2:$A$501,0)),"Client ID not found"))</f>
        <v/>
      </c>
      <c r="D455" s="17"/>
      <c r="E455" s="40"/>
      <c r="F455" s="41"/>
      <c r="G455" s="17"/>
      <c r="H455" s="17"/>
      <c r="I455" s="17"/>
      <c r="J455" s="40"/>
      <c r="K455" s="17"/>
      <c r="L455" s="17"/>
      <c r="M455" s="17"/>
      <c r="N455" s="44" t="str">
        <f aca="true">IF(A455="","",IF(N(K455)&gt;Settings!$S$7,"Over revision limit",IF(AND(D455="Free video",J455="",E455&lt;&gt;"",TODAY()&gt;WORKDAY(E455,Settings!$S$5)),"LATE – free video promised in 5 working days",IF(AND(E455&lt;&gt;"",E455=TODAY()),"Shooting today",""))))</f>
        <v/>
      </c>
    </row>
    <row r="456" customFormat="false" ht="15" hidden="false" customHeight="false" outlineLevel="0" collapsed="false">
      <c r="A456" s="17"/>
      <c r="B456" s="17"/>
      <c r="C456" s="44" t="str">
        <f aca="false">IF(B456="","",IFERROR(INDEX(Clients!$C$2:$C$501,MATCH(B456,Clients!$A$2:$A$501,0)),"Client ID not found"))</f>
        <v/>
      </c>
      <c r="D456" s="17"/>
      <c r="E456" s="40"/>
      <c r="F456" s="41"/>
      <c r="G456" s="17"/>
      <c r="H456" s="17"/>
      <c r="I456" s="17"/>
      <c r="J456" s="40"/>
      <c r="K456" s="17"/>
      <c r="L456" s="17"/>
      <c r="M456" s="17"/>
      <c r="N456" s="44" t="str">
        <f aca="true">IF(A456="","",IF(N(K456)&gt;Settings!$S$7,"Over revision limit",IF(AND(D456="Free video",J456="",E456&lt;&gt;"",TODAY()&gt;WORKDAY(E456,Settings!$S$5)),"LATE – free video promised in 5 working days",IF(AND(E456&lt;&gt;"",E456=TODAY()),"Shooting today",""))))</f>
        <v/>
      </c>
    </row>
    <row r="457" customFormat="false" ht="15" hidden="false" customHeight="false" outlineLevel="0" collapsed="false">
      <c r="A457" s="17"/>
      <c r="B457" s="17"/>
      <c r="C457" s="44" t="str">
        <f aca="false">IF(B457="","",IFERROR(INDEX(Clients!$C$2:$C$501,MATCH(B457,Clients!$A$2:$A$501,0)),"Client ID not found"))</f>
        <v/>
      </c>
      <c r="D457" s="17"/>
      <c r="E457" s="40"/>
      <c r="F457" s="41"/>
      <c r="G457" s="17"/>
      <c r="H457" s="17"/>
      <c r="I457" s="17"/>
      <c r="J457" s="40"/>
      <c r="K457" s="17"/>
      <c r="L457" s="17"/>
      <c r="M457" s="17"/>
      <c r="N457" s="44" t="str">
        <f aca="true">IF(A457="","",IF(N(K457)&gt;Settings!$S$7,"Over revision limit",IF(AND(D457="Free video",J457="",E457&lt;&gt;"",TODAY()&gt;WORKDAY(E457,Settings!$S$5)),"LATE – free video promised in 5 working days",IF(AND(E457&lt;&gt;"",E457=TODAY()),"Shooting today",""))))</f>
        <v/>
      </c>
    </row>
    <row r="458" customFormat="false" ht="15" hidden="false" customHeight="false" outlineLevel="0" collapsed="false">
      <c r="A458" s="17"/>
      <c r="B458" s="17"/>
      <c r="C458" s="44" t="str">
        <f aca="false">IF(B458="","",IFERROR(INDEX(Clients!$C$2:$C$501,MATCH(B458,Clients!$A$2:$A$501,0)),"Client ID not found"))</f>
        <v/>
      </c>
      <c r="D458" s="17"/>
      <c r="E458" s="40"/>
      <c r="F458" s="41"/>
      <c r="G458" s="17"/>
      <c r="H458" s="17"/>
      <c r="I458" s="17"/>
      <c r="J458" s="40"/>
      <c r="K458" s="17"/>
      <c r="L458" s="17"/>
      <c r="M458" s="17"/>
      <c r="N458" s="44" t="str">
        <f aca="true">IF(A458="","",IF(N(K458)&gt;Settings!$S$7,"Over revision limit",IF(AND(D458="Free video",J458="",E458&lt;&gt;"",TODAY()&gt;WORKDAY(E458,Settings!$S$5)),"LATE – free video promised in 5 working days",IF(AND(E458&lt;&gt;"",E458=TODAY()),"Shooting today",""))))</f>
        <v/>
      </c>
    </row>
    <row r="459" customFormat="false" ht="15" hidden="false" customHeight="false" outlineLevel="0" collapsed="false">
      <c r="A459" s="17"/>
      <c r="B459" s="17"/>
      <c r="C459" s="44" t="str">
        <f aca="false">IF(B459="","",IFERROR(INDEX(Clients!$C$2:$C$501,MATCH(B459,Clients!$A$2:$A$501,0)),"Client ID not found"))</f>
        <v/>
      </c>
      <c r="D459" s="17"/>
      <c r="E459" s="40"/>
      <c r="F459" s="41"/>
      <c r="G459" s="17"/>
      <c r="H459" s="17"/>
      <c r="I459" s="17"/>
      <c r="J459" s="40"/>
      <c r="K459" s="17"/>
      <c r="L459" s="17"/>
      <c r="M459" s="17"/>
      <c r="N459" s="44" t="str">
        <f aca="true">IF(A459="","",IF(N(K459)&gt;Settings!$S$7,"Over revision limit",IF(AND(D459="Free video",J459="",E459&lt;&gt;"",TODAY()&gt;WORKDAY(E459,Settings!$S$5)),"LATE – free video promised in 5 working days",IF(AND(E459&lt;&gt;"",E459=TODAY()),"Shooting today",""))))</f>
        <v/>
      </c>
    </row>
    <row r="460" customFormat="false" ht="15" hidden="false" customHeight="false" outlineLevel="0" collapsed="false">
      <c r="A460" s="17"/>
      <c r="B460" s="17"/>
      <c r="C460" s="44" t="str">
        <f aca="false">IF(B460="","",IFERROR(INDEX(Clients!$C$2:$C$501,MATCH(B460,Clients!$A$2:$A$501,0)),"Client ID not found"))</f>
        <v/>
      </c>
      <c r="D460" s="17"/>
      <c r="E460" s="40"/>
      <c r="F460" s="41"/>
      <c r="G460" s="17"/>
      <c r="H460" s="17"/>
      <c r="I460" s="17"/>
      <c r="J460" s="40"/>
      <c r="K460" s="17"/>
      <c r="L460" s="17"/>
      <c r="M460" s="17"/>
      <c r="N460" s="44" t="str">
        <f aca="true">IF(A460="","",IF(N(K460)&gt;Settings!$S$7,"Over revision limit",IF(AND(D460="Free video",J460="",E460&lt;&gt;"",TODAY()&gt;WORKDAY(E460,Settings!$S$5)),"LATE – free video promised in 5 working days",IF(AND(E460&lt;&gt;"",E460=TODAY()),"Shooting today",""))))</f>
        <v/>
      </c>
    </row>
    <row r="461" customFormat="false" ht="15" hidden="false" customHeight="false" outlineLevel="0" collapsed="false">
      <c r="A461" s="17"/>
      <c r="B461" s="17"/>
      <c r="C461" s="44" t="str">
        <f aca="false">IF(B461="","",IFERROR(INDEX(Clients!$C$2:$C$501,MATCH(B461,Clients!$A$2:$A$501,0)),"Client ID not found"))</f>
        <v/>
      </c>
      <c r="D461" s="17"/>
      <c r="E461" s="40"/>
      <c r="F461" s="41"/>
      <c r="G461" s="17"/>
      <c r="H461" s="17"/>
      <c r="I461" s="17"/>
      <c r="J461" s="40"/>
      <c r="K461" s="17"/>
      <c r="L461" s="17"/>
      <c r="M461" s="17"/>
      <c r="N461" s="44" t="str">
        <f aca="true">IF(A461="","",IF(N(K461)&gt;Settings!$S$7,"Over revision limit",IF(AND(D461="Free video",J461="",E461&lt;&gt;"",TODAY()&gt;WORKDAY(E461,Settings!$S$5)),"LATE – free video promised in 5 working days",IF(AND(E461&lt;&gt;"",E461=TODAY()),"Shooting today",""))))</f>
        <v/>
      </c>
    </row>
    <row r="462" customFormat="false" ht="15" hidden="false" customHeight="false" outlineLevel="0" collapsed="false">
      <c r="A462" s="17"/>
      <c r="B462" s="17"/>
      <c r="C462" s="44" t="str">
        <f aca="false">IF(B462="","",IFERROR(INDEX(Clients!$C$2:$C$501,MATCH(B462,Clients!$A$2:$A$501,0)),"Client ID not found"))</f>
        <v/>
      </c>
      <c r="D462" s="17"/>
      <c r="E462" s="40"/>
      <c r="F462" s="41"/>
      <c r="G462" s="17"/>
      <c r="H462" s="17"/>
      <c r="I462" s="17"/>
      <c r="J462" s="40"/>
      <c r="K462" s="17"/>
      <c r="L462" s="17"/>
      <c r="M462" s="17"/>
      <c r="N462" s="44" t="str">
        <f aca="true">IF(A462="","",IF(N(K462)&gt;Settings!$S$7,"Over revision limit",IF(AND(D462="Free video",J462="",E462&lt;&gt;"",TODAY()&gt;WORKDAY(E462,Settings!$S$5)),"LATE – free video promised in 5 working days",IF(AND(E462&lt;&gt;"",E462=TODAY()),"Shooting today",""))))</f>
        <v/>
      </c>
    </row>
    <row r="463" customFormat="false" ht="15" hidden="false" customHeight="false" outlineLevel="0" collapsed="false">
      <c r="A463" s="17"/>
      <c r="B463" s="17"/>
      <c r="C463" s="44" t="str">
        <f aca="false">IF(B463="","",IFERROR(INDEX(Clients!$C$2:$C$501,MATCH(B463,Clients!$A$2:$A$501,0)),"Client ID not found"))</f>
        <v/>
      </c>
      <c r="D463" s="17"/>
      <c r="E463" s="40"/>
      <c r="F463" s="41"/>
      <c r="G463" s="17"/>
      <c r="H463" s="17"/>
      <c r="I463" s="17"/>
      <c r="J463" s="40"/>
      <c r="K463" s="17"/>
      <c r="L463" s="17"/>
      <c r="M463" s="17"/>
      <c r="N463" s="44" t="str">
        <f aca="true">IF(A463="","",IF(N(K463)&gt;Settings!$S$7,"Over revision limit",IF(AND(D463="Free video",J463="",E463&lt;&gt;"",TODAY()&gt;WORKDAY(E463,Settings!$S$5)),"LATE – free video promised in 5 working days",IF(AND(E463&lt;&gt;"",E463=TODAY()),"Shooting today",""))))</f>
        <v/>
      </c>
    </row>
    <row r="464" customFormat="false" ht="15" hidden="false" customHeight="false" outlineLevel="0" collapsed="false">
      <c r="A464" s="17"/>
      <c r="B464" s="17"/>
      <c r="C464" s="44" t="str">
        <f aca="false">IF(B464="","",IFERROR(INDEX(Clients!$C$2:$C$501,MATCH(B464,Clients!$A$2:$A$501,0)),"Client ID not found"))</f>
        <v/>
      </c>
      <c r="D464" s="17"/>
      <c r="E464" s="40"/>
      <c r="F464" s="41"/>
      <c r="G464" s="17"/>
      <c r="H464" s="17"/>
      <c r="I464" s="17"/>
      <c r="J464" s="40"/>
      <c r="K464" s="17"/>
      <c r="L464" s="17"/>
      <c r="M464" s="17"/>
      <c r="N464" s="44" t="str">
        <f aca="true">IF(A464="","",IF(N(K464)&gt;Settings!$S$7,"Over revision limit",IF(AND(D464="Free video",J464="",E464&lt;&gt;"",TODAY()&gt;WORKDAY(E464,Settings!$S$5)),"LATE – free video promised in 5 working days",IF(AND(E464&lt;&gt;"",E464=TODAY()),"Shooting today",""))))</f>
        <v/>
      </c>
    </row>
    <row r="465" customFormat="false" ht="15" hidden="false" customHeight="false" outlineLevel="0" collapsed="false">
      <c r="A465" s="17"/>
      <c r="B465" s="17"/>
      <c r="C465" s="44" t="str">
        <f aca="false">IF(B465="","",IFERROR(INDEX(Clients!$C$2:$C$501,MATCH(B465,Clients!$A$2:$A$501,0)),"Client ID not found"))</f>
        <v/>
      </c>
      <c r="D465" s="17"/>
      <c r="E465" s="40"/>
      <c r="F465" s="41"/>
      <c r="G465" s="17"/>
      <c r="H465" s="17"/>
      <c r="I465" s="17"/>
      <c r="J465" s="40"/>
      <c r="K465" s="17"/>
      <c r="L465" s="17"/>
      <c r="M465" s="17"/>
      <c r="N465" s="44" t="str">
        <f aca="true">IF(A465="","",IF(N(K465)&gt;Settings!$S$7,"Over revision limit",IF(AND(D465="Free video",J465="",E465&lt;&gt;"",TODAY()&gt;WORKDAY(E465,Settings!$S$5)),"LATE – free video promised in 5 working days",IF(AND(E465&lt;&gt;"",E465=TODAY()),"Shooting today",""))))</f>
        <v/>
      </c>
    </row>
    <row r="466" customFormat="false" ht="15" hidden="false" customHeight="false" outlineLevel="0" collapsed="false">
      <c r="A466" s="17"/>
      <c r="B466" s="17"/>
      <c r="C466" s="44" t="str">
        <f aca="false">IF(B466="","",IFERROR(INDEX(Clients!$C$2:$C$501,MATCH(B466,Clients!$A$2:$A$501,0)),"Client ID not found"))</f>
        <v/>
      </c>
      <c r="D466" s="17"/>
      <c r="E466" s="40"/>
      <c r="F466" s="41"/>
      <c r="G466" s="17"/>
      <c r="H466" s="17"/>
      <c r="I466" s="17"/>
      <c r="J466" s="40"/>
      <c r="K466" s="17"/>
      <c r="L466" s="17"/>
      <c r="M466" s="17"/>
      <c r="N466" s="44" t="str">
        <f aca="true">IF(A466="","",IF(N(K466)&gt;Settings!$S$7,"Over revision limit",IF(AND(D466="Free video",J466="",E466&lt;&gt;"",TODAY()&gt;WORKDAY(E466,Settings!$S$5)),"LATE – free video promised in 5 working days",IF(AND(E466&lt;&gt;"",E466=TODAY()),"Shooting today",""))))</f>
        <v/>
      </c>
    </row>
    <row r="467" customFormat="false" ht="15" hidden="false" customHeight="false" outlineLevel="0" collapsed="false">
      <c r="A467" s="17"/>
      <c r="B467" s="17"/>
      <c r="C467" s="44" t="str">
        <f aca="false">IF(B467="","",IFERROR(INDEX(Clients!$C$2:$C$501,MATCH(B467,Clients!$A$2:$A$501,0)),"Client ID not found"))</f>
        <v/>
      </c>
      <c r="D467" s="17"/>
      <c r="E467" s="40"/>
      <c r="F467" s="41"/>
      <c r="G467" s="17"/>
      <c r="H467" s="17"/>
      <c r="I467" s="17"/>
      <c r="J467" s="40"/>
      <c r="K467" s="17"/>
      <c r="L467" s="17"/>
      <c r="M467" s="17"/>
      <c r="N467" s="44" t="str">
        <f aca="true">IF(A467="","",IF(N(K467)&gt;Settings!$S$7,"Over revision limit",IF(AND(D467="Free video",J467="",E467&lt;&gt;"",TODAY()&gt;WORKDAY(E467,Settings!$S$5)),"LATE – free video promised in 5 working days",IF(AND(E467&lt;&gt;"",E467=TODAY()),"Shooting today",""))))</f>
        <v/>
      </c>
    </row>
    <row r="468" customFormat="false" ht="15" hidden="false" customHeight="false" outlineLevel="0" collapsed="false">
      <c r="A468" s="17"/>
      <c r="B468" s="17"/>
      <c r="C468" s="44" t="str">
        <f aca="false">IF(B468="","",IFERROR(INDEX(Clients!$C$2:$C$501,MATCH(B468,Clients!$A$2:$A$501,0)),"Client ID not found"))</f>
        <v/>
      </c>
      <c r="D468" s="17"/>
      <c r="E468" s="40"/>
      <c r="F468" s="41"/>
      <c r="G468" s="17"/>
      <c r="H468" s="17"/>
      <c r="I468" s="17"/>
      <c r="J468" s="40"/>
      <c r="K468" s="17"/>
      <c r="L468" s="17"/>
      <c r="M468" s="17"/>
      <c r="N468" s="44" t="str">
        <f aca="true">IF(A468="","",IF(N(K468)&gt;Settings!$S$7,"Over revision limit",IF(AND(D468="Free video",J468="",E468&lt;&gt;"",TODAY()&gt;WORKDAY(E468,Settings!$S$5)),"LATE – free video promised in 5 working days",IF(AND(E468&lt;&gt;"",E468=TODAY()),"Shooting today",""))))</f>
        <v/>
      </c>
    </row>
    <row r="469" customFormat="false" ht="15" hidden="false" customHeight="false" outlineLevel="0" collapsed="false">
      <c r="A469" s="17"/>
      <c r="B469" s="17"/>
      <c r="C469" s="44" t="str">
        <f aca="false">IF(B469="","",IFERROR(INDEX(Clients!$C$2:$C$501,MATCH(B469,Clients!$A$2:$A$501,0)),"Client ID not found"))</f>
        <v/>
      </c>
      <c r="D469" s="17"/>
      <c r="E469" s="40"/>
      <c r="F469" s="41"/>
      <c r="G469" s="17"/>
      <c r="H469" s="17"/>
      <c r="I469" s="17"/>
      <c r="J469" s="40"/>
      <c r="K469" s="17"/>
      <c r="L469" s="17"/>
      <c r="M469" s="17"/>
      <c r="N469" s="44" t="str">
        <f aca="true">IF(A469="","",IF(N(K469)&gt;Settings!$S$7,"Over revision limit",IF(AND(D469="Free video",J469="",E469&lt;&gt;"",TODAY()&gt;WORKDAY(E469,Settings!$S$5)),"LATE – free video promised in 5 working days",IF(AND(E469&lt;&gt;"",E469=TODAY()),"Shooting today",""))))</f>
        <v/>
      </c>
    </row>
    <row r="470" customFormat="false" ht="15" hidden="false" customHeight="false" outlineLevel="0" collapsed="false">
      <c r="A470" s="17"/>
      <c r="B470" s="17"/>
      <c r="C470" s="44" t="str">
        <f aca="false">IF(B470="","",IFERROR(INDEX(Clients!$C$2:$C$501,MATCH(B470,Clients!$A$2:$A$501,0)),"Client ID not found"))</f>
        <v/>
      </c>
      <c r="D470" s="17"/>
      <c r="E470" s="40"/>
      <c r="F470" s="41"/>
      <c r="G470" s="17"/>
      <c r="H470" s="17"/>
      <c r="I470" s="17"/>
      <c r="J470" s="40"/>
      <c r="K470" s="17"/>
      <c r="L470" s="17"/>
      <c r="M470" s="17"/>
      <c r="N470" s="44" t="str">
        <f aca="true">IF(A470="","",IF(N(K470)&gt;Settings!$S$7,"Over revision limit",IF(AND(D470="Free video",J470="",E470&lt;&gt;"",TODAY()&gt;WORKDAY(E470,Settings!$S$5)),"LATE – free video promised in 5 working days",IF(AND(E470&lt;&gt;"",E470=TODAY()),"Shooting today",""))))</f>
        <v/>
      </c>
    </row>
    <row r="471" customFormat="false" ht="15" hidden="false" customHeight="false" outlineLevel="0" collapsed="false">
      <c r="A471" s="17"/>
      <c r="B471" s="17"/>
      <c r="C471" s="44" t="str">
        <f aca="false">IF(B471="","",IFERROR(INDEX(Clients!$C$2:$C$501,MATCH(B471,Clients!$A$2:$A$501,0)),"Client ID not found"))</f>
        <v/>
      </c>
      <c r="D471" s="17"/>
      <c r="E471" s="40"/>
      <c r="F471" s="41"/>
      <c r="G471" s="17"/>
      <c r="H471" s="17"/>
      <c r="I471" s="17"/>
      <c r="J471" s="40"/>
      <c r="K471" s="17"/>
      <c r="L471" s="17"/>
      <c r="M471" s="17"/>
      <c r="N471" s="44" t="str">
        <f aca="true">IF(A471="","",IF(N(K471)&gt;Settings!$S$7,"Over revision limit",IF(AND(D471="Free video",J471="",E471&lt;&gt;"",TODAY()&gt;WORKDAY(E471,Settings!$S$5)),"LATE – free video promised in 5 working days",IF(AND(E471&lt;&gt;"",E471=TODAY()),"Shooting today",""))))</f>
        <v/>
      </c>
    </row>
    <row r="472" customFormat="false" ht="15" hidden="false" customHeight="false" outlineLevel="0" collapsed="false">
      <c r="A472" s="17"/>
      <c r="B472" s="17"/>
      <c r="C472" s="44" t="str">
        <f aca="false">IF(B472="","",IFERROR(INDEX(Clients!$C$2:$C$501,MATCH(B472,Clients!$A$2:$A$501,0)),"Client ID not found"))</f>
        <v/>
      </c>
      <c r="D472" s="17"/>
      <c r="E472" s="40"/>
      <c r="F472" s="41"/>
      <c r="G472" s="17"/>
      <c r="H472" s="17"/>
      <c r="I472" s="17"/>
      <c r="J472" s="40"/>
      <c r="K472" s="17"/>
      <c r="L472" s="17"/>
      <c r="M472" s="17"/>
      <c r="N472" s="44" t="str">
        <f aca="true">IF(A472="","",IF(N(K472)&gt;Settings!$S$7,"Over revision limit",IF(AND(D472="Free video",J472="",E472&lt;&gt;"",TODAY()&gt;WORKDAY(E472,Settings!$S$5)),"LATE – free video promised in 5 working days",IF(AND(E472&lt;&gt;"",E472=TODAY()),"Shooting today",""))))</f>
        <v/>
      </c>
    </row>
    <row r="473" customFormat="false" ht="15" hidden="false" customHeight="false" outlineLevel="0" collapsed="false">
      <c r="A473" s="17"/>
      <c r="B473" s="17"/>
      <c r="C473" s="44" t="str">
        <f aca="false">IF(B473="","",IFERROR(INDEX(Clients!$C$2:$C$501,MATCH(B473,Clients!$A$2:$A$501,0)),"Client ID not found"))</f>
        <v/>
      </c>
      <c r="D473" s="17"/>
      <c r="E473" s="40"/>
      <c r="F473" s="41"/>
      <c r="G473" s="17"/>
      <c r="H473" s="17"/>
      <c r="I473" s="17"/>
      <c r="J473" s="40"/>
      <c r="K473" s="17"/>
      <c r="L473" s="17"/>
      <c r="M473" s="17"/>
      <c r="N473" s="44" t="str">
        <f aca="true">IF(A473="","",IF(N(K473)&gt;Settings!$S$7,"Over revision limit",IF(AND(D473="Free video",J473="",E473&lt;&gt;"",TODAY()&gt;WORKDAY(E473,Settings!$S$5)),"LATE – free video promised in 5 working days",IF(AND(E473&lt;&gt;"",E473=TODAY()),"Shooting today",""))))</f>
        <v/>
      </c>
    </row>
    <row r="474" customFormat="false" ht="15" hidden="false" customHeight="false" outlineLevel="0" collapsed="false">
      <c r="A474" s="17"/>
      <c r="B474" s="17"/>
      <c r="C474" s="44" t="str">
        <f aca="false">IF(B474="","",IFERROR(INDEX(Clients!$C$2:$C$501,MATCH(B474,Clients!$A$2:$A$501,0)),"Client ID not found"))</f>
        <v/>
      </c>
      <c r="D474" s="17"/>
      <c r="E474" s="40"/>
      <c r="F474" s="41"/>
      <c r="G474" s="17"/>
      <c r="H474" s="17"/>
      <c r="I474" s="17"/>
      <c r="J474" s="40"/>
      <c r="K474" s="17"/>
      <c r="L474" s="17"/>
      <c r="M474" s="17"/>
      <c r="N474" s="44" t="str">
        <f aca="true">IF(A474="","",IF(N(K474)&gt;Settings!$S$7,"Over revision limit",IF(AND(D474="Free video",J474="",E474&lt;&gt;"",TODAY()&gt;WORKDAY(E474,Settings!$S$5)),"LATE – free video promised in 5 working days",IF(AND(E474&lt;&gt;"",E474=TODAY()),"Shooting today",""))))</f>
        <v/>
      </c>
    </row>
    <row r="475" customFormat="false" ht="15" hidden="false" customHeight="false" outlineLevel="0" collapsed="false">
      <c r="A475" s="17"/>
      <c r="B475" s="17"/>
      <c r="C475" s="44" t="str">
        <f aca="false">IF(B475="","",IFERROR(INDEX(Clients!$C$2:$C$501,MATCH(B475,Clients!$A$2:$A$501,0)),"Client ID not found"))</f>
        <v/>
      </c>
      <c r="D475" s="17"/>
      <c r="E475" s="40"/>
      <c r="F475" s="41"/>
      <c r="G475" s="17"/>
      <c r="H475" s="17"/>
      <c r="I475" s="17"/>
      <c r="J475" s="40"/>
      <c r="K475" s="17"/>
      <c r="L475" s="17"/>
      <c r="M475" s="17"/>
      <c r="N475" s="44" t="str">
        <f aca="true">IF(A475="","",IF(N(K475)&gt;Settings!$S$7,"Over revision limit",IF(AND(D475="Free video",J475="",E475&lt;&gt;"",TODAY()&gt;WORKDAY(E475,Settings!$S$5)),"LATE – free video promised in 5 working days",IF(AND(E475&lt;&gt;"",E475=TODAY()),"Shooting today",""))))</f>
        <v/>
      </c>
    </row>
    <row r="476" customFormat="false" ht="15" hidden="false" customHeight="false" outlineLevel="0" collapsed="false">
      <c r="A476" s="17"/>
      <c r="B476" s="17"/>
      <c r="C476" s="44" t="str">
        <f aca="false">IF(B476="","",IFERROR(INDEX(Clients!$C$2:$C$501,MATCH(B476,Clients!$A$2:$A$501,0)),"Client ID not found"))</f>
        <v/>
      </c>
      <c r="D476" s="17"/>
      <c r="E476" s="40"/>
      <c r="F476" s="41"/>
      <c r="G476" s="17"/>
      <c r="H476" s="17"/>
      <c r="I476" s="17"/>
      <c r="J476" s="40"/>
      <c r="K476" s="17"/>
      <c r="L476" s="17"/>
      <c r="M476" s="17"/>
      <c r="N476" s="44" t="str">
        <f aca="true">IF(A476="","",IF(N(K476)&gt;Settings!$S$7,"Over revision limit",IF(AND(D476="Free video",J476="",E476&lt;&gt;"",TODAY()&gt;WORKDAY(E476,Settings!$S$5)),"LATE – free video promised in 5 working days",IF(AND(E476&lt;&gt;"",E476=TODAY()),"Shooting today",""))))</f>
        <v/>
      </c>
    </row>
    <row r="477" customFormat="false" ht="15" hidden="false" customHeight="false" outlineLevel="0" collapsed="false">
      <c r="A477" s="17"/>
      <c r="B477" s="17"/>
      <c r="C477" s="44" t="str">
        <f aca="false">IF(B477="","",IFERROR(INDEX(Clients!$C$2:$C$501,MATCH(B477,Clients!$A$2:$A$501,0)),"Client ID not found"))</f>
        <v/>
      </c>
      <c r="D477" s="17"/>
      <c r="E477" s="40"/>
      <c r="F477" s="41"/>
      <c r="G477" s="17"/>
      <c r="H477" s="17"/>
      <c r="I477" s="17"/>
      <c r="J477" s="40"/>
      <c r="K477" s="17"/>
      <c r="L477" s="17"/>
      <c r="M477" s="17"/>
      <c r="N477" s="44" t="str">
        <f aca="true">IF(A477="","",IF(N(K477)&gt;Settings!$S$7,"Over revision limit",IF(AND(D477="Free video",J477="",E477&lt;&gt;"",TODAY()&gt;WORKDAY(E477,Settings!$S$5)),"LATE – free video promised in 5 working days",IF(AND(E477&lt;&gt;"",E477=TODAY()),"Shooting today",""))))</f>
        <v/>
      </c>
    </row>
    <row r="478" customFormat="false" ht="15" hidden="false" customHeight="false" outlineLevel="0" collapsed="false">
      <c r="A478" s="17"/>
      <c r="B478" s="17"/>
      <c r="C478" s="44" t="str">
        <f aca="false">IF(B478="","",IFERROR(INDEX(Clients!$C$2:$C$501,MATCH(B478,Clients!$A$2:$A$501,0)),"Client ID not found"))</f>
        <v/>
      </c>
      <c r="D478" s="17"/>
      <c r="E478" s="40"/>
      <c r="F478" s="41"/>
      <c r="G478" s="17"/>
      <c r="H478" s="17"/>
      <c r="I478" s="17"/>
      <c r="J478" s="40"/>
      <c r="K478" s="17"/>
      <c r="L478" s="17"/>
      <c r="M478" s="17"/>
      <c r="N478" s="44" t="str">
        <f aca="true">IF(A478="","",IF(N(K478)&gt;Settings!$S$7,"Over revision limit",IF(AND(D478="Free video",J478="",E478&lt;&gt;"",TODAY()&gt;WORKDAY(E478,Settings!$S$5)),"LATE – free video promised in 5 working days",IF(AND(E478&lt;&gt;"",E478=TODAY()),"Shooting today",""))))</f>
        <v/>
      </c>
    </row>
    <row r="479" customFormat="false" ht="15" hidden="false" customHeight="false" outlineLevel="0" collapsed="false">
      <c r="A479" s="17"/>
      <c r="B479" s="17"/>
      <c r="C479" s="44" t="str">
        <f aca="false">IF(B479="","",IFERROR(INDEX(Clients!$C$2:$C$501,MATCH(B479,Clients!$A$2:$A$501,0)),"Client ID not found"))</f>
        <v/>
      </c>
      <c r="D479" s="17"/>
      <c r="E479" s="40"/>
      <c r="F479" s="41"/>
      <c r="G479" s="17"/>
      <c r="H479" s="17"/>
      <c r="I479" s="17"/>
      <c r="J479" s="40"/>
      <c r="K479" s="17"/>
      <c r="L479" s="17"/>
      <c r="M479" s="17"/>
      <c r="N479" s="44" t="str">
        <f aca="true">IF(A479="","",IF(N(K479)&gt;Settings!$S$7,"Over revision limit",IF(AND(D479="Free video",J479="",E479&lt;&gt;"",TODAY()&gt;WORKDAY(E479,Settings!$S$5)),"LATE – free video promised in 5 working days",IF(AND(E479&lt;&gt;"",E479=TODAY()),"Shooting today",""))))</f>
        <v/>
      </c>
    </row>
    <row r="480" customFormat="false" ht="15" hidden="false" customHeight="false" outlineLevel="0" collapsed="false">
      <c r="A480" s="17"/>
      <c r="B480" s="17"/>
      <c r="C480" s="44" t="str">
        <f aca="false">IF(B480="","",IFERROR(INDEX(Clients!$C$2:$C$501,MATCH(B480,Clients!$A$2:$A$501,0)),"Client ID not found"))</f>
        <v/>
      </c>
      <c r="D480" s="17"/>
      <c r="E480" s="40"/>
      <c r="F480" s="41"/>
      <c r="G480" s="17"/>
      <c r="H480" s="17"/>
      <c r="I480" s="17"/>
      <c r="J480" s="40"/>
      <c r="K480" s="17"/>
      <c r="L480" s="17"/>
      <c r="M480" s="17"/>
      <c r="N480" s="44" t="str">
        <f aca="true">IF(A480="","",IF(N(K480)&gt;Settings!$S$7,"Over revision limit",IF(AND(D480="Free video",J480="",E480&lt;&gt;"",TODAY()&gt;WORKDAY(E480,Settings!$S$5)),"LATE – free video promised in 5 working days",IF(AND(E480&lt;&gt;"",E480=TODAY()),"Shooting today",""))))</f>
        <v/>
      </c>
    </row>
    <row r="481" customFormat="false" ht="15" hidden="false" customHeight="false" outlineLevel="0" collapsed="false">
      <c r="A481" s="17"/>
      <c r="B481" s="17"/>
      <c r="C481" s="44" t="str">
        <f aca="false">IF(B481="","",IFERROR(INDEX(Clients!$C$2:$C$501,MATCH(B481,Clients!$A$2:$A$501,0)),"Client ID not found"))</f>
        <v/>
      </c>
      <c r="D481" s="17"/>
      <c r="E481" s="40"/>
      <c r="F481" s="41"/>
      <c r="G481" s="17"/>
      <c r="H481" s="17"/>
      <c r="I481" s="17"/>
      <c r="J481" s="40"/>
      <c r="K481" s="17"/>
      <c r="L481" s="17"/>
      <c r="M481" s="17"/>
      <c r="N481" s="44" t="str">
        <f aca="true">IF(A481="","",IF(N(K481)&gt;Settings!$S$7,"Over revision limit",IF(AND(D481="Free video",J481="",E481&lt;&gt;"",TODAY()&gt;WORKDAY(E481,Settings!$S$5)),"LATE – free video promised in 5 working days",IF(AND(E481&lt;&gt;"",E481=TODAY()),"Shooting today",""))))</f>
        <v/>
      </c>
    </row>
    <row r="482" customFormat="false" ht="15" hidden="false" customHeight="false" outlineLevel="0" collapsed="false">
      <c r="A482" s="17"/>
      <c r="B482" s="17"/>
      <c r="C482" s="44" t="str">
        <f aca="false">IF(B482="","",IFERROR(INDEX(Clients!$C$2:$C$501,MATCH(B482,Clients!$A$2:$A$501,0)),"Client ID not found"))</f>
        <v/>
      </c>
      <c r="D482" s="17"/>
      <c r="E482" s="40"/>
      <c r="F482" s="41"/>
      <c r="G482" s="17"/>
      <c r="H482" s="17"/>
      <c r="I482" s="17"/>
      <c r="J482" s="40"/>
      <c r="K482" s="17"/>
      <c r="L482" s="17"/>
      <c r="M482" s="17"/>
      <c r="N482" s="44" t="str">
        <f aca="true">IF(A482="","",IF(N(K482)&gt;Settings!$S$7,"Over revision limit",IF(AND(D482="Free video",J482="",E482&lt;&gt;"",TODAY()&gt;WORKDAY(E482,Settings!$S$5)),"LATE – free video promised in 5 working days",IF(AND(E482&lt;&gt;"",E482=TODAY()),"Shooting today",""))))</f>
        <v/>
      </c>
    </row>
    <row r="483" customFormat="false" ht="15" hidden="false" customHeight="false" outlineLevel="0" collapsed="false">
      <c r="A483" s="17"/>
      <c r="B483" s="17"/>
      <c r="C483" s="44" t="str">
        <f aca="false">IF(B483="","",IFERROR(INDEX(Clients!$C$2:$C$501,MATCH(B483,Clients!$A$2:$A$501,0)),"Client ID not found"))</f>
        <v/>
      </c>
      <c r="D483" s="17"/>
      <c r="E483" s="40"/>
      <c r="F483" s="41"/>
      <c r="G483" s="17"/>
      <c r="H483" s="17"/>
      <c r="I483" s="17"/>
      <c r="J483" s="40"/>
      <c r="K483" s="17"/>
      <c r="L483" s="17"/>
      <c r="M483" s="17"/>
      <c r="N483" s="44" t="str">
        <f aca="true">IF(A483="","",IF(N(K483)&gt;Settings!$S$7,"Over revision limit",IF(AND(D483="Free video",J483="",E483&lt;&gt;"",TODAY()&gt;WORKDAY(E483,Settings!$S$5)),"LATE – free video promised in 5 working days",IF(AND(E483&lt;&gt;"",E483=TODAY()),"Shooting today",""))))</f>
        <v/>
      </c>
    </row>
    <row r="484" customFormat="false" ht="15" hidden="false" customHeight="false" outlineLevel="0" collapsed="false">
      <c r="A484" s="17"/>
      <c r="B484" s="17"/>
      <c r="C484" s="44" t="str">
        <f aca="false">IF(B484="","",IFERROR(INDEX(Clients!$C$2:$C$501,MATCH(B484,Clients!$A$2:$A$501,0)),"Client ID not found"))</f>
        <v/>
      </c>
      <c r="D484" s="17"/>
      <c r="E484" s="40"/>
      <c r="F484" s="41"/>
      <c r="G484" s="17"/>
      <c r="H484" s="17"/>
      <c r="I484" s="17"/>
      <c r="J484" s="40"/>
      <c r="K484" s="17"/>
      <c r="L484" s="17"/>
      <c r="M484" s="17"/>
      <c r="N484" s="44" t="str">
        <f aca="true">IF(A484="","",IF(N(K484)&gt;Settings!$S$7,"Over revision limit",IF(AND(D484="Free video",J484="",E484&lt;&gt;"",TODAY()&gt;WORKDAY(E484,Settings!$S$5)),"LATE – free video promised in 5 working days",IF(AND(E484&lt;&gt;"",E484=TODAY()),"Shooting today",""))))</f>
        <v/>
      </c>
    </row>
    <row r="485" customFormat="false" ht="15" hidden="false" customHeight="false" outlineLevel="0" collapsed="false">
      <c r="A485" s="17"/>
      <c r="B485" s="17"/>
      <c r="C485" s="44" t="str">
        <f aca="false">IF(B485="","",IFERROR(INDEX(Clients!$C$2:$C$501,MATCH(B485,Clients!$A$2:$A$501,0)),"Client ID not found"))</f>
        <v/>
      </c>
      <c r="D485" s="17"/>
      <c r="E485" s="40"/>
      <c r="F485" s="41"/>
      <c r="G485" s="17"/>
      <c r="H485" s="17"/>
      <c r="I485" s="17"/>
      <c r="J485" s="40"/>
      <c r="K485" s="17"/>
      <c r="L485" s="17"/>
      <c r="M485" s="17"/>
      <c r="N485" s="44" t="str">
        <f aca="true">IF(A485="","",IF(N(K485)&gt;Settings!$S$7,"Over revision limit",IF(AND(D485="Free video",J485="",E485&lt;&gt;"",TODAY()&gt;WORKDAY(E485,Settings!$S$5)),"LATE – free video promised in 5 working days",IF(AND(E485&lt;&gt;"",E485=TODAY()),"Shooting today",""))))</f>
        <v/>
      </c>
    </row>
    <row r="486" customFormat="false" ht="15" hidden="false" customHeight="false" outlineLevel="0" collapsed="false">
      <c r="A486" s="17"/>
      <c r="B486" s="17"/>
      <c r="C486" s="44" t="str">
        <f aca="false">IF(B486="","",IFERROR(INDEX(Clients!$C$2:$C$501,MATCH(B486,Clients!$A$2:$A$501,0)),"Client ID not found"))</f>
        <v/>
      </c>
      <c r="D486" s="17"/>
      <c r="E486" s="40"/>
      <c r="F486" s="41"/>
      <c r="G486" s="17"/>
      <c r="H486" s="17"/>
      <c r="I486" s="17"/>
      <c r="J486" s="40"/>
      <c r="K486" s="17"/>
      <c r="L486" s="17"/>
      <c r="M486" s="17"/>
      <c r="N486" s="44" t="str">
        <f aca="true">IF(A486="","",IF(N(K486)&gt;Settings!$S$7,"Over revision limit",IF(AND(D486="Free video",J486="",E486&lt;&gt;"",TODAY()&gt;WORKDAY(E486,Settings!$S$5)),"LATE – free video promised in 5 working days",IF(AND(E486&lt;&gt;"",E486=TODAY()),"Shooting today",""))))</f>
        <v/>
      </c>
    </row>
    <row r="487" customFormat="false" ht="15" hidden="false" customHeight="false" outlineLevel="0" collapsed="false">
      <c r="A487" s="17"/>
      <c r="B487" s="17"/>
      <c r="C487" s="44" t="str">
        <f aca="false">IF(B487="","",IFERROR(INDEX(Clients!$C$2:$C$501,MATCH(B487,Clients!$A$2:$A$501,0)),"Client ID not found"))</f>
        <v/>
      </c>
      <c r="D487" s="17"/>
      <c r="E487" s="40"/>
      <c r="F487" s="41"/>
      <c r="G487" s="17"/>
      <c r="H487" s="17"/>
      <c r="I487" s="17"/>
      <c r="J487" s="40"/>
      <c r="K487" s="17"/>
      <c r="L487" s="17"/>
      <c r="M487" s="17"/>
      <c r="N487" s="44" t="str">
        <f aca="true">IF(A487="","",IF(N(K487)&gt;Settings!$S$7,"Over revision limit",IF(AND(D487="Free video",J487="",E487&lt;&gt;"",TODAY()&gt;WORKDAY(E487,Settings!$S$5)),"LATE – free video promised in 5 working days",IF(AND(E487&lt;&gt;"",E487=TODAY()),"Shooting today",""))))</f>
        <v/>
      </c>
    </row>
    <row r="488" customFormat="false" ht="15" hidden="false" customHeight="false" outlineLevel="0" collapsed="false">
      <c r="A488" s="17"/>
      <c r="B488" s="17"/>
      <c r="C488" s="44" t="str">
        <f aca="false">IF(B488="","",IFERROR(INDEX(Clients!$C$2:$C$501,MATCH(B488,Clients!$A$2:$A$501,0)),"Client ID not found"))</f>
        <v/>
      </c>
      <c r="D488" s="17"/>
      <c r="E488" s="40"/>
      <c r="F488" s="41"/>
      <c r="G488" s="17"/>
      <c r="H488" s="17"/>
      <c r="I488" s="17"/>
      <c r="J488" s="40"/>
      <c r="K488" s="17"/>
      <c r="L488" s="17"/>
      <c r="M488" s="17"/>
      <c r="N488" s="44" t="str">
        <f aca="true">IF(A488="","",IF(N(K488)&gt;Settings!$S$7,"Over revision limit",IF(AND(D488="Free video",J488="",E488&lt;&gt;"",TODAY()&gt;WORKDAY(E488,Settings!$S$5)),"LATE – free video promised in 5 working days",IF(AND(E488&lt;&gt;"",E488=TODAY()),"Shooting today",""))))</f>
        <v/>
      </c>
    </row>
    <row r="489" customFormat="false" ht="15" hidden="false" customHeight="false" outlineLevel="0" collapsed="false">
      <c r="A489" s="17"/>
      <c r="B489" s="17"/>
      <c r="C489" s="44" t="str">
        <f aca="false">IF(B489="","",IFERROR(INDEX(Clients!$C$2:$C$501,MATCH(B489,Clients!$A$2:$A$501,0)),"Client ID not found"))</f>
        <v/>
      </c>
      <c r="D489" s="17"/>
      <c r="E489" s="40"/>
      <c r="F489" s="41"/>
      <c r="G489" s="17"/>
      <c r="H489" s="17"/>
      <c r="I489" s="17"/>
      <c r="J489" s="40"/>
      <c r="K489" s="17"/>
      <c r="L489" s="17"/>
      <c r="M489" s="17"/>
      <c r="N489" s="44" t="str">
        <f aca="true">IF(A489="","",IF(N(K489)&gt;Settings!$S$7,"Over revision limit",IF(AND(D489="Free video",J489="",E489&lt;&gt;"",TODAY()&gt;WORKDAY(E489,Settings!$S$5)),"LATE – free video promised in 5 working days",IF(AND(E489&lt;&gt;"",E489=TODAY()),"Shooting today",""))))</f>
        <v/>
      </c>
    </row>
    <row r="490" customFormat="false" ht="15" hidden="false" customHeight="false" outlineLevel="0" collapsed="false">
      <c r="A490" s="17"/>
      <c r="B490" s="17"/>
      <c r="C490" s="44" t="str">
        <f aca="false">IF(B490="","",IFERROR(INDEX(Clients!$C$2:$C$501,MATCH(B490,Clients!$A$2:$A$501,0)),"Client ID not found"))</f>
        <v/>
      </c>
      <c r="D490" s="17"/>
      <c r="E490" s="40"/>
      <c r="F490" s="41"/>
      <c r="G490" s="17"/>
      <c r="H490" s="17"/>
      <c r="I490" s="17"/>
      <c r="J490" s="40"/>
      <c r="K490" s="17"/>
      <c r="L490" s="17"/>
      <c r="M490" s="17"/>
      <c r="N490" s="44" t="str">
        <f aca="true">IF(A490="","",IF(N(K490)&gt;Settings!$S$7,"Over revision limit",IF(AND(D490="Free video",J490="",E490&lt;&gt;"",TODAY()&gt;WORKDAY(E490,Settings!$S$5)),"LATE – free video promised in 5 working days",IF(AND(E490&lt;&gt;"",E490=TODAY()),"Shooting today",""))))</f>
        <v/>
      </c>
    </row>
    <row r="491" customFormat="false" ht="15" hidden="false" customHeight="false" outlineLevel="0" collapsed="false">
      <c r="A491" s="17"/>
      <c r="B491" s="17"/>
      <c r="C491" s="44" t="str">
        <f aca="false">IF(B491="","",IFERROR(INDEX(Clients!$C$2:$C$501,MATCH(B491,Clients!$A$2:$A$501,0)),"Client ID not found"))</f>
        <v/>
      </c>
      <c r="D491" s="17"/>
      <c r="E491" s="40"/>
      <c r="F491" s="41"/>
      <c r="G491" s="17"/>
      <c r="H491" s="17"/>
      <c r="I491" s="17"/>
      <c r="J491" s="40"/>
      <c r="K491" s="17"/>
      <c r="L491" s="17"/>
      <c r="M491" s="17"/>
      <c r="N491" s="44" t="str">
        <f aca="true">IF(A491="","",IF(N(K491)&gt;Settings!$S$7,"Over revision limit",IF(AND(D491="Free video",J491="",E491&lt;&gt;"",TODAY()&gt;WORKDAY(E491,Settings!$S$5)),"LATE – free video promised in 5 working days",IF(AND(E491&lt;&gt;"",E491=TODAY()),"Shooting today",""))))</f>
        <v/>
      </c>
    </row>
    <row r="492" customFormat="false" ht="15" hidden="false" customHeight="false" outlineLevel="0" collapsed="false">
      <c r="A492" s="17"/>
      <c r="B492" s="17"/>
      <c r="C492" s="44" t="str">
        <f aca="false">IF(B492="","",IFERROR(INDEX(Clients!$C$2:$C$501,MATCH(B492,Clients!$A$2:$A$501,0)),"Client ID not found"))</f>
        <v/>
      </c>
      <c r="D492" s="17"/>
      <c r="E492" s="40"/>
      <c r="F492" s="41"/>
      <c r="G492" s="17"/>
      <c r="H492" s="17"/>
      <c r="I492" s="17"/>
      <c r="J492" s="40"/>
      <c r="K492" s="17"/>
      <c r="L492" s="17"/>
      <c r="M492" s="17"/>
      <c r="N492" s="44" t="str">
        <f aca="true">IF(A492="","",IF(N(K492)&gt;Settings!$S$7,"Over revision limit",IF(AND(D492="Free video",J492="",E492&lt;&gt;"",TODAY()&gt;WORKDAY(E492,Settings!$S$5)),"LATE – free video promised in 5 working days",IF(AND(E492&lt;&gt;"",E492=TODAY()),"Shooting today",""))))</f>
        <v/>
      </c>
    </row>
    <row r="493" customFormat="false" ht="15" hidden="false" customHeight="false" outlineLevel="0" collapsed="false">
      <c r="A493" s="17"/>
      <c r="B493" s="17"/>
      <c r="C493" s="44" t="str">
        <f aca="false">IF(B493="","",IFERROR(INDEX(Clients!$C$2:$C$501,MATCH(B493,Clients!$A$2:$A$501,0)),"Client ID not found"))</f>
        <v/>
      </c>
      <c r="D493" s="17"/>
      <c r="E493" s="40"/>
      <c r="F493" s="41"/>
      <c r="G493" s="17"/>
      <c r="H493" s="17"/>
      <c r="I493" s="17"/>
      <c r="J493" s="40"/>
      <c r="K493" s="17"/>
      <c r="L493" s="17"/>
      <c r="M493" s="17"/>
      <c r="N493" s="44" t="str">
        <f aca="true">IF(A493="","",IF(N(K493)&gt;Settings!$S$7,"Over revision limit",IF(AND(D493="Free video",J493="",E493&lt;&gt;"",TODAY()&gt;WORKDAY(E493,Settings!$S$5)),"LATE – free video promised in 5 working days",IF(AND(E493&lt;&gt;"",E493=TODAY()),"Shooting today",""))))</f>
        <v/>
      </c>
    </row>
    <row r="494" customFormat="false" ht="15" hidden="false" customHeight="false" outlineLevel="0" collapsed="false">
      <c r="A494" s="17"/>
      <c r="B494" s="17"/>
      <c r="C494" s="44" t="str">
        <f aca="false">IF(B494="","",IFERROR(INDEX(Clients!$C$2:$C$501,MATCH(B494,Clients!$A$2:$A$501,0)),"Client ID not found"))</f>
        <v/>
      </c>
      <c r="D494" s="17"/>
      <c r="E494" s="40"/>
      <c r="F494" s="41"/>
      <c r="G494" s="17"/>
      <c r="H494" s="17"/>
      <c r="I494" s="17"/>
      <c r="J494" s="40"/>
      <c r="K494" s="17"/>
      <c r="L494" s="17"/>
      <c r="M494" s="17"/>
      <c r="N494" s="44" t="str">
        <f aca="true">IF(A494="","",IF(N(K494)&gt;Settings!$S$7,"Over revision limit",IF(AND(D494="Free video",J494="",E494&lt;&gt;"",TODAY()&gt;WORKDAY(E494,Settings!$S$5)),"LATE – free video promised in 5 working days",IF(AND(E494&lt;&gt;"",E494=TODAY()),"Shooting today",""))))</f>
        <v/>
      </c>
    </row>
    <row r="495" customFormat="false" ht="15" hidden="false" customHeight="false" outlineLevel="0" collapsed="false">
      <c r="A495" s="17"/>
      <c r="B495" s="17"/>
      <c r="C495" s="44" t="str">
        <f aca="false">IF(B495="","",IFERROR(INDEX(Clients!$C$2:$C$501,MATCH(B495,Clients!$A$2:$A$501,0)),"Client ID not found"))</f>
        <v/>
      </c>
      <c r="D495" s="17"/>
      <c r="E495" s="40"/>
      <c r="F495" s="41"/>
      <c r="G495" s="17"/>
      <c r="H495" s="17"/>
      <c r="I495" s="17"/>
      <c r="J495" s="40"/>
      <c r="K495" s="17"/>
      <c r="L495" s="17"/>
      <c r="M495" s="17"/>
      <c r="N495" s="44" t="str">
        <f aca="true">IF(A495="","",IF(N(K495)&gt;Settings!$S$7,"Over revision limit",IF(AND(D495="Free video",J495="",E495&lt;&gt;"",TODAY()&gt;WORKDAY(E495,Settings!$S$5)),"LATE – free video promised in 5 working days",IF(AND(E495&lt;&gt;"",E495=TODAY()),"Shooting today",""))))</f>
        <v/>
      </c>
    </row>
    <row r="496" customFormat="false" ht="15" hidden="false" customHeight="false" outlineLevel="0" collapsed="false">
      <c r="A496" s="17"/>
      <c r="B496" s="17"/>
      <c r="C496" s="44" t="str">
        <f aca="false">IF(B496="","",IFERROR(INDEX(Clients!$C$2:$C$501,MATCH(B496,Clients!$A$2:$A$501,0)),"Client ID not found"))</f>
        <v/>
      </c>
      <c r="D496" s="17"/>
      <c r="E496" s="40"/>
      <c r="F496" s="41"/>
      <c r="G496" s="17"/>
      <c r="H496" s="17"/>
      <c r="I496" s="17"/>
      <c r="J496" s="40"/>
      <c r="K496" s="17"/>
      <c r="L496" s="17"/>
      <c r="M496" s="17"/>
      <c r="N496" s="44" t="str">
        <f aca="true">IF(A496="","",IF(N(K496)&gt;Settings!$S$7,"Over revision limit",IF(AND(D496="Free video",J496="",E496&lt;&gt;"",TODAY()&gt;WORKDAY(E496,Settings!$S$5)),"LATE – free video promised in 5 working days",IF(AND(E496&lt;&gt;"",E496=TODAY()),"Shooting today",""))))</f>
        <v/>
      </c>
    </row>
    <row r="497" customFormat="false" ht="15" hidden="false" customHeight="false" outlineLevel="0" collapsed="false">
      <c r="A497" s="17"/>
      <c r="B497" s="17"/>
      <c r="C497" s="44" t="str">
        <f aca="false">IF(B497="","",IFERROR(INDEX(Clients!$C$2:$C$501,MATCH(B497,Clients!$A$2:$A$501,0)),"Client ID not found"))</f>
        <v/>
      </c>
      <c r="D497" s="17"/>
      <c r="E497" s="40"/>
      <c r="F497" s="41"/>
      <c r="G497" s="17"/>
      <c r="H497" s="17"/>
      <c r="I497" s="17"/>
      <c r="J497" s="40"/>
      <c r="K497" s="17"/>
      <c r="L497" s="17"/>
      <c r="M497" s="17"/>
      <c r="N497" s="44" t="str">
        <f aca="true">IF(A497="","",IF(N(K497)&gt;Settings!$S$7,"Over revision limit",IF(AND(D497="Free video",J497="",E497&lt;&gt;"",TODAY()&gt;WORKDAY(E497,Settings!$S$5)),"LATE – free video promised in 5 working days",IF(AND(E497&lt;&gt;"",E497=TODAY()),"Shooting today",""))))</f>
        <v/>
      </c>
    </row>
    <row r="498" customFormat="false" ht="15" hidden="false" customHeight="false" outlineLevel="0" collapsed="false">
      <c r="A498" s="17"/>
      <c r="B498" s="17"/>
      <c r="C498" s="44" t="str">
        <f aca="false">IF(B498="","",IFERROR(INDEX(Clients!$C$2:$C$501,MATCH(B498,Clients!$A$2:$A$501,0)),"Client ID not found"))</f>
        <v/>
      </c>
      <c r="D498" s="17"/>
      <c r="E498" s="40"/>
      <c r="F498" s="41"/>
      <c r="G498" s="17"/>
      <c r="H498" s="17"/>
      <c r="I498" s="17"/>
      <c r="J498" s="40"/>
      <c r="K498" s="17"/>
      <c r="L498" s="17"/>
      <c r="M498" s="17"/>
      <c r="N498" s="44" t="str">
        <f aca="true">IF(A498="","",IF(N(K498)&gt;Settings!$S$7,"Over revision limit",IF(AND(D498="Free video",J498="",E498&lt;&gt;"",TODAY()&gt;WORKDAY(E498,Settings!$S$5)),"LATE – free video promised in 5 working days",IF(AND(E498&lt;&gt;"",E498=TODAY()),"Shooting today",""))))</f>
        <v/>
      </c>
    </row>
    <row r="499" customFormat="false" ht="15" hidden="false" customHeight="false" outlineLevel="0" collapsed="false">
      <c r="A499" s="17"/>
      <c r="B499" s="17"/>
      <c r="C499" s="44" t="str">
        <f aca="false">IF(B499="","",IFERROR(INDEX(Clients!$C$2:$C$501,MATCH(B499,Clients!$A$2:$A$501,0)),"Client ID not found"))</f>
        <v/>
      </c>
      <c r="D499" s="17"/>
      <c r="E499" s="40"/>
      <c r="F499" s="41"/>
      <c r="G499" s="17"/>
      <c r="H499" s="17"/>
      <c r="I499" s="17"/>
      <c r="J499" s="40"/>
      <c r="K499" s="17"/>
      <c r="L499" s="17"/>
      <c r="M499" s="17"/>
      <c r="N499" s="44" t="str">
        <f aca="true">IF(A499="","",IF(N(K499)&gt;Settings!$S$7,"Over revision limit",IF(AND(D499="Free video",J499="",E499&lt;&gt;"",TODAY()&gt;WORKDAY(E499,Settings!$S$5)),"LATE – free video promised in 5 working days",IF(AND(E499&lt;&gt;"",E499=TODAY()),"Shooting today",""))))</f>
        <v/>
      </c>
    </row>
    <row r="500" customFormat="false" ht="15" hidden="false" customHeight="false" outlineLevel="0" collapsed="false">
      <c r="A500" s="17"/>
      <c r="B500" s="17"/>
      <c r="C500" s="44" t="str">
        <f aca="false">IF(B500="","",IFERROR(INDEX(Clients!$C$2:$C$501,MATCH(B500,Clients!$A$2:$A$501,0)),"Client ID not found"))</f>
        <v/>
      </c>
      <c r="D500" s="17"/>
      <c r="E500" s="40"/>
      <c r="F500" s="41"/>
      <c r="G500" s="17"/>
      <c r="H500" s="17"/>
      <c r="I500" s="17"/>
      <c r="J500" s="40"/>
      <c r="K500" s="17"/>
      <c r="L500" s="17"/>
      <c r="M500" s="17"/>
      <c r="N500" s="44" t="str">
        <f aca="true">IF(A500="","",IF(N(K500)&gt;Settings!$S$7,"Over revision limit",IF(AND(D500="Free video",J500="",E500&lt;&gt;"",TODAY()&gt;WORKDAY(E500,Settings!$S$5)),"LATE – free video promised in 5 working days",IF(AND(E500&lt;&gt;"",E500=TODAY()),"Shooting today",""))))</f>
        <v/>
      </c>
    </row>
    <row r="501" customFormat="false" ht="15" hidden="false" customHeight="false" outlineLevel="0" collapsed="false">
      <c r="A501" s="17"/>
      <c r="B501" s="17"/>
      <c r="C501" s="44" t="str">
        <f aca="false">IF(B501="","",IFERROR(INDEX(Clients!$C$2:$C$501,MATCH(B501,Clients!$A$2:$A$501,0)),"Client ID not found"))</f>
        <v/>
      </c>
      <c r="D501" s="17"/>
      <c r="E501" s="40"/>
      <c r="F501" s="41"/>
      <c r="G501" s="17"/>
      <c r="H501" s="17"/>
      <c r="I501" s="17"/>
      <c r="J501" s="40"/>
      <c r="K501" s="17"/>
      <c r="L501" s="17"/>
      <c r="M501" s="17"/>
      <c r="N501" s="44" t="str">
        <f aca="true">IF(A501="","",IF(N(K501)&gt;Settings!$S$7,"Over revision limit",IF(AND(D501="Free video",J501="",E501&lt;&gt;"",TODAY()&gt;WORKDAY(E501,Settings!$S$5)),"LATE – free video promised in 5 working days",IF(AND(E501&lt;&gt;"",E501=TODAY()),"Shooting today",""))))</f>
        <v/>
      </c>
    </row>
  </sheetData>
  <autoFilter ref="A1:N501"/>
  <conditionalFormatting sqref="N2:N501">
    <cfRule type="expression" priority="2" aboveAverage="0" equalAverage="0" bottom="0" percent="0" rank="0" text="" dxfId="10">
      <formula>LEFT(N2,4)="LATE"</formula>
    </cfRule>
    <cfRule type="expression" priority="3" aboveAverage="0" equalAverage="0" bottom="0" percent="0" rank="0" text="" dxfId="9">
      <formula>N2="Over revision limit"</formula>
    </cfRule>
    <cfRule type="expression" priority="4" aboveAverage="0" equalAverage="0" bottom="0" percent="0" rank="0" text="" dxfId="11">
      <formula>N2="Shooting today"</formula>
    </cfRule>
  </conditionalFormatting>
  <dataValidations count="7">
    <dataValidation allowBlank="true" error="Pick a value from the list (edit lists on the Settings tab)." errorStyle="stop" errorTitle="Not on the list" operator="between" showDropDown="false" showErrorMessage="false" showInputMessage="false" sqref="D2:D501" type="list">
      <formula1>Settings!$M$2:$M$5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H2:H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I2:I501" type="list">
      <formula1>Settings!$N$2:$N$7</formula1>
      <formula2>0</formula2>
    </dataValidation>
    <dataValidation allowBlank="true" error="Enter a whole number from 0 to 9." errorStyle="stop" operator="between" showDropDown="false" showErrorMessage="false" showInputMessage="false" sqref="K2:K501" type="whole">
      <formula1>0</formula1>
      <formula2>9</formula2>
    </dataValidation>
    <dataValidation allowBlank="true" error="Enter a date - double-click the cell for a calendar." errorStyle="stop" errorTitle="Not a date" operator="between" showDropDown="false" showErrorMessage="false" showInputMessage="false" sqref="E2:E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J2:J501" type="date">
      <formula1>DATE(2020,1,1)</formula1>
      <formula2>DATE(2100,12,31)</formula2>
    </dataValidation>
    <dataValidation allowBlank="true" error="That time isn't in the list - keep it if it's correct." errorStyle="warning" errorTitle="Check the time" operator="between" showDropDown="false" showErrorMessage="false" showInputMessage="false" sqref="F2:F501" type="list">
      <formula1>Settings!$Q$2:$Q$26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B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62"/>
    <col collapsed="false" customWidth="true" hidden="false" outlineLevel="0" max="4" min="4" style="0" width="44"/>
  </cols>
  <sheetData>
    <row r="1" customFormat="false" ht="19.7" hidden="false" customHeight="false" outlineLevel="0" collapsed="false">
      <c r="B1" s="51" t="s">
        <v>274</v>
      </c>
    </row>
    <row r="2" customFormat="false" ht="43.5" hidden="false" customHeight="true" outlineLevel="0" collapsed="false">
      <c r="B2" s="52" t="s">
        <v>275</v>
      </c>
      <c r="C2" s="52"/>
      <c r="D2" s="52"/>
    </row>
    <row r="4" customFormat="false" ht="15" hidden="false" customHeight="false" outlineLevel="0" collapsed="false">
      <c r="B4" s="53" t="s">
        <v>276</v>
      </c>
      <c r="C4" s="53" t="s">
        <v>277</v>
      </c>
      <c r="D4" s="53" t="s">
        <v>278</v>
      </c>
    </row>
    <row r="5" customFormat="false" ht="45.75" hidden="false" customHeight="true" outlineLevel="0" collapsed="false">
      <c r="B5" s="5" t="s">
        <v>208</v>
      </c>
      <c r="C5" s="6" t="s">
        <v>279</v>
      </c>
      <c r="D5" s="6" t="s">
        <v>280</v>
      </c>
    </row>
    <row r="6" customFormat="false" ht="45.75" hidden="false" customHeight="true" outlineLevel="0" collapsed="false">
      <c r="B6" s="5" t="s">
        <v>209</v>
      </c>
      <c r="C6" s="6" t="s">
        <v>281</v>
      </c>
      <c r="D6" s="6" t="s">
        <v>282</v>
      </c>
    </row>
    <row r="7" customFormat="false" ht="45.75" hidden="false" customHeight="true" outlineLevel="0" collapsed="false">
      <c r="B7" s="5" t="s">
        <v>210</v>
      </c>
      <c r="C7" s="6" t="s">
        <v>283</v>
      </c>
      <c r="D7" s="6" t="s">
        <v>284</v>
      </c>
    </row>
    <row r="8" customFormat="false" ht="45.75" hidden="false" customHeight="true" outlineLevel="0" collapsed="false">
      <c r="B8" s="5" t="s">
        <v>211</v>
      </c>
      <c r="C8" s="6" t="s">
        <v>285</v>
      </c>
      <c r="D8" s="6" t="s">
        <v>286</v>
      </c>
    </row>
    <row r="9" customFormat="false" ht="45.75" hidden="false" customHeight="true" outlineLevel="0" collapsed="false">
      <c r="B9" s="5" t="s">
        <v>212</v>
      </c>
      <c r="C9" s="6" t="s">
        <v>287</v>
      </c>
      <c r="D9" s="6" t="s">
        <v>288</v>
      </c>
    </row>
    <row r="10" customFormat="false" ht="45.75" hidden="false" customHeight="true" outlineLevel="0" collapsed="false">
      <c r="B10" s="5" t="s">
        <v>213</v>
      </c>
      <c r="C10" s="6" t="s">
        <v>289</v>
      </c>
      <c r="D10" s="6" t="s">
        <v>290</v>
      </c>
    </row>
    <row r="11" customFormat="false" ht="45.75" hidden="false" customHeight="true" outlineLevel="0" collapsed="false">
      <c r="B11" s="5" t="s">
        <v>291</v>
      </c>
      <c r="C11" s="6" t="s">
        <v>292</v>
      </c>
      <c r="D11" s="6" t="s">
        <v>293</v>
      </c>
    </row>
    <row r="13" customFormat="false" ht="15" hidden="false" customHeight="false" outlineLevel="0" collapsed="false">
      <c r="B13" s="23" t="s">
        <v>294</v>
      </c>
    </row>
    <row r="14" customFormat="false" ht="15" hidden="false" customHeight="false" outlineLevel="0" collapsed="false">
      <c r="B14" s="54" t="s">
        <v>295</v>
      </c>
      <c r="C14" s="55" t="s">
        <v>296</v>
      </c>
    </row>
    <row r="15" customFormat="false" ht="15" hidden="false" customHeight="false" outlineLevel="0" collapsed="false">
      <c r="B15" s="56" t="s">
        <v>297</v>
      </c>
      <c r="C15" s="55" t="s">
        <v>298</v>
      </c>
    </row>
    <row r="16" customFormat="false" ht="15" hidden="false" customHeight="false" outlineLevel="0" collapsed="false">
      <c r="B16" s="57" t="s">
        <v>299</v>
      </c>
      <c r="C16" s="55" t="s">
        <v>300</v>
      </c>
    </row>
    <row r="17" customFormat="false" ht="23.85" hidden="false" customHeight="false" outlineLevel="0" collapsed="false">
      <c r="B17" s="58" t="s">
        <v>301</v>
      </c>
      <c r="C17" s="55" t="s">
        <v>302</v>
      </c>
    </row>
    <row r="19" customFormat="false" ht="15" hidden="false" customHeight="false" outlineLevel="0" collapsed="false">
      <c r="B19" s="12" t="s">
        <v>303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26"/>
    <col collapsed="false" customWidth="true" hidden="false" outlineLevel="0" max="5" min="4" style="0" width="52"/>
    <col collapsed="false" customWidth="true" hidden="false" outlineLevel="0" max="6" min="6" style="0" width="7"/>
  </cols>
  <sheetData>
    <row r="1" customFormat="false" ht="15" hidden="false" customHeight="false" outlineLevel="0" collapsed="false">
      <c r="A1" s="29" t="s">
        <v>304</v>
      </c>
      <c r="B1" s="29" t="s">
        <v>305</v>
      </c>
      <c r="C1" s="29" t="s">
        <v>306</v>
      </c>
      <c r="D1" s="29" t="s">
        <v>307</v>
      </c>
      <c r="E1" s="29" t="s">
        <v>308</v>
      </c>
      <c r="F1" s="29" t="s">
        <v>309</v>
      </c>
    </row>
    <row r="2" customFormat="false" ht="23.85" hidden="false" customHeight="false" outlineLevel="0" collapsed="false">
      <c r="A2" s="6" t="n">
        <v>1</v>
      </c>
      <c r="B2" s="6" t="s">
        <v>310</v>
      </c>
      <c r="C2" s="6" t="s">
        <v>311</v>
      </c>
      <c r="D2" s="6" t="s">
        <v>312</v>
      </c>
      <c r="E2" s="6" t="s">
        <v>313</v>
      </c>
      <c r="F2" s="6" t="s">
        <v>67</v>
      </c>
    </row>
    <row r="3" customFormat="false" ht="23.85" hidden="false" customHeight="false" outlineLevel="0" collapsed="false">
      <c r="A3" s="6" t="n">
        <v>2</v>
      </c>
      <c r="B3" s="6" t="s">
        <v>314</v>
      </c>
      <c r="C3" s="6" t="s">
        <v>315</v>
      </c>
      <c r="D3" s="6" t="s">
        <v>316</v>
      </c>
      <c r="E3" s="6" t="s">
        <v>317</v>
      </c>
      <c r="F3" s="6" t="s">
        <v>67</v>
      </c>
    </row>
    <row r="4" customFormat="false" ht="23.85" hidden="false" customHeight="false" outlineLevel="0" collapsed="false">
      <c r="A4" s="6" t="n">
        <v>3</v>
      </c>
      <c r="B4" s="6" t="s">
        <v>318</v>
      </c>
      <c r="C4" s="6" t="s">
        <v>319</v>
      </c>
      <c r="D4" s="6" t="s">
        <v>320</v>
      </c>
      <c r="E4" s="6" t="s">
        <v>321</v>
      </c>
      <c r="F4" s="6" t="s">
        <v>67</v>
      </c>
    </row>
    <row r="5" customFormat="false" ht="15" hidden="false" customHeight="false" outlineLevel="0" collapsed="false">
      <c r="A5" s="6" t="n">
        <v>4</v>
      </c>
      <c r="B5" s="6" t="s">
        <v>322</v>
      </c>
      <c r="C5" s="6" t="s">
        <v>319</v>
      </c>
      <c r="D5" s="6" t="s">
        <v>323</v>
      </c>
      <c r="E5" s="6" t="s">
        <v>324</v>
      </c>
      <c r="F5" s="6" t="s">
        <v>67</v>
      </c>
    </row>
    <row r="6" customFormat="false" ht="23.85" hidden="false" customHeight="false" outlineLevel="0" collapsed="false">
      <c r="A6" s="6" t="n">
        <v>5</v>
      </c>
      <c r="B6" s="6" t="s">
        <v>325</v>
      </c>
      <c r="C6" s="6" t="s">
        <v>326</v>
      </c>
      <c r="D6" s="6" t="s">
        <v>327</v>
      </c>
      <c r="E6" s="6" t="s">
        <v>328</v>
      </c>
      <c r="F6" s="6" t="s">
        <v>67</v>
      </c>
    </row>
    <row r="7" customFormat="false" ht="23.85" hidden="false" customHeight="false" outlineLevel="0" collapsed="false">
      <c r="A7" s="6" t="n">
        <v>6</v>
      </c>
      <c r="B7" s="6" t="s">
        <v>329</v>
      </c>
      <c r="C7" s="6" t="s">
        <v>330</v>
      </c>
      <c r="D7" s="6" t="s">
        <v>331</v>
      </c>
      <c r="E7" s="6" t="s">
        <v>332</v>
      </c>
      <c r="F7" s="6" t="s">
        <v>67</v>
      </c>
    </row>
    <row r="8" customFormat="false" ht="23.85" hidden="false" customHeight="false" outlineLevel="0" collapsed="false">
      <c r="A8" s="6" t="n">
        <v>7</v>
      </c>
      <c r="B8" s="6" t="s">
        <v>333</v>
      </c>
      <c r="C8" s="6" t="s">
        <v>326</v>
      </c>
      <c r="D8" s="6" t="s">
        <v>334</v>
      </c>
      <c r="E8" s="6" t="s">
        <v>335</v>
      </c>
      <c r="F8" s="6" t="s">
        <v>69</v>
      </c>
    </row>
    <row r="9" customFormat="false" ht="23.85" hidden="false" customHeight="false" outlineLevel="0" collapsed="false">
      <c r="A9" s="6" t="n">
        <v>8</v>
      </c>
      <c r="B9" s="6" t="s">
        <v>336</v>
      </c>
      <c r="C9" s="6" t="s">
        <v>337</v>
      </c>
      <c r="D9" s="6" t="s">
        <v>338</v>
      </c>
      <c r="E9" s="6" t="s">
        <v>339</v>
      </c>
      <c r="F9" s="6" t="s">
        <v>69</v>
      </c>
    </row>
    <row r="10" customFormat="false" ht="15" hidden="false" customHeight="false" outlineLevel="0" collapsed="false">
      <c r="A10" s="6" t="n">
        <v>9</v>
      </c>
      <c r="B10" s="6" t="s">
        <v>340</v>
      </c>
      <c r="C10" s="6" t="s">
        <v>341</v>
      </c>
      <c r="D10" s="6" t="s">
        <v>342</v>
      </c>
      <c r="E10" s="6" t="s">
        <v>343</v>
      </c>
      <c r="F10" s="6" t="s">
        <v>71</v>
      </c>
    </row>
    <row r="11" customFormat="false" ht="23.85" hidden="false" customHeight="false" outlineLevel="0" collapsed="false">
      <c r="A11" s="6" t="n">
        <v>10</v>
      </c>
      <c r="B11" s="6" t="s">
        <v>344</v>
      </c>
      <c r="C11" s="6" t="s">
        <v>345</v>
      </c>
      <c r="D11" s="6" t="s">
        <v>346</v>
      </c>
      <c r="E11" s="6" t="s">
        <v>347</v>
      </c>
      <c r="F11" s="6" t="s">
        <v>69</v>
      </c>
    </row>
    <row r="13" customFormat="false" ht="15" hidden="false" customHeight="false" outlineLevel="0" collapsed="false">
      <c r="A13" s="23" t="s">
        <v>348</v>
      </c>
    </row>
    <row r="14" customFormat="false" ht="15" hidden="false" customHeight="false" outlineLevel="0" collapsed="false">
      <c r="A14" s="10" t="s">
        <v>349</v>
      </c>
    </row>
    <row r="15" customFormat="false" ht="15" hidden="false" customHeight="false" outlineLevel="0" collapsed="false">
      <c r="A15" s="10" t="s">
        <v>350</v>
      </c>
    </row>
    <row r="16" customFormat="false" ht="15" hidden="false" customHeight="false" outlineLevel="0" collapsed="false">
      <c r="A16" s="10" t="s">
        <v>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E9E"/>
    <pageSetUpPr fitToPage="false"/>
  </sheetPr>
  <dimension ref="A1:A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" style="0" width="22"/>
    <col collapsed="false" customWidth="true" hidden="false" outlineLevel="0" max="17" min="17" style="0" width="14"/>
    <col collapsed="false" customWidth="true" hidden="false" outlineLevel="0" max="18" min="18" style="0" width="44"/>
    <col collapsed="false" customWidth="true" hidden="false" outlineLevel="0" max="19" min="19" style="0" width="8"/>
    <col collapsed="false" customWidth="true" hidden="false" outlineLevel="0" max="20" min="20" style="0" width="80"/>
    <col collapsed="false" customWidth="true" hidden="false" outlineLevel="0" max="23" min="23" style="0" width="16"/>
    <col collapsed="false" customWidth="true" hidden="false" outlineLevel="0" max="25" min="25" style="0" width="26"/>
    <col collapsed="false" customWidth="true" hidden="false" outlineLevel="0" max="26" min="26" style="0" width="16"/>
    <col collapsed="false" customWidth="true" hidden="false" outlineLevel="0" max="27" min="27" style="0" width="8"/>
    <col collapsed="false" customWidth="true" hidden="false" outlineLevel="0" max="29" min="29" style="0" width="20"/>
    <col collapsed="false" customWidth="true" hidden="false" outlineLevel="0" max="32" min="31" style="0" width="20"/>
  </cols>
  <sheetData>
    <row r="1" customFormat="false" ht="15" hidden="false" customHeight="false" outlineLevel="0" collapsed="false">
      <c r="A1" s="53" t="s">
        <v>352</v>
      </c>
      <c r="B1" s="53" t="s">
        <v>353</v>
      </c>
      <c r="C1" s="53" t="s">
        <v>354</v>
      </c>
      <c r="D1" s="53" t="s">
        <v>355</v>
      </c>
      <c r="E1" s="53" t="s">
        <v>356</v>
      </c>
      <c r="F1" s="53" t="s">
        <v>235</v>
      </c>
      <c r="G1" s="53" t="s">
        <v>357</v>
      </c>
      <c r="H1" s="53" t="s">
        <v>358</v>
      </c>
      <c r="I1" s="53" t="s">
        <v>359</v>
      </c>
      <c r="J1" s="53" t="s">
        <v>243</v>
      </c>
      <c r="K1" s="53" t="s">
        <v>360</v>
      </c>
      <c r="L1" s="53" t="s">
        <v>246</v>
      </c>
      <c r="M1" s="53" t="s">
        <v>361</v>
      </c>
      <c r="N1" s="53" t="s">
        <v>362</v>
      </c>
      <c r="O1" s="53" t="s">
        <v>363</v>
      </c>
      <c r="P1" s="53" t="s">
        <v>158</v>
      </c>
      <c r="Q1" s="53" t="s">
        <v>364</v>
      </c>
      <c r="R1" s="53" t="s">
        <v>365</v>
      </c>
      <c r="S1" s="53" t="s">
        <v>366</v>
      </c>
      <c r="W1" s="53" t="s">
        <v>367</v>
      </c>
      <c r="Y1" s="53" t="s">
        <v>368</v>
      </c>
      <c r="Z1" s="53" t="s">
        <v>369</v>
      </c>
      <c r="AA1" s="53" t="s">
        <v>370</v>
      </c>
      <c r="AC1" s="53" t="s">
        <v>371</v>
      </c>
      <c r="AE1" s="53" t="s">
        <v>372</v>
      </c>
      <c r="AF1" s="53" t="s">
        <v>373</v>
      </c>
    </row>
    <row r="2" customFormat="false" ht="15" hidden="false" customHeight="false" outlineLevel="0" collapsed="false">
      <c r="A2" s="59" t="s">
        <v>374</v>
      </c>
      <c r="B2" s="59" t="s">
        <v>175</v>
      </c>
      <c r="C2" s="59" t="s">
        <v>191</v>
      </c>
      <c r="D2" s="59" t="s">
        <v>193</v>
      </c>
      <c r="E2" s="59" t="s">
        <v>58</v>
      </c>
      <c r="F2" s="59" t="s">
        <v>203</v>
      </c>
      <c r="G2" s="60" t="n">
        <v>5000</v>
      </c>
      <c r="H2" s="61" t="n">
        <v>10</v>
      </c>
      <c r="I2" s="59" t="s">
        <v>259</v>
      </c>
      <c r="J2" s="59" t="s">
        <v>260</v>
      </c>
      <c r="K2" s="59" t="s">
        <v>375</v>
      </c>
      <c r="L2" s="59" t="s">
        <v>376</v>
      </c>
      <c r="M2" s="59" t="s">
        <v>39</v>
      </c>
      <c r="N2" s="59" t="s">
        <v>377</v>
      </c>
      <c r="O2" s="59" t="s">
        <v>378</v>
      </c>
      <c r="P2" s="59" t="s">
        <v>379</v>
      </c>
      <c r="Q2" s="62" t="n">
        <v>0.333333333333333</v>
      </c>
      <c r="R2" s="59" t="s">
        <v>380</v>
      </c>
      <c r="S2" s="63" t="n">
        <v>3</v>
      </c>
      <c r="T2" s="59" t="s">
        <v>381</v>
      </c>
      <c r="U2" s="59"/>
      <c r="V2" s="59"/>
      <c r="W2" s="62" t="n">
        <v>0</v>
      </c>
      <c r="X2" s="59"/>
      <c r="Y2" s="59" t="s">
        <v>208</v>
      </c>
      <c r="Z2" s="59" t="s">
        <v>221</v>
      </c>
      <c r="AA2" s="63" t="n">
        <v>25</v>
      </c>
      <c r="AB2" s="59"/>
      <c r="AC2" s="59" t="s">
        <v>193</v>
      </c>
      <c r="AD2" s="59"/>
      <c r="AE2" s="59" t="s">
        <v>220</v>
      </c>
      <c r="AF2" s="59" t="s">
        <v>382</v>
      </c>
    </row>
    <row r="3" customFormat="false" ht="15" hidden="false" customHeight="false" outlineLevel="0" collapsed="false">
      <c r="A3" s="59" t="s">
        <v>383</v>
      </c>
      <c r="B3" s="59" t="s">
        <v>384</v>
      </c>
      <c r="C3" s="59" t="s">
        <v>188</v>
      </c>
      <c r="D3" s="59" t="s">
        <v>385</v>
      </c>
      <c r="E3" s="59" t="s">
        <v>62</v>
      </c>
      <c r="F3" s="59" t="s">
        <v>185</v>
      </c>
      <c r="G3" s="60" t="n">
        <v>7500</v>
      </c>
      <c r="H3" s="61" t="n">
        <v>15</v>
      </c>
      <c r="I3" s="59" t="s">
        <v>386</v>
      </c>
      <c r="J3" s="59" t="s">
        <v>387</v>
      </c>
      <c r="K3" s="59" t="s">
        <v>388</v>
      </c>
      <c r="L3" s="59" t="s">
        <v>387</v>
      </c>
      <c r="M3" s="59" t="s">
        <v>389</v>
      </c>
      <c r="N3" s="59" t="s">
        <v>390</v>
      </c>
      <c r="O3" s="59" t="s">
        <v>388</v>
      </c>
      <c r="P3" s="59" t="s">
        <v>183</v>
      </c>
      <c r="Q3" s="62" t="n">
        <v>0.354166666666667</v>
      </c>
      <c r="R3" s="59" t="s">
        <v>391</v>
      </c>
      <c r="S3" s="63" t="n">
        <v>4</v>
      </c>
      <c r="T3" s="59" t="s">
        <v>392</v>
      </c>
      <c r="U3" s="59"/>
      <c r="V3" s="59"/>
      <c r="W3" s="62" t="n">
        <v>0.0208333333333333</v>
      </c>
      <c r="X3" s="59"/>
      <c r="Y3" s="59" t="s">
        <v>208</v>
      </c>
      <c r="Z3" s="59" t="s">
        <v>226</v>
      </c>
      <c r="AA3" s="63" t="n">
        <v>10</v>
      </c>
      <c r="AB3" s="59"/>
      <c r="AC3" s="59" t="s">
        <v>385</v>
      </c>
      <c r="AD3" s="59"/>
      <c r="AE3" s="59" t="s">
        <v>393</v>
      </c>
      <c r="AF3" s="59" t="s">
        <v>184</v>
      </c>
    </row>
    <row r="4" customFormat="false" ht="15" hidden="false" customHeight="false" outlineLevel="0" collapsed="false">
      <c r="A4" s="59" t="s">
        <v>202</v>
      </c>
      <c r="B4" s="59" t="s">
        <v>394</v>
      </c>
      <c r="C4" s="59" t="s">
        <v>395</v>
      </c>
      <c r="D4" s="59" t="s">
        <v>396</v>
      </c>
      <c r="E4" s="59" t="s">
        <v>60</v>
      </c>
      <c r="F4" s="59" t="s">
        <v>397</v>
      </c>
      <c r="G4" s="60" t="n">
        <v>10000</v>
      </c>
      <c r="H4" s="61" t="n">
        <v>20</v>
      </c>
      <c r="I4" s="59" t="s">
        <v>398</v>
      </c>
      <c r="J4" s="59" t="s">
        <v>399</v>
      </c>
      <c r="K4" s="59" t="s">
        <v>400</v>
      </c>
      <c r="L4" s="59" t="s">
        <v>401</v>
      </c>
      <c r="M4" s="59" t="s">
        <v>402</v>
      </c>
      <c r="N4" s="59" t="s">
        <v>403</v>
      </c>
      <c r="O4" s="59" t="s">
        <v>404</v>
      </c>
      <c r="P4" s="59" t="s">
        <v>405</v>
      </c>
      <c r="Q4" s="62" t="n">
        <v>0.375</v>
      </c>
      <c r="R4" s="59" t="s">
        <v>406</v>
      </c>
      <c r="S4" s="64" t="n">
        <v>3</v>
      </c>
      <c r="T4" s="59" t="s">
        <v>407</v>
      </c>
      <c r="U4" s="59"/>
      <c r="V4" s="59"/>
      <c r="W4" s="62" t="n">
        <v>0.0416666666666667</v>
      </c>
      <c r="X4" s="59"/>
      <c r="Y4" s="59" t="s">
        <v>208</v>
      </c>
      <c r="Z4" s="59" t="s">
        <v>228</v>
      </c>
      <c r="AA4" s="63" t="n">
        <v>0</v>
      </c>
      <c r="AB4" s="59"/>
      <c r="AC4" s="59" t="s">
        <v>396</v>
      </c>
      <c r="AD4" s="59"/>
      <c r="AE4" s="59" t="s">
        <v>408</v>
      </c>
      <c r="AF4" s="59" t="s">
        <v>232</v>
      </c>
    </row>
    <row r="5" customFormat="false" ht="15" hidden="false" customHeight="false" outlineLevel="0" collapsed="false">
      <c r="A5" s="59" t="s">
        <v>409</v>
      </c>
      <c r="B5" s="59" t="s">
        <v>410</v>
      </c>
      <c r="C5" s="59" t="s">
        <v>411</v>
      </c>
      <c r="D5" s="59" t="s">
        <v>412</v>
      </c>
      <c r="E5" s="59" t="s">
        <v>64</v>
      </c>
      <c r="F5" s="59"/>
      <c r="G5" s="59"/>
      <c r="H5" s="59"/>
      <c r="I5" s="59" t="s">
        <v>413</v>
      </c>
      <c r="J5" s="59"/>
      <c r="K5" s="59" t="s">
        <v>414</v>
      </c>
      <c r="L5" s="59"/>
      <c r="M5" s="59" t="s">
        <v>415</v>
      </c>
      <c r="N5" s="59" t="s">
        <v>416</v>
      </c>
      <c r="O5" s="59" t="s">
        <v>417</v>
      </c>
      <c r="P5" s="59" t="s">
        <v>418</v>
      </c>
      <c r="Q5" s="62" t="n">
        <v>0.395833333333333</v>
      </c>
      <c r="R5" s="59" t="s">
        <v>419</v>
      </c>
      <c r="S5" s="63" t="n">
        <v>5</v>
      </c>
      <c r="T5" s="59" t="s">
        <v>420</v>
      </c>
      <c r="U5" s="59"/>
      <c r="V5" s="59"/>
      <c r="W5" s="62" t="n">
        <v>0.0625</v>
      </c>
      <c r="X5" s="59"/>
      <c r="Y5" s="59" t="s">
        <v>209</v>
      </c>
      <c r="Z5" s="59" t="s">
        <v>221</v>
      </c>
      <c r="AA5" s="63" t="n">
        <v>15</v>
      </c>
      <c r="AB5" s="59"/>
      <c r="AC5" s="59" t="s">
        <v>412</v>
      </c>
      <c r="AD5" s="59"/>
      <c r="AE5" s="59" t="s">
        <v>421</v>
      </c>
      <c r="AF5" s="59" t="s">
        <v>422</v>
      </c>
    </row>
    <row r="6" customFormat="false" ht="15" hidden="false" customHeight="false" outlineLevel="0" collapsed="false">
      <c r="A6" s="59" t="s">
        <v>423</v>
      </c>
      <c r="B6" s="59" t="s">
        <v>424</v>
      </c>
      <c r="C6" s="59" t="s">
        <v>425</v>
      </c>
      <c r="D6" s="59" t="s">
        <v>177</v>
      </c>
      <c r="E6" s="59"/>
      <c r="F6" s="59" t="s">
        <v>426</v>
      </c>
      <c r="G6" s="59"/>
      <c r="H6" s="59"/>
      <c r="I6" s="59" t="s">
        <v>427</v>
      </c>
      <c r="J6" s="59"/>
      <c r="K6" s="59" t="s">
        <v>428</v>
      </c>
      <c r="L6" s="59"/>
      <c r="M6" s="59"/>
      <c r="N6" s="59" t="s">
        <v>273</v>
      </c>
      <c r="O6" s="59" t="s">
        <v>429</v>
      </c>
      <c r="P6" s="59" t="s">
        <v>430</v>
      </c>
      <c r="Q6" s="62" t="n">
        <v>0.416666666666667</v>
      </c>
      <c r="R6" s="59" t="s">
        <v>431</v>
      </c>
      <c r="S6" s="63" t="n">
        <v>3</v>
      </c>
      <c r="T6" s="59" t="s">
        <v>432</v>
      </c>
      <c r="U6" s="59"/>
      <c r="V6" s="59"/>
      <c r="W6" s="62" t="n">
        <v>0.0833333333333333</v>
      </c>
      <c r="X6" s="59"/>
      <c r="Y6" s="59" t="s">
        <v>209</v>
      </c>
      <c r="Z6" s="59" t="s">
        <v>227</v>
      </c>
      <c r="AA6" s="63" t="n">
        <v>8</v>
      </c>
      <c r="AB6" s="59"/>
      <c r="AC6" s="59" t="s">
        <v>177</v>
      </c>
      <c r="AD6" s="59"/>
      <c r="AE6" s="59"/>
      <c r="AF6" s="59" t="s">
        <v>433</v>
      </c>
    </row>
    <row r="7" customFormat="false" ht="15" hidden="false" customHeight="false" outlineLevel="0" collapsed="false">
      <c r="A7" s="59" t="s">
        <v>184</v>
      </c>
      <c r="B7" s="59" t="s">
        <v>434</v>
      </c>
      <c r="C7" s="59" t="s">
        <v>435</v>
      </c>
      <c r="D7" s="59" t="s">
        <v>436</v>
      </c>
      <c r="E7" s="59"/>
      <c r="F7" s="59"/>
      <c r="G7" s="59"/>
      <c r="H7" s="59"/>
      <c r="I7" s="59"/>
      <c r="J7" s="59"/>
      <c r="K7" s="59" t="s">
        <v>435</v>
      </c>
      <c r="L7" s="59"/>
      <c r="M7" s="59"/>
      <c r="N7" s="59" t="s">
        <v>437</v>
      </c>
      <c r="O7" s="59" t="s">
        <v>438</v>
      </c>
      <c r="P7" s="59"/>
      <c r="Q7" s="62" t="n">
        <v>0.4375</v>
      </c>
      <c r="R7" s="59" t="s">
        <v>439</v>
      </c>
      <c r="S7" s="63" t="n">
        <v>2</v>
      </c>
      <c r="T7" s="59" t="s">
        <v>440</v>
      </c>
      <c r="U7" s="59"/>
      <c r="V7" s="59"/>
      <c r="W7" s="62" t="n">
        <v>0.104166666666667</v>
      </c>
      <c r="X7" s="59"/>
      <c r="Y7" s="59" t="s">
        <v>209</v>
      </c>
      <c r="Z7" s="59" t="s">
        <v>228</v>
      </c>
      <c r="AA7" s="63" t="n">
        <v>0</v>
      </c>
      <c r="AB7" s="59"/>
      <c r="AC7" s="59"/>
      <c r="AD7" s="59"/>
      <c r="AE7" s="59"/>
      <c r="AF7" s="59"/>
    </row>
    <row r="8" customFormat="false" ht="15" hidden="false" customHeight="false" outlineLevel="0" collapsed="false">
      <c r="A8" s="59" t="s">
        <v>441</v>
      </c>
      <c r="B8" s="59" t="s">
        <v>435</v>
      </c>
      <c r="C8" s="59"/>
      <c r="D8" s="59" t="s">
        <v>442</v>
      </c>
      <c r="E8" s="59"/>
      <c r="F8" s="59"/>
      <c r="G8" s="59"/>
      <c r="H8" s="59"/>
      <c r="I8" s="59"/>
      <c r="J8" s="59"/>
      <c r="K8" s="59"/>
      <c r="L8" s="59"/>
      <c r="M8" s="59"/>
      <c r="N8" s="59"/>
      <c r="O8" s="59" t="s">
        <v>435</v>
      </c>
      <c r="P8" s="59"/>
      <c r="Q8" s="62" t="n">
        <v>0.458333333333333</v>
      </c>
      <c r="R8" s="59" t="s">
        <v>443</v>
      </c>
      <c r="S8" s="63" t="n">
        <v>70</v>
      </c>
      <c r="T8" s="59" t="s">
        <v>444</v>
      </c>
      <c r="U8" s="59"/>
      <c r="V8" s="59"/>
      <c r="W8" s="62" t="n">
        <v>0.125</v>
      </c>
      <c r="X8" s="59"/>
      <c r="Y8" s="59" t="s">
        <v>210</v>
      </c>
      <c r="Z8" s="59" t="s">
        <v>221</v>
      </c>
      <c r="AA8" s="63" t="n">
        <v>15</v>
      </c>
      <c r="AB8" s="59"/>
      <c r="AC8" s="59"/>
      <c r="AD8" s="59"/>
      <c r="AE8" s="59"/>
      <c r="AF8" s="59"/>
    </row>
    <row r="9" customFormat="false" ht="15" hidden="false" customHeight="false" outlineLevel="0" collapsed="false">
      <c r="A9" s="59" t="s">
        <v>445</v>
      </c>
      <c r="B9" s="59"/>
      <c r="C9" s="59"/>
      <c r="D9" s="59" t="s">
        <v>446</v>
      </c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62" t="n">
        <v>0.479166666666667</v>
      </c>
      <c r="R9" s="59" t="s">
        <v>447</v>
      </c>
      <c r="S9" s="63" t="n">
        <v>40</v>
      </c>
      <c r="T9" s="59" t="s">
        <v>448</v>
      </c>
      <c r="U9" s="59"/>
      <c r="V9" s="59"/>
      <c r="W9" s="62" t="n">
        <v>0.145833333333333</v>
      </c>
      <c r="X9" s="59"/>
      <c r="Y9" s="59" t="s">
        <v>210</v>
      </c>
      <c r="Z9" s="59" t="s">
        <v>226</v>
      </c>
      <c r="AA9" s="63" t="n">
        <v>8</v>
      </c>
      <c r="AB9" s="59"/>
      <c r="AC9" s="59"/>
      <c r="AD9" s="59"/>
      <c r="AE9" s="59"/>
      <c r="AF9" s="59"/>
    </row>
    <row r="10" customFormat="false" ht="15" hidden="false" customHeight="false" outlineLevel="0" collapsed="false">
      <c r="A10" s="59" t="s">
        <v>449</v>
      </c>
      <c r="B10" s="59"/>
      <c r="C10" s="59"/>
      <c r="D10" s="59" t="s">
        <v>450</v>
      </c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62" t="n">
        <v>0.5</v>
      </c>
      <c r="R10" s="59"/>
      <c r="S10" s="59"/>
      <c r="T10" s="59"/>
      <c r="U10" s="59"/>
      <c r="V10" s="59"/>
      <c r="W10" s="62" t="n">
        <v>0.166666666666667</v>
      </c>
      <c r="X10" s="59"/>
      <c r="Y10" s="59" t="s">
        <v>210</v>
      </c>
      <c r="Z10" s="59" t="s">
        <v>228</v>
      </c>
      <c r="AA10" s="63" t="n">
        <v>0</v>
      </c>
      <c r="AB10" s="59"/>
      <c r="AC10" s="59"/>
      <c r="AD10" s="59"/>
      <c r="AE10" s="59"/>
      <c r="AF10" s="59"/>
    </row>
    <row r="11" customFormat="false" ht="15" hidden="false" customHeight="false" outlineLevel="0" collapsed="false">
      <c r="A11" s="59"/>
      <c r="B11" s="59"/>
      <c r="C11" s="59"/>
      <c r="D11" s="59" t="s">
        <v>435</v>
      </c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62" t="n">
        <v>0.520833333333333</v>
      </c>
      <c r="R11" s="59"/>
      <c r="S11" s="59"/>
      <c r="T11" s="59"/>
      <c r="U11" s="59"/>
      <c r="V11" s="59"/>
      <c r="W11" s="62" t="n">
        <v>0.1875</v>
      </c>
      <c r="X11" s="59"/>
      <c r="Y11" s="59" t="s">
        <v>211</v>
      </c>
      <c r="Z11" s="59" t="s">
        <v>221</v>
      </c>
      <c r="AA11" s="63" t="n">
        <v>10</v>
      </c>
      <c r="AB11" s="59"/>
      <c r="AC11" s="59"/>
      <c r="AD11" s="59"/>
      <c r="AE11" s="59"/>
      <c r="AF11" s="59"/>
    </row>
    <row r="12" customFormat="false" ht="15" hidden="false" customHeight="false" outlineLevel="0" collapsed="false">
      <c r="A12" s="59"/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62" t="n">
        <v>0.541666666666667</v>
      </c>
      <c r="R12" s="59"/>
      <c r="S12" s="59"/>
      <c r="T12" s="59"/>
      <c r="U12" s="59"/>
      <c r="V12" s="59"/>
      <c r="W12" s="62" t="n">
        <v>0.208333333333333</v>
      </c>
      <c r="X12" s="59"/>
      <c r="Y12" s="59" t="s">
        <v>211</v>
      </c>
      <c r="Z12" s="59" t="s">
        <v>229</v>
      </c>
      <c r="AA12" s="63" t="n">
        <v>5</v>
      </c>
      <c r="AB12" s="59"/>
      <c r="AC12" s="59"/>
      <c r="AD12" s="59"/>
      <c r="AE12" s="59"/>
      <c r="AF12" s="59"/>
    </row>
    <row r="13" customFormat="false" ht="15" hidden="false" customHeight="false" outlineLevel="0" collapsed="false">
      <c r="A13" s="59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62" t="n">
        <v>0.5625</v>
      </c>
      <c r="R13" s="59"/>
      <c r="S13" s="59"/>
      <c r="T13" s="59"/>
      <c r="U13" s="59"/>
      <c r="V13" s="59"/>
      <c r="W13" s="62" t="n">
        <v>0.229166666666667</v>
      </c>
      <c r="X13" s="59"/>
      <c r="Y13" s="59" t="s">
        <v>211</v>
      </c>
      <c r="Z13" s="59" t="s">
        <v>228</v>
      </c>
      <c r="AA13" s="63" t="n">
        <v>0</v>
      </c>
      <c r="AB13" s="59"/>
      <c r="AC13" s="59"/>
      <c r="AD13" s="59"/>
      <c r="AE13" s="59"/>
      <c r="AF13" s="59"/>
    </row>
    <row r="14" customFormat="false" ht="15" hidden="false" customHeight="false" outlineLevel="0" collapsed="false">
      <c r="A14" s="59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62" t="n">
        <v>0.583333333333333</v>
      </c>
      <c r="R14" s="59"/>
      <c r="S14" s="59"/>
      <c r="T14" s="59"/>
      <c r="U14" s="59"/>
      <c r="V14" s="59"/>
      <c r="W14" s="62" t="n">
        <v>0.25</v>
      </c>
      <c r="X14" s="59"/>
      <c r="Y14" s="59" t="s">
        <v>212</v>
      </c>
      <c r="Z14" s="59" t="s">
        <v>222</v>
      </c>
      <c r="AA14" s="63" t="n">
        <v>15</v>
      </c>
      <c r="AB14" s="59"/>
      <c r="AC14" s="59"/>
      <c r="AD14" s="59"/>
      <c r="AE14" s="59"/>
      <c r="AF14" s="59"/>
    </row>
    <row r="15" customFormat="false" ht="15" hidden="false" customHeight="false" outlineLevel="0" collapsed="false">
      <c r="A15" s="59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62" t="n">
        <v>0.604166666666667</v>
      </c>
      <c r="R15" s="59"/>
      <c r="S15" s="59"/>
      <c r="T15" s="59"/>
      <c r="U15" s="59"/>
      <c r="V15" s="59"/>
      <c r="W15" s="62" t="n">
        <v>0.270833333333333</v>
      </c>
      <c r="X15" s="59"/>
      <c r="Y15" s="59" t="s">
        <v>212</v>
      </c>
      <c r="Z15" s="59" t="s">
        <v>230</v>
      </c>
      <c r="AA15" s="63" t="n">
        <v>8</v>
      </c>
      <c r="AB15" s="59"/>
      <c r="AC15" s="59"/>
      <c r="AD15" s="59"/>
      <c r="AE15" s="59"/>
      <c r="AF15" s="59"/>
    </row>
    <row r="16" customFormat="false" ht="15" hidden="false" customHeight="false" outlineLevel="0" collapsed="false">
      <c r="A16" s="59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62" t="n">
        <v>0.625</v>
      </c>
      <c r="R16" s="59"/>
      <c r="S16" s="59"/>
      <c r="T16" s="59"/>
      <c r="U16" s="59"/>
      <c r="V16" s="59"/>
      <c r="W16" s="62" t="n">
        <v>0.291666666666667</v>
      </c>
      <c r="X16" s="59"/>
      <c r="Y16" s="59" t="s">
        <v>212</v>
      </c>
      <c r="Z16" s="59" t="s">
        <v>451</v>
      </c>
      <c r="AA16" s="63" t="n">
        <v>2</v>
      </c>
      <c r="AB16" s="59"/>
      <c r="AC16" s="59"/>
      <c r="AD16" s="59"/>
      <c r="AE16" s="59"/>
      <c r="AF16" s="59"/>
    </row>
    <row r="17" customFormat="false" ht="15" hidden="false" customHeight="false" outlineLevel="0" collapsed="false">
      <c r="A17" s="59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62" t="n">
        <v>0.645833333333333</v>
      </c>
      <c r="R17" s="59"/>
      <c r="S17" s="59"/>
      <c r="T17" s="59"/>
      <c r="U17" s="59"/>
      <c r="V17" s="59"/>
      <c r="W17" s="62" t="n">
        <v>0.3125</v>
      </c>
      <c r="X17" s="59"/>
      <c r="Y17" s="59" t="s">
        <v>213</v>
      </c>
      <c r="Z17" s="59" t="s">
        <v>223</v>
      </c>
      <c r="AA17" s="63" t="n">
        <v>10</v>
      </c>
      <c r="AB17" s="59"/>
      <c r="AC17" s="59"/>
      <c r="AD17" s="59"/>
      <c r="AE17" s="59"/>
      <c r="AF17" s="59"/>
    </row>
    <row r="18" customFormat="false" ht="15" hidden="false" customHeight="false" outlineLevel="0" collapsed="false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62" t="n">
        <v>0.666666666666667</v>
      </c>
      <c r="R18" s="59"/>
      <c r="S18" s="59"/>
      <c r="T18" s="59"/>
      <c r="U18" s="59"/>
      <c r="V18" s="59"/>
      <c r="W18" s="62" t="n">
        <v>0.333333333333333</v>
      </c>
      <c r="X18" s="59"/>
      <c r="Y18" s="59" t="s">
        <v>213</v>
      </c>
      <c r="Z18" s="59" t="s">
        <v>231</v>
      </c>
      <c r="AA18" s="63" t="n">
        <v>5</v>
      </c>
      <c r="AB18" s="59"/>
      <c r="AC18" s="59"/>
      <c r="AD18" s="59"/>
      <c r="AE18" s="59"/>
      <c r="AF18" s="59"/>
    </row>
    <row r="19" customFormat="false" ht="15" hidden="false" customHeight="false" outlineLevel="0" collapsed="false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62" t="n">
        <v>0.6875</v>
      </c>
      <c r="R19" s="59"/>
      <c r="S19" s="59"/>
      <c r="T19" s="59"/>
      <c r="U19" s="59"/>
      <c r="V19" s="59"/>
      <c r="W19" s="62" t="n">
        <v>0.354166666666667</v>
      </c>
      <c r="X19" s="59"/>
      <c r="Y19" s="59" t="s">
        <v>213</v>
      </c>
      <c r="Z19" s="59" t="s">
        <v>452</v>
      </c>
      <c r="AA19" s="63" t="n">
        <v>2</v>
      </c>
      <c r="AB19" s="59"/>
      <c r="AC19" s="59"/>
      <c r="AD19" s="59"/>
      <c r="AE19" s="59"/>
      <c r="AF19" s="59"/>
    </row>
    <row r="20" customFormat="false" ht="15" hidden="false" customHeight="false" outlineLevel="0" collapsed="false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62" t="n">
        <v>0.708333333333333</v>
      </c>
      <c r="R20" s="59"/>
      <c r="S20" s="59"/>
      <c r="T20" s="59"/>
      <c r="U20" s="59"/>
      <c r="V20" s="59"/>
      <c r="W20" s="62" t="n">
        <v>0.375</v>
      </c>
      <c r="X20" s="59"/>
      <c r="Y20" s="59" t="s">
        <v>453</v>
      </c>
      <c r="Z20" s="59" t="s">
        <v>454</v>
      </c>
      <c r="AA20" s="63" t="n">
        <v>10</v>
      </c>
      <c r="AB20" s="59"/>
      <c r="AC20" s="59"/>
      <c r="AD20" s="59"/>
      <c r="AE20" s="59"/>
      <c r="AF20" s="59"/>
    </row>
    <row r="21" customFormat="false" ht="15" hidden="false" customHeight="false" outlineLevel="0" collapsed="false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62" t="n">
        <v>0.729166666666667</v>
      </c>
      <c r="R21" s="59"/>
      <c r="S21" s="59"/>
      <c r="T21" s="59"/>
      <c r="U21" s="59"/>
      <c r="V21" s="59"/>
      <c r="W21" s="62" t="n">
        <v>0.395833333333333</v>
      </c>
      <c r="X21" s="59"/>
      <c r="Y21" s="59" t="s">
        <v>453</v>
      </c>
      <c r="Z21" s="59" t="s">
        <v>455</v>
      </c>
      <c r="AA21" s="63" t="n">
        <v>5</v>
      </c>
      <c r="AB21" s="59"/>
      <c r="AC21" s="59"/>
      <c r="AD21" s="59"/>
      <c r="AE21" s="59"/>
      <c r="AF21" s="59"/>
    </row>
    <row r="22" customFormat="false" ht="15" hidden="false" customHeight="false" outlineLevel="0" collapsed="false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62" t="n">
        <v>0.75</v>
      </c>
      <c r="R22" s="59"/>
      <c r="S22" s="59"/>
      <c r="T22" s="59"/>
      <c r="U22" s="59"/>
      <c r="V22" s="59"/>
      <c r="W22" s="62" t="n">
        <v>0.416666666666667</v>
      </c>
      <c r="X22" s="59"/>
      <c r="Y22" s="59"/>
      <c r="Z22" s="59"/>
      <c r="AA22" s="59"/>
      <c r="AB22" s="59"/>
      <c r="AC22" s="59"/>
      <c r="AD22" s="59"/>
      <c r="AE22" s="59"/>
      <c r="AF22" s="59"/>
    </row>
    <row r="23" customFormat="false" ht="15" hidden="false" customHeight="false" outlineLevel="0" collapsed="false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62" t="n">
        <v>0.770833333333333</v>
      </c>
      <c r="R23" s="59"/>
      <c r="S23" s="59"/>
      <c r="T23" s="59"/>
      <c r="U23" s="59"/>
      <c r="V23" s="59"/>
      <c r="W23" s="62" t="n">
        <v>0.4375</v>
      </c>
      <c r="X23" s="59"/>
      <c r="Y23" s="59"/>
      <c r="Z23" s="59"/>
      <c r="AA23" s="59"/>
      <c r="AB23" s="59"/>
      <c r="AC23" s="59"/>
      <c r="AD23" s="59"/>
      <c r="AE23" s="59"/>
      <c r="AF23" s="59"/>
    </row>
    <row r="24" customFormat="false" ht="15" hidden="false" customHeight="false" outlineLevel="0" collapsed="false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62" t="n">
        <v>0.791666666666667</v>
      </c>
      <c r="R24" s="59"/>
      <c r="S24" s="59"/>
      <c r="T24" s="59"/>
      <c r="U24" s="59"/>
      <c r="V24" s="59"/>
      <c r="W24" s="62" t="n">
        <v>0.458333333333333</v>
      </c>
      <c r="X24" s="59"/>
      <c r="Y24" s="59"/>
      <c r="Z24" s="59"/>
      <c r="AA24" s="59"/>
      <c r="AB24" s="59"/>
      <c r="AC24" s="59"/>
      <c r="AD24" s="59"/>
      <c r="AE24" s="59"/>
      <c r="AF24" s="59"/>
    </row>
    <row r="25" customFormat="false" ht="15" hidden="false" customHeight="false" outlineLevel="0" collapsed="false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62" t="n">
        <v>0.8125</v>
      </c>
      <c r="R25" s="59"/>
      <c r="S25" s="59"/>
      <c r="T25" s="59"/>
      <c r="U25" s="59"/>
      <c r="V25" s="59"/>
      <c r="W25" s="62" t="n">
        <v>0.479166666666667</v>
      </c>
      <c r="X25" s="59"/>
      <c r="Y25" s="59"/>
      <c r="Z25" s="59"/>
      <c r="AA25" s="59"/>
      <c r="AB25" s="59"/>
      <c r="AC25" s="59"/>
      <c r="AD25" s="59"/>
      <c r="AE25" s="59"/>
      <c r="AF25" s="59"/>
    </row>
    <row r="26" customFormat="false" ht="15" hidden="false" customHeight="false" outlineLevel="0" collapsed="false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62" t="n">
        <v>0.833333333333333</v>
      </c>
      <c r="R26" s="59"/>
      <c r="S26" s="59"/>
      <c r="T26" s="59"/>
      <c r="U26" s="59"/>
      <c r="V26" s="59"/>
      <c r="W26" s="62" t="n">
        <v>0.5</v>
      </c>
      <c r="X26" s="59"/>
      <c r="Y26" s="59"/>
      <c r="Z26" s="59"/>
      <c r="AA26" s="59"/>
      <c r="AB26" s="59"/>
      <c r="AC26" s="59"/>
      <c r="AD26" s="59"/>
      <c r="AE26" s="59"/>
      <c r="AF26" s="59"/>
    </row>
    <row r="27" customFormat="false" ht="15" hidden="false" customHeight="false" outlineLevel="0" collapsed="false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2" t="n">
        <v>0.520833333333333</v>
      </c>
      <c r="X27" s="59"/>
      <c r="Y27" s="59"/>
      <c r="Z27" s="59"/>
      <c r="AA27" s="59"/>
      <c r="AB27" s="59"/>
      <c r="AC27" s="59"/>
      <c r="AD27" s="59"/>
      <c r="AE27" s="59"/>
      <c r="AF27" s="59"/>
    </row>
    <row r="28" customFormat="false" ht="15" hidden="false" customHeight="false" outlineLevel="0" collapsed="false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2" t="n">
        <v>0.541666666666667</v>
      </c>
      <c r="X28" s="59"/>
      <c r="Y28" s="59"/>
      <c r="Z28" s="59"/>
      <c r="AA28" s="59"/>
      <c r="AB28" s="59"/>
      <c r="AC28" s="59"/>
      <c r="AD28" s="59"/>
      <c r="AE28" s="59"/>
      <c r="AF28" s="59"/>
    </row>
    <row r="29" customFormat="false" ht="15" hidden="false" customHeight="false" outlineLevel="0" collapsed="false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2" t="n">
        <v>0.5625</v>
      </c>
      <c r="X29" s="59"/>
      <c r="Y29" s="59"/>
      <c r="Z29" s="59"/>
      <c r="AA29" s="59"/>
      <c r="AB29" s="59"/>
      <c r="AC29" s="59"/>
      <c r="AD29" s="59"/>
      <c r="AE29" s="59"/>
      <c r="AF29" s="59"/>
    </row>
    <row r="30" customFormat="false" ht="15" hidden="false" customHeight="false" outlineLevel="0" collapsed="false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2" t="n">
        <v>0.583333333333333</v>
      </c>
      <c r="X30" s="59"/>
      <c r="Y30" s="59"/>
      <c r="Z30" s="59"/>
      <c r="AA30" s="59"/>
      <c r="AB30" s="59"/>
      <c r="AC30" s="59"/>
      <c r="AD30" s="59"/>
      <c r="AE30" s="59"/>
      <c r="AF30" s="59"/>
    </row>
    <row r="31" customFormat="false" ht="15" hidden="false" customHeight="false" outlineLevel="0" collapsed="false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2" t="n">
        <v>0.604166666666667</v>
      </c>
      <c r="X31" s="59"/>
      <c r="Y31" s="59"/>
      <c r="Z31" s="59"/>
      <c r="AA31" s="59"/>
      <c r="AB31" s="59"/>
      <c r="AC31" s="59"/>
      <c r="AD31" s="59"/>
      <c r="AE31" s="59"/>
      <c r="AF31" s="59"/>
    </row>
    <row r="32" customFormat="false" ht="15" hidden="false" customHeight="false" outlineLevel="0" collapsed="false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62" t="n">
        <v>0.625</v>
      </c>
      <c r="X32" s="59"/>
      <c r="Y32" s="59"/>
      <c r="Z32" s="59"/>
      <c r="AA32" s="59"/>
      <c r="AB32" s="59"/>
      <c r="AC32" s="59"/>
      <c r="AD32" s="59"/>
      <c r="AE32" s="59"/>
      <c r="AF32" s="59"/>
    </row>
    <row r="33" customFormat="false" ht="15" hidden="false" customHeight="false" outlineLevel="0" collapsed="false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62" t="n">
        <v>0.645833333333333</v>
      </c>
      <c r="X33" s="59"/>
      <c r="Y33" s="59"/>
      <c r="Z33" s="59"/>
      <c r="AA33" s="59"/>
      <c r="AB33" s="59"/>
      <c r="AC33" s="59"/>
      <c r="AD33" s="59"/>
      <c r="AE33" s="59"/>
      <c r="AF33" s="59"/>
    </row>
    <row r="34" customFormat="false" ht="15" hidden="false" customHeight="false" outlineLevel="0" collapsed="false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62" t="n">
        <v>0.666666666666667</v>
      </c>
      <c r="X34" s="59"/>
      <c r="Y34" s="59"/>
      <c r="Z34" s="59"/>
      <c r="AA34" s="59"/>
      <c r="AB34" s="59"/>
      <c r="AC34" s="59"/>
      <c r="AD34" s="59"/>
      <c r="AE34" s="59"/>
      <c r="AF34" s="59"/>
    </row>
    <row r="35" customFormat="false" ht="15" hidden="false" customHeight="false" outlineLevel="0" collapsed="false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62" t="n">
        <v>0.6875</v>
      </c>
      <c r="X35" s="59"/>
      <c r="Y35" s="59"/>
      <c r="Z35" s="59"/>
      <c r="AA35" s="59"/>
      <c r="AB35" s="59"/>
      <c r="AC35" s="59"/>
      <c r="AD35" s="59"/>
      <c r="AE35" s="59"/>
      <c r="AF35" s="59"/>
    </row>
    <row r="36" customFormat="false" ht="15" hidden="false" customHeight="false" outlineLevel="0" collapsed="false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62" t="n">
        <v>0.708333333333333</v>
      </c>
      <c r="X36" s="59"/>
      <c r="Y36" s="59"/>
      <c r="Z36" s="59"/>
      <c r="AA36" s="59"/>
      <c r="AB36" s="59"/>
      <c r="AC36" s="59"/>
      <c r="AD36" s="59"/>
      <c r="AE36" s="59"/>
      <c r="AF36" s="59"/>
    </row>
    <row r="37" customFormat="false" ht="15" hidden="false" customHeight="false" outlineLevel="0" collapsed="false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62" t="n">
        <v>0.729166666666667</v>
      </c>
      <c r="X37" s="59"/>
      <c r="Y37" s="59"/>
      <c r="Z37" s="59"/>
      <c r="AA37" s="59"/>
      <c r="AB37" s="59"/>
      <c r="AC37" s="59"/>
      <c r="AD37" s="59"/>
      <c r="AE37" s="59"/>
      <c r="AF37" s="59"/>
    </row>
    <row r="38" customFormat="false" ht="15" hidden="false" customHeight="false" outlineLevel="0" collapsed="false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62" t="n">
        <v>0.75</v>
      </c>
      <c r="X38" s="59"/>
      <c r="Y38" s="59"/>
      <c r="Z38" s="59"/>
      <c r="AA38" s="59"/>
      <c r="AB38" s="59"/>
      <c r="AC38" s="59"/>
      <c r="AD38" s="59"/>
      <c r="AE38" s="59"/>
      <c r="AF38" s="59"/>
    </row>
    <row r="39" customFormat="false" ht="15" hidden="false" customHeight="false" outlineLevel="0" collapsed="false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62" t="n">
        <v>0.770833333333333</v>
      </c>
      <c r="X39" s="59"/>
      <c r="Y39" s="59"/>
      <c r="Z39" s="59"/>
      <c r="AA39" s="59"/>
      <c r="AB39" s="59"/>
      <c r="AC39" s="59"/>
      <c r="AD39" s="59"/>
      <c r="AE39" s="59"/>
      <c r="AF39" s="59"/>
    </row>
    <row r="40" customFormat="false" ht="15" hidden="false" customHeight="false" outlineLevel="0" collapsed="false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62" t="n">
        <v>0.791666666666667</v>
      </c>
      <c r="X40" s="59"/>
      <c r="Y40" s="59"/>
      <c r="Z40" s="59"/>
      <c r="AA40" s="59"/>
      <c r="AB40" s="59"/>
      <c r="AC40" s="59"/>
      <c r="AD40" s="59"/>
      <c r="AE40" s="59"/>
      <c r="AF40" s="59"/>
    </row>
    <row r="41" customFormat="false" ht="15" hidden="false" customHeight="false" outlineLevel="0" collapsed="false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62" t="n">
        <v>0.8125</v>
      </c>
      <c r="X41" s="59"/>
      <c r="Y41" s="59"/>
      <c r="Z41" s="59"/>
      <c r="AA41" s="59"/>
      <c r="AB41" s="59"/>
      <c r="AC41" s="59"/>
      <c r="AD41" s="59"/>
      <c r="AE41" s="59"/>
      <c r="AF41" s="59"/>
    </row>
    <row r="42" customFormat="false" ht="15" hidden="false" customHeight="false" outlineLevel="0" collapsed="false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62" t="n">
        <v>0.833333333333333</v>
      </c>
      <c r="X42" s="59"/>
      <c r="Y42" s="59"/>
      <c r="Z42" s="59"/>
      <c r="AA42" s="59"/>
      <c r="AB42" s="59"/>
      <c r="AC42" s="59"/>
      <c r="AD42" s="59"/>
      <c r="AE42" s="59"/>
      <c r="AF42" s="59"/>
    </row>
    <row r="43" customFormat="false" ht="15" hidden="false" customHeight="false" outlineLevel="0" collapsed="false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62" t="n">
        <v>0.854166666666667</v>
      </c>
      <c r="X43" s="59"/>
      <c r="Y43" s="59"/>
      <c r="Z43" s="59"/>
      <c r="AA43" s="59"/>
      <c r="AB43" s="59"/>
      <c r="AC43" s="59"/>
      <c r="AD43" s="59"/>
      <c r="AE43" s="59"/>
      <c r="AF43" s="59"/>
    </row>
    <row r="44" customFormat="false" ht="15" hidden="false" customHeight="false" outlineLevel="0" collapsed="false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62" t="n">
        <v>0.875</v>
      </c>
      <c r="X44" s="59"/>
      <c r="Y44" s="59"/>
      <c r="Z44" s="59"/>
      <c r="AA44" s="59"/>
      <c r="AB44" s="59"/>
      <c r="AC44" s="59"/>
      <c r="AD44" s="59"/>
      <c r="AE44" s="59"/>
      <c r="AF44" s="59"/>
    </row>
    <row r="45" customFormat="false" ht="15" hidden="false" customHeight="false" outlineLevel="0" collapsed="false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62" t="n">
        <v>0.895833333333333</v>
      </c>
      <c r="X45" s="59"/>
      <c r="Y45" s="59"/>
      <c r="Z45" s="59"/>
      <c r="AA45" s="59"/>
      <c r="AB45" s="59"/>
      <c r="AC45" s="59"/>
      <c r="AD45" s="59"/>
      <c r="AE45" s="59"/>
      <c r="AF45" s="59"/>
    </row>
    <row r="46" customFormat="false" ht="15" hidden="false" customHeight="false" outlineLevel="0" collapsed="false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62" t="n">
        <v>0.916666666666667</v>
      </c>
      <c r="X46" s="59"/>
      <c r="Y46" s="59"/>
      <c r="Z46" s="59"/>
      <c r="AA46" s="59"/>
      <c r="AB46" s="59"/>
      <c r="AC46" s="59"/>
      <c r="AD46" s="59"/>
      <c r="AE46" s="59"/>
      <c r="AF46" s="59"/>
    </row>
    <row r="47" customFormat="false" ht="15" hidden="false" customHeight="false" outlineLevel="0" collapsed="false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62" t="n">
        <v>0.9375</v>
      </c>
      <c r="X47" s="59"/>
      <c r="Y47" s="59"/>
      <c r="Z47" s="59"/>
      <c r="AA47" s="59"/>
      <c r="AB47" s="59"/>
      <c r="AC47" s="59"/>
      <c r="AD47" s="59"/>
      <c r="AE47" s="59"/>
      <c r="AF47" s="59"/>
    </row>
    <row r="48" customFormat="false" ht="15" hidden="false" customHeight="false" outlineLevel="0" collapsed="false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62" t="n">
        <v>0.958333333333333</v>
      </c>
      <c r="X48" s="59"/>
      <c r="Y48" s="59"/>
      <c r="Z48" s="59"/>
      <c r="AA48" s="59"/>
      <c r="AB48" s="59"/>
      <c r="AC48" s="59"/>
      <c r="AD48" s="59"/>
      <c r="AE48" s="59"/>
      <c r="AF48" s="59"/>
    </row>
    <row r="49" customFormat="false" ht="15" hidden="false" customHeight="false" outlineLevel="0" collapsed="false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62" t="n">
        <v>0.979166666666667</v>
      </c>
      <c r="X49" s="59"/>
      <c r="Y49" s="59"/>
      <c r="Z49" s="59"/>
      <c r="AA49" s="59"/>
      <c r="AB49" s="59"/>
      <c r="AC49" s="59"/>
      <c r="AD49" s="59"/>
      <c r="AE49" s="59"/>
      <c r="AF49" s="5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2026-10-21T07:36:38Z</dcterms:created>
  <dc:creator>openpyxl</dc:creator>
  <dc:description/>
  <dc:language>en-US</dc:language>
  <cp:lastModifiedBy/>
  <dcterms:modified xsi:type="dcterms:W3CDTF">2026-10-21T07:36:40Z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